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/Dropbox/__Psicofinanzas Personales/Desarrollo sistema/TH Agencia/"/>
    </mc:Choice>
  </mc:AlternateContent>
  <xr:revisionPtr revIDLastSave="0" documentId="13_ncr:1_{ED44640C-64E9-C343-9DAB-60108F63A9A3}" xr6:coauthVersionLast="47" xr6:coauthVersionMax="47" xr10:uidLastSave="{00000000-0000-0000-0000-000000000000}"/>
  <bookViews>
    <workbookView xWindow="0" yWindow="500" windowWidth="25600" windowHeight="15500" activeTab="3" xr2:uid="{6E18D8DE-3EDD-8242-BD93-B43A6FEE0D02}"/>
  </bookViews>
  <sheets>
    <sheet name="Respuestas" sheetId="4" r:id="rId1"/>
    <sheet name="Norma" sheetId="3" r:id="rId2"/>
    <sheet name="Puntuación" sheetId="2" r:id="rId3"/>
    <sheet name="HMolde" sheetId="1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01" i="2" l="1"/>
  <c r="I700" i="2"/>
  <c r="I699" i="2"/>
  <c r="I698" i="2"/>
  <c r="I697" i="2"/>
  <c r="I696" i="2"/>
  <c r="I707" i="2" s="1"/>
  <c r="I695" i="2"/>
  <c r="I694" i="2"/>
  <c r="I713" i="2" s="1"/>
  <c r="I693" i="2"/>
  <c r="I692" i="2"/>
  <c r="I709" i="2" s="1"/>
  <c r="I691" i="2"/>
  <c r="I690" i="2"/>
  <c r="I689" i="2"/>
  <c r="I687" i="2"/>
  <c r="I686" i="2"/>
  <c r="I685" i="2"/>
  <c r="I684" i="2"/>
  <c r="I681" i="2"/>
  <c r="I680" i="2"/>
  <c r="I712" i="2" s="1"/>
  <c r="I679" i="2"/>
  <c r="I678" i="2"/>
  <c r="I677" i="2"/>
  <c r="I711" i="2" s="1"/>
  <c r="I676" i="2"/>
  <c r="I708" i="2" s="1"/>
  <c r="I675" i="2"/>
  <c r="I674" i="2"/>
  <c r="I706" i="2" s="1"/>
  <c r="I673" i="2"/>
  <c r="I672" i="2"/>
  <c r="I671" i="2"/>
  <c r="I670" i="2"/>
  <c r="I710" i="2" s="1"/>
  <c r="I669" i="2"/>
  <c r="I668" i="2"/>
  <c r="I705" i="2" s="1"/>
  <c r="I667" i="2"/>
  <c r="I666" i="2"/>
  <c r="I704" i="2" s="1"/>
  <c r="K663" i="2"/>
  <c r="I663" i="2"/>
  <c r="K662" i="2"/>
  <c r="I662" i="2"/>
  <c r="K661" i="2"/>
  <c r="I661" i="2"/>
  <c r="K660" i="2"/>
  <c r="I660" i="2"/>
  <c r="K659" i="2"/>
  <c r="I659" i="2"/>
  <c r="K658" i="2"/>
  <c r="I658" i="2"/>
  <c r="K657" i="2"/>
  <c r="I657" i="2"/>
  <c r="K656" i="2"/>
  <c r="I656" i="2"/>
  <c r="K655" i="2"/>
  <c r="I655" i="2"/>
  <c r="I613" i="2"/>
  <c r="I612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K522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K504" i="2"/>
  <c r="I504" i="2"/>
  <c r="K459" i="2"/>
  <c r="K452" i="2"/>
  <c r="K448" i="2"/>
  <c r="K420" i="2"/>
  <c r="K419" i="2"/>
  <c r="I419" i="2"/>
  <c r="K403" i="2"/>
  <c r="K399" i="2"/>
  <c r="K454" i="2" s="1"/>
  <c r="I399" i="2"/>
  <c r="I454" i="2" s="1"/>
  <c r="D399" i="2"/>
  <c r="K398" i="2"/>
  <c r="K604" i="2" s="1"/>
  <c r="I398" i="2"/>
  <c r="I452" i="2" s="1"/>
  <c r="D398" i="2"/>
  <c r="K397" i="2"/>
  <c r="K587" i="2" s="1"/>
  <c r="I397" i="2"/>
  <c r="D397" i="2"/>
  <c r="K396" i="2"/>
  <c r="K584" i="2" s="1"/>
  <c r="I396" i="2"/>
  <c r="I451" i="2" s="1"/>
  <c r="D396" i="2"/>
  <c r="K395" i="2"/>
  <c r="K583" i="2" s="1"/>
  <c r="I395" i="2"/>
  <c r="D395" i="2"/>
  <c r="K394" i="2"/>
  <c r="I394" i="2"/>
  <c r="D394" i="2"/>
  <c r="K393" i="2"/>
  <c r="K426" i="2" s="1"/>
  <c r="I393" i="2"/>
  <c r="I426" i="2" s="1"/>
  <c r="D393" i="2"/>
  <c r="K392" i="2"/>
  <c r="K613" i="2" s="1"/>
  <c r="I392" i="2"/>
  <c r="I460" i="2" s="1"/>
  <c r="D392" i="2"/>
  <c r="K391" i="2"/>
  <c r="I391" i="2"/>
  <c r="D391" i="2"/>
  <c r="K390" i="2"/>
  <c r="K608" i="2" s="1"/>
  <c r="I390" i="2"/>
  <c r="I456" i="2" s="1"/>
  <c r="D390" i="2"/>
  <c r="K389" i="2"/>
  <c r="K574" i="2" s="1"/>
  <c r="I389" i="2"/>
  <c r="I458" i="2" s="1"/>
  <c r="D389" i="2"/>
  <c r="K388" i="2"/>
  <c r="I388" i="2"/>
  <c r="D388" i="2"/>
  <c r="K387" i="2"/>
  <c r="K418" i="2" s="1"/>
  <c r="I387" i="2"/>
  <c r="I418" i="2" s="1"/>
  <c r="D387" i="2"/>
  <c r="K386" i="2"/>
  <c r="K600" i="2" s="1"/>
  <c r="I386" i="2"/>
  <c r="I448" i="2" s="1"/>
  <c r="D386" i="2"/>
  <c r="K385" i="2"/>
  <c r="K410" i="2" s="1"/>
  <c r="I385" i="2"/>
  <c r="I410" i="2" s="1"/>
  <c r="D385" i="2"/>
  <c r="K384" i="2"/>
  <c r="K563" i="2" s="1"/>
  <c r="I384" i="2"/>
  <c r="I408" i="2" s="1"/>
  <c r="D384" i="2"/>
  <c r="K383" i="2"/>
  <c r="K552" i="2" s="1"/>
  <c r="I383" i="2"/>
  <c r="I433" i="2" s="1"/>
  <c r="D383" i="2"/>
  <c r="K382" i="2"/>
  <c r="K592" i="2" s="1"/>
  <c r="I382" i="2"/>
  <c r="D382" i="2"/>
  <c r="K381" i="2"/>
  <c r="K601" i="2" s="1"/>
  <c r="I381" i="2"/>
  <c r="I449" i="2" s="1"/>
  <c r="D381" i="2"/>
  <c r="K380" i="2"/>
  <c r="K550" i="2" s="1"/>
  <c r="I380" i="2"/>
  <c r="I407" i="2" s="1"/>
  <c r="D380" i="2"/>
  <c r="K379" i="2"/>
  <c r="K549" i="2" s="1"/>
  <c r="I379" i="2"/>
  <c r="I476" i="2" s="1"/>
  <c r="D379" i="2"/>
  <c r="K378" i="2"/>
  <c r="K536" i="2" s="1"/>
  <c r="I378" i="2"/>
  <c r="D378" i="2"/>
  <c r="K377" i="2"/>
  <c r="K450" i="2" s="1"/>
  <c r="I377" i="2"/>
  <c r="I450" i="2" s="1"/>
  <c r="D377" i="2"/>
  <c r="K376" i="2"/>
  <c r="K624" i="2" s="1"/>
  <c r="K674" i="2" s="1"/>
  <c r="K706" i="2" s="1"/>
  <c r="I376" i="2"/>
  <c r="I624" i="2" s="1"/>
  <c r="D376" i="2"/>
  <c r="K375" i="2"/>
  <c r="K548" i="2" s="1"/>
  <c r="I375" i="2"/>
  <c r="I425" i="2" s="1"/>
  <c r="D375" i="2"/>
  <c r="K374" i="2"/>
  <c r="K544" i="2" s="1"/>
  <c r="I374" i="2"/>
  <c r="I417" i="2" s="1"/>
  <c r="D374" i="2"/>
  <c r="K373" i="2"/>
  <c r="K628" i="2" s="1"/>
  <c r="K678" i="2" s="1"/>
  <c r="I373" i="2"/>
  <c r="D373" i="2"/>
  <c r="K372" i="2"/>
  <c r="K609" i="2" s="1"/>
  <c r="I372" i="2"/>
  <c r="I446" i="2" s="1"/>
  <c r="D372" i="2"/>
  <c r="K371" i="2"/>
  <c r="K532" i="2" s="1"/>
  <c r="I371" i="2"/>
  <c r="D371" i="2"/>
  <c r="K370" i="2"/>
  <c r="K531" i="2" s="1"/>
  <c r="I370" i="2"/>
  <c r="D370" i="2"/>
  <c r="K369" i="2"/>
  <c r="K530" i="2" s="1"/>
  <c r="I369" i="2"/>
  <c r="D369" i="2"/>
  <c r="K368" i="2"/>
  <c r="K596" i="2" s="1"/>
  <c r="I368" i="2"/>
  <c r="I444" i="2" s="1"/>
  <c r="D368" i="2"/>
  <c r="K367" i="2"/>
  <c r="I367" i="2"/>
  <c r="D367" i="2"/>
  <c r="K366" i="2"/>
  <c r="K413" i="2" s="1"/>
  <c r="I366" i="2"/>
  <c r="I413" i="2" s="1"/>
  <c r="D366" i="2"/>
  <c r="K365" i="2"/>
  <c r="K519" i="2" s="1"/>
  <c r="I365" i="2"/>
  <c r="I434" i="2" s="1"/>
  <c r="D365" i="2"/>
  <c r="K364" i="2"/>
  <c r="K520" i="2" s="1"/>
  <c r="I364" i="2"/>
  <c r="D364" i="2"/>
  <c r="K363" i="2"/>
  <c r="K518" i="2" s="1"/>
  <c r="I363" i="2"/>
  <c r="I465" i="2" s="1"/>
  <c r="D363" i="2"/>
  <c r="K362" i="2"/>
  <c r="K586" i="2" s="1"/>
  <c r="I362" i="2"/>
  <c r="I435" i="2" s="1"/>
  <c r="D362" i="2"/>
  <c r="K361" i="2"/>
  <c r="I361" i="2"/>
  <c r="D361" i="2"/>
  <c r="K360" i="2"/>
  <c r="K568" i="2" s="1"/>
  <c r="I360" i="2"/>
  <c r="I431" i="2" s="1"/>
  <c r="D360" i="2"/>
  <c r="K359" i="2"/>
  <c r="K539" i="2" s="1"/>
  <c r="I359" i="2"/>
  <c r="I424" i="2" s="1"/>
  <c r="D359" i="2"/>
  <c r="K358" i="2"/>
  <c r="K525" i="2" s="1"/>
  <c r="I358" i="2"/>
  <c r="D358" i="2"/>
  <c r="K357" i="2"/>
  <c r="K580" i="2" s="1"/>
  <c r="I357" i="2"/>
  <c r="I404" i="2" s="1"/>
  <c r="D357" i="2"/>
  <c r="K356" i="2"/>
  <c r="I356" i="2"/>
  <c r="I437" i="2" s="1"/>
  <c r="D356" i="2"/>
  <c r="K355" i="2"/>
  <c r="K423" i="2" s="1"/>
  <c r="I355" i="2"/>
  <c r="I647" i="2" s="1"/>
  <c r="D355" i="2"/>
  <c r="K354" i="2"/>
  <c r="K556" i="2" s="1"/>
  <c r="I354" i="2"/>
  <c r="I442" i="2" s="1"/>
  <c r="D354" i="2"/>
  <c r="K353" i="2"/>
  <c r="K508" i="2" s="1"/>
  <c r="I353" i="2"/>
  <c r="I414" i="2" s="1"/>
  <c r="D353" i="2"/>
  <c r="K352" i="2"/>
  <c r="K616" i="2" s="1"/>
  <c r="I352" i="2"/>
  <c r="I616" i="2" s="1"/>
  <c r="D352" i="2"/>
  <c r="D251" i="2"/>
  <c r="W112" i="1"/>
  <c r="U112" i="1"/>
  <c r="W111" i="1"/>
  <c r="U111" i="1"/>
  <c r="W110" i="1"/>
  <c r="U110" i="1"/>
  <c r="W109" i="1"/>
  <c r="U109" i="1"/>
  <c r="U96" i="1"/>
  <c r="N90" i="1"/>
  <c r="M90" i="1"/>
  <c r="L90" i="1"/>
  <c r="K90" i="1"/>
  <c r="J90" i="1"/>
  <c r="I90" i="1"/>
  <c r="H90" i="1"/>
  <c r="G90" i="1"/>
  <c r="F90" i="1"/>
  <c r="E90" i="1"/>
  <c r="Q90" i="1" s="1"/>
  <c r="N89" i="1"/>
  <c r="O89" i="1" s="1"/>
  <c r="M89" i="1"/>
  <c r="L89" i="1"/>
  <c r="K89" i="1"/>
  <c r="J89" i="1"/>
  <c r="I89" i="1"/>
  <c r="H89" i="1"/>
  <c r="G89" i="1"/>
  <c r="F89" i="1"/>
  <c r="E89" i="1"/>
  <c r="Q89" i="1" s="1"/>
  <c r="N88" i="1"/>
  <c r="M88" i="1"/>
  <c r="L88" i="1"/>
  <c r="K88" i="1"/>
  <c r="J88" i="1"/>
  <c r="I88" i="1"/>
  <c r="H88" i="1"/>
  <c r="G88" i="1"/>
  <c r="F88" i="1"/>
  <c r="E88" i="1"/>
  <c r="Q88" i="1" s="1"/>
  <c r="N87" i="1"/>
  <c r="M87" i="1"/>
  <c r="L87" i="1"/>
  <c r="O87" i="1" s="1"/>
  <c r="K87" i="1"/>
  <c r="J87" i="1"/>
  <c r="I87" i="1"/>
  <c r="H87" i="1"/>
  <c r="G87" i="1"/>
  <c r="F87" i="1"/>
  <c r="E87" i="1"/>
  <c r="Q87" i="1" s="1"/>
  <c r="N86" i="1"/>
  <c r="M86" i="1"/>
  <c r="L86" i="1"/>
  <c r="K86" i="1"/>
  <c r="J86" i="1"/>
  <c r="I86" i="1"/>
  <c r="H86" i="1"/>
  <c r="G86" i="1"/>
  <c r="F86" i="1"/>
  <c r="E86" i="1"/>
  <c r="N85" i="1"/>
  <c r="M85" i="1"/>
  <c r="O85" i="1" s="1"/>
  <c r="L85" i="1"/>
  <c r="K85" i="1"/>
  <c r="J85" i="1"/>
  <c r="I85" i="1"/>
  <c r="H85" i="1"/>
  <c r="G85" i="1"/>
  <c r="F85" i="1"/>
  <c r="E85" i="1"/>
  <c r="Q85" i="1" s="1"/>
  <c r="N84" i="1"/>
  <c r="M84" i="1"/>
  <c r="L84" i="1"/>
  <c r="O84" i="1" s="1"/>
  <c r="K84" i="1"/>
  <c r="J84" i="1"/>
  <c r="I84" i="1"/>
  <c r="H84" i="1"/>
  <c r="G84" i="1"/>
  <c r="F84" i="1"/>
  <c r="E84" i="1"/>
  <c r="Q84" i="1" s="1"/>
  <c r="Q83" i="1"/>
  <c r="N83" i="1"/>
  <c r="M83" i="1"/>
  <c r="O83" i="1" s="1"/>
  <c r="L83" i="1"/>
  <c r="K83" i="1"/>
  <c r="J83" i="1"/>
  <c r="I83" i="1"/>
  <c r="H83" i="1"/>
  <c r="G83" i="1"/>
  <c r="F83" i="1"/>
  <c r="E83" i="1"/>
  <c r="N82" i="1"/>
  <c r="M82" i="1"/>
  <c r="L82" i="1"/>
  <c r="K82" i="1"/>
  <c r="J82" i="1"/>
  <c r="I82" i="1"/>
  <c r="H82" i="1"/>
  <c r="G82" i="1"/>
  <c r="F82" i="1"/>
  <c r="E82" i="1"/>
  <c r="Q82" i="1" s="1"/>
  <c r="N81" i="1"/>
  <c r="O81" i="1" s="1"/>
  <c r="M81" i="1"/>
  <c r="L81" i="1"/>
  <c r="K81" i="1"/>
  <c r="J81" i="1"/>
  <c r="I81" i="1"/>
  <c r="H81" i="1"/>
  <c r="G81" i="1"/>
  <c r="F81" i="1"/>
  <c r="E81" i="1"/>
  <c r="Q81" i="1" s="1"/>
  <c r="U80" i="1"/>
  <c r="N80" i="1"/>
  <c r="M80" i="1"/>
  <c r="L80" i="1"/>
  <c r="O80" i="1" s="1"/>
  <c r="K80" i="1"/>
  <c r="J80" i="1"/>
  <c r="I80" i="1"/>
  <c r="H80" i="1"/>
  <c r="G80" i="1"/>
  <c r="F80" i="1"/>
  <c r="E80" i="1"/>
  <c r="U79" i="1"/>
  <c r="N79" i="1"/>
  <c r="M79" i="1"/>
  <c r="L79" i="1"/>
  <c r="O79" i="1" s="1"/>
  <c r="K79" i="1"/>
  <c r="J79" i="1"/>
  <c r="I79" i="1"/>
  <c r="H79" i="1"/>
  <c r="G79" i="1"/>
  <c r="F79" i="1"/>
  <c r="E79" i="1"/>
  <c r="Q79" i="1" s="1"/>
  <c r="W78" i="1"/>
  <c r="U78" i="1"/>
  <c r="N78" i="1"/>
  <c r="M78" i="1"/>
  <c r="L78" i="1"/>
  <c r="O78" i="1" s="1"/>
  <c r="K78" i="1"/>
  <c r="J78" i="1"/>
  <c r="I78" i="1"/>
  <c r="H78" i="1"/>
  <c r="G78" i="1"/>
  <c r="F78" i="1"/>
  <c r="Q78" i="1" s="1"/>
  <c r="E78" i="1"/>
  <c r="W77" i="1"/>
  <c r="U77" i="1"/>
  <c r="N77" i="1"/>
  <c r="O77" i="1" s="1"/>
  <c r="M77" i="1"/>
  <c r="L77" i="1"/>
  <c r="K77" i="1"/>
  <c r="J77" i="1"/>
  <c r="I77" i="1"/>
  <c r="H77" i="1"/>
  <c r="G77" i="1"/>
  <c r="F77" i="1"/>
  <c r="E77" i="1"/>
  <c r="W76" i="1"/>
  <c r="U76" i="1"/>
  <c r="N76" i="1"/>
  <c r="M76" i="1"/>
  <c r="L76" i="1"/>
  <c r="O76" i="1" s="1"/>
  <c r="K76" i="1"/>
  <c r="J76" i="1"/>
  <c r="I76" i="1"/>
  <c r="H76" i="1"/>
  <c r="G76" i="1"/>
  <c r="F76" i="1"/>
  <c r="E76" i="1"/>
  <c r="W75" i="1"/>
  <c r="W74" i="1" s="1"/>
  <c r="U75" i="1"/>
  <c r="U74" i="1" s="1"/>
  <c r="N75" i="1"/>
  <c r="M75" i="1"/>
  <c r="L75" i="1"/>
  <c r="K75" i="1"/>
  <c r="J75" i="1"/>
  <c r="I75" i="1"/>
  <c r="H75" i="1"/>
  <c r="G75" i="1"/>
  <c r="F75" i="1"/>
  <c r="E75" i="1"/>
  <c r="Q75" i="1" s="1"/>
  <c r="N74" i="1"/>
  <c r="M74" i="1"/>
  <c r="L74" i="1"/>
  <c r="O74" i="1" s="1"/>
  <c r="K74" i="1"/>
  <c r="J74" i="1"/>
  <c r="I74" i="1"/>
  <c r="H74" i="1"/>
  <c r="G74" i="1"/>
  <c r="F74" i="1"/>
  <c r="E74" i="1"/>
  <c r="Q74" i="1" s="1"/>
  <c r="N73" i="1"/>
  <c r="M73" i="1"/>
  <c r="L73" i="1"/>
  <c r="O73" i="1" s="1"/>
  <c r="K73" i="1"/>
  <c r="J73" i="1"/>
  <c r="I73" i="1"/>
  <c r="H73" i="1"/>
  <c r="G73" i="1"/>
  <c r="F73" i="1"/>
  <c r="E73" i="1"/>
  <c r="N72" i="1"/>
  <c r="M72" i="1"/>
  <c r="L72" i="1"/>
  <c r="O72" i="1" s="1"/>
  <c r="K72" i="1"/>
  <c r="J72" i="1"/>
  <c r="I72" i="1"/>
  <c r="H72" i="1"/>
  <c r="G72" i="1"/>
  <c r="F72" i="1"/>
  <c r="Q72" i="1" s="1"/>
  <c r="E72" i="1"/>
  <c r="N71" i="1"/>
  <c r="M71" i="1"/>
  <c r="L71" i="1"/>
  <c r="K71" i="1"/>
  <c r="J71" i="1"/>
  <c r="I71" i="1"/>
  <c r="H71" i="1"/>
  <c r="G71" i="1"/>
  <c r="F71" i="1"/>
  <c r="E71" i="1"/>
  <c r="Q71" i="1" s="1"/>
  <c r="N70" i="1"/>
  <c r="M70" i="1"/>
  <c r="L70" i="1"/>
  <c r="O70" i="1" s="1"/>
  <c r="K70" i="1"/>
  <c r="J70" i="1"/>
  <c r="I70" i="1"/>
  <c r="H70" i="1"/>
  <c r="G70" i="1"/>
  <c r="F70" i="1"/>
  <c r="Q70" i="1" s="1"/>
  <c r="E70" i="1"/>
  <c r="N69" i="1"/>
  <c r="M69" i="1"/>
  <c r="L69" i="1"/>
  <c r="O69" i="1" s="1"/>
  <c r="K69" i="1"/>
  <c r="J69" i="1"/>
  <c r="I69" i="1"/>
  <c r="H69" i="1"/>
  <c r="G69" i="1"/>
  <c r="F69" i="1"/>
  <c r="E69" i="1"/>
  <c r="Q68" i="1"/>
  <c r="O68" i="1"/>
  <c r="N68" i="1"/>
  <c r="M68" i="1"/>
  <c r="L68" i="1"/>
  <c r="K68" i="1"/>
  <c r="J68" i="1"/>
  <c r="I68" i="1"/>
  <c r="H68" i="1"/>
  <c r="G68" i="1"/>
  <c r="F68" i="1"/>
  <c r="E68" i="1"/>
  <c r="N67" i="1"/>
  <c r="M67" i="1"/>
  <c r="L67" i="1"/>
  <c r="O67" i="1" s="1"/>
  <c r="K67" i="1"/>
  <c r="J67" i="1"/>
  <c r="I67" i="1"/>
  <c r="H67" i="1"/>
  <c r="G67" i="1"/>
  <c r="F67" i="1"/>
  <c r="E67" i="1"/>
  <c r="N66" i="1"/>
  <c r="M66" i="1"/>
  <c r="L66" i="1"/>
  <c r="O66" i="1" s="1"/>
  <c r="K66" i="1"/>
  <c r="J66" i="1"/>
  <c r="I66" i="1"/>
  <c r="H66" i="1"/>
  <c r="G66" i="1"/>
  <c r="F66" i="1"/>
  <c r="E66" i="1"/>
  <c r="Q66" i="1" s="1"/>
  <c r="N65" i="1"/>
  <c r="M65" i="1"/>
  <c r="L65" i="1"/>
  <c r="O65" i="1" s="1"/>
  <c r="K65" i="1"/>
  <c r="J65" i="1"/>
  <c r="I65" i="1"/>
  <c r="H65" i="1"/>
  <c r="G65" i="1"/>
  <c r="F65" i="1"/>
  <c r="E65" i="1"/>
  <c r="W64" i="1"/>
  <c r="W63" i="1" s="1"/>
  <c r="W62" i="1" s="1"/>
  <c r="N64" i="1"/>
  <c r="M64" i="1"/>
  <c r="L64" i="1"/>
  <c r="O64" i="1" s="1"/>
  <c r="K64" i="1"/>
  <c r="J64" i="1"/>
  <c r="I64" i="1"/>
  <c r="H64" i="1"/>
  <c r="G64" i="1"/>
  <c r="F64" i="1"/>
  <c r="Q64" i="1" s="1"/>
  <c r="E64" i="1"/>
  <c r="U63" i="1"/>
  <c r="Q63" i="1"/>
  <c r="O63" i="1"/>
  <c r="N63" i="1"/>
  <c r="M63" i="1"/>
  <c r="L63" i="1"/>
  <c r="K63" i="1"/>
  <c r="J63" i="1"/>
  <c r="I63" i="1"/>
  <c r="H63" i="1"/>
  <c r="G63" i="1"/>
  <c r="F63" i="1"/>
  <c r="E63" i="1"/>
  <c r="U62" i="1"/>
  <c r="N62" i="1"/>
  <c r="M62" i="1"/>
  <c r="L62" i="1"/>
  <c r="K62" i="1"/>
  <c r="J62" i="1"/>
  <c r="I62" i="1"/>
  <c r="H62" i="1"/>
  <c r="G62" i="1"/>
  <c r="F62" i="1"/>
  <c r="E62" i="1"/>
  <c r="Q62" i="1" s="1"/>
  <c r="AG61" i="1"/>
  <c r="AF61" i="1"/>
  <c r="AE61" i="1"/>
  <c r="AD61" i="1"/>
  <c r="AC61" i="1"/>
  <c r="AB61" i="1"/>
  <c r="AA61" i="1"/>
  <c r="Z61" i="1"/>
  <c r="Y61" i="1"/>
  <c r="X61" i="1"/>
  <c r="N61" i="1"/>
  <c r="M61" i="1"/>
  <c r="L61" i="1"/>
  <c r="O61" i="1" s="1"/>
  <c r="K61" i="1"/>
  <c r="J61" i="1"/>
  <c r="I61" i="1"/>
  <c r="H61" i="1"/>
  <c r="G61" i="1"/>
  <c r="F61" i="1"/>
  <c r="E61" i="1"/>
  <c r="AG60" i="1"/>
  <c r="AF60" i="1"/>
  <c r="AE60" i="1"/>
  <c r="AD60" i="1"/>
  <c r="AC60" i="1"/>
  <c r="AB60" i="1"/>
  <c r="AA60" i="1"/>
  <c r="Z60" i="1"/>
  <c r="Y60" i="1"/>
  <c r="X60" i="1"/>
  <c r="N60" i="1"/>
  <c r="M60" i="1"/>
  <c r="L60" i="1"/>
  <c r="O60" i="1" s="1"/>
  <c r="K60" i="1"/>
  <c r="J60" i="1"/>
  <c r="I60" i="1"/>
  <c r="H60" i="1"/>
  <c r="G60" i="1"/>
  <c r="F60" i="1"/>
  <c r="E60" i="1"/>
  <c r="Q60" i="1" s="1"/>
  <c r="AG59" i="1"/>
  <c r="AF59" i="1"/>
  <c r="AE59" i="1"/>
  <c r="AD59" i="1"/>
  <c r="AC59" i="1"/>
  <c r="AB59" i="1"/>
  <c r="AA59" i="1"/>
  <c r="Z59" i="1"/>
  <c r="Y59" i="1"/>
  <c r="X59" i="1"/>
  <c r="O59" i="1"/>
  <c r="N59" i="1"/>
  <c r="M59" i="1"/>
  <c r="L59" i="1"/>
  <c r="K59" i="1"/>
  <c r="J59" i="1"/>
  <c r="I59" i="1"/>
  <c r="H59" i="1"/>
  <c r="G59" i="1"/>
  <c r="F59" i="1"/>
  <c r="E59" i="1"/>
  <c r="Q59" i="1" s="1"/>
  <c r="AG58" i="1"/>
  <c r="AF58" i="1"/>
  <c r="AE58" i="1"/>
  <c r="AD58" i="1"/>
  <c r="AC58" i="1"/>
  <c r="AB58" i="1"/>
  <c r="AA58" i="1"/>
  <c r="Z58" i="1"/>
  <c r="Y58" i="1"/>
  <c r="X58" i="1"/>
  <c r="N58" i="1"/>
  <c r="O58" i="1" s="1"/>
  <c r="M58" i="1"/>
  <c r="L58" i="1"/>
  <c r="K58" i="1"/>
  <c r="J58" i="1"/>
  <c r="I58" i="1"/>
  <c r="H58" i="1"/>
  <c r="G58" i="1"/>
  <c r="F58" i="1"/>
  <c r="E58" i="1"/>
  <c r="AG57" i="1"/>
  <c r="AF57" i="1"/>
  <c r="AE57" i="1"/>
  <c r="AD57" i="1"/>
  <c r="AC57" i="1"/>
  <c r="AB57" i="1"/>
  <c r="AA57" i="1"/>
  <c r="Z57" i="1"/>
  <c r="Y57" i="1"/>
  <c r="X57" i="1"/>
  <c r="N57" i="1"/>
  <c r="M57" i="1"/>
  <c r="L57" i="1"/>
  <c r="K57" i="1"/>
  <c r="J57" i="1"/>
  <c r="I57" i="1"/>
  <c r="H57" i="1"/>
  <c r="G57" i="1"/>
  <c r="F57" i="1"/>
  <c r="E57" i="1"/>
  <c r="Q57" i="1" s="1"/>
  <c r="AG56" i="1"/>
  <c r="AF56" i="1"/>
  <c r="AE56" i="1"/>
  <c r="AD56" i="1"/>
  <c r="AC56" i="1"/>
  <c r="AB56" i="1"/>
  <c r="AA56" i="1"/>
  <c r="Z56" i="1"/>
  <c r="Y56" i="1"/>
  <c r="X56" i="1"/>
  <c r="N56" i="1"/>
  <c r="M56" i="1"/>
  <c r="L56" i="1"/>
  <c r="O56" i="1" s="1"/>
  <c r="K56" i="1"/>
  <c r="J56" i="1"/>
  <c r="I56" i="1"/>
  <c r="H56" i="1"/>
  <c r="G56" i="1"/>
  <c r="Q56" i="1" s="1"/>
  <c r="F56" i="1"/>
  <c r="E56" i="1"/>
  <c r="AG55" i="1"/>
  <c r="AF55" i="1"/>
  <c r="AE55" i="1"/>
  <c r="AD55" i="1"/>
  <c r="AC55" i="1"/>
  <c r="AB55" i="1"/>
  <c r="AA55" i="1"/>
  <c r="Z55" i="1"/>
  <c r="Y55" i="1"/>
  <c r="X55" i="1"/>
  <c r="N55" i="1"/>
  <c r="M55" i="1"/>
  <c r="L55" i="1"/>
  <c r="O55" i="1" s="1"/>
  <c r="K55" i="1"/>
  <c r="J55" i="1"/>
  <c r="I55" i="1"/>
  <c r="H55" i="1"/>
  <c r="G55" i="1"/>
  <c r="F55" i="1"/>
  <c r="E55" i="1"/>
  <c r="Q55" i="1" s="1"/>
  <c r="AG54" i="1"/>
  <c r="AF54" i="1"/>
  <c r="AE54" i="1"/>
  <c r="AD54" i="1"/>
  <c r="AC54" i="1"/>
  <c r="AB54" i="1"/>
  <c r="AA54" i="1"/>
  <c r="Z54" i="1"/>
  <c r="Y54" i="1"/>
  <c r="X54" i="1"/>
  <c r="O54" i="1"/>
  <c r="N54" i="1"/>
  <c r="M54" i="1"/>
  <c r="L54" i="1"/>
  <c r="K54" i="1"/>
  <c r="J54" i="1"/>
  <c r="I54" i="1"/>
  <c r="H54" i="1"/>
  <c r="G54" i="1"/>
  <c r="F54" i="1"/>
  <c r="E54" i="1"/>
  <c r="AG53" i="1"/>
  <c r="AF53" i="1"/>
  <c r="AE53" i="1"/>
  <c r="AD53" i="1"/>
  <c r="AC53" i="1"/>
  <c r="AB53" i="1"/>
  <c r="AA53" i="1"/>
  <c r="Z53" i="1"/>
  <c r="Y53" i="1"/>
  <c r="X53" i="1"/>
  <c r="N53" i="1"/>
  <c r="M53" i="1"/>
  <c r="L53" i="1"/>
  <c r="K53" i="1"/>
  <c r="J53" i="1"/>
  <c r="I53" i="1"/>
  <c r="H53" i="1"/>
  <c r="G53" i="1"/>
  <c r="F53" i="1"/>
  <c r="E53" i="1"/>
  <c r="AG52" i="1"/>
  <c r="AF52" i="1"/>
  <c r="AE52" i="1"/>
  <c r="AD52" i="1"/>
  <c r="AC52" i="1"/>
  <c r="AB52" i="1"/>
  <c r="AA52" i="1"/>
  <c r="Z52" i="1"/>
  <c r="Y52" i="1"/>
  <c r="X52" i="1"/>
  <c r="N52" i="1"/>
  <c r="M52" i="1"/>
  <c r="L52" i="1"/>
  <c r="O52" i="1" s="1"/>
  <c r="K52" i="1"/>
  <c r="J52" i="1"/>
  <c r="I52" i="1"/>
  <c r="H52" i="1"/>
  <c r="G52" i="1"/>
  <c r="F52" i="1"/>
  <c r="E52" i="1"/>
  <c r="Q52" i="1" s="1"/>
  <c r="AG51" i="1"/>
  <c r="AF51" i="1"/>
  <c r="AE51" i="1"/>
  <c r="AD51" i="1"/>
  <c r="AC51" i="1"/>
  <c r="AB51" i="1"/>
  <c r="AA51" i="1"/>
  <c r="Z51" i="1"/>
  <c r="Y51" i="1"/>
  <c r="X51" i="1"/>
  <c r="N51" i="1"/>
  <c r="M51" i="1"/>
  <c r="L51" i="1"/>
  <c r="O51" i="1" s="1"/>
  <c r="K51" i="1"/>
  <c r="J51" i="1"/>
  <c r="I51" i="1"/>
  <c r="H51" i="1"/>
  <c r="G51" i="1"/>
  <c r="F51" i="1"/>
  <c r="Q51" i="1" s="1"/>
  <c r="E51" i="1"/>
  <c r="AG50" i="1"/>
  <c r="AF50" i="1"/>
  <c r="AE50" i="1"/>
  <c r="AD50" i="1"/>
  <c r="AC50" i="1"/>
  <c r="AB50" i="1"/>
  <c r="AA50" i="1"/>
  <c r="Z50" i="1"/>
  <c r="Y50" i="1"/>
  <c r="X50" i="1"/>
  <c r="N50" i="1"/>
  <c r="M50" i="1"/>
  <c r="L50" i="1"/>
  <c r="K50" i="1"/>
  <c r="J50" i="1"/>
  <c r="I50" i="1"/>
  <c r="H50" i="1"/>
  <c r="G50" i="1"/>
  <c r="F50" i="1"/>
  <c r="E50" i="1"/>
  <c r="Q50" i="1" s="1"/>
  <c r="AG49" i="1"/>
  <c r="AF49" i="1"/>
  <c r="AE49" i="1"/>
  <c r="AD49" i="1"/>
  <c r="AC49" i="1"/>
  <c r="AB49" i="1"/>
  <c r="AA49" i="1"/>
  <c r="Z49" i="1"/>
  <c r="Y49" i="1"/>
  <c r="X49" i="1"/>
  <c r="N49" i="1"/>
  <c r="M49" i="1"/>
  <c r="L49" i="1"/>
  <c r="K49" i="1"/>
  <c r="J49" i="1"/>
  <c r="I49" i="1"/>
  <c r="H49" i="1"/>
  <c r="G49" i="1"/>
  <c r="F49" i="1"/>
  <c r="E49" i="1"/>
  <c r="N48" i="1"/>
  <c r="M48" i="1"/>
  <c r="L48" i="1"/>
  <c r="O48" i="1" s="1"/>
  <c r="K48" i="1"/>
  <c r="J48" i="1"/>
  <c r="I48" i="1"/>
  <c r="H48" i="1"/>
  <c r="G48" i="1"/>
  <c r="F48" i="1"/>
  <c r="E48" i="1"/>
  <c r="Q48" i="1" s="1"/>
  <c r="AG47" i="1"/>
  <c r="AF47" i="1"/>
  <c r="AE47" i="1"/>
  <c r="AD47" i="1"/>
  <c r="AC47" i="1"/>
  <c r="AB47" i="1"/>
  <c r="AA47" i="1"/>
  <c r="Z47" i="1"/>
  <c r="Y47" i="1"/>
  <c r="X47" i="1"/>
  <c r="O47" i="1"/>
  <c r="N47" i="1"/>
  <c r="M47" i="1"/>
  <c r="L47" i="1"/>
  <c r="K47" i="1"/>
  <c r="J47" i="1"/>
  <c r="I47" i="1"/>
  <c r="H47" i="1"/>
  <c r="G47" i="1"/>
  <c r="F47" i="1"/>
  <c r="E47" i="1"/>
  <c r="AG46" i="1"/>
  <c r="AF46" i="1"/>
  <c r="AE46" i="1"/>
  <c r="AD46" i="1"/>
  <c r="AC46" i="1"/>
  <c r="AB46" i="1"/>
  <c r="AA46" i="1"/>
  <c r="Z46" i="1"/>
  <c r="Y46" i="1"/>
  <c r="X46" i="1"/>
  <c r="N46" i="1"/>
  <c r="M46" i="1"/>
  <c r="L46" i="1"/>
  <c r="K46" i="1"/>
  <c r="J46" i="1"/>
  <c r="I46" i="1"/>
  <c r="H46" i="1"/>
  <c r="G46" i="1"/>
  <c r="F46" i="1"/>
  <c r="E46" i="1"/>
  <c r="AG45" i="1"/>
  <c r="AF45" i="1"/>
  <c r="AE45" i="1"/>
  <c r="AD45" i="1"/>
  <c r="AC45" i="1"/>
  <c r="AB45" i="1"/>
  <c r="AA45" i="1"/>
  <c r="Z45" i="1"/>
  <c r="Y45" i="1"/>
  <c r="X45" i="1"/>
  <c r="N45" i="1"/>
  <c r="M45" i="1"/>
  <c r="L45" i="1"/>
  <c r="K45" i="1"/>
  <c r="J45" i="1"/>
  <c r="I45" i="1"/>
  <c r="H45" i="1"/>
  <c r="G45" i="1"/>
  <c r="F45" i="1"/>
  <c r="E45" i="1"/>
  <c r="AG44" i="1"/>
  <c r="AF44" i="1"/>
  <c r="AE44" i="1"/>
  <c r="AD44" i="1"/>
  <c r="AC44" i="1"/>
  <c r="AB44" i="1"/>
  <c r="AA44" i="1"/>
  <c r="Z44" i="1"/>
  <c r="Y44" i="1"/>
  <c r="X44" i="1"/>
  <c r="Q44" i="1"/>
  <c r="N44" i="1"/>
  <c r="M44" i="1"/>
  <c r="O44" i="1" s="1"/>
  <c r="L44" i="1"/>
  <c r="K44" i="1"/>
  <c r="J44" i="1"/>
  <c r="I44" i="1"/>
  <c r="H44" i="1"/>
  <c r="G44" i="1"/>
  <c r="F44" i="1"/>
  <c r="E44" i="1"/>
  <c r="AG43" i="1"/>
  <c r="AF43" i="1"/>
  <c r="AE43" i="1"/>
  <c r="AD43" i="1"/>
  <c r="AC43" i="1"/>
  <c r="AB43" i="1"/>
  <c r="AA43" i="1"/>
  <c r="Z43" i="1"/>
  <c r="Y43" i="1"/>
  <c r="X43" i="1"/>
  <c r="N43" i="1"/>
  <c r="M43" i="1"/>
  <c r="L43" i="1"/>
  <c r="K43" i="1"/>
  <c r="J43" i="1"/>
  <c r="I43" i="1"/>
  <c r="H43" i="1"/>
  <c r="G43" i="1"/>
  <c r="F43" i="1"/>
  <c r="E43" i="1"/>
  <c r="Q43" i="1" s="1"/>
  <c r="AG42" i="1"/>
  <c r="AF42" i="1"/>
  <c r="AE42" i="1"/>
  <c r="AD42" i="1"/>
  <c r="AC42" i="1"/>
  <c r="AB42" i="1"/>
  <c r="AA42" i="1"/>
  <c r="Z42" i="1"/>
  <c r="Y42" i="1"/>
  <c r="X42" i="1"/>
  <c r="N42" i="1"/>
  <c r="M42" i="1"/>
  <c r="L42" i="1"/>
  <c r="K42" i="1"/>
  <c r="J42" i="1"/>
  <c r="I42" i="1"/>
  <c r="H42" i="1"/>
  <c r="G42" i="1"/>
  <c r="F42" i="1"/>
  <c r="E42" i="1"/>
  <c r="Q42" i="1" s="1"/>
  <c r="AG41" i="1"/>
  <c r="AF41" i="1"/>
  <c r="AE41" i="1"/>
  <c r="AD41" i="1"/>
  <c r="AC41" i="1"/>
  <c r="AB41" i="1"/>
  <c r="AA41" i="1"/>
  <c r="Z41" i="1"/>
  <c r="Y41" i="1"/>
  <c r="X41" i="1"/>
  <c r="N41" i="1"/>
  <c r="M41" i="1"/>
  <c r="L41" i="1"/>
  <c r="O41" i="1" s="1"/>
  <c r="K41" i="1"/>
  <c r="J41" i="1"/>
  <c r="I41" i="1"/>
  <c r="H41" i="1"/>
  <c r="G41" i="1"/>
  <c r="F41" i="1"/>
  <c r="E41" i="1"/>
  <c r="AG40" i="1"/>
  <c r="AF40" i="1"/>
  <c r="AE40" i="1"/>
  <c r="AD40" i="1"/>
  <c r="AC40" i="1"/>
  <c r="AB40" i="1"/>
  <c r="AA40" i="1"/>
  <c r="Z40" i="1"/>
  <c r="Y40" i="1"/>
  <c r="X40" i="1"/>
  <c r="O40" i="1"/>
  <c r="N40" i="1"/>
  <c r="M40" i="1"/>
  <c r="L40" i="1"/>
  <c r="K40" i="1"/>
  <c r="J40" i="1"/>
  <c r="I40" i="1"/>
  <c r="H40" i="1"/>
  <c r="G40" i="1"/>
  <c r="F40" i="1"/>
  <c r="E40" i="1"/>
  <c r="Q40" i="1" s="1"/>
  <c r="AG39" i="1"/>
  <c r="AF39" i="1"/>
  <c r="AE39" i="1"/>
  <c r="AD39" i="1"/>
  <c r="AC39" i="1"/>
  <c r="AB39" i="1"/>
  <c r="AA39" i="1"/>
  <c r="Z39" i="1"/>
  <c r="Y39" i="1"/>
  <c r="X39" i="1"/>
  <c r="N39" i="1"/>
  <c r="O39" i="1" s="1"/>
  <c r="M39" i="1"/>
  <c r="L39" i="1"/>
  <c r="K39" i="1"/>
  <c r="J39" i="1"/>
  <c r="I39" i="1"/>
  <c r="H39" i="1"/>
  <c r="G39" i="1"/>
  <c r="F39" i="1"/>
  <c r="E39" i="1"/>
  <c r="AG38" i="1"/>
  <c r="AF38" i="1"/>
  <c r="AE38" i="1"/>
  <c r="AD38" i="1"/>
  <c r="AC38" i="1"/>
  <c r="AB38" i="1"/>
  <c r="AA38" i="1"/>
  <c r="Z38" i="1"/>
  <c r="Y38" i="1"/>
  <c r="X38" i="1"/>
  <c r="N38" i="1"/>
  <c r="M38" i="1"/>
  <c r="L38" i="1"/>
  <c r="K38" i="1"/>
  <c r="J38" i="1"/>
  <c r="I38" i="1"/>
  <c r="H38" i="1"/>
  <c r="G38" i="1"/>
  <c r="F38" i="1"/>
  <c r="E38" i="1"/>
  <c r="Q38" i="1" s="1"/>
  <c r="AG37" i="1"/>
  <c r="AF37" i="1"/>
  <c r="AE37" i="1"/>
  <c r="AD37" i="1"/>
  <c r="AC37" i="1"/>
  <c r="AB37" i="1"/>
  <c r="AA37" i="1"/>
  <c r="Z37" i="1"/>
  <c r="Y37" i="1"/>
  <c r="X37" i="1"/>
  <c r="N37" i="1"/>
  <c r="M37" i="1"/>
  <c r="L37" i="1"/>
  <c r="K37" i="1"/>
  <c r="J37" i="1"/>
  <c r="I37" i="1"/>
  <c r="H37" i="1"/>
  <c r="G37" i="1"/>
  <c r="F37" i="1"/>
  <c r="E37" i="1"/>
  <c r="AG36" i="1"/>
  <c r="AF36" i="1"/>
  <c r="AE36" i="1"/>
  <c r="AD36" i="1"/>
  <c r="AC36" i="1"/>
  <c r="AB36" i="1"/>
  <c r="AA36" i="1"/>
  <c r="Z36" i="1"/>
  <c r="Y36" i="1"/>
  <c r="X36" i="1"/>
  <c r="N36" i="1"/>
  <c r="M36" i="1"/>
  <c r="L36" i="1"/>
  <c r="O36" i="1" s="1"/>
  <c r="K36" i="1"/>
  <c r="J36" i="1"/>
  <c r="I36" i="1"/>
  <c r="H36" i="1"/>
  <c r="G36" i="1"/>
  <c r="F36" i="1"/>
  <c r="E36" i="1"/>
  <c r="Q36" i="1" s="1"/>
  <c r="AG35" i="1"/>
  <c r="AF35" i="1"/>
  <c r="AE35" i="1"/>
  <c r="AD35" i="1"/>
  <c r="AC35" i="1"/>
  <c r="AB35" i="1"/>
  <c r="AA35" i="1"/>
  <c r="Z35" i="1"/>
  <c r="Y35" i="1"/>
  <c r="X35" i="1"/>
  <c r="N35" i="1"/>
  <c r="M35" i="1"/>
  <c r="L35" i="1"/>
  <c r="K35" i="1"/>
  <c r="J35" i="1"/>
  <c r="I35" i="1"/>
  <c r="H35" i="1"/>
  <c r="G35" i="1"/>
  <c r="F35" i="1"/>
  <c r="E35" i="1"/>
  <c r="Q35" i="1" s="1"/>
  <c r="AG34" i="1"/>
  <c r="AF34" i="1"/>
  <c r="AE34" i="1"/>
  <c r="AD34" i="1"/>
  <c r="AC34" i="1"/>
  <c r="AB34" i="1"/>
  <c r="AA34" i="1"/>
  <c r="Z34" i="1"/>
  <c r="Y34" i="1"/>
  <c r="X34" i="1"/>
  <c r="N34" i="1"/>
  <c r="M34" i="1"/>
  <c r="L34" i="1"/>
  <c r="O34" i="1" s="1"/>
  <c r="K34" i="1"/>
  <c r="J34" i="1"/>
  <c r="I34" i="1"/>
  <c r="H34" i="1"/>
  <c r="G34" i="1"/>
  <c r="F34" i="1"/>
  <c r="E34" i="1"/>
  <c r="Q34" i="1" s="1"/>
  <c r="AG33" i="1"/>
  <c r="AF33" i="1"/>
  <c r="AE33" i="1"/>
  <c r="AD33" i="1"/>
  <c r="AC33" i="1"/>
  <c r="AB33" i="1"/>
  <c r="AA33" i="1"/>
  <c r="Z33" i="1"/>
  <c r="Y33" i="1"/>
  <c r="X33" i="1"/>
  <c r="N33" i="1"/>
  <c r="M33" i="1"/>
  <c r="L33" i="1"/>
  <c r="K33" i="1"/>
  <c r="J33" i="1"/>
  <c r="I33" i="1"/>
  <c r="H33" i="1"/>
  <c r="G33" i="1"/>
  <c r="F33" i="1"/>
  <c r="E33" i="1"/>
  <c r="AG32" i="1"/>
  <c r="AF32" i="1"/>
  <c r="AE32" i="1"/>
  <c r="AD32" i="1"/>
  <c r="AC32" i="1"/>
  <c r="AB32" i="1"/>
  <c r="AA32" i="1"/>
  <c r="Z32" i="1"/>
  <c r="Y32" i="1"/>
  <c r="X32" i="1"/>
  <c r="O32" i="1"/>
  <c r="N32" i="1"/>
  <c r="M32" i="1"/>
  <c r="L32" i="1"/>
  <c r="K32" i="1"/>
  <c r="J32" i="1"/>
  <c r="I32" i="1"/>
  <c r="H32" i="1"/>
  <c r="G32" i="1"/>
  <c r="F32" i="1"/>
  <c r="E32" i="1"/>
  <c r="Q32" i="1" s="1"/>
  <c r="AG31" i="1"/>
  <c r="AF31" i="1"/>
  <c r="AE31" i="1"/>
  <c r="AD31" i="1"/>
  <c r="AC31" i="1"/>
  <c r="AB31" i="1"/>
  <c r="AA31" i="1"/>
  <c r="Z31" i="1"/>
  <c r="Y31" i="1"/>
  <c r="X31" i="1"/>
  <c r="N31" i="1"/>
  <c r="M31" i="1"/>
  <c r="L31" i="1"/>
  <c r="K31" i="1"/>
  <c r="J31" i="1"/>
  <c r="I31" i="1"/>
  <c r="H31" i="1"/>
  <c r="G31" i="1"/>
  <c r="F31" i="1"/>
  <c r="E31" i="1"/>
  <c r="Q31" i="1" s="1"/>
  <c r="AG30" i="1"/>
  <c r="AF30" i="1"/>
  <c r="AE30" i="1"/>
  <c r="AD30" i="1"/>
  <c r="AC30" i="1"/>
  <c r="AB30" i="1"/>
  <c r="AA30" i="1"/>
  <c r="Z30" i="1"/>
  <c r="Y30" i="1"/>
  <c r="X30" i="1"/>
  <c r="N30" i="1"/>
  <c r="M30" i="1"/>
  <c r="L30" i="1"/>
  <c r="O30" i="1" s="1"/>
  <c r="K30" i="1"/>
  <c r="J30" i="1"/>
  <c r="I30" i="1"/>
  <c r="H30" i="1"/>
  <c r="G30" i="1"/>
  <c r="F30" i="1"/>
  <c r="E30" i="1"/>
  <c r="AG29" i="1"/>
  <c r="AF29" i="1"/>
  <c r="AE29" i="1"/>
  <c r="AD29" i="1"/>
  <c r="AC29" i="1"/>
  <c r="AB29" i="1"/>
  <c r="AA29" i="1"/>
  <c r="Z29" i="1"/>
  <c r="Y29" i="1"/>
  <c r="X29" i="1"/>
  <c r="N29" i="1"/>
  <c r="M29" i="1"/>
  <c r="L29" i="1"/>
  <c r="O29" i="1" s="1"/>
  <c r="K29" i="1"/>
  <c r="J29" i="1"/>
  <c r="I29" i="1"/>
  <c r="H29" i="1"/>
  <c r="G29" i="1"/>
  <c r="F29" i="1"/>
  <c r="E29" i="1"/>
  <c r="AG28" i="1"/>
  <c r="AF28" i="1"/>
  <c r="AE28" i="1"/>
  <c r="AD28" i="1"/>
  <c r="AC28" i="1"/>
  <c r="AB28" i="1"/>
  <c r="AA28" i="1"/>
  <c r="Z28" i="1"/>
  <c r="Y28" i="1"/>
  <c r="X28" i="1"/>
  <c r="Q28" i="1"/>
  <c r="N28" i="1"/>
  <c r="M28" i="1"/>
  <c r="O28" i="1" s="1"/>
  <c r="L28" i="1"/>
  <c r="K28" i="1"/>
  <c r="J28" i="1"/>
  <c r="I28" i="1"/>
  <c r="H28" i="1"/>
  <c r="G28" i="1"/>
  <c r="F28" i="1"/>
  <c r="E28" i="1"/>
  <c r="AK27" i="1"/>
  <c r="AG27" i="1"/>
  <c r="AF27" i="1"/>
  <c r="AE27" i="1"/>
  <c r="AD27" i="1"/>
  <c r="AC27" i="1"/>
  <c r="AB27" i="1"/>
  <c r="AA27" i="1"/>
  <c r="Z27" i="1"/>
  <c r="Y27" i="1"/>
  <c r="X27" i="1"/>
  <c r="Q27" i="1"/>
  <c r="O27" i="1"/>
  <c r="N27" i="1"/>
  <c r="M27" i="1"/>
  <c r="L27" i="1"/>
  <c r="K27" i="1"/>
  <c r="J27" i="1"/>
  <c r="I27" i="1"/>
  <c r="H27" i="1"/>
  <c r="G27" i="1"/>
  <c r="F27" i="1"/>
  <c r="E27" i="1"/>
  <c r="AK26" i="1"/>
  <c r="AG26" i="1"/>
  <c r="AF26" i="1"/>
  <c r="AE26" i="1"/>
  <c r="AD26" i="1"/>
  <c r="AC26" i="1"/>
  <c r="AB26" i="1"/>
  <c r="AA26" i="1"/>
  <c r="Z26" i="1"/>
  <c r="Y26" i="1"/>
  <c r="X26" i="1"/>
  <c r="N26" i="1"/>
  <c r="M26" i="1"/>
  <c r="L26" i="1"/>
  <c r="K26" i="1"/>
  <c r="J26" i="1"/>
  <c r="I26" i="1"/>
  <c r="H26" i="1"/>
  <c r="G26" i="1"/>
  <c r="F26" i="1"/>
  <c r="E26" i="1"/>
  <c r="AO25" i="1"/>
  <c r="AP25" i="1" s="1"/>
  <c r="AJ25" i="1"/>
  <c r="N25" i="1"/>
  <c r="M25" i="1"/>
  <c r="L25" i="1"/>
  <c r="O25" i="1" s="1"/>
  <c r="K25" i="1"/>
  <c r="J25" i="1"/>
  <c r="I25" i="1"/>
  <c r="H25" i="1"/>
  <c r="G25" i="1"/>
  <c r="F25" i="1"/>
  <c r="E25" i="1"/>
  <c r="Q25" i="1" s="1"/>
  <c r="N24" i="1"/>
  <c r="M24" i="1"/>
  <c r="O24" i="1" s="1"/>
  <c r="L24" i="1"/>
  <c r="K24" i="1"/>
  <c r="J24" i="1"/>
  <c r="I24" i="1"/>
  <c r="H24" i="1"/>
  <c r="G24" i="1"/>
  <c r="F24" i="1"/>
  <c r="E24" i="1"/>
  <c r="Q24" i="1" s="1"/>
  <c r="AO23" i="1"/>
  <c r="AN23" i="1"/>
  <c r="AP23" i="1" s="1"/>
  <c r="AG23" i="1"/>
  <c r="AF23" i="1"/>
  <c r="AE23" i="1"/>
  <c r="AD23" i="1"/>
  <c r="AC23" i="1"/>
  <c r="AB23" i="1"/>
  <c r="AA23" i="1"/>
  <c r="Z23" i="1"/>
  <c r="Y23" i="1"/>
  <c r="X23" i="1"/>
  <c r="N23" i="1"/>
  <c r="M23" i="1"/>
  <c r="L23" i="1"/>
  <c r="K23" i="1"/>
  <c r="J23" i="1"/>
  <c r="I23" i="1"/>
  <c r="H23" i="1"/>
  <c r="G23" i="1"/>
  <c r="F23" i="1"/>
  <c r="Q23" i="1" s="1"/>
  <c r="E23" i="1"/>
  <c r="AO22" i="1"/>
  <c r="AN22" i="1"/>
  <c r="AP22" i="1" s="1"/>
  <c r="AG22" i="1"/>
  <c r="AF22" i="1"/>
  <c r="AE22" i="1"/>
  <c r="AD22" i="1"/>
  <c r="AC22" i="1"/>
  <c r="AB22" i="1"/>
  <c r="AA22" i="1"/>
  <c r="Z22" i="1"/>
  <c r="Y22" i="1"/>
  <c r="X22" i="1"/>
  <c r="N22" i="1"/>
  <c r="M22" i="1"/>
  <c r="L22" i="1"/>
  <c r="O22" i="1" s="1"/>
  <c r="K22" i="1"/>
  <c r="J22" i="1"/>
  <c r="I22" i="1"/>
  <c r="H22" i="1"/>
  <c r="G22" i="1"/>
  <c r="F22" i="1"/>
  <c r="E22" i="1"/>
  <c r="N21" i="1"/>
  <c r="M21" i="1"/>
  <c r="L21" i="1"/>
  <c r="O21" i="1" s="1"/>
  <c r="K21" i="1"/>
  <c r="J21" i="1"/>
  <c r="I21" i="1"/>
  <c r="H21" i="1"/>
  <c r="G21" i="1"/>
  <c r="F21" i="1"/>
  <c r="E21" i="1"/>
  <c r="Q21" i="1" s="1"/>
  <c r="AQ20" i="1"/>
  <c r="AM20" i="1"/>
  <c r="N20" i="1"/>
  <c r="M20" i="1"/>
  <c r="L20" i="1"/>
  <c r="O20" i="1" s="1"/>
  <c r="K20" i="1"/>
  <c r="J20" i="1"/>
  <c r="I20" i="1"/>
  <c r="H20" i="1"/>
  <c r="G20" i="1"/>
  <c r="F20" i="1"/>
  <c r="E20" i="1"/>
  <c r="AG19" i="1"/>
  <c r="AF19" i="1"/>
  <c r="AE19" i="1"/>
  <c r="AD19" i="1"/>
  <c r="AC19" i="1"/>
  <c r="AB19" i="1"/>
  <c r="AA19" i="1"/>
  <c r="Z19" i="1"/>
  <c r="Y19" i="1"/>
  <c r="X19" i="1"/>
  <c r="N19" i="1"/>
  <c r="M19" i="1"/>
  <c r="L19" i="1"/>
  <c r="O19" i="1" s="1"/>
  <c r="K19" i="1"/>
  <c r="J19" i="1"/>
  <c r="I19" i="1"/>
  <c r="H19" i="1"/>
  <c r="G19" i="1"/>
  <c r="F19" i="1"/>
  <c r="E19" i="1"/>
  <c r="Q19" i="1" s="1"/>
  <c r="AG18" i="1"/>
  <c r="AF18" i="1"/>
  <c r="AE18" i="1"/>
  <c r="AD18" i="1"/>
  <c r="AC18" i="1"/>
  <c r="AB18" i="1"/>
  <c r="AA18" i="1"/>
  <c r="Z18" i="1"/>
  <c r="Y18" i="1"/>
  <c r="X18" i="1"/>
  <c r="N18" i="1"/>
  <c r="M18" i="1"/>
  <c r="O18" i="1" s="1"/>
  <c r="L18" i="1"/>
  <c r="K18" i="1"/>
  <c r="J18" i="1"/>
  <c r="I18" i="1"/>
  <c r="H18" i="1"/>
  <c r="G18" i="1"/>
  <c r="F18" i="1"/>
  <c r="E18" i="1"/>
  <c r="Q18" i="1" s="1"/>
  <c r="AG17" i="1"/>
  <c r="AF17" i="1"/>
  <c r="AE17" i="1"/>
  <c r="AD17" i="1"/>
  <c r="AC17" i="1"/>
  <c r="AB17" i="1"/>
  <c r="AA17" i="1"/>
  <c r="Z17" i="1"/>
  <c r="Y17" i="1"/>
  <c r="X17" i="1"/>
  <c r="N17" i="1"/>
  <c r="M17" i="1"/>
  <c r="O17" i="1" s="1"/>
  <c r="L17" i="1"/>
  <c r="K17" i="1"/>
  <c r="J17" i="1"/>
  <c r="I17" i="1"/>
  <c r="H17" i="1"/>
  <c r="G17" i="1"/>
  <c r="F17" i="1"/>
  <c r="E17" i="1"/>
  <c r="AG16" i="1"/>
  <c r="AF16" i="1"/>
  <c r="AE16" i="1"/>
  <c r="AD16" i="1"/>
  <c r="AC16" i="1"/>
  <c r="AB16" i="1"/>
  <c r="AA16" i="1"/>
  <c r="Z16" i="1"/>
  <c r="Y16" i="1"/>
  <c r="X16" i="1"/>
  <c r="N16" i="1"/>
  <c r="M16" i="1"/>
  <c r="L16" i="1"/>
  <c r="O16" i="1" s="1"/>
  <c r="K16" i="1"/>
  <c r="J16" i="1"/>
  <c r="I16" i="1"/>
  <c r="H16" i="1"/>
  <c r="G16" i="1"/>
  <c r="F16" i="1"/>
  <c r="E16" i="1"/>
  <c r="AG15" i="1"/>
  <c r="AF15" i="1"/>
  <c r="AE15" i="1"/>
  <c r="AD15" i="1"/>
  <c r="AC15" i="1"/>
  <c r="AB15" i="1"/>
  <c r="AA15" i="1"/>
  <c r="Z15" i="1"/>
  <c r="Y15" i="1"/>
  <c r="X15" i="1"/>
  <c r="N15" i="1"/>
  <c r="M15" i="1"/>
  <c r="L15" i="1"/>
  <c r="K15" i="1"/>
  <c r="J15" i="1"/>
  <c r="I15" i="1"/>
  <c r="H15" i="1"/>
  <c r="G15" i="1"/>
  <c r="F15" i="1"/>
  <c r="E15" i="1"/>
  <c r="Q15" i="1" s="1"/>
  <c r="AG14" i="1"/>
  <c r="AF14" i="1"/>
  <c r="AE14" i="1"/>
  <c r="AD14" i="1"/>
  <c r="AC14" i="1"/>
  <c r="AB14" i="1"/>
  <c r="AA14" i="1"/>
  <c r="Z14" i="1"/>
  <c r="Y14" i="1"/>
  <c r="X14" i="1"/>
  <c r="N14" i="1"/>
  <c r="M14" i="1"/>
  <c r="L14" i="1"/>
  <c r="O14" i="1" s="1"/>
  <c r="K14" i="1"/>
  <c r="J14" i="1"/>
  <c r="I14" i="1"/>
  <c r="H14" i="1"/>
  <c r="G14" i="1"/>
  <c r="F14" i="1"/>
  <c r="E14" i="1"/>
  <c r="Q14" i="1" s="1"/>
  <c r="AG13" i="1"/>
  <c r="AF13" i="1"/>
  <c r="AE13" i="1"/>
  <c r="AD13" i="1"/>
  <c r="AC13" i="1"/>
  <c r="AB13" i="1"/>
  <c r="AA13" i="1"/>
  <c r="Z13" i="1"/>
  <c r="Y13" i="1"/>
  <c r="X13" i="1"/>
  <c r="N13" i="1"/>
  <c r="O13" i="1" s="1"/>
  <c r="M13" i="1"/>
  <c r="L13" i="1"/>
  <c r="K13" i="1"/>
  <c r="J13" i="1"/>
  <c r="I13" i="1"/>
  <c r="H13" i="1"/>
  <c r="G13" i="1"/>
  <c r="F13" i="1"/>
  <c r="Q13" i="1" s="1"/>
  <c r="E13" i="1"/>
  <c r="AG12" i="1"/>
  <c r="AF12" i="1"/>
  <c r="AE12" i="1"/>
  <c r="AD12" i="1"/>
  <c r="AC12" i="1"/>
  <c r="AB12" i="1"/>
  <c r="AA12" i="1"/>
  <c r="Z12" i="1"/>
  <c r="Y12" i="1"/>
  <c r="X12" i="1"/>
  <c r="N12" i="1"/>
  <c r="M12" i="1"/>
  <c r="L12" i="1"/>
  <c r="O12" i="1" s="1"/>
  <c r="K12" i="1"/>
  <c r="J12" i="1"/>
  <c r="I12" i="1"/>
  <c r="H12" i="1"/>
  <c r="G12" i="1"/>
  <c r="F12" i="1"/>
  <c r="E12" i="1"/>
  <c r="Q12" i="1" s="1"/>
  <c r="AG11" i="1"/>
  <c r="AF11" i="1"/>
  <c r="AE11" i="1"/>
  <c r="AD11" i="1"/>
  <c r="AC11" i="1"/>
  <c r="AB11" i="1"/>
  <c r="AA11" i="1"/>
  <c r="Z11" i="1"/>
  <c r="Y11" i="1"/>
  <c r="X11" i="1"/>
  <c r="N11" i="1"/>
  <c r="M11" i="1"/>
  <c r="L11" i="1"/>
  <c r="K11" i="1"/>
  <c r="J11" i="1"/>
  <c r="I11" i="1"/>
  <c r="H11" i="1"/>
  <c r="G11" i="1"/>
  <c r="F11" i="1"/>
  <c r="E11" i="1"/>
  <c r="AG10" i="1"/>
  <c r="AF10" i="1"/>
  <c r="AE10" i="1"/>
  <c r="AD10" i="1"/>
  <c r="AC10" i="1"/>
  <c r="AB10" i="1"/>
  <c r="AA10" i="1"/>
  <c r="Z10" i="1"/>
  <c r="Y10" i="1"/>
  <c r="X10" i="1"/>
  <c r="N10" i="1"/>
  <c r="M10" i="1"/>
  <c r="L10" i="1"/>
  <c r="O10" i="1" s="1"/>
  <c r="K10" i="1"/>
  <c r="J10" i="1"/>
  <c r="I10" i="1"/>
  <c r="H10" i="1"/>
  <c r="G10" i="1"/>
  <c r="F10" i="1"/>
  <c r="E10" i="1"/>
  <c r="Q10" i="1" s="1"/>
  <c r="AG9" i="1"/>
  <c r="AF9" i="1"/>
  <c r="AE9" i="1"/>
  <c r="AD9" i="1"/>
  <c r="AC9" i="1"/>
  <c r="AB9" i="1"/>
  <c r="AA9" i="1"/>
  <c r="Z9" i="1"/>
  <c r="Y9" i="1"/>
  <c r="X9" i="1"/>
  <c r="N9" i="1"/>
  <c r="M9" i="1"/>
  <c r="L9" i="1"/>
  <c r="K9" i="1"/>
  <c r="J9" i="1"/>
  <c r="I9" i="1"/>
  <c r="H9" i="1"/>
  <c r="G9" i="1"/>
  <c r="F9" i="1"/>
  <c r="E9" i="1"/>
  <c r="AG8" i="1"/>
  <c r="AF8" i="1"/>
  <c r="AE8" i="1"/>
  <c r="AD8" i="1"/>
  <c r="AC8" i="1"/>
  <c r="AB8" i="1"/>
  <c r="AA8" i="1"/>
  <c r="Z8" i="1"/>
  <c r="Y8" i="1"/>
  <c r="X8" i="1"/>
  <c r="N8" i="1"/>
  <c r="M8" i="1"/>
  <c r="L8" i="1"/>
  <c r="O8" i="1" s="1"/>
  <c r="K8" i="1"/>
  <c r="J8" i="1"/>
  <c r="I8" i="1"/>
  <c r="H8" i="1"/>
  <c r="G8" i="1"/>
  <c r="F8" i="1"/>
  <c r="E8" i="1"/>
  <c r="Q8" i="1" s="1"/>
  <c r="AG7" i="1"/>
  <c r="AF7" i="1"/>
  <c r="AE7" i="1"/>
  <c r="AD7" i="1"/>
  <c r="AC7" i="1"/>
  <c r="AB7" i="1"/>
  <c r="AA7" i="1"/>
  <c r="Z7" i="1"/>
  <c r="Y7" i="1"/>
  <c r="X7" i="1"/>
  <c r="N7" i="1"/>
  <c r="M7" i="1"/>
  <c r="L7" i="1"/>
  <c r="O7" i="1" s="1"/>
  <c r="K7" i="1"/>
  <c r="J7" i="1"/>
  <c r="I7" i="1"/>
  <c r="H7" i="1"/>
  <c r="G7" i="1"/>
  <c r="F7" i="1"/>
  <c r="E7" i="1"/>
  <c r="AG6" i="1"/>
  <c r="AF6" i="1"/>
  <c r="AE6" i="1"/>
  <c r="AD6" i="1"/>
  <c r="AC6" i="1"/>
  <c r="AB6" i="1"/>
  <c r="AA6" i="1"/>
  <c r="Z6" i="1"/>
  <c r="Y6" i="1"/>
  <c r="X6" i="1"/>
  <c r="N6" i="1"/>
  <c r="M6" i="1"/>
  <c r="L6" i="1"/>
  <c r="O6" i="1" s="1"/>
  <c r="K6" i="1"/>
  <c r="J6" i="1"/>
  <c r="I6" i="1"/>
  <c r="H6" i="1"/>
  <c r="G6" i="1"/>
  <c r="F6" i="1"/>
  <c r="E6" i="1"/>
  <c r="Q6" i="1" s="1"/>
  <c r="AG5" i="1"/>
  <c r="AF5" i="1"/>
  <c r="AE5" i="1"/>
  <c r="AD5" i="1"/>
  <c r="AC5" i="1"/>
  <c r="AB5" i="1"/>
  <c r="AA5" i="1"/>
  <c r="Z5" i="1"/>
  <c r="Y5" i="1"/>
  <c r="X5" i="1"/>
  <c r="N5" i="1"/>
  <c r="M5" i="1"/>
  <c r="L5" i="1"/>
  <c r="K5" i="1"/>
  <c r="J5" i="1"/>
  <c r="I5" i="1"/>
  <c r="H5" i="1"/>
  <c r="G5" i="1"/>
  <c r="F5" i="1"/>
  <c r="E5" i="1"/>
  <c r="Q5" i="1" s="1"/>
  <c r="AG4" i="1"/>
  <c r="AF4" i="1"/>
  <c r="AE4" i="1"/>
  <c r="AD4" i="1"/>
  <c r="AC4" i="1"/>
  <c r="AB4" i="1"/>
  <c r="AA4" i="1"/>
  <c r="Z4" i="1"/>
  <c r="Y4" i="1"/>
  <c r="X4" i="1"/>
  <c r="N4" i="1"/>
  <c r="M4" i="1"/>
  <c r="L4" i="1"/>
  <c r="K4" i="1"/>
  <c r="J4" i="1"/>
  <c r="I4" i="1"/>
  <c r="H4" i="1"/>
  <c r="G4" i="1"/>
  <c r="F4" i="1"/>
  <c r="E4" i="1"/>
  <c r="Q4" i="1" s="1"/>
  <c r="Q16" i="1" l="1"/>
  <c r="O31" i="1"/>
  <c r="O33" i="1"/>
  <c r="O42" i="1"/>
  <c r="Q49" i="1"/>
  <c r="Q67" i="1"/>
  <c r="O75" i="1"/>
  <c r="Q80" i="1"/>
  <c r="O88" i="1"/>
  <c r="K639" i="2"/>
  <c r="K689" i="2" s="1"/>
  <c r="I471" i="2"/>
  <c r="I651" i="2"/>
  <c r="K406" i="2"/>
  <c r="K428" i="2"/>
  <c r="K436" i="2"/>
  <c r="K444" i="2"/>
  <c r="K463" i="2" s="1"/>
  <c r="K455" i="2"/>
  <c r="K473" i="2"/>
  <c r="K509" i="2"/>
  <c r="K537" i="2"/>
  <c r="K561" i="2"/>
  <c r="K593" i="2"/>
  <c r="Q29" i="1"/>
  <c r="Q45" i="1"/>
  <c r="K468" i="2"/>
  <c r="I617" i="2"/>
  <c r="K651" i="2"/>
  <c r="K701" i="2" s="1"/>
  <c r="I643" i="2"/>
  <c r="K407" i="2"/>
  <c r="I430" i="2"/>
  <c r="I438" i="2"/>
  <c r="K446" i="2"/>
  <c r="K456" i="2"/>
  <c r="K477" i="2"/>
  <c r="K581" i="2"/>
  <c r="Q17" i="1"/>
  <c r="O5" i="1"/>
  <c r="Q7" i="1"/>
  <c r="O11" i="1"/>
  <c r="Q20" i="1"/>
  <c r="W108" i="1" s="1"/>
  <c r="Q22" i="1"/>
  <c r="O35" i="1"/>
  <c r="O37" i="1"/>
  <c r="O46" i="1"/>
  <c r="O53" i="1"/>
  <c r="Q61" i="1"/>
  <c r="Q65" i="1"/>
  <c r="Q73" i="1"/>
  <c r="Q77" i="1"/>
  <c r="O86" i="1"/>
  <c r="K617" i="2"/>
  <c r="K667" i="2" s="1"/>
  <c r="I473" i="2"/>
  <c r="K480" i="2"/>
  <c r="I621" i="2"/>
  <c r="K430" i="2"/>
  <c r="K438" i="2"/>
  <c r="I447" i="2"/>
  <c r="K458" i="2"/>
  <c r="K481" i="2"/>
  <c r="K510" i="2"/>
  <c r="K521" i="2"/>
  <c r="K533" i="2"/>
  <c r="K538" i="2"/>
  <c r="K569" i="2"/>
  <c r="K610" i="2"/>
  <c r="O4" i="1"/>
  <c r="Q9" i="1"/>
  <c r="O9" i="1"/>
  <c r="Q11" i="1"/>
  <c r="O15" i="1"/>
  <c r="Q30" i="1"/>
  <c r="Q33" i="1"/>
  <c r="Q39" i="1"/>
  <c r="Q46" i="1"/>
  <c r="Q53" i="1"/>
  <c r="Q58" i="1"/>
  <c r="O71" i="1"/>
  <c r="Q86" i="1"/>
  <c r="I628" i="2"/>
  <c r="K621" i="2"/>
  <c r="K671" i="2" s="1"/>
  <c r="I482" i="2"/>
  <c r="I401" i="2"/>
  <c r="K408" i="2"/>
  <c r="K422" i="2"/>
  <c r="I439" i="2"/>
  <c r="K447" i="2"/>
  <c r="I459" i="2"/>
  <c r="I502" i="2" s="1"/>
  <c r="K545" i="2"/>
  <c r="K557" i="2"/>
  <c r="K589" i="2"/>
  <c r="I402" i="2"/>
  <c r="K411" i="2"/>
  <c r="I423" i="2"/>
  <c r="K431" i="2"/>
  <c r="K439" i="2"/>
  <c r="K502" i="2"/>
  <c r="K517" i="2"/>
  <c r="K534" i="2"/>
  <c r="K577" i="2"/>
  <c r="Q26" i="1"/>
  <c r="Q37" i="1"/>
  <c r="O50" i="1"/>
  <c r="X74" i="1"/>
  <c r="K402" i="2"/>
  <c r="K412" i="2"/>
  <c r="K434" i="2"/>
  <c r="K442" i="2"/>
  <c r="K451" i="2"/>
  <c r="K512" i="2"/>
  <c r="K529" i="2"/>
  <c r="K546" i="2"/>
  <c r="K565" i="2"/>
  <c r="K598" i="2"/>
  <c r="O38" i="1"/>
  <c r="O43" i="1"/>
  <c r="O45" i="1"/>
  <c r="O57" i="1"/>
  <c r="Q69" i="1"/>
  <c r="Q76" i="1"/>
  <c r="O82" i="1"/>
  <c r="O90" i="1"/>
  <c r="K647" i="2"/>
  <c r="K697" i="2" s="1"/>
  <c r="I640" i="2"/>
  <c r="K476" i="2"/>
  <c r="I477" i="2"/>
  <c r="I415" i="2"/>
  <c r="I641" i="2" s="1"/>
  <c r="I427" i="2"/>
  <c r="I646" i="2" s="1"/>
  <c r="K435" i="2"/>
  <c r="K495" i="2" s="1"/>
  <c r="K443" i="2"/>
  <c r="K460" i="2"/>
  <c r="K541" i="2"/>
  <c r="K553" i="2"/>
  <c r="K585" i="2"/>
  <c r="O26" i="1"/>
  <c r="O23" i="1"/>
  <c r="Q41" i="1"/>
  <c r="Q47" i="1"/>
  <c r="O49" i="1"/>
  <c r="Q54" i="1"/>
  <c r="O62" i="1"/>
  <c r="K640" i="2"/>
  <c r="K690" i="2" s="1"/>
  <c r="I639" i="2"/>
  <c r="K404" i="2"/>
  <c r="K644" i="2" s="1"/>
  <c r="K694" i="2" s="1"/>
  <c r="K713" i="2" s="1"/>
  <c r="K415" i="2"/>
  <c r="K427" i="2"/>
  <c r="I436" i="2"/>
  <c r="I625" i="2" s="1"/>
  <c r="I455" i="2"/>
  <c r="K469" i="2"/>
  <c r="K513" i="2"/>
  <c r="K573" i="2"/>
  <c r="K619" i="2"/>
  <c r="K669" i="2" s="1"/>
  <c r="K487" i="2"/>
  <c r="I464" i="2"/>
  <c r="I496" i="2"/>
  <c r="I645" i="2"/>
  <c r="K666" i="2"/>
  <c r="K704" i="2" s="1"/>
  <c r="I501" i="2"/>
  <c r="I637" i="2"/>
  <c r="I488" i="2"/>
  <c r="K602" i="2"/>
  <c r="K606" i="2"/>
  <c r="L356" i="2"/>
  <c r="I412" i="2"/>
  <c r="I416" i="2"/>
  <c r="I420" i="2"/>
  <c r="I490" i="2" s="1"/>
  <c r="I428" i="2"/>
  <c r="I432" i="2"/>
  <c r="I494" i="2" s="1"/>
  <c r="I440" i="2"/>
  <c r="I470" i="2"/>
  <c r="I474" i="2"/>
  <c r="I478" i="2"/>
  <c r="I499" i="2"/>
  <c r="I618" i="2"/>
  <c r="I622" i="2"/>
  <c r="I626" i="2"/>
  <c r="I630" i="2"/>
  <c r="I636" i="2"/>
  <c r="I649" i="2"/>
  <c r="K416" i="2"/>
  <c r="K424" i="2"/>
  <c r="K650" i="2" s="1"/>
  <c r="K700" i="2" s="1"/>
  <c r="K465" i="2"/>
  <c r="K482" i="2"/>
  <c r="K554" i="2"/>
  <c r="K558" i="2"/>
  <c r="K562" i="2"/>
  <c r="K566" i="2"/>
  <c r="K570" i="2"/>
  <c r="K578" i="2"/>
  <c r="K582" i="2"/>
  <c r="K590" i="2"/>
  <c r="K595" i="2"/>
  <c r="K599" i="2"/>
  <c r="K603" i="2"/>
  <c r="K607" i="2"/>
  <c r="K612" i="2"/>
  <c r="K618" i="2"/>
  <c r="K668" i="2" s="1"/>
  <c r="K705" i="2" s="1"/>
  <c r="K622" i="2"/>
  <c r="K672" i="2" s="1"/>
  <c r="K626" i="2"/>
  <c r="K676" i="2" s="1"/>
  <c r="K708" i="2" s="1"/>
  <c r="K649" i="2"/>
  <c r="K699" i="2" s="1"/>
  <c r="K440" i="2"/>
  <c r="K470" i="2"/>
  <c r="K478" i="2"/>
  <c r="I405" i="2"/>
  <c r="I409" i="2"/>
  <c r="I620" i="2" s="1"/>
  <c r="I421" i="2"/>
  <c r="I429" i="2"/>
  <c r="I445" i="2"/>
  <c r="I453" i="2"/>
  <c r="I634" i="2" s="1"/>
  <c r="I475" i="2"/>
  <c r="I479" i="2"/>
  <c r="I642" i="2"/>
  <c r="K514" i="2"/>
  <c r="K526" i="2"/>
  <c r="K542" i="2"/>
  <c r="I441" i="2"/>
  <c r="I457" i="2"/>
  <c r="I467" i="2"/>
  <c r="K401" i="2"/>
  <c r="K405" i="2"/>
  <c r="K485" i="2" s="1"/>
  <c r="K409" i="2"/>
  <c r="K486" i="2" s="1"/>
  <c r="K417" i="2"/>
  <c r="K421" i="2"/>
  <c r="K490" i="2" s="1"/>
  <c r="K425" i="2"/>
  <c r="K429" i="2"/>
  <c r="K493" i="2" s="1"/>
  <c r="K433" i="2"/>
  <c r="K437" i="2"/>
  <c r="K441" i="2"/>
  <c r="K445" i="2"/>
  <c r="K449" i="2"/>
  <c r="K464" i="2" s="1"/>
  <c r="K453" i="2"/>
  <c r="K500" i="2" s="1"/>
  <c r="K457" i="2"/>
  <c r="K467" i="2"/>
  <c r="K471" i="2"/>
  <c r="K475" i="2"/>
  <c r="K479" i="2"/>
  <c r="K507" i="2"/>
  <c r="K511" i="2"/>
  <c r="K515" i="2"/>
  <c r="K523" i="2"/>
  <c r="K527" i="2"/>
  <c r="K535" i="2"/>
  <c r="K543" i="2"/>
  <c r="K547" i="2"/>
  <c r="K551" i="2"/>
  <c r="K555" i="2"/>
  <c r="K559" i="2"/>
  <c r="K567" i="2"/>
  <c r="K571" i="2"/>
  <c r="K575" i="2"/>
  <c r="K579" i="2"/>
  <c r="K591" i="2"/>
  <c r="K623" i="2"/>
  <c r="K673" i="2" s="1"/>
  <c r="K642" i="2"/>
  <c r="K692" i="2" s="1"/>
  <c r="K709" i="2" s="1"/>
  <c r="K432" i="2"/>
  <c r="K474" i="2"/>
  <c r="I406" i="2"/>
  <c r="I422" i="2"/>
  <c r="I468" i="2"/>
  <c r="I472" i="2"/>
  <c r="I480" i="2"/>
  <c r="K516" i="2"/>
  <c r="K524" i="2"/>
  <c r="K528" i="2"/>
  <c r="K540" i="2"/>
  <c r="K560" i="2"/>
  <c r="K564" i="2"/>
  <c r="K572" i="2"/>
  <c r="K576" i="2"/>
  <c r="K588" i="2"/>
  <c r="K597" i="2"/>
  <c r="K605" i="2"/>
  <c r="K620" i="2"/>
  <c r="K670" i="2" s="1"/>
  <c r="K710" i="2" s="1"/>
  <c r="K643" i="2"/>
  <c r="K693" i="2" s="1"/>
  <c r="K414" i="2"/>
  <c r="K472" i="2"/>
  <c r="J356" i="2"/>
  <c r="I403" i="2"/>
  <c r="I484" i="2" s="1"/>
  <c r="I411" i="2"/>
  <c r="I619" i="2" s="1"/>
  <c r="I443" i="2"/>
  <c r="I469" i="2"/>
  <c r="I481" i="2"/>
  <c r="U97" i="1" l="1"/>
  <c r="W97" i="1"/>
  <c r="W96" i="1" s="1"/>
  <c r="K494" i="2"/>
  <c r="U108" i="1"/>
  <c r="K636" i="2"/>
  <c r="K686" i="2" s="1"/>
  <c r="I495" i="2"/>
  <c r="K627" i="2"/>
  <c r="K677" i="2" s="1"/>
  <c r="K711" i="2" s="1"/>
  <c r="I623" i="2"/>
  <c r="K635" i="2"/>
  <c r="K685" i="2" s="1"/>
  <c r="K488" i="2"/>
  <c r="I644" i="2"/>
  <c r="I492" i="2"/>
  <c r="K625" i="2"/>
  <c r="K675" i="2" s="1"/>
  <c r="I493" i="2"/>
  <c r="I627" i="2"/>
  <c r="K462" i="2"/>
  <c r="K501" i="2"/>
  <c r="K637" i="2"/>
  <c r="K687" i="2" s="1"/>
  <c r="I487" i="2"/>
  <c r="K634" i="2"/>
  <c r="K684" i="2" s="1"/>
  <c r="K630" i="2"/>
  <c r="K680" i="2" s="1"/>
  <c r="K712" i="2" s="1"/>
  <c r="I631" i="2"/>
  <c r="I486" i="2"/>
  <c r="K646" i="2"/>
  <c r="K696" i="2" s="1"/>
  <c r="K707" i="2" s="1"/>
  <c r="K492" i="2"/>
  <c r="K499" i="2"/>
  <c r="I629" i="2"/>
  <c r="I489" i="2"/>
  <c r="K491" i="2"/>
  <c r="K629" i="2"/>
  <c r="K679" i="2" s="1"/>
  <c r="K489" i="2"/>
  <c r="K641" i="2"/>
  <c r="K691" i="2" s="1"/>
  <c r="I485" i="2"/>
  <c r="I650" i="2"/>
  <c r="I491" i="2"/>
  <c r="K648" i="2"/>
  <c r="K698" i="2" s="1"/>
  <c r="K497" i="2"/>
  <c r="I462" i="2"/>
  <c r="I635" i="2"/>
  <c r="I498" i="2"/>
  <c r="I463" i="2"/>
  <c r="K498" i="2"/>
  <c r="I648" i="2"/>
  <c r="I497" i="2"/>
  <c r="I500" i="2"/>
  <c r="K496" i="2"/>
  <c r="K645" i="2"/>
  <c r="K695" i="2" s="1"/>
  <c r="K631" i="2"/>
  <c r="K681" i="2" s="1"/>
  <c r="K484" i="2"/>
  <c r="I654" i="2" l="1"/>
  <c r="X108" i="1"/>
  <c r="K654" i="2"/>
</calcChain>
</file>

<file path=xl/sharedStrings.xml><?xml version="1.0" encoding="utf-8"?>
<sst xmlns="http://schemas.openxmlformats.org/spreadsheetml/2006/main" count="5361" uniqueCount="980">
  <si>
    <t>X</t>
  </si>
  <si>
    <t>S</t>
  </si>
  <si>
    <t>Categoría</t>
  </si>
  <si>
    <t>Escala</t>
  </si>
  <si>
    <t>.</t>
  </si>
  <si>
    <t>Adaptabilidad</t>
  </si>
  <si>
    <t>Adaptación</t>
  </si>
  <si>
    <t/>
  </si>
  <si>
    <t>Orientación a resultados</t>
  </si>
  <si>
    <t>Visión clara</t>
  </si>
  <si>
    <t>Mente Abierta</t>
  </si>
  <si>
    <t>Merecimiento</t>
  </si>
  <si>
    <t>Pensamiento divergente</t>
  </si>
  <si>
    <t>Autoconfianza</t>
  </si>
  <si>
    <t>Ambición</t>
  </si>
  <si>
    <t>Expectativa Profesional</t>
  </si>
  <si>
    <t>ok</t>
  </si>
  <si>
    <t>Tenacidad</t>
  </si>
  <si>
    <t>Expectativas</t>
  </si>
  <si>
    <t>Trabajo en Equipo</t>
  </si>
  <si>
    <t>Superación</t>
  </si>
  <si>
    <t>Participación</t>
  </si>
  <si>
    <t>Anticipación a cambios del entorno</t>
  </si>
  <si>
    <t>Sociabilidad</t>
  </si>
  <si>
    <t>Anticipación</t>
  </si>
  <si>
    <t>Confiabilidad</t>
  </si>
  <si>
    <t>Consciencia del entorno</t>
  </si>
  <si>
    <t>Significancia</t>
  </si>
  <si>
    <t>Autoregulación emocional</t>
  </si>
  <si>
    <t>Autoconocimiento</t>
  </si>
  <si>
    <t>Aprovechamiento de Talentos</t>
  </si>
  <si>
    <t>Autocontrol</t>
  </si>
  <si>
    <t>Automejoramiento</t>
  </si>
  <si>
    <t>Temple</t>
  </si>
  <si>
    <t>Sentido de contribución</t>
  </si>
  <si>
    <t>Competencia financiera</t>
  </si>
  <si>
    <t>Control Percibido</t>
  </si>
  <si>
    <t>Permanencia</t>
  </si>
  <si>
    <t>Compromiso</t>
  </si>
  <si>
    <t>Habilidad Administrativa</t>
  </si>
  <si>
    <t>Recuperación</t>
  </si>
  <si>
    <t>Tolerancia al conflicto</t>
  </si>
  <si>
    <t>Alineación y Congruencia</t>
  </si>
  <si>
    <t>Alineamiento de Acciones</t>
  </si>
  <si>
    <t>Perseverancia</t>
  </si>
  <si>
    <t>Enfoque</t>
  </si>
  <si>
    <t>Cuadrantes</t>
  </si>
  <si>
    <t>Efectividad personal</t>
  </si>
  <si>
    <t>Autorefuerzo</t>
  </si>
  <si>
    <t>Situación Financiera</t>
  </si>
  <si>
    <t>Fdp</t>
  </si>
  <si>
    <t>Autosupervisión</t>
  </si>
  <si>
    <t>Satisfacción</t>
  </si>
  <si>
    <t>Ddp</t>
  </si>
  <si>
    <t>Previo?</t>
  </si>
  <si>
    <t>No Incluidas</t>
  </si>
  <si>
    <t>Convicción positiva</t>
  </si>
  <si>
    <t>Rendimiento esperado</t>
  </si>
  <si>
    <t>Rasgo Puntaje</t>
  </si>
  <si>
    <t>Bienestar psicoproductivo</t>
  </si>
  <si>
    <t>Adaptable-Fluido</t>
  </si>
  <si>
    <t>0</t>
  </si>
  <si>
    <t>fdp</t>
  </si>
  <si>
    <t>Mentalidad inversionista</t>
  </si>
  <si>
    <t>Optimismo</t>
  </si>
  <si>
    <t>dpp</t>
  </si>
  <si>
    <t>Empuje</t>
  </si>
  <si>
    <t>Energía</t>
  </si>
  <si>
    <t>Analítico</t>
  </si>
  <si>
    <t>Razonamiento analítico</t>
  </si>
  <si>
    <t>Esfuerzo</t>
  </si>
  <si>
    <t>Innovador</t>
  </si>
  <si>
    <t>Creatividad aplicada</t>
  </si>
  <si>
    <t>Apego a Normas</t>
  </si>
  <si>
    <t>Visión estratégica</t>
  </si>
  <si>
    <t>Involucrado</t>
  </si>
  <si>
    <t>Proactividad</t>
  </si>
  <si>
    <t>Rectitud</t>
  </si>
  <si>
    <t>Involucramiento</t>
  </si>
  <si>
    <t>Trayectoria Ascendente</t>
  </si>
  <si>
    <t>Normativo</t>
  </si>
  <si>
    <t>Apego a normas</t>
  </si>
  <si>
    <t>Estabilidad y Permanencia</t>
  </si>
  <si>
    <t>Autodominio</t>
  </si>
  <si>
    <t>Superación y Empoderamiento</t>
  </si>
  <si>
    <t>Obstinado</t>
  </si>
  <si>
    <t>Negociación e Influencia</t>
  </si>
  <si>
    <t>Influencia</t>
  </si>
  <si>
    <t>Determinación y Persistencia</t>
  </si>
  <si>
    <t>Impulso Resolutivo</t>
  </si>
  <si>
    <t>Orientado a la acción</t>
  </si>
  <si>
    <t>Iniciativa</t>
  </si>
  <si>
    <t>Relaciones Interpersonales</t>
  </si>
  <si>
    <t>Planeador</t>
  </si>
  <si>
    <t>Planeación &amp; Organización</t>
  </si>
  <si>
    <t>Capacidad de Reacción</t>
  </si>
  <si>
    <t>Resolución</t>
  </si>
  <si>
    <t>Merecimiento Proactivo</t>
  </si>
  <si>
    <t>Autonomía</t>
  </si>
  <si>
    <t>OK</t>
  </si>
  <si>
    <t>Capacidad de reacción</t>
  </si>
  <si>
    <t>Toma de riesgos</t>
  </si>
  <si>
    <t>Emprendimiento</t>
  </si>
  <si>
    <t>Percepción Interpersonal</t>
  </si>
  <si>
    <t>Pensamiento lógico</t>
  </si>
  <si>
    <t>Autoregulación Emocional</t>
  </si>
  <si>
    <t>Visión sistémica</t>
  </si>
  <si>
    <t>Pensamiento Divergente</t>
  </si>
  <si>
    <t>Apertura a oportunidades</t>
  </si>
  <si>
    <t>Mentalidad Inversionista</t>
  </si>
  <si>
    <t>Resiliencia</t>
  </si>
  <si>
    <t>fin rasgo puntajes</t>
  </si>
  <si>
    <t>FORTALEZAS</t>
  </si>
  <si>
    <t>DESCARRILADORES</t>
  </si>
  <si>
    <t>PTFO</t>
  </si>
  <si>
    <t>PTDE</t>
  </si>
  <si>
    <t>Salud Financiera</t>
  </si>
  <si>
    <t>Fortalezas Desarrollables</t>
  </si>
  <si>
    <t>Dificultades potenciales</t>
  </si>
  <si>
    <t>PTfd</t>
  </si>
  <si>
    <t>PTdp</t>
  </si>
  <si>
    <t>Claridad de estrategia</t>
  </si>
  <si>
    <t>Anteposición de intereses</t>
  </si>
  <si>
    <t>Gráfica Estilo Personal</t>
  </si>
  <si>
    <t>Adaptable</t>
  </si>
  <si>
    <t>Apegado</t>
  </si>
  <si>
    <t>Emprendedor</t>
  </si>
  <si>
    <t>Esforzado</t>
  </si>
  <si>
    <t>Influyente</t>
  </si>
  <si>
    <t>Superacional</t>
  </si>
  <si>
    <t>Timestamp</t>
  </si>
  <si>
    <t>2024/07/08 6:52:55 PM CST</t>
  </si>
  <si>
    <t>Username</t>
  </si>
  <si>
    <t>Nombre y apellidos</t>
  </si>
  <si>
    <t>SituaciÃ³n Laboral</t>
  </si>
  <si>
    <t>Soy estudiante o reci√©n egresado</t>
  </si>
  <si>
    <t>GÃ©nero</t>
  </si>
  <si>
    <t>Hombre</t>
  </si>
  <si>
    <t>Edad</t>
  </si>
  <si>
    <t>PaÃ­s y Ciudad de residencia</t>
  </si>
  <si>
    <t xml:space="preserve">Quer√©taro, Mexico </t>
  </si>
  <si>
    <t>Nivel AcadÃ©mico</t>
  </si>
  <si>
    <t>Licenciatura</t>
  </si>
  <si>
    <t>Â¿A quÃ© te dedicas? (Tu Ã¡rea de especializaciÃ³n)</t>
  </si>
  <si>
    <t>Ingenier√≠a Industrial</t>
  </si>
  <si>
    <t>Â¿CuÃ¡l es tu puesto actual? Si estÃ¡s desempleado, escribe por favor tu Ãºltimo puesto.</t>
  </si>
  <si>
    <t xml:space="preserve">Supply Chain Intern en Kellanova </t>
  </si>
  <si>
    <t>Menciona las 3 Ã¡reas en las que tengas mayor experiencia (por ejemplo: Ventas, AlmacÃ©n,  Operaciones, Reclutamiento)</t>
  </si>
  <si>
    <t xml:space="preserve">Gesti√≥n de proyectos, Supply Chain, operaciones </t>
  </si>
  <si>
    <t>Nivel mÃ¡ximo alcanzado</t>
  </si>
  <si>
    <t>Analista o Especialista</t>
  </si>
  <si>
    <t>ID</t>
  </si>
  <si>
    <t>Ítem</t>
  </si>
  <si>
    <t>No. Forms</t>
  </si>
  <si>
    <t>Mecanismo1</t>
  </si>
  <si>
    <t>Mecanismo2</t>
  </si>
  <si>
    <t>Maestras</t>
  </si>
  <si>
    <t>PosNeg</t>
  </si>
  <si>
    <t>Hasta 10,000 pesos</t>
  </si>
  <si>
    <t>Planeo certificarme formalmente sobre un tema que me interesa</t>
  </si>
  <si>
    <t>x</t>
  </si>
  <si>
    <t>Pos</t>
  </si>
  <si>
    <t>Soy bueno para ayudar a los demás a decidirse</t>
  </si>
  <si>
    <t>Esta es la asignación de puntajes individuales que le corresponde a cada reactivo. Es decir que en este caso, la persona eligió el reactivo 2 como "me identificó más" y el 1 como "me identifico menos"</t>
  </si>
  <si>
    <t>Tengo una habilidad que podría beneficiar a muchas personas</t>
  </si>
  <si>
    <t>Soy bueno para hacer las cosas suceder</t>
  </si>
  <si>
    <t>Sé perfectamente a qué me gustaría dedicarme en el futuro</t>
  </si>
  <si>
    <t>Me entusiasma pensar en todo lo que estoy haciendo actualmente</t>
  </si>
  <si>
    <t>Soy una persona precavida</t>
  </si>
  <si>
    <t>Me doy cuenta fácilmente de lo que debo cambiar en mí para mejorar mis resultados</t>
  </si>
  <si>
    <t>Me reconozco y felicito por mis aciertos en cada paso del camino</t>
  </si>
  <si>
    <t>Busco proactivamente convertirme en la mejor versión de mí mismo</t>
  </si>
  <si>
    <t>En situaciones de crisis puedo mantenerme enfocado en las tareas importantes</t>
  </si>
  <si>
    <t>Hago lo necesario por mantenerme actualizado</t>
  </si>
  <si>
    <t>Establezco estándares de desempeño claros para mí mismo y los uso de referencia para evaluar mi comportamiento</t>
  </si>
  <si>
    <t>Deseo adquirir la mayor cantidad de experiencia y conocimientos posible</t>
  </si>
  <si>
    <t>Facilito las cosas para que las oportunidades vengan a mí</t>
  </si>
  <si>
    <t>Siento un llamado por ayudar a hacer de este un mundo mejor</t>
  </si>
  <si>
    <t>Dedico mi tiempo y energía exclusivamente a las actividades que me acercan a mis objetivos</t>
  </si>
  <si>
    <t>Me animo a creer que en mi vida sucederán cosas significativas y extraordinarias</t>
  </si>
  <si>
    <t>Adelanto mi trabajo para estar listo por si algo se llega a necesitar</t>
  </si>
  <si>
    <t>Cuando un problema no está siendo fácil de resolver, sigo intentándolo hasta encontrar la respuesta</t>
  </si>
  <si>
    <t>Siempre guardo algo de lo que gano</t>
  </si>
  <si>
    <t>Evalúo muy bien mis decisiones antes de tomarlas</t>
  </si>
  <si>
    <t>En este momento puedo identificar claramente cuál es mi estado emocional</t>
  </si>
  <si>
    <t>Puedo predecir el comportamiento de las personas</t>
  </si>
  <si>
    <t>Me siento bien de ser yo mismo</t>
  </si>
  <si>
    <t>Me gano la vida haciendo lo que más me gusta</t>
  </si>
  <si>
    <t>Si algo no sale como quiero me recupero rápidamente y lo vuelvo a intentar</t>
  </si>
  <si>
    <t>Cuando estoy estresado puedo pensar con claridad</t>
  </si>
  <si>
    <t>La gente confía en mí para administrar el dinero</t>
  </si>
  <si>
    <t>Para cumplir con todas mis responsabilidades me aseguro de conseguir la ayuda que necesito</t>
  </si>
  <si>
    <t>Me esfuerzo por ser una mejor persona</t>
  </si>
  <si>
    <t>Fácilmente encuentro relaciones entre variables que parecen ser distintas</t>
  </si>
  <si>
    <t>Observo mi situación financiera con regularidad</t>
  </si>
  <si>
    <t>Puedo negociar temas difícíles sin perder la calma</t>
  </si>
  <si>
    <t>Tolerancia al Conflicto</t>
  </si>
  <si>
    <t>Me concentro en las tareas que debo hacer, incluso si no me gustan</t>
  </si>
  <si>
    <t>Soy hábil para hacer que el dinero me rinda para todo</t>
  </si>
  <si>
    <t>Habilidad administrativa</t>
  </si>
  <si>
    <t>Sé muy bien cuáles son las capacidades que los demás valoran en mí</t>
  </si>
  <si>
    <t>Estoy convencido de que el trabajo que hago es útil para los demás</t>
  </si>
  <si>
    <t>He sabido cómo aprovechar mis habilidades y talentos para alcanzar el nivel que hoy tengo</t>
  </si>
  <si>
    <t>Aprovechamiento de talentos</t>
  </si>
  <si>
    <t>Estoy decidido a ser El Mejor en lo que hago</t>
  </si>
  <si>
    <t>Me esfuerzo por mejorar mis capacidades</t>
  </si>
  <si>
    <t>Aún bajo estrés puedo realizar mis tareas sin equivocarme</t>
  </si>
  <si>
    <t>Preveo situaciones y reacciono a ellas antes de que sucedan</t>
  </si>
  <si>
    <t>Tengo una idea clara del futuro que quiero para mí</t>
  </si>
  <si>
    <t>Visión Clara</t>
  </si>
  <si>
    <t>Mantengo un alto nivel de dinamismo y energía</t>
  </si>
  <si>
    <t>Me siento impulsado a marcar una diferencia positiva en mi entorno</t>
  </si>
  <si>
    <t>Me preocupa que mi trabajo ayude a otras personas a mejorar su vida de alguna forma</t>
  </si>
  <si>
    <t>Frecuentemente estoy ideando nuevas formas para mejorar mis resultados</t>
  </si>
  <si>
    <t>Visión Sistémica</t>
  </si>
  <si>
    <t>Sé que puedo resolver problemas difíciles si me esfuerzo lo suficiente</t>
  </si>
  <si>
    <t>Puedo controlar mi temperamento cuando es necesario</t>
  </si>
  <si>
    <t>Me hago responsable de mi propio aprendizaje</t>
  </si>
  <si>
    <t>Puedo ver claramente la estrategia que debo seguir para lograr lo que más deseo en la vida</t>
  </si>
  <si>
    <t>Pongo atención a mi comportamiento para detectar lo que me funciona y lo que no</t>
  </si>
  <si>
    <t>Cuando quiero algo, no descanso hasta conseguirlo</t>
  </si>
  <si>
    <t>Espero de mí mismo marcar una diferencia significativa para muchas personas</t>
  </si>
  <si>
    <t>Estoy convencido de que la manera de producir los mayores resultados es sumando pequeños logros uno a otro</t>
  </si>
  <si>
    <t>Pensamiento Lógico</t>
  </si>
  <si>
    <t>Constantemente estoy buscando mejores formas de hacer las cosas</t>
  </si>
  <si>
    <t>Yo jamás he ofrecido dinero para acelerar un trámite</t>
  </si>
  <si>
    <t>Me esfuerzo un montón por lograr y superar los estándares fijados</t>
  </si>
  <si>
    <t>Detecto oportunidades mucho antes de que otros puedan</t>
  </si>
  <si>
    <t>A lo largo de mi trayectoria he construido una excelente reputación</t>
  </si>
  <si>
    <t>Pretendo lograr el mayor éxito financiero y profesional posible en mi vida</t>
  </si>
  <si>
    <t>Adquiero conocimientos para estar a la altura de lo que está sucediendo hoy en el mundo</t>
  </si>
  <si>
    <t>Me es fácil encontrar múltiples soluciones a un mismo problema</t>
  </si>
  <si>
    <t>Tomo decisiones que me ayudan a fortalecer mi posición</t>
  </si>
  <si>
    <t>Soy positivo cuando pienso en el futuro</t>
  </si>
  <si>
    <t>Me esfuerzo cada día para ser mejor en lo que hago</t>
  </si>
  <si>
    <t>Si me equivoco, puedo cambiar de estrategia pero sigo adelante</t>
  </si>
  <si>
    <t>Rechazo las oportunidades de trabajo que no corresponden a mis mayores intereses</t>
  </si>
  <si>
    <t>Comprendo bien mis emociones</t>
  </si>
  <si>
    <t>Rápidamente puedo percibir los cambios del entorno</t>
  </si>
  <si>
    <t>Sé muy bien adónde quiero llegar en la vida</t>
  </si>
  <si>
    <t>Me adapto bien a los cambios de rutinas</t>
  </si>
  <si>
    <t>Me divierte realizar juegos mentales que ponen a prueba mi inteligencia</t>
  </si>
  <si>
    <t>Tengo la firme expectativa de mejorar notablemente para el próximo año</t>
  </si>
  <si>
    <t>Cuando se trata de dinero, tomo decisiones fría, racional y concienzudamente</t>
  </si>
  <si>
    <t>Cuando algo no sale como quiero enfoco rápidamente mi energía en soluciones constructivas</t>
  </si>
  <si>
    <t>En el último año he conseguido todo lo que me he propuesto</t>
  </si>
  <si>
    <t>Hoy hago cosas que son importantes para mí</t>
  </si>
  <si>
    <t>Actúo racionalmente ante las dificultades</t>
  </si>
  <si>
    <t>Conozco muy bien cuáles son las cosas que me enojan o me ponen triste</t>
  </si>
  <si>
    <t>Me implico en actividades que me ayudan a superarme a mí mismo</t>
  </si>
  <si>
    <t>Difícilmente dejo algún pendiente sin completar</t>
  </si>
  <si>
    <t>Pretendo recibir la máxima educación disponible que hay en mi campo</t>
  </si>
  <si>
    <t>Puedo trabajar horas extra sin perder efectividad en mi trabajo</t>
  </si>
  <si>
    <t>Tengo la certeza de que me irá bien en la vida</t>
  </si>
  <si>
    <t>Si tengo un objetivo ambicioso, lo fracciono en metas cortas para ir un paso a la vez</t>
  </si>
  <si>
    <t>Me administro de una forma que siempre me queda algo para ahorrar</t>
  </si>
  <si>
    <t>Reacciono con la urgencia apropiada en situaciones de peligro</t>
  </si>
  <si>
    <t>Vivo mi vida con un alto compromiso y sentido del deber</t>
  </si>
  <si>
    <t>Creo en mí para lograr lo que pretendo</t>
  </si>
  <si>
    <t>Procuro y fomento mis relaciones</t>
  </si>
  <si>
    <t>Antes de hacer algo, dedico suficiente tiempo a planear</t>
  </si>
  <si>
    <t>Prefiero arriesgarme y perder que lamentarme luego por haber dejado ir una buena oportunidad</t>
  </si>
  <si>
    <t>Me empeño en mejorar mis habilidades para producir mayores resultados</t>
  </si>
  <si>
    <t>Me aseguro de encontrar la forma de lograr mis metas y objetivos</t>
  </si>
  <si>
    <t>Me aseguro de administrar bien los saldos en mis tarjetas para evitar cargos financieros</t>
  </si>
  <si>
    <t>Para resolver un problema, identifico soluciones posibles que otros pasan por alto</t>
  </si>
  <si>
    <t>Puedo darme cuenta de mis emociones mientras estoy trabajando</t>
  </si>
  <si>
    <t>Cuando me comprometo con algo mi voluntad es inquebrantable</t>
  </si>
  <si>
    <t>Pienso bien de mí mismo</t>
  </si>
  <si>
    <t>Para determinar la causa de un problema busco información más allá del evento específico que se ha presentado</t>
  </si>
  <si>
    <t>Sé muy bien cuáles son las capacidades que debo desarrollar para tener éxito en mi camino</t>
  </si>
  <si>
    <t>Busco activamente prepararme para los cambios venideros</t>
  </si>
  <si>
    <t>Si no tengo los materiales que necesito, aprovecho creativamente los que tengo disponibles</t>
  </si>
  <si>
    <t>Procuro rodearme de gente positiva y exitosa</t>
  </si>
  <si>
    <t>Mis convicciones me guían para actuar en la vida</t>
  </si>
  <si>
    <t>Me involucro activamente en los problemas de los grupos a los que pertenezco</t>
  </si>
  <si>
    <t>Tengo claras mis metas de ahorro, a corto, mediano y largo plazo</t>
  </si>
  <si>
    <t>Persigo mis sueños con empeño</t>
  </si>
  <si>
    <t>Tengo control total sobre mi situación actual</t>
  </si>
  <si>
    <t>Intervengo oportunamente para aclarar los malos entendidos</t>
  </si>
  <si>
    <t>Si participo en una competencia, digo la verdad aunque los demás estén mintiendo</t>
  </si>
  <si>
    <t>Intento entender cómo es que los factores de una situación están relacionados entre sí</t>
  </si>
  <si>
    <t>Quisiera dedicarme a mi pasión y poder cobrar por ello</t>
  </si>
  <si>
    <t>Siento que estoy en mi mejor momento</t>
  </si>
  <si>
    <t>Soy hábil para ganarme la confianza de la gente</t>
  </si>
  <si>
    <t>Conozco cuál es el trabajo que más quiero hacer en la vida</t>
  </si>
  <si>
    <t>Me manejo bien en situaciones de crisis</t>
  </si>
  <si>
    <t>Apoyo las ideas nuevas</t>
  </si>
  <si>
    <t>Me empeño en hacer que mi trayectoria laboral vaya en ascenso</t>
  </si>
  <si>
    <t>Contribuyo proactivamente para mejorar mi entorno de trabajo</t>
  </si>
  <si>
    <t>Conozco cuál es mi vocación y planeo dedicarme a ella en un futuro próximo</t>
  </si>
  <si>
    <t>Generalmente logro lo que me propongo</t>
  </si>
  <si>
    <t>En los últimos años he tomado muy buenas decisiones con mi dinero</t>
  </si>
  <si>
    <t>Me esfuerzo por hacer buenas relaciones en todos lados</t>
  </si>
  <si>
    <t>Siempre dejo una buena impresión en los demás</t>
  </si>
  <si>
    <t>Quiero ser considerado como una autoridad en mi campo</t>
  </si>
  <si>
    <t>No permito que mis sentimientos interfieran con mi trabajo</t>
  </si>
  <si>
    <t>La situación que vivo actualmente en mi vida me hace sentir en paz y en calma</t>
  </si>
  <si>
    <t>Busco la manera de cumplir a tiempo con todas mis responsabilidades</t>
  </si>
  <si>
    <t>Se me ocurren soluciones originales a los problemas a los que me enfrento</t>
  </si>
  <si>
    <t>Cuando estoy trabajando en algo, le dedico toda mi atención</t>
  </si>
  <si>
    <t>Me involucro propositivamente en los asuntos de mi comunidad</t>
  </si>
  <si>
    <t>Para mí es prioritario ganarme la vida haciendo lo que más me gusta</t>
  </si>
  <si>
    <t>Antes de tomar una decisión pienso en cómo un cambio puede impactar en otras situaciones</t>
  </si>
  <si>
    <t>Sacrifico parte de mis ganancias para volverlas a invertir</t>
  </si>
  <si>
    <t>Puedo con facilidad aislar mi mente del exterior para no distraerme</t>
  </si>
  <si>
    <t>Identifico las habilidades que debo fortalecer en mí mismo para mejorar mis resultados</t>
  </si>
  <si>
    <t>Aprendo de mis fracasos para intentarlo de nuevo</t>
  </si>
  <si>
    <t>Si cometo un error, me aseguro que en el futuro no vuelva a suceder</t>
  </si>
  <si>
    <t>Mi carácter me ayuda a levantarme fortalecido de las crisis</t>
  </si>
  <si>
    <t>Pago mis deudas en su totalidad y en el plazo acordado</t>
  </si>
  <si>
    <t>Disfruto intercambiar opiniones y llegar a consensos con personas que piensan diferente a mí</t>
  </si>
  <si>
    <t>Estoy convencido de que tengo un alto poder de influencia en los demás</t>
  </si>
  <si>
    <t>Soy obstinado con mis metas y objetivos</t>
  </si>
  <si>
    <t>Me siento satisfecho con los resultados que hoy soy capaz de dar</t>
  </si>
  <si>
    <t>Soy exigente conmigo mismo</t>
  </si>
  <si>
    <t>Confío en que me irá bien en el futuro</t>
  </si>
  <si>
    <t>Puedo hablar de temas difíciles con mi pareja sin entrar en discusiones</t>
  </si>
  <si>
    <t>Analizo mis errores para aprender de ellos</t>
  </si>
  <si>
    <t>Sé muy bien qué es lo que debo hacer para cambiar lo que quiero mejorar en mí mismo</t>
  </si>
  <si>
    <t>Evalúo regularmente el progreso de mi trabajo para cumplir a tiempo con mis objetivos</t>
  </si>
  <si>
    <t>Confío en mi capacidad para modificar lo que no me gusta de mi vida</t>
  </si>
  <si>
    <t>Sé cómo persuadir a otros para que se pongan de mi lado</t>
  </si>
  <si>
    <t>Puedo comprender fácilmente cómo piensan los demás</t>
  </si>
  <si>
    <t>Siempre cumplo lo que prometo</t>
  </si>
  <si>
    <t>Cuando hago planes me aseguro de que estén bien calculados hacia la meta</t>
  </si>
  <si>
    <t>Mantengo contacto con las personas que he conocido en el camino</t>
  </si>
  <si>
    <t>Escucho con atención y considero las aportaciones que hacen los demás</t>
  </si>
  <si>
    <t>Rechazaría las ofertas de trabajo que no me permitieran dedicarme a lo que más me gusta hacer</t>
  </si>
  <si>
    <t>Mantengo la calma en situaciones difíciles</t>
  </si>
  <si>
    <t>Mi ahorro está creciendo</t>
  </si>
  <si>
    <t>Dedico bastante tiempo y energía a mi propio desarrollo</t>
  </si>
  <si>
    <t>Llevo un calendario y me apego a él para administrarme</t>
  </si>
  <si>
    <t>Puedo mantenerme relajado en situaciones de presión</t>
  </si>
  <si>
    <t>Estoy consciente de la forma en la que mis emociones afectan a los demás</t>
  </si>
  <si>
    <t>Actúo proactivamente para resolver los contratiempos</t>
  </si>
  <si>
    <t>Hago listas de pendientes que reviso y actualizo a lo largo del día</t>
  </si>
  <si>
    <t>Suelo tener un plan B por si las cosas no salen como espero</t>
  </si>
  <si>
    <t>A lo largo de la jornada doy el máximo todo el tiempo</t>
  </si>
  <si>
    <t>Confío en mi capacidad para obtener un logro importante en un lapso de tiempo corto</t>
  </si>
  <si>
    <t>Generalmente puedo anticipar cómo reaccionarán las personas que conozco ante una situación determinada</t>
  </si>
  <si>
    <t>Aún en condiciones adversas me mantengo firme hasta el final</t>
  </si>
  <si>
    <t>Disfruto encontrar conexiones poco usuales en la información que reviso</t>
  </si>
  <si>
    <t>Me estoy esforzando en mi trabajo para mejorar mi situación en el mediano plazo</t>
  </si>
  <si>
    <t>Me trazo a mí mismo objetivos concretos de aprendizaje en función de lo que quiero lograr</t>
  </si>
  <si>
    <t>Nunca he hecho trampa para ganar</t>
  </si>
  <si>
    <t>Me gusta participar con otras personas para lograr objetivos en común</t>
  </si>
  <si>
    <t>Me preocupo por los problemas de mi país y me involucro en las soluciones</t>
  </si>
  <si>
    <t>Me implico activamente en crear oportunidades que me generen ingresos</t>
  </si>
  <si>
    <t>Sacrifico horas de sueño si es necesario para sacar adelante proyectos que para mí son importantes</t>
  </si>
  <si>
    <t>Dirijo mi vida en la dirección que quiero ir</t>
  </si>
  <si>
    <t>Puedo trabajar durante muchas horas manteniendo el mismo nivel de energía</t>
  </si>
  <si>
    <t>Cuando se pide la participación de todos soy el primero en levantar la mano</t>
  </si>
  <si>
    <t>Puedo adivinar la intención real de otras personas al hablar con ellos</t>
  </si>
  <si>
    <t>Hoy estoy cumpliendo con mis propósitos de vida más importantes</t>
  </si>
  <si>
    <t>Conozco las barreras que tendré que superar para lograr mis objetivos</t>
  </si>
  <si>
    <t>Fácilmente puedo pensar en estrategias para diversificar mis inversiones</t>
  </si>
  <si>
    <t>Si alguien no está participando me acerco para ayudarlo a involucrarse</t>
  </si>
  <si>
    <t>Me comprometo con mis proyectos y objetivos hasta sus últimas consecuencias</t>
  </si>
  <si>
    <t>Me aseguro de tener unas finanzas sanas</t>
  </si>
  <si>
    <t>Mantengo expectativas bajas para mí mismo</t>
  </si>
  <si>
    <t>Neg</t>
  </si>
  <si>
    <t>En situaciones difíciles me pongo serio y pierdo el sentido del humor</t>
  </si>
  <si>
    <t>Actualmente no estoy desarrollando ninguna nueva habilidad que me ayude a hacer mejor mi trabajo</t>
  </si>
  <si>
    <t>Me es difícil concentrar mi energía en la dirección que quiero ir</t>
  </si>
  <si>
    <t xml:space="preserve">Cuando algo sale mal tiendo a quejarme, echar la culpa o señalar a las circunstancias </t>
  </si>
  <si>
    <t>Prefiero alejarme de la gente</t>
  </si>
  <si>
    <t>Me distraigo y pierdo el tiempo fácilmente</t>
  </si>
  <si>
    <t>Generalmente las personas no me reconocen como autoridad</t>
  </si>
  <si>
    <t>Me comprometo con entusiasmo pero luego se me olvida</t>
  </si>
  <si>
    <t>Las cosas que se me ocurren son aburridas y poco creativas</t>
  </si>
  <si>
    <t>Aceptaría cualquier trabajo porque sé que de todo puedo aprender muy rápido</t>
  </si>
  <si>
    <t>Todavía no identifico qué es lo que quiero lograr en mi vida</t>
  </si>
  <si>
    <t>Me es difícil anticipar mis cambios de ánimo</t>
  </si>
  <si>
    <t>No veo cómo yo pueda resolver mis problemas actuales</t>
  </si>
  <si>
    <t>Difícilmente me entero de lo que se está haciendo en otros campos diferentes al mío</t>
  </si>
  <si>
    <t>No estoy disfrutando mi vida como me gustaría</t>
  </si>
  <si>
    <t>Cuando no entiendo algo me desespero y lo abandono</t>
  </si>
  <si>
    <t>Dudo que mi voto sea de mucha utilidad</t>
  </si>
  <si>
    <t>Actualmente no invierto mi dinero</t>
  </si>
  <si>
    <t>No veo sentido en exigirme demasiado</t>
  </si>
  <si>
    <t>Muy poco se me ocurren ideas creativas y novedosas</t>
  </si>
  <si>
    <t>Sospecho que yo mismo bloqueo las oportunidades, a veces sin darme cuenta</t>
  </si>
  <si>
    <t>En los últimos seis meses me quedé sin dinero por lo menos una vez</t>
  </si>
  <si>
    <t>Tengo un asunto no resuelto que me hace perder la concentración</t>
  </si>
  <si>
    <t>Si me ofrecieran un trabajo para el que sé que no tengo capacidad suficiente, igual lo tomaría</t>
  </si>
  <si>
    <t>Mi desempeño está por debajo de las expectativas</t>
  </si>
  <si>
    <t>Algunos dirían que soy intolerante o que no acepto a las personas como son</t>
  </si>
  <si>
    <t>Me esfuerzo poco para superarme a mí mismo</t>
  </si>
  <si>
    <t>Frecuentemente soy el último en darse cuenta de que las cosas no van bien</t>
  </si>
  <si>
    <t>Bajo estrés actúo con prisas y de forma descuidada</t>
  </si>
  <si>
    <t>Con frecuencia confundo mis emociones</t>
  </si>
  <si>
    <t>Mi desempeño se disminuye en situaciones de mucha exigencia</t>
  </si>
  <si>
    <t>Me dejo llevar por lo que opinan los demás</t>
  </si>
  <si>
    <t>A veces aparento tener virtudes que en realidad no poseo</t>
  </si>
  <si>
    <t>Mi nivel de ingreso se ha mantenido igual desde hace años</t>
  </si>
  <si>
    <t>Se me dificulta reconocer mis errores y fracasos</t>
  </si>
  <si>
    <t>Soy capaz de mentir para librarme de problemas</t>
  </si>
  <si>
    <t>A veces siento que no soy lo suficientemente bueno para lograr lo que quiero</t>
  </si>
  <si>
    <t>Desarrollar nuevas habilidades no es prioritario para mí en este momento</t>
  </si>
  <si>
    <t>Me cuesta entender los sentimientos de otras personas</t>
  </si>
  <si>
    <t>No tengo muchos motivos para enorgullecerme de mí mismo</t>
  </si>
  <si>
    <t>Pierdo mucho tiempo buscando mis cosas cuando las necesito</t>
  </si>
  <si>
    <t>No arriesgaría recursos propios para abrir un negocio</t>
  </si>
  <si>
    <t>Se me dificulta cumplir a tiempo con mis obligaciones</t>
  </si>
  <si>
    <t>Me desanimo con facilidad ante los obstáculos</t>
  </si>
  <si>
    <t>Se me ocurren ideas pero me cuesta llevarlas a la práctica</t>
  </si>
  <si>
    <t>Prefiero ser conservador y esperar lo menos de la vida</t>
  </si>
  <si>
    <t>En ocasiones soy inconstante o indisciplinado</t>
  </si>
  <si>
    <t>Se me dificulta reconocer las buenas oportunidades de negocio</t>
  </si>
  <si>
    <t>Me es difícil darme cuenta cuando alguien me está mintiendo</t>
  </si>
  <si>
    <t>Trabajo mucho pero consigo pocos resultados</t>
  </si>
  <si>
    <t>He alterado la verdad cuando ha sido necesario para zafarme de problemas</t>
  </si>
  <si>
    <t>Compro cosas sin pensarlo lo suficiente</t>
  </si>
  <si>
    <t>Desde la última vez que fracasé no estoy intentando nada nuevo</t>
  </si>
  <si>
    <t>Desconozco cómo es que los cambios en el entorno pudieran afectar mis planes</t>
  </si>
  <si>
    <t>Se me dificulta relacionarme con los demás</t>
  </si>
  <si>
    <t>Los problemas me crecen por no atender a tiempo mis asuntos</t>
  </si>
  <si>
    <t xml:space="preserve">Al discutir con mi pareja (o familia) pierdo rápidamente la paciencia </t>
  </si>
  <si>
    <t>Intento concentrarme pero pierdo el foco con facilidad</t>
  </si>
  <si>
    <t>Hacer una contribución importante al mundo no es algo que me preocupe por el momento</t>
  </si>
  <si>
    <t>A veces creo que me quejo mucho pero no propongo</t>
  </si>
  <si>
    <t>Dudo de mi capacidad para convencer a otros</t>
  </si>
  <si>
    <t>Me es difícil imaginar cómo será mi vida dentro de unos años</t>
  </si>
  <si>
    <t>Soy muy permisivo con los demás</t>
  </si>
  <si>
    <t>Quiero hacer muchas cosas pero me canso con facilidad</t>
  </si>
  <si>
    <t>Se me dificulta tomar decisiones bajo estrés</t>
  </si>
  <si>
    <t>Soy desordenado con mis finanzas</t>
  </si>
  <si>
    <t>Me cuesta aceptarme como soy</t>
  </si>
  <si>
    <t>Desconozco qué opciones tengo para invertir mi dinero</t>
  </si>
  <si>
    <t>Seguir estudiando es lo último que haría</t>
  </si>
  <si>
    <t>Desconozco de qué forma podría aprovechar mis talentos para generar mayores ingresos</t>
  </si>
  <si>
    <t>Pospongo lo más que puedo las tareas que no me gustan</t>
  </si>
  <si>
    <t>En una emergencia se me dificulta mantenerme concentrado</t>
  </si>
  <si>
    <t>Tiendo a dejar que se me acumulen los pendientes</t>
  </si>
  <si>
    <t>Dudo que mis circunstancias puedan mejorar para el mes que viene</t>
  </si>
  <si>
    <t>Estoy poco enterado de los problemas que hay en el mundo</t>
  </si>
  <si>
    <t>A veces hago las cosas sin seguir un orden lógico</t>
  </si>
  <si>
    <t>Inicio con fuerza pero pasado un tiempo, dejo de dar seguimiento a mis avances</t>
  </si>
  <si>
    <t>Tiendo a perder la paciencia</t>
  </si>
  <si>
    <t>Me frustra darme cuenta de lo limitado que hoy me siento</t>
  </si>
  <si>
    <t>Abandono las tareas que me exigen demasiado esfuerzo</t>
  </si>
  <si>
    <t>Hay veces en las que tomar algo que no es tuyo puede estar justificado</t>
  </si>
  <si>
    <t>Me es difícil apegarme a los acuerdos que hago otras personas</t>
  </si>
  <si>
    <t>Me rindo cuando las cosas parecen no tener solución</t>
  </si>
  <si>
    <t>Me cuesta prever las consecuencias de mis actos</t>
  </si>
  <si>
    <t>Cuando las cosas no van bien, pienso que debería darme por vencido</t>
  </si>
  <si>
    <t>Cuando las cosas se tornan complicadas me es difícil saber qué es lo correcto de hacer</t>
  </si>
  <si>
    <t>Me hace falta tener más energía para completar mis actividades del día</t>
  </si>
  <si>
    <t>Desconozco el camino que debo seguir para hacer realidad mi visión personal</t>
  </si>
  <si>
    <t>A menos que sea absolutamente necesario, no estoy dispuesto a cambiar mi forma de trabajo</t>
  </si>
  <si>
    <t>Se me dificulta pensar ideas innovadoras</t>
  </si>
  <si>
    <t>Me cierro a vivir nuevas experiencias</t>
  </si>
  <si>
    <t>Me resulta difícil disfrutar de mi vida</t>
  </si>
  <si>
    <t>Prefiero trabajar solo</t>
  </si>
  <si>
    <t>Me cuesta trabajo hablar en público</t>
  </si>
  <si>
    <t>A veces tengo que pedir prestado para cumplir con mis gastos del mes</t>
  </si>
  <si>
    <t>Prefiero no tener un plan y dejar que la vida me sorprenda</t>
  </si>
  <si>
    <t>Cuando estoy estresado suelo reaccionar de mal modo con los demás</t>
  </si>
  <si>
    <t>Para reconocer mis errores, necesito que otros me los hagan ver</t>
  </si>
  <si>
    <t>He dejado que otros paguen las consecuencias de mis malas decisiones</t>
  </si>
  <si>
    <t>Soy insensible a los problemas ajenos</t>
  </si>
  <si>
    <t>Entrar en contacto con otras personas me pone nervioso</t>
  </si>
  <si>
    <t>Se me dificulta relacionar conceptos complejos o ideas muy abstractas</t>
  </si>
  <si>
    <t>No acostumbro seguir un presupuesto de gasto</t>
  </si>
  <si>
    <t>Es difícil que cambie mi forma de hacer las cosas aunque me de cuenta de que no me están funcionando</t>
  </si>
  <si>
    <t>Es raro que me ponga a investigar que está sucediendo en mi país o en el mundo</t>
  </si>
  <si>
    <t>Dudo tener el talento que se necesita para lograr el éxito que pretendo</t>
  </si>
  <si>
    <t>Los proyectos en los que estoy involucrado obstaculizan mi camino hacia mis ideales</t>
  </si>
  <si>
    <t>Me siento preocupado por temas de dinero</t>
  </si>
  <si>
    <t>Me va mejor en trabajos de baja responsabilidad</t>
  </si>
  <si>
    <t>Mis emociones tienden a afectar mi objetividad</t>
  </si>
  <si>
    <t>Desconfío del futuro y de las nuevas ideas</t>
  </si>
  <si>
    <t>Todavía no tengo claro cuál es mi propósito en la vida</t>
  </si>
  <si>
    <t>La gente diría que me cuesta mucho reponerme de los fracasos</t>
  </si>
  <si>
    <t>Tiendo a dejar las cosas para después</t>
  </si>
  <si>
    <t>Desconozco cuánto debo, cuánto gano o cuánto tengo</t>
  </si>
  <si>
    <t>Me doy cuenta que estoy equivocado hasta que alguien me lo avisa</t>
  </si>
  <si>
    <t>Me impaciento cuando alguien me platica sus problemas</t>
  </si>
  <si>
    <t>Me siento intranquilo o irritable ante situaciones nuevas o cambiantes</t>
  </si>
  <si>
    <t>Invariablemente me quedo sin dinero</t>
  </si>
  <si>
    <t>Me enfada escuchar críticas sobre mi trabajo</t>
  </si>
  <si>
    <t>Necesito supervisión para completar mis tareas</t>
  </si>
  <si>
    <t>Acepto las nuevas oportunidades de trabajo aunque estas no correspondan a mi predilección</t>
  </si>
  <si>
    <t>Si un libro se vuelve difícil de entender, lo abandono y comienzo uno nuevo</t>
  </si>
  <si>
    <t>Conocer las razones del porqué de los problemas no es interesante para mí</t>
  </si>
  <si>
    <t>Desconozco qué es lo que más me conviene hacer para lograr mis ideales</t>
  </si>
  <si>
    <t>Cuando se me agota el entusiasmo inicial, abandono la actividad para ir por otra nueva</t>
  </si>
  <si>
    <t>En situaciones de presión cometo más errores de lo normal</t>
  </si>
  <si>
    <t>Funciono mejor en trabajos de baja responsabilidad</t>
  </si>
  <si>
    <t>Invariablemente veo primero por mis propios intereses</t>
  </si>
  <si>
    <t>En situaciones de conflicto pierdo el profesionalismo</t>
  </si>
  <si>
    <t>En ocasiones actúo impulsivamente</t>
  </si>
  <si>
    <t>Pierdo la motivación cuando las cosas no salen como quiero</t>
  </si>
  <si>
    <t>No me motiva recibir reconocimientos por mi buen desempeño</t>
  </si>
  <si>
    <t>Ignoro cuáles son los retos a los que se enfrentará mi profesión en el corto plazo</t>
  </si>
  <si>
    <t>Es común que en las negociaciones con otros yo salga perdiendo</t>
  </si>
  <si>
    <t>Me cuesta reconocer mis áreas de oportunidad</t>
  </si>
  <si>
    <t>Tiendo a reaccionar a los problemas cuando ya se presentaron o cuando ya es demasiado tarde</t>
  </si>
  <si>
    <t>Tengo planes, pero no hago mucho por traerlos a la práctica</t>
  </si>
  <si>
    <t>Cometer errores me desanima al grado de pensar en renunciar a mi objetivo</t>
  </si>
  <si>
    <t>Prefiero los trabajos de poca exigencia</t>
  </si>
  <si>
    <t>Discutir temas difíciles con otros me pone irritable o de mal humor</t>
  </si>
  <si>
    <t>Me preocupa la idea de no estar acompañado</t>
  </si>
  <si>
    <t>Me frustro cuando pienso en mi situación actual</t>
  </si>
  <si>
    <t>Suma P</t>
  </si>
  <si>
    <t>Sumatorias P_FAC naturales</t>
  </si>
  <si>
    <t>Sumatoria</t>
  </si>
  <si>
    <t>Razonamiento Analítico</t>
  </si>
  <si>
    <t>Consciencia del Entorno</t>
  </si>
  <si>
    <t>Bienestar Psicoproductivo</t>
  </si>
  <si>
    <t>Búsqueda de Significado Psicoproductivo</t>
  </si>
  <si>
    <t>Combinación mecanismos</t>
  </si>
  <si>
    <t>Alineamiento de acciones</t>
  </si>
  <si>
    <t>Superación y Empoderamiento*</t>
  </si>
  <si>
    <t>Creatividad Aplicada</t>
  </si>
  <si>
    <t>Anticipación a cambios del entorno*</t>
  </si>
  <si>
    <t>Negociación e influencia</t>
  </si>
  <si>
    <t>Impulso Resolutivo*</t>
  </si>
  <si>
    <t>Involucramiento*</t>
  </si>
  <si>
    <t>Toma de riesgos*</t>
  </si>
  <si>
    <t>Pereseverancia</t>
  </si>
  <si>
    <t>Expectativa</t>
  </si>
  <si>
    <t>Orientación a Resultados</t>
  </si>
  <si>
    <t>Trabajo en Equipo*</t>
  </si>
  <si>
    <t>Puntajes por ciclos</t>
  </si>
  <si>
    <t>AutoEnfoque</t>
  </si>
  <si>
    <t>Adaptación*</t>
  </si>
  <si>
    <t>Anticipación*</t>
  </si>
  <si>
    <t>Consciencia del entorno*</t>
  </si>
  <si>
    <t>Automejoramiento*</t>
  </si>
  <si>
    <t>Autosupervisión*</t>
  </si>
  <si>
    <t>Habilidad e Inflluencia Comercial*</t>
  </si>
  <si>
    <t>Influencia*</t>
  </si>
  <si>
    <t>Mente Abierta*</t>
  </si>
  <si>
    <t>Tolerancia al conflicto*</t>
  </si>
  <si>
    <t>Autoconfianza*</t>
  </si>
  <si>
    <t>Capacidad de Reacción*</t>
  </si>
  <si>
    <t>Resolución*</t>
  </si>
  <si>
    <t>Pensamiento lógico*</t>
  </si>
  <si>
    <t>Participación*</t>
  </si>
  <si>
    <t>Sentido de contribución*</t>
  </si>
  <si>
    <t>Visión sistémica*</t>
  </si>
  <si>
    <t>Pensamiento Divergente*</t>
  </si>
  <si>
    <t>Percepción Interpersonal*</t>
  </si>
  <si>
    <t>Emprendimiento*</t>
  </si>
  <si>
    <t>Sociabilidad*</t>
  </si>
  <si>
    <t>Compromiso*</t>
  </si>
  <si>
    <t>Perseverancia*</t>
  </si>
  <si>
    <t>Tenacidad*</t>
  </si>
  <si>
    <t>Autorefuerzo*</t>
  </si>
  <si>
    <t>Superación*</t>
  </si>
  <si>
    <t>Visión estratégica Personal</t>
  </si>
  <si>
    <t>Anteposición de Intereses</t>
  </si>
  <si>
    <t>Orientación a resultados*</t>
  </si>
  <si>
    <t>Visión clara*</t>
  </si>
  <si>
    <t>Merecimiento*</t>
  </si>
  <si>
    <t>Confiabilidad*</t>
  </si>
  <si>
    <t>Aprovechamiento de Talentos*</t>
  </si>
  <si>
    <t>Recuperación*</t>
  </si>
  <si>
    <t>FALTA DESDE AQUÍ</t>
  </si>
  <si>
    <t>ACTUALIZAR NORMA</t>
  </si>
  <si>
    <t>Cambiar por visionario</t>
  </si>
  <si>
    <t>Dejarlos como estaban</t>
  </si>
  <si>
    <t>Cambiar los nombres</t>
  </si>
  <si>
    <t>Sacar del último respaldo</t>
  </si>
  <si>
    <t>Cálculo</t>
  </si>
  <si>
    <t>Aprovechamiento</t>
  </si>
  <si>
    <t>Social</t>
  </si>
  <si>
    <t>Ã¡</t>
  </si>
  <si>
    <t>á</t>
  </si>
  <si>
    <t>Categoría Reporte Selec-Plus</t>
  </si>
  <si>
    <t>NomCorto</t>
  </si>
  <si>
    <t>Global</t>
  </si>
  <si>
    <t>NORMA 412</t>
  </si>
  <si>
    <t>xxxGerencial</t>
  </si>
  <si>
    <t>Ã©</t>
  </si>
  <si>
    <t>é</t>
  </si>
  <si>
    <t>Adaptab</t>
  </si>
  <si>
    <t>Situación Laboral</t>
  </si>
  <si>
    <t>Ã­</t>
  </si>
  <si>
    <t>í</t>
  </si>
  <si>
    <t>AlinaObj</t>
  </si>
  <si>
    <t>Género</t>
  </si>
  <si>
    <t>Ã³</t>
  </si>
  <si>
    <t>ó</t>
  </si>
  <si>
    <t>Ambicion</t>
  </si>
  <si>
    <t>Ãº</t>
  </si>
  <si>
    <t>ú</t>
  </si>
  <si>
    <t>ACamEnt</t>
  </si>
  <si>
    <t>Nivel Académico</t>
  </si>
  <si>
    <t>( + ) Me identifico mÃ¡s</t>
  </si>
  <si>
    <t>Ã±</t>
  </si>
  <si>
    <t>ñ</t>
  </si>
  <si>
    <t>ApeNorm</t>
  </si>
  <si>
    <t>ProfesiÃ³n</t>
  </si>
  <si>
    <t>Profesión</t>
  </si>
  <si>
    <t>( - ) Me identifico menos</t>
  </si>
  <si>
    <t>Adomin</t>
  </si>
  <si>
    <t>Nivel máximo alcanzado</t>
  </si>
  <si>
    <t>AregEmo</t>
  </si>
  <si>
    <t>Ingreso mÃ¡ximo alcanzado</t>
  </si>
  <si>
    <t>Ingreso máximo alcanzado</t>
  </si>
  <si>
    <t>ID_WEB</t>
  </si>
  <si>
    <t>PN</t>
  </si>
  <si>
    <t>Puntaje</t>
  </si>
  <si>
    <t>Fórmula Puntajes</t>
  </si>
  <si>
    <t>1 [Planeo certificarme formalmente sobre un tema que me interesa]</t>
  </si>
  <si>
    <t>Positivos</t>
  </si>
  <si>
    <t>CompFin</t>
  </si>
  <si>
    <t>1 [Soy bueno para ayudar a los demÃ¡s a decidirse]</t>
  </si>
  <si>
    <t>Negativos</t>
  </si>
  <si>
    <t>Conducc</t>
  </si>
  <si>
    <t>2 [Tengo una habilidad que podrÃ­a beneficiar a muchas personas]</t>
  </si>
  <si>
    <t>ConvPos</t>
  </si>
  <si>
    <t>2 [Soy bueno para hacer las cosas suceder]</t>
  </si>
  <si>
    <t>Fórmula percentiles</t>
  </si>
  <si>
    <t>EL CÁLCULO: Para positivos, se busca el puntaje del reactivo cuando la respuesta es "( + ) Me identifico más". Si la respuesta es "( - ) Me identifico menos", entonces se le ponen 0 puntos.
Para negativos. Si la respuesta elegida es "( - ) Me identifico menos", entonces se le ponen los puntos que corresponden al ítem. Es decir, como si fuera positivo. Si la respuesta es "( + ) Me identifico más", no se le ponen puntos.</t>
  </si>
  <si>
    <t>DispAuto</t>
  </si>
  <si>
    <t>3 [SÃ© perfectamente a quÃ© me gustarÃ­a dedicarme en el futuro]</t>
  </si>
  <si>
    <t>3 [Me entusiasma pensar en todo lo que estoy haciendo actualmente]</t>
  </si>
  <si>
    <t>4 [Soy una persona precavida]</t>
  </si>
  <si>
    <t>ExPerAex</t>
  </si>
  <si>
    <t>4 [Me doy cuenta fÃ¡cilmente de lo que debo cambiar en mÃ­ para mejorar mis resultados]</t>
  </si>
  <si>
    <t>HabInfCom</t>
  </si>
  <si>
    <t>5 [Me reconozco y felicito por mis aciertos en cada paso del camino]</t>
  </si>
  <si>
    <t>ImpReso</t>
  </si>
  <si>
    <t>5 [Busco proactivamente convertirme en la mejor versiÃ³n de mÃ­ mismo]</t>
  </si>
  <si>
    <t>IntSocial</t>
  </si>
  <si>
    <t>6 [En situaciones de crisis puedo mantenerme enfocado en las tareas importantes]</t>
  </si>
  <si>
    <t>Involuc</t>
  </si>
  <si>
    <t>6 [Hago lo necesario por mantenerme actualizado]</t>
  </si>
  <si>
    <t>Lateral</t>
  </si>
  <si>
    <t>7 [Establezco estÃ¡ndares de desempeÃ±o claros para mÃ­ mismo y los uso de referencia para evaluar mi comportamiento]</t>
  </si>
  <si>
    <t>PenSist</t>
  </si>
  <si>
    <t>7 [Deseo adquirir la mayor cantidad de experiencia y conocimientos posible]</t>
  </si>
  <si>
    <t>Persist</t>
  </si>
  <si>
    <t>8 [Facilito las cosas para que las oportunidades vengan a mÃ­]</t>
  </si>
  <si>
    <t>PlanyOrg</t>
  </si>
  <si>
    <t>8 [Siento un llamado por ayudar a hacer de este un mundo mejor]</t>
  </si>
  <si>
    <t>Proacti</t>
  </si>
  <si>
    <t>9 [Dedico mi tiempo y energÃ­a exclusivamente a las actividades que me acercan a mis objetivos]</t>
  </si>
  <si>
    <t>9 [Me animo a creer que en mi vida sucederÃ¡n cosas significativas y extraordinarias]</t>
  </si>
  <si>
    <t>Resilien</t>
  </si>
  <si>
    <t>10 [Adelanto mi trabajo para estar listo por si algo se llega a necesitar]</t>
  </si>
  <si>
    <t>10 [Cuando un problema no estÃ¡ siendo fÃ¡cil de resolver, sigo intentÃ¡ndolo hasta encontrar la respuesta]</t>
  </si>
  <si>
    <t>SuperEmpod</t>
  </si>
  <si>
    <t>11 [Siempre guardo algo de lo que gano]</t>
  </si>
  <si>
    <t>TomaRies</t>
  </si>
  <si>
    <t>11 [EvalÃºo muy bien mis decisiones antes de tomarlas]</t>
  </si>
  <si>
    <t>12 [En este momento puedo identificar claramente cuÃ¡l es mi estado emocional]</t>
  </si>
  <si>
    <t>VisioEstra</t>
  </si>
  <si>
    <t>12 [Puedo predecir el comportamiento de las personas]</t>
  </si>
  <si>
    <t>13 [Me siento bien de ser yo mismo]</t>
  </si>
  <si>
    <t>13 [Me gano la vida haciendo lo que mÃ¡s me gusta]</t>
  </si>
  <si>
    <t>9-</t>
  </si>
  <si>
    <t>14 [Si algo no sale como quiero me recupero rÃ¡pidamente y lo vuelvo a intentar]</t>
  </si>
  <si>
    <t>11-</t>
  </si>
  <si>
    <t>14 [Cuando estoy estresado puedo pensar con claridad]</t>
  </si>
  <si>
    <t>12-</t>
  </si>
  <si>
    <t>15 [La gente confÃ­a en mÃ­ para administrar el dinero]</t>
  </si>
  <si>
    <t>15 [Para cumplir con todas mis responsabilidades me aseguro de conseguir la ayuda que necesito]</t>
  </si>
  <si>
    <t>xxxContribuidor</t>
  </si>
  <si>
    <t>16 [Me esfuerzo por ser una mejor persona]</t>
  </si>
  <si>
    <t>16 [FÃ¡cilmente encuentro relaciones entre variables que parecen ser distintas]</t>
  </si>
  <si>
    <t>17 [Observo mi situaciÃ³n financiera con regularidad]</t>
  </si>
  <si>
    <t>17 [Puedo negociar temas difÃ­cÃ­les sin perder la calma]</t>
  </si>
  <si>
    <t>18 [Me concentro en las tareas que debo hacer, incluso si no me gustan]</t>
  </si>
  <si>
    <t>Nombre</t>
  </si>
  <si>
    <t>Fernanda Berthely</t>
  </si>
  <si>
    <t>18 [Soy hÃ¡bil para hacer que el dinero me rinda para todo]</t>
  </si>
  <si>
    <t>Posición</t>
  </si>
  <si>
    <t>19 [SÃ© muy bien cuÃ¡les son las capacidades que los demÃ¡s valoran en mÃ­]</t>
  </si>
  <si>
    <t>Empresa</t>
  </si>
  <si>
    <t>19 [Estoy convencido de que el trabajo que hago es Ãºtil para los demÃ¡s]</t>
  </si>
  <si>
    <t>Tipo de Norma</t>
  </si>
  <si>
    <t>Norma Global</t>
  </si>
  <si>
    <t>20 [He sabido cÃ³mo aprovechar mis habilidades y talentos para alcanzar el nivel que hoy tengo]</t>
  </si>
  <si>
    <t>20 [Estoy decidido a ser El Mejor en lo que hago]</t>
  </si>
  <si>
    <t>21 [Me esfuerzo por mejorar mis capacidades]</t>
  </si>
  <si>
    <t>21 [AÃºn bajo estrÃ©s puedo realizar mis tareas sin equivocarme]</t>
  </si>
  <si>
    <t xml:space="preserve"> Definición</t>
  </si>
  <si>
    <t>22 [Preveo situaciones y reacciono a ellas antes de que sucedan]</t>
  </si>
  <si>
    <t>22 [Tengo una idea clara del futuro que quiero para mÃ­]</t>
  </si>
  <si>
    <t>0.3 Definición</t>
  </si>
  <si>
    <t>23 [Mantengo un alto nivel de dinamismo y energÃ­a]</t>
  </si>
  <si>
    <t>23 [Me siento impulsado a marcar una diferencia positiva en mi entorno]</t>
  </si>
  <si>
    <t>24 [Me preocupa que mi trabajo ayude a otras personas a mejorar su vida de alguna forma]</t>
  </si>
  <si>
    <t>24 [Frecuentemente estoy ideando nuevas formas para mejorar mis resultados]</t>
  </si>
  <si>
    <t>25 [SÃ© que puedo resolver problemas difÃ­ciles si me esfuerzo lo suficiente]</t>
  </si>
  <si>
    <t>25 [Puedo controlar mi temperamento cuando es necesario]</t>
  </si>
  <si>
    <t>26 [Me hago responsable de mi propio aprendizaje]</t>
  </si>
  <si>
    <t>26 [Puedo ver claramente la estrategia que debo seguir para lograr lo que mÃ¡s deseo en la vida]</t>
  </si>
  <si>
    <t>27 [Pongo atenciÃ³n a mi comportamiento para detectar lo que me funciona y lo que no]</t>
  </si>
  <si>
    <t>27 [Cuando quiero algo, no descanso hasta conseguirlo]</t>
  </si>
  <si>
    <t>28 [Espero de mÃ­ mismo marcar una diferencia significativa para muchas personas]</t>
  </si>
  <si>
    <t>28 [Estoy convencido de que la manera de producir los mayores resultados es sumando pequeÃ±os logros uno a otro]</t>
  </si>
  <si>
    <t>29 [Constantemente estoy buscando mejores formas de hacer las cosas]</t>
  </si>
  <si>
    <t>29 [Yo jamÃ¡s he ofrecido dinero para acelerar un trÃ¡mite]</t>
  </si>
  <si>
    <t>30 [Me esfuerzo un montÃ³n por lograr y superar los estÃ¡ndares fijados]</t>
  </si>
  <si>
    <t>30 [Detecto oportunidades mucho antes de que otros puedan]</t>
  </si>
  <si>
    <t>31 [A lo largo de mi trayectoria he construido una excelente reputaciÃ³n]</t>
  </si>
  <si>
    <t>31 [Pretendo lograr el mayor Ã©xito financiero y profesional posible en mi vida]</t>
  </si>
  <si>
    <t>32 [Adquiero conocimientos para estar a la altura de lo que estÃ¡ sucediendo hoy en el mundo]</t>
  </si>
  <si>
    <t>32 [Me es fÃ¡cil encontrar mÃºltiples soluciones a un mismo problema]</t>
  </si>
  <si>
    <t>33 [Tomo decisiones que me ayudan a fortalecer mi posiciÃ³n]</t>
  </si>
  <si>
    <t>33 [Soy positivo cuando pienso en el futuro]</t>
  </si>
  <si>
    <t>34 [Me esfuerzo cada dÃ­a para ser mejor en lo que hago]</t>
  </si>
  <si>
    <t>34 [Si me equivoco, puedo cambiar de estrategia pero sigo adelante]</t>
  </si>
  <si>
    <t>35 [Rechazo las oportunidades de trabajo que no corresponden a mis mayores intereses]</t>
  </si>
  <si>
    <t>35 [Comprendo bien mis emociones]</t>
  </si>
  <si>
    <t>36 [RÃ¡pidamente puedo percibir los cambios del entorno]</t>
  </si>
  <si>
    <t>36 [SÃ© muy bien adÃ³nde quiero llegar en la vida]</t>
  </si>
  <si>
    <t>37 [Me adapto bien a los cambios de rutinas]</t>
  </si>
  <si>
    <t>37 [Me divierte realizar juegos mentales que ponen a prueba mi inteligencia]</t>
  </si>
  <si>
    <t>38 [Tengo la firme expectativa de mejorar notablemente para el prÃ³ximo aÃ±o]</t>
  </si>
  <si>
    <t>38 [Cuando se trata de dinero, tomo decisiones frÃ­a, racional y concienzudamente]</t>
  </si>
  <si>
    <t>39 [Cuando algo no sale como quiero enfoco rÃ¡pidamente mi energÃ­a en soluciones constructivas]</t>
  </si>
  <si>
    <t>39 [En el Ãºltimo aÃ±o he conseguido todo lo que me he propuesto]</t>
  </si>
  <si>
    <t>40 [Hoy hago cosas que son importantes para mÃ­]</t>
  </si>
  <si>
    <t>40 [ActÃºo racionalmente ante las dificultades]</t>
  </si>
  <si>
    <t>41 [Conozco muy bien cuÃ¡les son las cosas que me enojan o me ponen triste]</t>
  </si>
  <si>
    <t>41 [Me implico en actividades que me ayudan a superarme a mÃ­ mismo]</t>
  </si>
  <si>
    <t>42 [DifÃ­cilmente dejo algÃºn pendiente sin completar]</t>
  </si>
  <si>
    <t>42 [Pretendo recibir la mÃ¡xima educaciÃ³n disponible que hay en mi campo]</t>
  </si>
  <si>
    <t>43 [Puedo trabajar horas extra sin perder efectividad en mi trabajo]</t>
  </si>
  <si>
    <t>43 [Tengo la certeza de que me irÃ¡ bien en la vida]</t>
  </si>
  <si>
    <t>44 [Si tengo un objetivo ambicioso, lo fracciono en metas cortas para ir un paso a la vez]</t>
  </si>
  <si>
    <t>44 [Me administro de una forma que siempre me queda algo para ahorrar]</t>
  </si>
  <si>
    <t>45 [Reacciono con la urgencia apropiada en situaciones de peligro]</t>
  </si>
  <si>
    <t>45 [Vivo mi vida con un alto compromiso y sentido del deber]</t>
  </si>
  <si>
    <t>46 [Creo en mÃ­ para lograr lo que pretendo]</t>
  </si>
  <si>
    <t>46 [Procuro y fomento mis relaciones]</t>
  </si>
  <si>
    <t>47 [Antes de hacer algo, dedico suficiente tiempo a planear]</t>
  </si>
  <si>
    <t>47 [Prefiero arriesgarme y perder que lamentarme luego por haber dejado ir una buena oportunidad]</t>
  </si>
  <si>
    <t>48 [Me empeÃ±o en mejorar mis habilidades para producir mayores resultados]</t>
  </si>
  <si>
    <t>48 [Me aseguro de encontrar la forma de lograr mis metas y objetivos]</t>
  </si>
  <si>
    <t>49 [Me aseguro de administrar bien los saldos en mis tarjetas para evitar cargos financieros]</t>
  </si>
  <si>
    <t>49 [Para resolver un problema, identifico soluciones posibles que otros pasan por alto]</t>
  </si>
  <si>
    <t>50 [Puedo darme cuenta de mis emociones mientras estoy trabajando]</t>
  </si>
  <si>
    <t>50 [Cuando me comprometo con algo mi voluntad es inquebrantable]</t>
  </si>
  <si>
    <t>51 [Pienso bien de mÃ­ mismo]</t>
  </si>
  <si>
    <t>51 [Para determinar la causa de un problema busco informaciÃ³n mÃ¡s allÃ¡ del evento especÃ­fico que se ha presentado]</t>
  </si>
  <si>
    <t>52 [SÃ© muy bien cuÃ¡les son las capacidades que debo desarrollar para tener Ã©xito en mi camino]</t>
  </si>
  <si>
    <t>52 [Busco activamente prepararme para los cambios venideros]</t>
  </si>
  <si>
    <t>53 [Si no tengo los materiales que necesito, aprovecho creativamente los que tengo disponibles]</t>
  </si>
  <si>
    <t>53 [Procuro rodearme de gente positiva y exitosa]</t>
  </si>
  <si>
    <t>54 [Mis convicciones me guÃ­an para actuar en la vida]</t>
  </si>
  <si>
    <t>54 [Me involucro activamente en los problemas de los grupos a los que pertenezco]</t>
  </si>
  <si>
    <t>55 [Tengo claras mis metas de ahorro, a corto, mediano y largo plazo]</t>
  </si>
  <si>
    <t>55 [Persigo mis sueÃ±os con empeÃ±o]</t>
  </si>
  <si>
    <t>56 [Tengo control total sobre mi situaciÃ³n actual]</t>
  </si>
  <si>
    <t>56 [Intervengo oportunamente para aclarar los malos entendidos]</t>
  </si>
  <si>
    <t>57 [Si participo en una competencia, digo la verdad aunque los demÃ¡s estÃ©n mintiendo]</t>
  </si>
  <si>
    <t>57 [Intento entender cÃ³mo es que los factores de una situaciÃ³n estÃ¡n relacionados entre sÃ­]</t>
  </si>
  <si>
    <t>58 [Quisiera dedicarme a mi pasiÃ³n y poder cobrar por ello]</t>
  </si>
  <si>
    <t>58 [Siento que estoy en mi mejor momento]</t>
  </si>
  <si>
    <t>59 [Soy hÃ¡bil para ganarme la confianza de la gente]</t>
  </si>
  <si>
    <t>59 [Conozco cuÃ¡l es el trabajo que mÃ¡s quiero hacer en la vida]</t>
  </si>
  <si>
    <t>60 [Me manejo bien en situaciones de crisis]</t>
  </si>
  <si>
    <t>60 [Apoyo las ideas nuevas]</t>
  </si>
  <si>
    <t>61 [Me empeÃ±o en hacer que mi trayectoria laboral vaya en ascenso]</t>
  </si>
  <si>
    <t>61 [Contribuyo proactivamente para mejorar mi entorno de trabajo]</t>
  </si>
  <si>
    <t>62 [Conozco cuÃ¡l es mi vocaciÃ³n y planeo dedicarme a ella en un futuro prÃ³ximo]</t>
  </si>
  <si>
    <t>62 [Generalmente logro lo que me propongo]</t>
  </si>
  <si>
    <t>63 [En los Ãºltimos aÃ±os he tomado muy buenas decisiones con mi dinero]</t>
  </si>
  <si>
    <t>63 [Me esfuerzo por hacer buenas relaciones en todos lados]</t>
  </si>
  <si>
    <t>64 [Siempre dejo una buena impresiÃ³n en los demÃ¡s]</t>
  </si>
  <si>
    <t>64 [Quiero ser considerado como una autoridad en mi campo]</t>
  </si>
  <si>
    <t>65 [No permito que mis sentimientos interfieran con mi trabajo]</t>
  </si>
  <si>
    <t>65 [La situaciÃ³n que vivo actualmente en mi vida me hace sentir en paz y en calma]</t>
  </si>
  <si>
    <t>66 [Busco la manera de cumplir a tiempo con todas mis responsabilidades]</t>
  </si>
  <si>
    <t>66 [Se me ocurren soluciones originales a los problemas a los que me enfrento]</t>
  </si>
  <si>
    <t>67 [Cuando estoy trabajando en algo, le dedico toda mi atenciÃ³n]</t>
  </si>
  <si>
    <t>67 [Me involucro propositivamente en los asuntos de mi comunidad]</t>
  </si>
  <si>
    <t>68 [Para mÃ­ es prioritario ganarme la vida haciendo lo que mÃ¡s me gusta]</t>
  </si>
  <si>
    <t>68 [Antes de tomar una decisiÃ³n pienso en cÃ³mo un cambio puede impactar en otras situaciones]</t>
  </si>
  <si>
    <t>69 [Sacrifico parte de mis ganancias para volverlas a invertir]</t>
  </si>
  <si>
    <t>69 [Puedo con facilidad aislar mi mente del exterior para no distraerme]</t>
  </si>
  <si>
    <t>70 [Identifico las habilidades que debo fortalecer en mÃ­ mismo para mejorar mis resultados]</t>
  </si>
  <si>
    <t>70 [Aprendo de mis fracasos para intentarlo de nuevo]</t>
  </si>
  <si>
    <t>71 [Si cometo un error, me aseguro que en el futuro no vuelva a suceder]</t>
  </si>
  <si>
    <t>71 [Mi carÃ¡cter me ayuda a levantarme fortalecido de las crisis]</t>
  </si>
  <si>
    <t>72 [Pago mis deudas en su totalidad y en el plazo acordado]</t>
  </si>
  <si>
    <t>72 [Disfruto intercambiar opiniones y llegar a consensos con personas que piensan diferente a mÃ­]</t>
  </si>
  <si>
    <t>73 [Estoy convencido de que tengo un alto poder de influencia en los demÃ¡s]</t>
  </si>
  <si>
    <t>73 [Soy obstinado con mis metas y objetivos]</t>
  </si>
  <si>
    <t>74 [Me siento satisfecho con los resultados que hoy soy capaz de dar]</t>
  </si>
  <si>
    <t>74 [Soy exigente conmigo mismo]</t>
  </si>
  <si>
    <t>75 [ConfÃ­o en que me irÃ¡ bien en el futuro]</t>
  </si>
  <si>
    <t>75 [Puedo hablar de temas difÃ­ciles con mi pareja sin entrar en discusiones]</t>
  </si>
  <si>
    <t>76 [Analizo mis errores para aprender de ellos]</t>
  </si>
  <si>
    <t>76 [SÃ© muy bien quÃ© es lo que debo hacer para cambiar lo que quiero mejorar en mÃ­ mismo]</t>
  </si>
  <si>
    <t>77 [EvalÃºo regularmente el progreso de mi trabajo para cumplir a tiempo con mis objetivos]</t>
  </si>
  <si>
    <t>77 [ConfÃ­o en mi capacidad para modificar lo que no me gusta de mi vida]</t>
  </si>
  <si>
    <t>78 [SÃ© cÃ³mo persuadir a otros para que se pongan de mi lado]</t>
  </si>
  <si>
    <t>78 [Puedo comprender fÃ¡cilmente cÃ³mo piensan los demÃ¡s]</t>
  </si>
  <si>
    <t>79 [Siempre cumplo lo que prometo]</t>
  </si>
  <si>
    <t>79 [Cuando hago planes me aseguro de que estÃ©n bien calculados hacia la meta]</t>
  </si>
  <si>
    <t>80 [Mantengo contacto con las personas que he conocido en el camino]</t>
  </si>
  <si>
    <t>80 [Escucho con atenciÃ³n y considero las aportaciones que hacen los demÃ¡s]</t>
  </si>
  <si>
    <t>81 [RechazarÃ­a las ofertas de trabajo que no me permitieran dedicarme a lo que mÃ¡s me gusta hacer]</t>
  </si>
  <si>
    <t>81 [Mantengo la calma en situaciones difÃ­ciles]</t>
  </si>
  <si>
    <t>82 [Mi ahorro estÃ¡ creciendo]</t>
  </si>
  <si>
    <t>82 [Dedico bastante tiempo y energÃ­a a mi propio desarrollo]</t>
  </si>
  <si>
    <t>83 [Llevo un calendario y me apego a Ã©l para administrarme]</t>
  </si>
  <si>
    <t>83 [Puedo mantenerme relajado en situaciones de presiÃ³n]</t>
  </si>
  <si>
    <t>84 [Estoy consciente de la forma en la que mis emociones afectan a los demÃ¡s]</t>
  </si>
  <si>
    <t>84 [ActÃºo proactivamente para resolver los contratiempos]</t>
  </si>
  <si>
    <t>85 [Hago listas de pendientes que reviso y actualizo a lo largo del dÃ­a]</t>
  </si>
  <si>
    <t>85 [Suelo tener un plan B por si las cosas no salen como espero]</t>
  </si>
  <si>
    <t>86 [A lo largo de la jornada doy el mÃ¡ximo todo el tiempo]</t>
  </si>
  <si>
    <t>86 [ConfÃ­o en mi capacidad para obtener un logro importante en un lapso de tiempo corto]</t>
  </si>
  <si>
    <t>87 [Generalmente puedo anticipar cÃ³mo reaccionarÃ¡n las personas que conozco ante una situaciÃ³n determinada]</t>
  </si>
  <si>
    <t>87 [AÃºn en condiciones adversas me mantengo firme hasta el final]</t>
  </si>
  <si>
    <t>88 [Disfruto encontrar conexiones poco usuales en la informaciÃ³n que reviso]</t>
  </si>
  <si>
    <t>88 [Me estoy esforzando en mi trabajo para mejorar mi situaciÃ³n en el mediano plazo]</t>
  </si>
  <si>
    <t>89 [Me trazo a mÃ­ mismo objetivos concretos de aprendizaje en funciÃ³n de lo que quiero lograr]</t>
  </si>
  <si>
    <t>89 [Nunca he hecho trampa para ganar]</t>
  </si>
  <si>
    <t>90 [Me gusta participar con otras personas para lograr objetivos en comÃºn]</t>
  </si>
  <si>
    <t>90 [Me preocupo por los problemas de mi paÃ­s y me involucro en las soluciones]</t>
  </si>
  <si>
    <t>91 [Me implico activamente en crear oportunidades que me generen ingresos]</t>
  </si>
  <si>
    <t>91 [Sacrifico horas de sueÃ±o si es necesario para sacar adelante proyectos que para mÃ­ son importantes]</t>
  </si>
  <si>
    <t>92 [Dirijo mi vida en la direcciÃ³n que quiero ir]</t>
  </si>
  <si>
    <t>92 [Puedo trabajar durante muchas horas manteniendo el mismo nivel de energÃ­a]</t>
  </si>
  <si>
    <t>93 [Cuando se pide la participaciÃ³n de todos soy el primero en levantar la mano]</t>
  </si>
  <si>
    <t>93 [Puedo adivinar la intenciÃ³n real de otras personas al hablar con ellos]</t>
  </si>
  <si>
    <t>94 [Hoy estoy cumpliendo con mis propÃ³sitos de vida mÃ¡s importantes]</t>
  </si>
  <si>
    <t>94 [Conozco las barreras que tendrÃ© que superar para lograr mis objetivos]</t>
  </si>
  <si>
    <t>95 [FÃ¡cilmente puedo pensar en estrategias para diversificar mis inversiones]</t>
  </si>
  <si>
    <t>95 [Si alguien no estÃ¡ participando me acerco para ayudarlo a involucrarse]</t>
  </si>
  <si>
    <t>96 [Me comprometo con mis proyectos y objetivos hasta sus Ãºltimas consecuencias]</t>
  </si>
  <si>
    <t>96 [Me aseguro de tener unas finanzas sanas]</t>
  </si>
  <si>
    <t>97 [Mantengo expectativas bajas para mÃ­ mismo]</t>
  </si>
  <si>
    <t>97 [En situaciones difÃ­ciles me pongo serio y pierdo el sentido del humor]</t>
  </si>
  <si>
    <t>98 [Actualmente no estoy desarrollando ninguna nueva habilidad que me ayude a hacer mejor mi trabajo]</t>
  </si>
  <si>
    <t>98 [Me es difÃ­cil concentrar mi energÃ­a en la direcciÃ³n que quiero ir]</t>
  </si>
  <si>
    <t>99 [Cuando algo sale mal tiendo a quejarme, echar la culpa o seÃ±alar a las circunstancias]</t>
  </si>
  <si>
    <t>99 [Prefiero alejarme de la gente]</t>
  </si>
  <si>
    <t>100 [Me distraigo y pierdo el tiempo fÃ¡cilmente]</t>
  </si>
  <si>
    <t>100 [Generalmente las personas no me reconocen como autoridad]</t>
  </si>
  <si>
    <t>101 [Me comprometo con entusiasmo pero luego se me olvida]</t>
  </si>
  <si>
    <t>101 [Las cosas que se me ocurren son aburridas y poco creativas]</t>
  </si>
  <si>
    <t>102 [AceptarÃ­a cualquier trabajo porque sÃ© que de todo puedo aprender muy rÃ¡pido]</t>
  </si>
  <si>
    <t>102 [TodavÃ­a no identifico quÃ© es lo que quiero lograr en mi vida]</t>
  </si>
  <si>
    <t>103 [Me es difÃ­cil anticipar mis cambios de Ã¡nimo]</t>
  </si>
  <si>
    <t>103 [No veo cÃ³mo yo pueda resolver mis problemas actuales]</t>
  </si>
  <si>
    <t>104 [DifÃ­cilmente me entero de lo que se estÃ¡ haciendo en otros campos diferentes al mÃ­o]</t>
  </si>
  <si>
    <t>104 [No estoy disfrutando mi vida como me gustarÃ­a]</t>
  </si>
  <si>
    <t>105 [Cuando no entiendo algo me desespero y lo abandono]</t>
  </si>
  <si>
    <t>105 [Dudo que mi voto sea de mucha utilidad]</t>
  </si>
  <si>
    <t>106 [Actualmente no invierto mi dinero]</t>
  </si>
  <si>
    <t>106 [No veo sentido en exigirme demasiado]</t>
  </si>
  <si>
    <t>107 [Muy poco se me ocurren ideas creativas y novedosas]</t>
  </si>
  <si>
    <t>107 [Sospecho que yo mismo bloqueo las oportunidades, a veces sin darme cuenta]</t>
  </si>
  <si>
    <t>108 [En los Ãºltimos seis meses me quedÃ© sin dinero por lo menos una vez]</t>
  </si>
  <si>
    <t>108 [Tengo un asunto no resuelto que me hace perder la concentraciÃ³n]</t>
  </si>
  <si>
    <t>109 [Si me ofrecieran un trabajo para el que sÃ© que no tengo capacidad suficiente, igual lo tomarÃ­a]</t>
  </si>
  <si>
    <t>109 [Mi desempeÃ±o estÃ¡ por debajo de las expectativas]</t>
  </si>
  <si>
    <t>110 [Algunos dirÃ­an que soy intolerante o que no acepto a las personas como son]</t>
  </si>
  <si>
    <t>110 [Me esfuerzo poco para superarme a mÃ­ mismo]</t>
  </si>
  <si>
    <t>111 [Frecuentemente soy el Ãºltimo en darse cuenta de que las cosas no van bien]</t>
  </si>
  <si>
    <t>111 [Bajo estrÃ©s actÃºo con prisas y de forma descuidada]</t>
  </si>
  <si>
    <t>112 [Con frecuencia confundo mis emociones]</t>
  </si>
  <si>
    <t>112 [Mi desempeÃ±o se disminuye en situaciones de mucha exigencia]</t>
  </si>
  <si>
    <t>113 [Me dejo llevar por lo que opinan los demÃ¡s]</t>
  </si>
  <si>
    <t>113 [A veces aparento tener virtudes que en realidad no poseo]</t>
  </si>
  <si>
    <t>114 [Mi nivel de ingreso se ha mantenido igual desde hace aÃ±os]</t>
  </si>
  <si>
    <t>114 [Se me dificulta reconocer mis errores y fracasos]</t>
  </si>
  <si>
    <t>115 [Soy capaz de mentir para librarme de problemas]</t>
  </si>
  <si>
    <t>115 [A veces siento que no soy lo suficientemente bueno para lograr lo que quiero]</t>
  </si>
  <si>
    <t>116 [Desarrollar nuevas habilidades no es prioritario para mÃ­ en este momento]</t>
  </si>
  <si>
    <t>116 [Me cuesta entender los sentimientos de otras personas]</t>
  </si>
  <si>
    <t>117 [No tengo muchos motivos para enorgullecerme de mÃ­ mismo]</t>
  </si>
  <si>
    <t>117 [Pierdo mucho tiempo buscando mis cosas cuando las necesito]</t>
  </si>
  <si>
    <t>118 [No arriesgarÃ­a recursos propios para abrir un negocio]</t>
  </si>
  <si>
    <t>118 [Se me dificulta cumplir a tiempo con mis obligaciones]</t>
  </si>
  <si>
    <t>119 [Me desanimo con facilidad ante los obstÃ¡culos]</t>
  </si>
  <si>
    <t>119 [Se me ocurren ideas pero me cuesta llevarlas a la prÃ¡ctica]</t>
  </si>
  <si>
    <t>120 [Prefiero ser conservador y esperar lo menos de la vida]</t>
  </si>
  <si>
    <t>120 [En ocasiones soy inconstante o indisciplinado]</t>
  </si>
  <si>
    <t>121 [Se me dificulta reconocer las buenas oportunidades de negocio]</t>
  </si>
  <si>
    <t>121 [Me es difÃ­cil darme cuenta cuando alguien me estÃ¡ mintiendo]</t>
  </si>
  <si>
    <t>122 [Trabajo mucho pero consigo pocos resultados]</t>
  </si>
  <si>
    <t>122 [He alterado la verdad cuando ha sido necesario para zafarme de problemas]</t>
  </si>
  <si>
    <t>123 [Compro cosas sin pensarlo lo suficiente]</t>
  </si>
  <si>
    <t>123 [Desde la Ãºltima vez que fracasÃ© no estoy intentando nada nuevo]</t>
  </si>
  <si>
    <t>124 [Desconozco cÃ³mo es que los cambios en el entorno pudieran afectar mis planes]</t>
  </si>
  <si>
    <t>124 [Se me dificulta relacionarme con los demÃ¡s]</t>
  </si>
  <si>
    <t>125 [Los problemas me crecen por no atender a tiempo mis asuntos]</t>
  </si>
  <si>
    <t>125 [Al discutir con mi pareja (o familia) pierdo rÃ¡pidamente la paciencia]</t>
  </si>
  <si>
    <t>126 [Intento concentrarme pero pierdo el foco con facilidad]</t>
  </si>
  <si>
    <t>126 [Hacer una contribuciÃ³n importante al mundo no es algo que me preocupe por el momento]</t>
  </si>
  <si>
    <t>127 [A veces creo que me quejo mucho pero no propongo]</t>
  </si>
  <si>
    <t>127 [Dudo de mi capacidad para convencer a otros]</t>
  </si>
  <si>
    <t>128 [Me es difÃ­cil imaginar cÃ³mo serÃ¡ mi vida dentro de unos aÃ±os]</t>
  </si>
  <si>
    <t>128 [Soy muy permisivo con los demÃ¡s]</t>
  </si>
  <si>
    <t>129 [Quiero hacer muchas cosas pero me canso con facilidad]</t>
  </si>
  <si>
    <t>129 [Se me dificulta tomar decisiones bajo estrÃ©s]</t>
  </si>
  <si>
    <t>130 [Soy desordenado con mis finanzas]</t>
  </si>
  <si>
    <t>130 [Me cuesta aceptarme como soy]</t>
  </si>
  <si>
    <t>131 [Desconozco quÃ© opciones tengo para invertir mi dinero]</t>
  </si>
  <si>
    <t>131 [Seguir estudiando es lo Ãºltimo que harÃ­a]</t>
  </si>
  <si>
    <t>132 [Desconozco de quÃ© forma podrÃ­a aprovechar mis talentos para generar mayores ingresos]</t>
  </si>
  <si>
    <t>132 [Pospongo lo mÃ¡s que puedo las tareas que no me gustan]</t>
  </si>
  <si>
    <t>133 [En una emergencia se me dificulta mantenerme concentrado]</t>
  </si>
  <si>
    <t>133 [Tiendo a dejar que se me acumulen los pendientes]</t>
  </si>
  <si>
    <t>134 [Dudo que mis circunstancias puedan mejorar para el mes que viene]</t>
  </si>
  <si>
    <t>134 [Estoy poco enterado de los problemas que hay en el mundo]</t>
  </si>
  <si>
    <t>135 [A veces hago las cosas sin seguir un orden lÃ³gico]</t>
  </si>
  <si>
    <t>135 [Inicio con fuerza pero pasado un tiempo, dejo de dar seguimiento a mis avances]</t>
  </si>
  <si>
    <t>136 [Tiendo a perder la paciencia]</t>
  </si>
  <si>
    <t>136 [Me frustra darme cuenta de lo limitado que hoy me siento]</t>
  </si>
  <si>
    <t>137 [Abandono las tareas que me exigen demasiado esfuerzo]</t>
  </si>
  <si>
    <t>137 [Hay veces en las que tomar algo que no es tuyo puede estar justificado]</t>
  </si>
  <si>
    <t>138 [Me es difÃ­cil apegarme a los acuerdos que hago otras personas]</t>
  </si>
  <si>
    <t>138 [Me rindo cuando las cosas parecen no tener soluciÃ³n]</t>
  </si>
  <si>
    <t>139 [Me cuesta prever las consecuencias de mis actos]</t>
  </si>
  <si>
    <t>139 [Cuando las cosas no van bien, pienso que deberÃ­a darme por vencido]</t>
  </si>
  <si>
    <t>140 [Cuando las cosas se tornan complicadas me es difÃ­cil saber quÃ© es lo correcto de hacer]</t>
  </si>
  <si>
    <t>140 [Me hace falta tener mÃ¡s energÃ­a para completar mis actividades del dÃ­a]</t>
  </si>
  <si>
    <t>141 [Desconozco el camino que debo seguir para hacer realidad mi visiÃ³n personal]</t>
  </si>
  <si>
    <t>141 [A menos que sea absolutamente necesario, no estoy dispuesto a cambiar mi forma de trabajo]</t>
  </si>
  <si>
    <t>142 [Se me dificulta pensar ideas innovadoras]</t>
  </si>
  <si>
    <t>142 [Me cierro a vivir nuevas experiencias]</t>
  </si>
  <si>
    <t>143 [Me resulta difÃ­cil disfrutar de mi vida]</t>
  </si>
  <si>
    <t>143 [Prefiero trabajar solo]</t>
  </si>
  <si>
    <t>144 [Me cuesta trabajo hablar en pÃºblico]</t>
  </si>
  <si>
    <t>144 [A veces tengo que pedir prestado para cumplir con mis gastos del mes]</t>
  </si>
  <si>
    <t>145 [Prefiero no tener un plan y dejar que la vida me sorprenda]</t>
  </si>
  <si>
    <t>145 [Cuando estoy estresado suelo reaccionar de mal modo con los demÃ¡s]</t>
  </si>
  <si>
    <t>146 [Para reconocer mis errores, necesito que otros me los hagan ver]</t>
  </si>
  <si>
    <t>146 [He dejado que otros paguen las consecuencias de mis malas decisiones]</t>
  </si>
  <si>
    <t>147 [Soy insensible a los problemas ajenos]</t>
  </si>
  <si>
    <t>147 [Entrar en contacto con otras personas me pone nervioso]</t>
  </si>
  <si>
    <t>148 [Se me dificulta relacionar conceptos complejos o ideas muy abstractas]</t>
  </si>
  <si>
    <t>148 [No acostumbro seguir un presupuesto de gasto]</t>
  </si>
  <si>
    <t>149 [Es difÃ­cil que cambie mi forma de hacer las cosas aunque me de cuenta de que no me estÃ¡n funcionando]</t>
  </si>
  <si>
    <t>149 [Es raro que me ponga a investigar que estÃ¡ sucediendo en mi paÃ­s o en el mundo]</t>
  </si>
  <si>
    <t>150 [Dudo tener el talento que se necesita para lograr el Ã©xito que pretendo]</t>
  </si>
  <si>
    <t>150 [Los proyectos en los que estoy involucrado obstaculizan mi camino hacia mis ideales]</t>
  </si>
  <si>
    <t>151 [Me siento preocupado por temas de dinero]</t>
  </si>
  <si>
    <t>151 [Me va mejor en trabajos de baja responsabilidad]</t>
  </si>
  <si>
    <t>152 [Mis emociones tienden a afectar mi objetividad]</t>
  </si>
  <si>
    <t>152 [DesconfÃ­o del futuro y de las nuevas ideas]</t>
  </si>
  <si>
    <t>153 [TodavÃ­a no tengo claro cuÃ¡l es mi propÃ³sito en la vida]</t>
  </si>
  <si>
    <t>153 [La gente dirÃ­a que me cuesta mucho reponerme de los fracasos]</t>
  </si>
  <si>
    <t>154 [Tiendo a dejar las cosas para despuÃ©s]</t>
  </si>
  <si>
    <t>154 [Desconozco cuÃ¡nto debo, cuÃ¡nto gano o cuÃ¡nto tengo]</t>
  </si>
  <si>
    <t>155 [Me doy cuenta que estoy equivocado hasta que alguien me lo avisa]</t>
  </si>
  <si>
    <t>155 [Me impaciento cuando alguien me platica sus problemas]</t>
  </si>
  <si>
    <t>156 [Me siento intranquilo o irritable ante situaciones nuevas o cambiantes]</t>
  </si>
  <si>
    <t>156 [Invariablemente me quedo sin dinero]</t>
  </si>
  <si>
    <t>157 [Me enfada escuchar crÃ­ticas sobre mi trabajo]</t>
  </si>
  <si>
    <t>157 [Necesito supervisiÃ³n para completar mis tareas]</t>
  </si>
  <si>
    <t>158 [Acepto las nuevas oportunidades de trabajo aunque estas no correspondan a mi predilecciÃ³n]</t>
  </si>
  <si>
    <t>158 [Si un libro se vuelve difÃ­cil de entender, lo abandono y comienzo uno nuevo]</t>
  </si>
  <si>
    <t>159 [Conocer las razones del porquÃ© de los problemas no es interesante para mÃ­]</t>
  </si>
  <si>
    <t>159 [Desconozco quÃ© es lo que mÃ¡s me conviene hacer para lograr mis ideales]</t>
  </si>
  <si>
    <t>160 [Cuando se me agota el entusiasmo inicial, abandono la actividad para ir por otra nueva]</t>
  </si>
  <si>
    <t>160 [En situaciones de presiÃ³n cometo mÃ¡s errores de lo normal]</t>
  </si>
  <si>
    <t>161 [Funciono mejor en trabajos de baja responsabilidad]</t>
  </si>
  <si>
    <t>161 [Invariablemente veo primero por mis propios intereses]</t>
  </si>
  <si>
    <t>162 [En situaciones de conflicto pierdo el profesionalismo]</t>
  </si>
  <si>
    <t>162 [En ocasiones actÃºo impulsivamente]</t>
  </si>
  <si>
    <t>163 [Pierdo la motivaciÃ³n cuando las cosas no salen como quiero]</t>
  </si>
  <si>
    <t>163 [No me motiva recibir reconocimientos por mi buen desempeÃ±o]</t>
  </si>
  <si>
    <t>164 [Ignoro cuÃ¡les son los retos a los que se enfrentarÃ¡ mi profesiÃ³n en el corto plazo]</t>
  </si>
  <si>
    <t>164 [Es comÃºn que en las negociaciones con otros yo salga perdiendo]</t>
  </si>
  <si>
    <t>165 [Me cuesta reconocer mis Ã¡reas de oportunidad]</t>
  </si>
  <si>
    <t>165 [Tiendo a reaccionar a los problemas cuando ya se presentaron o cuando ya es demasiado tarde]</t>
  </si>
  <si>
    <t>166 [Tengo planes, pero no hago mucho por traerlos a la prÃ¡ctica]</t>
  </si>
  <si>
    <t>166 [Cometer errores me desanima al grado de pensar en renunciar a mi objetivo]</t>
  </si>
  <si>
    <t>167 [Prefiero los trabajos de poca exigencia]</t>
  </si>
  <si>
    <t>167 [Discutir temas difÃ­ciles con otros me pone irritable o de mal humor]</t>
  </si>
  <si>
    <t>168 [Me preocupa la idea de no estar acompaÃ±ado]</t>
  </si>
  <si>
    <t>168 [Me frustro cuando pienso en mi situaciÃ³n actual]</t>
  </si>
  <si>
    <t>( - ) Me identifico menos (Mayormente falso)</t>
  </si>
  <si>
    <t>( + ) Me identifico m√°s (Mayormente cierto)</t>
  </si>
  <si>
    <t>Caso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</si>
</sst>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Webdings"/>
      <family val="1"/>
      <charset val="2"/>
    </font>
    <font>
      <sz val="11"/>
      <name val="Webdings"/>
      <family val="1"/>
      <charset val="2"/>
    </font>
    <font>
      <b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7CB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7CBF2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2" borderId="1" xfId="0" applyFont="1" applyFill="1" applyBorder="1"/>
    <xf numFmtId="0" fontId="2" fillId="0" borderId="2" xfId="0" applyFont="1" applyBorder="1"/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right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2" borderId="8" xfId="0" applyFont="1" applyFill="1" applyBorder="1"/>
    <xf numFmtId="0" fontId="3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1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2" borderId="14" xfId="0" applyFont="1" applyFill="1" applyBorder="1"/>
    <xf numFmtId="0" fontId="2" fillId="0" borderId="15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3" borderId="2" xfId="0" applyFont="1" applyFill="1" applyBorder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2" fillId="3" borderId="15" xfId="0" applyFont="1" applyFill="1" applyBorder="1"/>
    <xf numFmtId="0" fontId="5" fillId="0" borderId="0" xfId="0" applyFont="1" applyAlignment="1">
      <alignment horizontal="center"/>
    </xf>
    <xf numFmtId="0" fontId="5" fillId="4" borderId="0" xfId="0" applyFont="1" applyFill="1"/>
    <xf numFmtId="0" fontId="2" fillId="4" borderId="0" xfId="0" applyFont="1" applyFill="1"/>
    <xf numFmtId="0" fontId="0" fillId="0" borderId="0" xfId="0" applyAlignment="1">
      <alignment horizontal="right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2" borderId="0" xfId="0" applyFont="1" applyFill="1"/>
    <xf numFmtId="0" fontId="2" fillId="2" borderId="15" xfId="0" applyFont="1" applyFill="1" applyBorder="1"/>
    <xf numFmtId="0" fontId="1" fillId="2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" fillId="0" borderId="23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8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8" xfId="0" applyBorder="1"/>
    <xf numFmtId="0" fontId="0" fillId="0" borderId="25" xfId="0" applyBorder="1"/>
    <xf numFmtId="0" fontId="0" fillId="0" borderId="14" xfId="0" applyBorder="1"/>
    <xf numFmtId="0" fontId="0" fillId="0" borderId="22" xfId="0" applyBorder="1"/>
    <xf numFmtId="0" fontId="5" fillId="0" borderId="0" xfId="0" applyFont="1" applyAlignment="1">
      <alignment horizontal="right"/>
    </xf>
    <xf numFmtId="0" fontId="2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1" fillId="6" borderId="0" xfId="0" applyFont="1" applyFill="1" applyAlignment="1">
      <alignment vertical="center"/>
    </xf>
    <xf numFmtId="0" fontId="1" fillId="6" borderId="23" xfId="0" applyFont="1" applyFill="1" applyBorder="1" applyAlignment="1">
      <alignment vertical="center"/>
    </xf>
    <xf numFmtId="0" fontId="1" fillId="6" borderId="2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2" fillId="6" borderId="8" xfId="0" applyFont="1" applyFill="1" applyBorder="1" applyAlignment="1">
      <alignment vertical="center"/>
    </xf>
    <xf numFmtId="0" fontId="1" fillId="6" borderId="25" xfId="0" applyFont="1" applyFill="1" applyBorder="1" applyAlignment="1">
      <alignment horizontal="center" vertical="center"/>
    </xf>
    <xf numFmtId="1" fontId="0" fillId="6" borderId="0" xfId="0" applyNumberFormat="1" applyFill="1" applyAlignment="1">
      <alignment horizontal="center"/>
    </xf>
    <xf numFmtId="0" fontId="2" fillId="6" borderId="1" xfId="0" applyFont="1" applyFill="1" applyBorder="1" applyAlignment="1">
      <alignment vertical="center"/>
    </xf>
    <xf numFmtId="0" fontId="2" fillId="6" borderId="25" xfId="0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25" xfId="0" applyFill="1" applyBorder="1"/>
    <xf numFmtId="0" fontId="0" fillId="6" borderId="14" xfId="0" applyFill="1" applyBorder="1"/>
    <xf numFmtId="0" fontId="0" fillId="6" borderId="22" xfId="0" applyFill="1" applyBorder="1"/>
    <xf numFmtId="0" fontId="7" fillId="0" borderId="0" xfId="0" applyFont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12" borderId="0" xfId="0" applyFont="1" applyFill="1"/>
    <xf numFmtId="0" fontId="1" fillId="1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5" fillId="2" borderId="0" xfId="0" applyFont="1" applyFill="1"/>
    <xf numFmtId="0" fontId="2" fillId="10" borderId="0" xfId="0" applyFont="1" applyFill="1"/>
    <xf numFmtId="0" fontId="2" fillId="10" borderId="0" xfId="0" applyFont="1" applyFill="1" applyAlignment="1">
      <alignment horizontal="left"/>
    </xf>
    <xf numFmtId="0" fontId="2" fillId="13" borderId="0" xfId="0" applyFont="1" applyFill="1"/>
    <xf numFmtId="0" fontId="2" fillId="13" borderId="0" xfId="0" applyFont="1" applyFill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0" fillId="14" borderId="0" xfId="0" applyFont="1" applyFill="1"/>
    <xf numFmtId="0" fontId="10" fillId="15" borderId="0" xfId="0" applyFont="1" applyFill="1"/>
    <xf numFmtId="0" fontId="9" fillId="1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2" fontId="10" fillId="0" borderId="0" xfId="0" applyNumberFormat="1" applyFont="1" applyAlignment="1">
      <alignment horizontal="center"/>
    </xf>
    <xf numFmtId="0" fontId="10" fillId="16" borderId="0" xfId="0" applyFont="1" applyFill="1"/>
    <xf numFmtId="0" fontId="10" fillId="17" borderId="0" xfId="0" applyFont="1" applyFill="1"/>
    <xf numFmtId="0" fontId="10" fillId="0" borderId="0" xfId="0" applyFont="1" applyAlignment="1">
      <alignment horizontal="left" vertical="center"/>
    </xf>
    <xf numFmtId="0" fontId="10" fillId="18" borderId="0" xfId="0" applyFont="1" applyFill="1"/>
    <xf numFmtId="0" fontId="9" fillId="19" borderId="0" xfId="0" applyFont="1" applyFill="1" applyAlignment="1">
      <alignment horizontal="left"/>
    </xf>
    <xf numFmtId="0" fontId="10" fillId="19" borderId="0" xfId="0" applyFont="1" applyFill="1"/>
    <xf numFmtId="0" fontId="12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io/Dropbox/__Psicofinanzas%20Personales/Desarrollo%20sistema/TH%20Agencia/Caso%201%20DPO-PRO.xlsm" TargetMode="External"/><Relationship Id="rId1" Type="http://schemas.openxmlformats.org/officeDocument/2006/relationships/externalLinkPath" Target="Caso%201%20DPO-P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Molde"/>
      <sheetName val="BaseResultados"/>
      <sheetName val="Origen"/>
      <sheetName val="Equivalencias"/>
      <sheetName val="Puntuación"/>
      <sheetName val="Conversión"/>
      <sheetName val="HMolde"/>
      <sheetName val="DescripcionesF"/>
      <sheetName val="BasePerfiles"/>
      <sheetName val="HMolde (2)"/>
      <sheetName val="Plantilla"/>
      <sheetName val="Portada"/>
      <sheetName val="ContraPortada"/>
      <sheetName val="Desc1"/>
      <sheetName val="Desc2"/>
      <sheetName val="Desc3"/>
      <sheetName val="GráficaRendimiento"/>
      <sheetName val="GráficaRendimiento (2)"/>
      <sheetName val="CuadroRes"/>
      <sheetName val="PerfilPers"/>
      <sheetName val="ApeNorm"/>
      <sheetName val="SuperEmpod"/>
      <sheetName val="Lateral"/>
      <sheetName val="IntSocial"/>
      <sheetName val="ImpReso"/>
      <sheetName val="Ambicion"/>
      <sheetName val="TomaRies"/>
      <sheetName val="HabInfCom"/>
      <sheetName val="Involuc"/>
      <sheetName val="DispAuto"/>
      <sheetName val="Conducc"/>
      <sheetName val="Iniciativa"/>
      <sheetName val="Cuadrantes"/>
      <sheetName val="Competencias"/>
      <sheetName val="Definiciones"/>
      <sheetName val="Definiciones2"/>
      <sheetName val="HojaFinal"/>
    </sheetNames>
    <sheetDataSet>
      <sheetData sheetId="0"/>
      <sheetData sheetId="1"/>
      <sheetData sheetId="2"/>
      <sheetData sheetId="3">
        <row r="2">
          <cell r="BX2" t="str">
            <v>Influencia</v>
          </cell>
        </row>
        <row r="3">
          <cell r="V3">
            <v>0</v>
          </cell>
          <cell r="W3">
            <v>1</v>
          </cell>
          <cell r="X3">
            <v>0</v>
          </cell>
          <cell r="Y3">
            <v>1</v>
          </cell>
          <cell r="Z3">
            <v>0</v>
          </cell>
          <cell r="AA3">
            <v>1</v>
          </cell>
          <cell r="AB3">
            <v>0</v>
          </cell>
          <cell r="AC3">
            <v>1</v>
          </cell>
          <cell r="AD3">
            <v>0</v>
          </cell>
          <cell r="AE3">
            <v>1</v>
          </cell>
          <cell r="AF3">
            <v>0</v>
          </cell>
          <cell r="AG3">
            <v>1</v>
          </cell>
          <cell r="AH3">
            <v>0</v>
          </cell>
          <cell r="AI3">
            <v>1</v>
          </cell>
          <cell r="AJ3">
            <v>0</v>
          </cell>
          <cell r="AK3">
            <v>1</v>
          </cell>
          <cell r="AL3">
            <v>0</v>
          </cell>
          <cell r="AM3">
            <v>1</v>
          </cell>
          <cell r="AN3">
            <v>0</v>
          </cell>
          <cell r="AO3">
            <v>1</v>
          </cell>
          <cell r="AP3">
            <v>0</v>
          </cell>
          <cell r="AQ3">
            <v>1</v>
          </cell>
          <cell r="AR3">
            <v>0</v>
          </cell>
          <cell r="AS3">
            <v>1</v>
          </cell>
          <cell r="AT3">
            <v>0</v>
          </cell>
          <cell r="AU3">
            <v>1</v>
          </cell>
          <cell r="AV3">
            <v>0</v>
          </cell>
          <cell r="AW3">
            <v>1</v>
          </cell>
          <cell r="AX3">
            <v>0</v>
          </cell>
          <cell r="AY3">
            <v>1</v>
          </cell>
          <cell r="AZ3">
            <v>0</v>
          </cell>
          <cell r="BA3">
            <v>1</v>
          </cell>
          <cell r="BB3">
            <v>0</v>
          </cell>
          <cell r="BC3">
            <v>1</v>
          </cell>
          <cell r="BD3">
            <v>0</v>
          </cell>
          <cell r="BE3">
            <v>1</v>
          </cell>
          <cell r="BF3">
            <v>0</v>
          </cell>
          <cell r="BG3">
            <v>1</v>
          </cell>
          <cell r="BH3">
            <v>0</v>
          </cell>
          <cell r="BI3">
            <v>1</v>
          </cell>
          <cell r="BJ3">
            <v>0</v>
          </cell>
          <cell r="BK3">
            <v>1</v>
          </cell>
          <cell r="BL3">
            <v>0</v>
          </cell>
          <cell r="BM3">
            <v>1</v>
          </cell>
          <cell r="BN3">
            <v>0</v>
          </cell>
          <cell r="BO3">
            <v>1</v>
          </cell>
          <cell r="BP3">
            <v>0</v>
          </cell>
          <cell r="BQ3">
            <v>1</v>
          </cell>
          <cell r="BR3">
            <v>0</v>
          </cell>
          <cell r="BS3">
            <v>1</v>
          </cell>
          <cell r="BT3">
            <v>0</v>
          </cell>
          <cell r="BU3">
            <v>1</v>
          </cell>
          <cell r="BV3">
            <v>0</v>
          </cell>
          <cell r="BW3">
            <v>1</v>
          </cell>
          <cell r="BX3">
            <v>0</v>
          </cell>
          <cell r="BY3">
            <v>1</v>
          </cell>
          <cell r="BZ3">
            <v>0</v>
          </cell>
          <cell r="CA3">
            <v>1</v>
          </cell>
          <cell r="CB3">
            <v>0</v>
          </cell>
          <cell r="CC3">
            <v>1</v>
          </cell>
          <cell r="CD3">
            <v>0</v>
          </cell>
          <cell r="CE3">
            <v>1</v>
          </cell>
          <cell r="CF3">
            <v>0</v>
          </cell>
          <cell r="CG3">
            <v>1</v>
          </cell>
          <cell r="CH3">
            <v>0</v>
          </cell>
          <cell r="CI3">
            <v>1</v>
          </cell>
          <cell r="CJ3">
            <v>0</v>
          </cell>
          <cell r="CK3">
            <v>1</v>
          </cell>
          <cell r="CL3">
            <v>0</v>
          </cell>
          <cell r="CM3">
            <v>1</v>
          </cell>
          <cell r="CN3">
            <v>0</v>
          </cell>
          <cell r="CO3">
            <v>1</v>
          </cell>
          <cell r="CP3">
            <v>0</v>
          </cell>
          <cell r="CQ3">
            <v>1</v>
          </cell>
          <cell r="CR3">
            <v>0</v>
          </cell>
          <cell r="CS3">
            <v>1</v>
          </cell>
          <cell r="CT3">
            <v>0</v>
          </cell>
          <cell r="CU3">
            <v>1</v>
          </cell>
          <cell r="CV3">
            <v>0</v>
          </cell>
          <cell r="CW3">
            <v>1</v>
          </cell>
          <cell r="CX3">
            <v>0</v>
          </cell>
          <cell r="CY3">
            <v>1</v>
          </cell>
          <cell r="CZ3">
            <v>0</v>
          </cell>
          <cell r="DA3">
            <v>1</v>
          </cell>
          <cell r="DB3">
            <v>0</v>
          </cell>
          <cell r="DC3">
            <v>1</v>
          </cell>
          <cell r="DD3">
            <v>0</v>
          </cell>
          <cell r="DE3">
            <v>1</v>
          </cell>
          <cell r="DF3">
            <v>0</v>
          </cell>
          <cell r="DG3">
            <v>1</v>
          </cell>
          <cell r="DH3">
            <v>0</v>
          </cell>
          <cell r="DI3">
            <v>1</v>
          </cell>
          <cell r="DJ3">
            <v>0</v>
          </cell>
          <cell r="DK3">
            <v>1</v>
          </cell>
          <cell r="DL3">
            <v>0</v>
          </cell>
          <cell r="DM3">
            <v>1</v>
          </cell>
          <cell r="GR3">
            <v>0</v>
          </cell>
          <cell r="GS3">
            <v>1</v>
          </cell>
        </row>
        <row r="4">
          <cell r="V4">
            <v>6.8000000000000007</v>
          </cell>
          <cell r="W4">
            <v>2</v>
          </cell>
          <cell r="X4">
            <v>3</v>
          </cell>
          <cell r="Y4">
            <v>2</v>
          </cell>
          <cell r="Z4">
            <v>5</v>
          </cell>
          <cell r="AA4">
            <v>2</v>
          </cell>
          <cell r="AB4">
            <v>8</v>
          </cell>
          <cell r="AC4">
            <v>2</v>
          </cell>
          <cell r="AD4">
            <v>7</v>
          </cell>
          <cell r="AE4">
            <v>2</v>
          </cell>
          <cell r="AF4">
            <v>6</v>
          </cell>
          <cell r="AG4">
            <v>2</v>
          </cell>
          <cell r="AH4">
            <v>9</v>
          </cell>
          <cell r="AI4">
            <v>2</v>
          </cell>
          <cell r="AJ4">
            <v>7</v>
          </cell>
          <cell r="AK4">
            <v>2</v>
          </cell>
          <cell r="AL4">
            <v>8</v>
          </cell>
          <cell r="AM4">
            <v>2</v>
          </cell>
          <cell r="AN4">
            <v>5</v>
          </cell>
          <cell r="AO4">
            <v>2</v>
          </cell>
          <cell r="AP4">
            <v>4</v>
          </cell>
          <cell r="AQ4">
            <v>2</v>
          </cell>
          <cell r="AR4">
            <v>4</v>
          </cell>
          <cell r="AS4">
            <v>2</v>
          </cell>
          <cell r="AT4">
            <v>2</v>
          </cell>
          <cell r="AU4">
            <v>2</v>
          </cell>
          <cell r="AV4">
            <v>8</v>
          </cell>
          <cell r="AW4">
            <v>2</v>
          </cell>
          <cell r="AX4">
            <v>6</v>
          </cell>
          <cell r="AY4">
            <v>2</v>
          </cell>
          <cell r="AZ4">
            <v>8</v>
          </cell>
          <cell r="BA4">
            <v>2</v>
          </cell>
          <cell r="BB4">
            <v>7</v>
          </cell>
          <cell r="BC4">
            <v>2</v>
          </cell>
          <cell r="BD4">
            <v>3</v>
          </cell>
          <cell r="BE4">
            <v>2</v>
          </cell>
          <cell r="BF4">
            <v>5</v>
          </cell>
          <cell r="BG4">
            <v>2</v>
          </cell>
          <cell r="BH4">
            <v>10</v>
          </cell>
          <cell r="BI4">
            <v>2</v>
          </cell>
          <cell r="BJ4">
            <v>3</v>
          </cell>
          <cell r="BK4">
            <v>2</v>
          </cell>
          <cell r="BL4">
            <v>7</v>
          </cell>
          <cell r="BM4">
            <v>2</v>
          </cell>
          <cell r="BN4">
            <v>3</v>
          </cell>
          <cell r="BO4">
            <v>2</v>
          </cell>
          <cell r="BP4">
            <v>2</v>
          </cell>
          <cell r="BQ4">
            <v>2</v>
          </cell>
          <cell r="BR4">
            <v>7</v>
          </cell>
          <cell r="BS4">
            <v>2</v>
          </cell>
          <cell r="BT4">
            <v>9</v>
          </cell>
          <cell r="BU4">
            <v>2</v>
          </cell>
          <cell r="BV4">
            <v>8</v>
          </cell>
          <cell r="BW4">
            <v>2</v>
          </cell>
          <cell r="BX4">
            <v>2</v>
          </cell>
          <cell r="BY4">
            <v>2</v>
          </cell>
          <cell r="BZ4">
            <v>2</v>
          </cell>
          <cell r="CA4">
            <v>2</v>
          </cell>
          <cell r="CB4">
            <v>4</v>
          </cell>
          <cell r="CC4">
            <v>2</v>
          </cell>
          <cell r="CD4">
            <v>4</v>
          </cell>
          <cell r="CE4">
            <v>2</v>
          </cell>
          <cell r="CF4">
            <v>7</v>
          </cell>
          <cell r="CG4">
            <v>2</v>
          </cell>
          <cell r="CH4">
            <v>4</v>
          </cell>
          <cell r="CI4">
            <v>2</v>
          </cell>
          <cell r="CJ4">
            <v>8</v>
          </cell>
          <cell r="CK4">
            <v>2</v>
          </cell>
          <cell r="CL4">
            <v>7</v>
          </cell>
          <cell r="CM4">
            <v>2</v>
          </cell>
          <cell r="CN4">
            <v>7</v>
          </cell>
          <cell r="CO4">
            <v>2</v>
          </cell>
          <cell r="CP4">
            <v>8</v>
          </cell>
          <cell r="CQ4">
            <v>2</v>
          </cell>
          <cell r="CR4">
            <v>7</v>
          </cell>
          <cell r="CS4">
            <v>2</v>
          </cell>
          <cell r="CT4">
            <v>8</v>
          </cell>
          <cell r="CU4">
            <v>2</v>
          </cell>
          <cell r="CV4">
            <v>2.8000000000000007</v>
          </cell>
          <cell r="CW4">
            <v>2</v>
          </cell>
          <cell r="CX4">
            <v>4</v>
          </cell>
          <cell r="CY4">
            <v>2</v>
          </cell>
          <cell r="CZ4">
            <v>3</v>
          </cell>
          <cell r="DA4">
            <v>2</v>
          </cell>
          <cell r="DB4">
            <v>4</v>
          </cell>
          <cell r="DC4">
            <v>2</v>
          </cell>
          <cell r="DD4">
            <v>3</v>
          </cell>
          <cell r="DE4">
            <v>2</v>
          </cell>
          <cell r="DF4">
            <v>6.8000000000000007</v>
          </cell>
          <cell r="DG4">
            <v>2</v>
          </cell>
          <cell r="DH4">
            <v>2</v>
          </cell>
          <cell r="DI4">
            <v>2</v>
          </cell>
          <cell r="DJ4">
            <v>7</v>
          </cell>
          <cell r="DK4">
            <v>2</v>
          </cell>
          <cell r="DL4">
            <v>3</v>
          </cell>
          <cell r="DM4">
            <v>2</v>
          </cell>
          <cell r="GR4">
            <v>7</v>
          </cell>
          <cell r="GS4">
            <v>2</v>
          </cell>
        </row>
        <row r="5">
          <cell r="V5">
            <v>8</v>
          </cell>
          <cell r="W5">
            <v>3</v>
          </cell>
          <cell r="X5">
            <v>4</v>
          </cell>
          <cell r="Y5">
            <v>3</v>
          </cell>
          <cell r="Z5">
            <v>6</v>
          </cell>
          <cell r="AA5">
            <v>3</v>
          </cell>
          <cell r="AB5">
            <v>10</v>
          </cell>
          <cell r="AC5">
            <v>3</v>
          </cell>
          <cell r="AD5">
            <v>9</v>
          </cell>
          <cell r="AE5">
            <v>3</v>
          </cell>
          <cell r="AF5">
            <v>8</v>
          </cell>
          <cell r="AG5">
            <v>3</v>
          </cell>
          <cell r="AH5">
            <v>11</v>
          </cell>
          <cell r="AI5">
            <v>3</v>
          </cell>
          <cell r="AJ5">
            <v>7.6000000000000014</v>
          </cell>
          <cell r="AK5">
            <v>3</v>
          </cell>
          <cell r="AL5">
            <v>10</v>
          </cell>
          <cell r="AM5">
            <v>3</v>
          </cell>
          <cell r="AN5">
            <v>6</v>
          </cell>
          <cell r="AO5">
            <v>3</v>
          </cell>
          <cell r="AP5">
            <v>6</v>
          </cell>
          <cell r="AQ5">
            <v>3</v>
          </cell>
          <cell r="AR5">
            <v>6</v>
          </cell>
          <cell r="AS5">
            <v>3</v>
          </cell>
          <cell r="AT5">
            <v>5</v>
          </cell>
          <cell r="AU5">
            <v>3</v>
          </cell>
          <cell r="AV5">
            <v>10.600000000000001</v>
          </cell>
          <cell r="AW5">
            <v>3</v>
          </cell>
          <cell r="AX5">
            <v>8</v>
          </cell>
          <cell r="AY5">
            <v>3</v>
          </cell>
          <cell r="AZ5">
            <v>10</v>
          </cell>
          <cell r="BA5">
            <v>3</v>
          </cell>
          <cell r="BB5">
            <v>10</v>
          </cell>
          <cell r="BC5">
            <v>3</v>
          </cell>
          <cell r="BD5">
            <v>5</v>
          </cell>
          <cell r="BE5">
            <v>3</v>
          </cell>
          <cell r="BF5">
            <v>7</v>
          </cell>
          <cell r="BG5">
            <v>3</v>
          </cell>
          <cell r="BH5">
            <v>12</v>
          </cell>
          <cell r="BI5">
            <v>3</v>
          </cell>
          <cell r="BJ5">
            <v>6</v>
          </cell>
          <cell r="BK5">
            <v>3</v>
          </cell>
          <cell r="BL5">
            <v>9</v>
          </cell>
          <cell r="BM5">
            <v>3</v>
          </cell>
          <cell r="BN5">
            <v>5</v>
          </cell>
          <cell r="BO5">
            <v>3</v>
          </cell>
          <cell r="BP5">
            <v>4</v>
          </cell>
          <cell r="BQ5">
            <v>3</v>
          </cell>
          <cell r="BR5">
            <v>9</v>
          </cell>
          <cell r="BS5">
            <v>3</v>
          </cell>
          <cell r="BT5">
            <v>11</v>
          </cell>
          <cell r="BU5">
            <v>3</v>
          </cell>
          <cell r="BV5">
            <v>10</v>
          </cell>
          <cell r="BW5">
            <v>3</v>
          </cell>
          <cell r="BX5">
            <v>5</v>
          </cell>
          <cell r="BY5">
            <v>3</v>
          </cell>
          <cell r="BZ5">
            <v>3</v>
          </cell>
          <cell r="CA5">
            <v>3</v>
          </cell>
          <cell r="CB5">
            <v>6</v>
          </cell>
          <cell r="CC5">
            <v>3</v>
          </cell>
          <cell r="CD5">
            <v>5</v>
          </cell>
          <cell r="CE5">
            <v>3</v>
          </cell>
          <cell r="CF5">
            <v>8</v>
          </cell>
          <cell r="CG5">
            <v>3</v>
          </cell>
          <cell r="CH5">
            <v>7</v>
          </cell>
          <cell r="CI5">
            <v>3</v>
          </cell>
          <cell r="CJ5">
            <v>10</v>
          </cell>
          <cell r="CK5">
            <v>3</v>
          </cell>
          <cell r="CL5">
            <v>8</v>
          </cell>
          <cell r="CM5">
            <v>3</v>
          </cell>
          <cell r="CN5">
            <v>9</v>
          </cell>
          <cell r="CO5">
            <v>3</v>
          </cell>
          <cell r="CP5">
            <v>10.600000000000001</v>
          </cell>
          <cell r="CQ5">
            <v>3</v>
          </cell>
          <cell r="CR5">
            <v>9.6000000000000014</v>
          </cell>
          <cell r="CS5">
            <v>3</v>
          </cell>
          <cell r="CT5">
            <v>10</v>
          </cell>
          <cell r="CU5">
            <v>3</v>
          </cell>
          <cell r="CV5">
            <v>4</v>
          </cell>
          <cell r="CW5">
            <v>3</v>
          </cell>
          <cell r="CX5">
            <v>7</v>
          </cell>
          <cell r="CY5">
            <v>3</v>
          </cell>
          <cell r="CZ5">
            <v>5</v>
          </cell>
          <cell r="DA5">
            <v>3</v>
          </cell>
          <cell r="DB5">
            <v>6</v>
          </cell>
          <cell r="DC5">
            <v>3</v>
          </cell>
          <cell r="DD5">
            <v>4</v>
          </cell>
          <cell r="DE5">
            <v>3</v>
          </cell>
          <cell r="DF5">
            <v>9</v>
          </cell>
          <cell r="DG5">
            <v>3</v>
          </cell>
          <cell r="DH5">
            <v>5</v>
          </cell>
          <cell r="DI5">
            <v>3</v>
          </cell>
          <cell r="DJ5">
            <v>9.6000000000000014</v>
          </cell>
          <cell r="DK5">
            <v>3</v>
          </cell>
          <cell r="DL5">
            <v>5</v>
          </cell>
          <cell r="DM5">
            <v>3</v>
          </cell>
          <cell r="GR5">
            <v>9.6000000000000014</v>
          </cell>
          <cell r="GS5">
            <v>3</v>
          </cell>
        </row>
        <row r="6">
          <cell r="V6">
            <v>10</v>
          </cell>
          <cell r="W6">
            <v>4</v>
          </cell>
          <cell r="X6">
            <v>6</v>
          </cell>
          <cell r="Y6">
            <v>4</v>
          </cell>
          <cell r="Z6">
            <v>8</v>
          </cell>
          <cell r="AA6">
            <v>4</v>
          </cell>
          <cell r="AB6">
            <v>12</v>
          </cell>
          <cell r="AC6">
            <v>4</v>
          </cell>
          <cell r="AD6">
            <v>9</v>
          </cell>
          <cell r="AE6">
            <v>4</v>
          </cell>
          <cell r="AF6">
            <v>9</v>
          </cell>
          <cell r="AG6">
            <v>4</v>
          </cell>
          <cell r="AH6">
            <v>13</v>
          </cell>
          <cell r="AI6">
            <v>4</v>
          </cell>
          <cell r="AJ6">
            <v>9</v>
          </cell>
          <cell r="AK6">
            <v>4</v>
          </cell>
          <cell r="AL6">
            <v>13</v>
          </cell>
          <cell r="AM6">
            <v>4</v>
          </cell>
          <cell r="AN6">
            <v>8</v>
          </cell>
          <cell r="AO6">
            <v>4</v>
          </cell>
          <cell r="AP6">
            <v>8</v>
          </cell>
          <cell r="AQ6">
            <v>4</v>
          </cell>
          <cell r="AR6">
            <v>8</v>
          </cell>
          <cell r="AS6">
            <v>4</v>
          </cell>
          <cell r="AT6">
            <v>6</v>
          </cell>
          <cell r="AU6">
            <v>4</v>
          </cell>
          <cell r="AV6">
            <v>12</v>
          </cell>
          <cell r="AW6">
            <v>4</v>
          </cell>
          <cell r="AX6">
            <v>9</v>
          </cell>
          <cell r="AY6">
            <v>4</v>
          </cell>
          <cell r="AZ6">
            <v>11</v>
          </cell>
          <cell r="BA6">
            <v>4</v>
          </cell>
          <cell r="BB6">
            <v>11</v>
          </cell>
          <cell r="BC6">
            <v>4</v>
          </cell>
          <cell r="BD6">
            <v>7</v>
          </cell>
          <cell r="BE6">
            <v>4</v>
          </cell>
          <cell r="BF6">
            <v>9</v>
          </cell>
          <cell r="BG6">
            <v>4</v>
          </cell>
          <cell r="BH6">
            <v>13</v>
          </cell>
          <cell r="BI6">
            <v>4</v>
          </cell>
          <cell r="BJ6">
            <v>7</v>
          </cell>
          <cell r="BK6">
            <v>4</v>
          </cell>
          <cell r="BL6">
            <v>10</v>
          </cell>
          <cell r="BM6">
            <v>4</v>
          </cell>
          <cell r="BN6">
            <v>6</v>
          </cell>
          <cell r="BO6">
            <v>4</v>
          </cell>
          <cell r="BP6">
            <v>6</v>
          </cell>
          <cell r="BQ6">
            <v>4</v>
          </cell>
          <cell r="BR6">
            <v>11</v>
          </cell>
          <cell r="BS6">
            <v>4</v>
          </cell>
          <cell r="BT6">
            <v>13</v>
          </cell>
          <cell r="BU6">
            <v>4</v>
          </cell>
          <cell r="BV6">
            <v>11</v>
          </cell>
          <cell r="BW6">
            <v>4</v>
          </cell>
          <cell r="BX6">
            <v>7</v>
          </cell>
          <cell r="BY6">
            <v>4</v>
          </cell>
          <cell r="BZ6">
            <v>4</v>
          </cell>
          <cell r="CA6">
            <v>4</v>
          </cell>
          <cell r="CB6">
            <v>7</v>
          </cell>
          <cell r="CC6">
            <v>4</v>
          </cell>
          <cell r="CD6">
            <v>7</v>
          </cell>
          <cell r="CE6">
            <v>4</v>
          </cell>
          <cell r="CF6">
            <v>10</v>
          </cell>
          <cell r="CG6">
            <v>4</v>
          </cell>
          <cell r="CH6">
            <v>9</v>
          </cell>
          <cell r="CI6">
            <v>4</v>
          </cell>
          <cell r="CJ6">
            <v>11</v>
          </cell>
          <cell r="CK6">
            <v>4</v>
          </cell>
          <cell r="CL6">
            <v>9</v>
          </cell>
          <cell r="CM6">
            <v>4</v>
          </cell>
          <cell r="CN6">
            <v>11</v>
          </cell>
          <cell r="CO6">
            <v>4</v>
          </cell>
          <cell r="CP6">
            <v>12</v>
          </cell>
          <cell r="CQ6">
            <v>4</v>
          </cell>
          <cell r="CR6">
            <v>11</v>
          </cell>
          <cell r="CS6">
            <v>4</v>
          </cell>
          <cell r="CT6">
            <v>12</v>
          </cell>
          <cell r="CU6">
            <v>4</v>
          </cell>
          <cell r="CV6">
            <v>6</v>
          </cell>
          <cell r="CW6">
            <v>4</v>
          </cell>
          <cell r="CX6">
            <v>8</v>
          </cell>
          <cell r="CY6">
            <v>4</v>
          </cell>
          <cell r="CZ6">
            <v>7</v>
          </cell>
          <cell r="DA6">
            <v>4</v>
          </cell>
          <cell r="DB6">
            <v>7</v>
          </cell>
          <cell r="DC6">
            <v>4</v>
          </cell>
          <cell r="DD6">
            <v>6</v>
          </cell>
          <cell r="DE6">
            <v>4</v>
          </cell>
          <cell r="DF6">
            <v>10</v>
          </cell>
          <cell r="DG6">
            <v>4</v>
          </cell>
          <cell r="DH6">
            <v>6</v>
          </cell>
          <cell r="DI6">
            <v>4</v>
          </cell>
          <cell r="DJ6">
            <v>11</v>
          </cell>
          <cell r="DK6">
            <v>4</v>
          </cell>
          <cell r="DL6">
            <v>6</v>
          </cell>
          <cell r="DM6">
            <v>4</v>
          </cell>
          <cell r="GR6">
            <v>11</v>
          </cell>
          <cell r="GS6">
            <v>4</v>
          </cell>
        </row>
        <row r="7">
          <cell r="V7">
            <v>12</v>
          </cell>
          <cell r="W7">
            <v>5</v>
          </cell>
          <cell r="X7">
            <v>7</v>
          </cell>
          <cell r="Y7">
            <v>5</v>
          </cell>
          <cell r="Z7">
            <v>9</v>
          </cell>
          <cell r="AA7">
            <v>5</v>
          </cell>
          <cell r="AB7">
            <v>13</v>
          </cell>
          <cell r="AC7">
            <v>5</v>
          </cell>
          <cell r="AD7">
            <v>11</v>
          </cell>
          <cell r="AE7">
            <v>5</v>
          </cell>
          <cell r="AF7">
            <v>11</v>
          </cell>
          <cell r="AG7">
            <v>5</v>
          </cell>
          <cell r="AH7">
            <v>14</v>
          </cell>
          <cell r="AI7">
            <v>5</v>
          </cell>
          <cell r="AJ7">
            <v>10</v>
          </cell>
          <cell r="AK7">
            <v>5</v>
          </cell>
          <cell r="AL7">
            <v>14</v>
          </cell>
          <cell r="AM7">
            <v>5</v>
          </cell>
          <cell r="AN7">
            <v>9</v>
          </cell>
          <cell r="AO7">
            <v>5</v>
          </cell>
          <cell r="AP7">
            <v>9</v>
          </cell>
          <cell r="AQ7">
            <v>5</v>
          </cell>
          <cell r="AR7">
            <v>9</v>
          </cell>
          <cell r="AS7">
            <v>5</v>
          </cell>
          <cell r="AT7">
            <v>8</v>
          </cell>
          <cell r="AU7">
            <v>5</v>
          </cell>
          <cell r="AV7">
            <v>13</v>
          </cell>
          <cell r="AW7">
            <v>5</v>
          </cell>
          <cell r="AX7">
            <v>11</v>
          </cell>
          <cell r="AY7">
            <v>5</v>
          </cell>
          <cell r="AZ7">
            <v>13</v>
          </cell>
          <cell r="BA7">
            <v>5</v>
          </cell>
          <cell r="BB7">
            <v>13</v>
          </cell>
          <cell r="BC7">
            <v>5</v>
          </cell>
          <cell r="BD7">
            <v>8</v>
          </cell>
          <cell r="BE7">
            <v>5</v>
          </cell>
          <cell r="BF7">
            <v>11</v>
          </cell>
          <cell r="BG7">
            <v>5</v>
          </cell>
          <cell r="BH7">
            <v>14</v>
          </cell>
          <cell r="BI7">
            <v>5</v>
          </cell>
          <cell r="BJ7">
            <v>9</v>
          </cell>
          <cell r="BK7">
            <v>5</v>
          </cell>
          <cell r="BL7">
            <v>12</v>
          </cell>
          <cell r="BM7">
            <v>5</v>
          </cell>
          <cell r="BN7">
            <v>7</v>
          </cell>
          <cell r="BO7">
            <v>5</v>
          </cell>
          <cell r="BP7">
            <v>7</v>
          </cell>
          <cell r="BQ7">
            <v>5</v>
          </cell>
          <cell r="BR7">
            <v>12</v>
          </cell>
          <cell r="BS7">
            <v>5</v>
          </cell>
          <cell r="BT7">
            <v>14</v>
          </cell>
          <cell r="BU7">
            <v>5</v>
          </cell>
          <cell r="BV7">
            <v>12</v>
          </cell>
          <cell r="BW7">
            <v>5</v>
          </cell>
          <cell r="BX7">
            <v>8.2000000000000028</v>
          </cell>
          <cell r="BY7">
            <v>5</v>
          </cell>
          <cell r="BZ7">
            <v>6</v>
          </cell>
          <cell r="CA7">
            <v>5</v>
          </cell>
          <cell r="CB7">
            <v>8</v>
          </cell>
          <cell r="CC7">
            <v>5</v>
          </cell>
          <cell r="CD7">
            <v>9</v>
          </cell>
          <cell r="CE7">
            <v>5</v>
          </cell>
          <cell r="CF7">
            <v>11</v>
          </cell>
          <cell r="CG7">
            <v>5</v>
          </cell>
          <cell r="CH7">
            <v>10</v>
          </cell>
          <cell r="CI7">
            <v>5</v>
          </cell>
          <cell r="CJ7">
            <v>12</v>
          </cell>
          <cell r="CK7">
            <v>5</v>
          </cell>
          <cell r="CL7">
            <v>11</v>
          </cell>
          <cell r="CM7">
            <v>5</v>
          </cell>
          <cell r="CN7">
            <v>12</v>
          </cell>
          <cell r="CO7">
            <v>5</v>
          </cell>
          <cell r="CP7">
            <v>13</v>
          </cell>
          <cell r="CQ7">
            <v>5</v>
          </cell>
          <cell r="CR7">
            <v>13</v>
          </cell>
          <cell r="CS7">
            <v>5</v>
          </cell>
          <cell r="CT7">
            <v>13</v>
          </cell>
          <cell r="CU7">
            <v>5</v>
          </cell>
          <cell r="CV7">
            <v>8</v>
          </cell>
          <cell r="CW7">
            <v>5</v>
          </cell>
          <cell r="CX7">
            <v>9</v>
          </cell>
          <cell r="CY7">
            <v>5</v>
          </cell>
          <cell r="CZ7">
            <v>8</v>
          </cell>
          <cell r="DA7">
            <v>5</v>
          </cell>
          <cell r="DB7">
            <v>9</v>
          </cell>
          <cell r="DC7">
            <v>5</v>
          </cell>
          <cell r="DD7">
            <v>7</v>
          </cell>
          <cell r="DE7">
            <v>5</v>
          </cell>
          <cell r="DF7">
            <v>11</v>
          </cell>
          <cell r="DG7">
            <v>5</v>
          </cell>
          <cell r="DH7">
            <v>7</v>
          </cell>
          <cell r="DI7">
            <v>5</v>
          </cell>
          <cell r="DJ7">
            <v>12.200000000000003</v>
          </cell>
          <cell r="DK7">
            <v>5</v>
          </cell>
          <cell r="DL7">
            <v>7</v>
          </cell>
          <cell r="DM7">
            <v>5</v>
          </cell>
          <cell r="GR7">
            <v>13</v>
          </cell>
          <cell r="GS7">
            <v>5</v>
          </cell>
        </row>
        <row r="8">
          <cell r="V8">
            <v>12</v>
          </cell>
          <cell r="W8">
            <v>6</v>
          </cell>
          <cell r="X8">
            <v>8</v>
          </cell>
          <cell r="Y8">
            <v>6</v>
          </cell>
          <cell r="Z8">
            <v>11</v>
          </cell>
          <cell r="AA8">
            <v>6</v>
          </cell>
          <cell r="AB8">
            <v>14</v>
          </cell>
          <cell r="AC8">
            <v>6</v>
          </cell>
          <cell r="AD8">
            <v>12</v>
          </cell>
          <cell r="AE8">
            <v>6</v>
          </cell>
          <cell r="AF8">
            <v>11</v>
          </cell>
          <cell r="AG8">
            <v>6</v>
          </cell>
          <cell r="AH8">
            <v>15</v>
          </cell>
          <cell r="AI8">
            <v>6</v>
          </cell>
          <cell r="AJ8">
            <v>11</v>
          </cell>
          <cell r="AK8">
            <v>6</v>
          </cell>
          <cell r="AL8">
            <v>16</v>
          </cell>
          <cell r="AM8">
            <v>6</v>
          </cell>
          <cell r="AN8">
            <v>10</v>
          </cell>
          <cell r="AO8">
            <v>6</v>
          </cell>
          <cell r="AP8">
            <v>11</v>
          </cell>
          <cell r="AQ8">
            <v>6</v>
          </cell>
          <cell r="AR8">
            <v>11</v>
          </cell>
          <cell r="AS8">
            <v>6</v>
          </cell>
          <cell r="AT8">
            <v>9</v>
          </cell>
          <cell r="AU8">
            <v>6</v>
          </cell>
          <cell r="AV8">
            <v>15</v>
          </cell>
          <cell r="AW8">
            <v>6</v>
          </cell>
          <cell r="AX8">
            <v>12</v>
          </cell>
          <cell r="AY8">
            <v>6</v>
          </cell>
          <cell r="AZ8">
            <v>14</v>
          </cell>
          <cell r="BA8">
            <v>6</v>
          </cell>
          <cell r="BB8">
            <v>14</v>
          </cell>
          <cell r="BC8">
            <v>6</v>
          </cell>
          <cell r="BD8">
            <v>9</v>
          </cell>
          <cell r="BE8">
            <v>6</v>
          </cell>
          <cell r="BF8">
            <v>11</v>
          </cell>
          <cell r="BG8">
            <v>6</v>
          </cell>
          <cell r="BH8">
            <v>16</v>
          </cell>
          <cell r="BI8">
            <v>6</v>
          </cell>
          <cell r="BJ8">
            <v>10</v>
          </cell>
          <cell r="BK8">
            <v>6</v>
          </cell>
          <cell r="BL8">
            <v>13</v>
          </cell>
          <cell r="BM8">
            <v>6</v>
          </cell>
          <cell r="BN8">
            <v>8</v>
          </cell>
          <cell r="BO8">
            <v>6</v>
          </cell>
          <cell r="BP8">
            <v>8</v>
          </cell>
          <cell r="BQ8">
            <v>6</v>
          </cell>
          <cell r="BR8">
            <v>14</v>
          </cell>
          <cell r="BS8">
            <v>6</v>
          </cell>
          <cell r="BT8">
            <v>16</v>
          </cell>
          <cell r="BU8">
            <v>6</v>
          </cell>
          <cell r="BV8">
            <v>14</v>
          </cell>
          <cell r="BW8">
            <v>6</v>
          </cell>
          <cell r="BX8">
            <v>10</v>
          </cell>
          <cell r="BY8">
            <v>6</v>
          </cell>
          <cell r="BZ8">
            <v>7</v>
          </cell>
          <cell r="CA8">
            <v>6</v>
          </cell>
          <cell r="CB8">
            <v>10</v>
          </cell>
          <cell r="CC8">
            <v>6</v>
          </cell>
          <cell r="CD8">
            <v>9</v>
          </cell>
          <cell r="CE8">
            <v>6</v>
          </cell>
          <cell r="CF8">
            <v>12</v>
          </cell>
          <cell r="CG8">
            <v>6</v>
          </cell>
          <cell r="CH8">
            <v>11</v>
          </cell>
          <cell r="CI8">
            <v>6</v>
          </cell>
          <cell r="CJ8">
            <v>14</v>
          </cell>
          <cell r="CK8">
            <v>6</v>
          </cell>
          <cell r="CL8">
            <v>12</v>
          </cell>
          <cell r="CM8">
            <v>6</v>
          </cell>
          <cell r="CN8">
            <v>14</v>
          </cell>
          <cell r="CO8">
            <v>6</v>
          </cell>
          <cell r="CP8">
            <v>14</v>
          </cell>
          <cell r="CQ8">
            <v>6</v>
          </cell>
          <cell r="CR8">
            <v>14</v>
          </cell>
          <cell r="CS8">
            <v>6</v>
          </cell>
          <cell r="CT8">
            <v>14</v>
          </cell>
          <cell r="CU8">
            <v>6</v>
          </cell>
          <cell r="CV8">
            <v>9</v>
          </cell>
          <cell r="CW8">
            <v>6</v>
          </cell>
          <cell r="CX8">
            <v>10</v>
          </cell>
          <cell r="CY8">
            <v>6</v>
          </cell>
          <cell r="CZ8">
            <v>9</v>
          </cell>
          <cell r="DA8">
            <v>6</v>
          </cell>
          <cell r="DB8">
            <v>11</v>
          </cell>
          <cell r="DC8">
            <v>6</v>
          </cell>
          <cell r="DD8">
            <v>9</v>
          </cell>
          <cell r="DE8">
            <v>6</v>
          </cell>
          <cell r="DF8">
            <v>12</v>
          </cell>
          <cell r="DG8">
            <v>6</v>
          </cell>
          <cell r="DH8">
            <v>9</v>
          </cell>
          <cell r="DI8">
            <v>6</v>
          </cell>
          <cell r="DJ8">
            <v>14</v>
          </cell>
          <cell r="DK8">
            <v>6</v>
          </cell>
          <cell r="DL8">
            <v>8</v>
          </cell>
          <cell r="DM8">
            <v>6</v>
          </cell>
          <cell r="GR8">
            <v>14</v>
          </cell>
          <cell r="GS8">
            <v>6</v>
          </cell>
        </row>
        <row r="9">
          <cell r="V9">
            <v>14</v>
          </cell>
          <cell r="W9">
            <v>7</v>
          </cell>
          <cell r="X9">
            <v>10</v>
          </cell>
          <cell r="Y9">
            <v>7</v>
          </cell>
          <cell r="Z9">
            <v>12</v>
          </cell>
          <cell r="AA9">
            <v>7</v>
          </cell>
          <cell r="AB9">
            <v>16</v>
          </cell>
          <cell r="AC9">
            <v>7</v>
          </cell>
          <cell r="AD9">
            <v>13</v>
          </cell>
          <cell r="AE9">
            <v>7</v>
          </cell>
          <cell r="AF9">
            <v>13</v>
          </cell>
          <cell r="AG9">
            <v>7</v>
          </cell>
          <cell r="AH9">
            <v>16</v>
          </cell>
          <cell r="AI9">
            <v>7</v>
          </cell>
          <cell r="AJ9">
            <v>12</v>
          </cell>
          <cell r="AK9">
            <v>7</v>
          </cell>
          <cell r="AL9">
            <v>17</v>
          </cell>
          <cell r="AM9">
            <v>7</v>
          </cell>
          <cell r="AN9">
            <v>12</v>
          </cell>
          <cell r="AO9">
            <v>7</v>
          </cell>
          <cell r="AP9">
            <v>11</v>
          </cell>
          <cell r="AQ9">
            <v>7</v>
          </cell>
          <cell r="AR9">
            <v>12</v>
          </cell>
          <cell r="AS9">
            <v>7</v>
          </cell>
          <cell r="AT9">
            <v>10</v>
          </cell>
          <cell r="AU9">
            <v>7</v>
          </cell>
          <cell r="AV9">
            <v>17</v>
          </cell>
          <cell r="AW9">
            <v>7</v>
          </cell>
          <cell r="AX9">
            <v>14</v>
          </cell>
          <cell r="AY9">
            <v>7</v>
          </cell>
          <cell r="AZ9">
            <v>15</v>
          </cell>
          <cell r="BA9">
            <v>7</v>
          </cell>
          <cell r="BB9">
            <v>16</v>
          </cell>
          <cell r="BC9">
            <v>7</v>
          </cell>
          <cell r="BD9">
            <v>11</v>
          </cell>
          <cell r="BE9">
            <v>7</v>
          </cell>
          <cell r="BF9">
            <v>13</v>
          </cell>
          <cell r="BG9">
            <v>7</v>
          </cell>
          <cell r="BH9">
            <v>17</v>
          </cell>
          <cell r="BI9">
            <v>7</v>
          </cell>
          <cell r="BJ9">
            <v>11</v>
          </cell>
          <cell r="BK9">
            <v>7</v>
          </cell>
          <cell r="BL9">
            <v>13.799999999999983</v>
          </cell>
          <cell r="BM9">
            <v>7</v>
          </cell>
          <cell r="BN9">
            <v>9</v>
          </cell>
          <cell r="BO9">
            <v>7</v>
          </cell>
          <cell r="BP9">
            <v>9</v>
          </cell>
          <cell r="BQ9">
            <v>7</v>
          </cell>
          <cell r="BR9">
            <v>15</v>
          </cell>
          <cell r="BS9">
            <v>7</v>
          </cell>
          <cell r="BT9">
            <v>16.799999999999983</v>
          </cell>
          <cell r="BU9">
            <v>7</v>
          </cell>
          <cell r="BV9">
            <v>15</v>
          </cell>
          <cell r="BW9">
            <v>7</v>
          </cell>
          <cell r="BX9">
            <v>11</v>
          </cell>
          <cell r="BY9">
            <v>7</v>
          </cell>
          <cell r="BZ9">
            <v>8</v>
          </cell>
          <cell r="CA9">
            <v>7</v>
          </cell>
          <cell r="CB9">
            <v>11</v>
          </cell>
          <cell r="CC9">
            <v>7</v>
          </cell>
          <cell r="CD9">
            <v>11</v>
          </cell>
          <cell r="CE9">
            <v>7</v>
          </cell>
          <cell r="CF9">
            <v>14</v>
          </cell>
          <cell r="CG9">
            <v>7</v>
          </cell>
          <cell r="CH9">
            <v>12</v>
          </cell>
          <cell r="CI9">
            <v>7</v>
          </cell>
          <cell r="CJ9">
            <v>14</v>
          </cell>
          <cell r="CK9">
            <v>7</v>
          </cell>
          <cell r="CL9">
            <v>13</v>
          </cell>
          <cell r="CM9">
            <v>7</v>
          </cell>
          <cell r="CN9">
            <v>15</v>
          </cell>
          <cell r="CO9">
            <v>7</v>
          </cell>
          <cell r="CP9">
            <v>16</v>
          </cell>
          <cell r="CQ9">
            <v>7</v>
          </cell>
          <cell r="CR9">
            <v>16</v>
          </cell>
          <cell r="CS9">
            <v>7</v>
          </cell>
          <cell r="CT9">
            <v>15</v>
          </cell>
          <cell r="CU9">
            <v>7</v>
          </cell>
          <cell r="CV9">
            <v>10</v>
          </cell>
          <cell r="CW9">
            <v>7</v>
          </cell>
          <cell r="CX9">
            <v>12</v>
          </cell>
          <cell r="CY9">
            <v>7</v>
          </cell>
          <cell r="CZ9">
            <v>10</v>
          </cell>
          <cell r="DA9">
            <v>7</v>
          </cell>
          <cell r="DB9">
            <v>11</v>
          </cell>
          <cell r="DC9">
            <v>7</v>
          </cell>
          <cell r="DD9">
            <v>10</v>
          </cell>
          <cell r="DE9">
            <v>7</v>
          </cell>
          <cell r="DF9">
            <v>14</v>
          </cell>
          <cell r="DG9">
            <v>7</v>
          </cell>
          <cell r="DH9">
            <v>10</v>
          </cell>
          <cell r="DI9">
            <v>7</v>
          </cell>
          <cell r="DJ9">
            <v>15</v>
          </cell>
          <cell r="DK9">
            <v>7</v>
          </cell>
          <cell r="DL9">
            <v>10</v>
          </cell>
          <cell r="DM9">
            <v>7</v>
          </cell>
          <cell r="GR9">
            <v>16</v>
          </cell>
          <cell r="GS9">
            <v>7</v>
          </cell>
        </row>
        <row r="10">
          <cell r="V10">
            <v>16</v>
          </cell>
          <cell r="W10">
            <v>8</v>
          </cell>
          <cell r="X10">
            <v>11</v>
          </cell>
          <cell r="Y10">
            <v>8</v>
          </cell>
          <cell r="Z10">
            <v>13</v>
          </cell>
          <cell r="AA10">
            <v>8</v>
          </cell>
          <cell r="AB10">
            <v>17</v>
          </cell>
          <cell r="AC10">
            <v>8</v>
          </cell>
          <cell r="AD10">
            <v>14</v>
          </cell>
          <cell r="AE10">
            <v>8</v>
          </cell>
          <cell r="AF10">
            <v>13.599999999999994</v>
          </cell>
          <cell r="AG10">
            <v>8</v>
          </cell>
          <cell r="AH10">
            <v>17</v>
          </cell>
          <cell r="AI10">
            <v>8</v>
          </cell>
          <cell r="AJ10">
            <v>13</v>
          </cell>
          <cell r="AK10">
            <v>8</v>
          </cell>
          <cell r="AL10">
            <v>18</v>
          </cell>
          <cell r="AM10">
            <v>8</v>
          </cell>
          <cell r="AN10">
            <v>12</v>
          </cell>
          <cell r="AO10">
            <v>8</v>
          </cell>
          <cell r="AP10">
            <v>13</v>
          </cell>
          <cell r="AQ10">
            <v>8</v>
          </cell>
          <cell r="AR10">
            <v>14</v>
          </cell>
          <cell r="AS10">
            <v>8</v>
          </cell>
          <cell r="AT10">
            <v>12</v>
          </cell>
          <cell r="AU10">
            <v>8</v>
          </cell>
          <cell r="AV10">
            <v>18</v>
          </cell>
          <cell r="AW10">
            <v>8</v>
          </cell>
          <cell r="AX10">
            <v>15</v>
          </cell>
          <cell r="AY10">
            <v>8</v>
          </cell>
          <cell r="AZ10">
            <v>16</v>
          </cell>
          <cell r="BA10">
            <v>8</v>
          </cell>
          <cell r="BB10">
            <v>17</v>
          </cell>
          <cell r="BC10">
            <v>8</v>
          </cell>
          <cell r="BD10">
            <v>12</v>
          </cell>
          <cell r="BE10">
            <v>8</v>
          </cell>
          <cell r="BF10">
            <v>14</v>
          </cell>
          <cell r="BG10">
            <v>8</v>
          </cell>
          <cell r="BH10">
            <v>18</v>
          </cell>
          <cell r="BI10">
            <v>8</v>
          </cell>
          <cell r="BJ10">
            <v>12</v>
          </cell>
          <cell r="BK10">
            <v>8</v>
          </cell>
          <cell r="BL10">
            <v>15</v>
          </cell>
          <cell r="BM10">
            <v>8</v>
          </cell>
          <cell r="BN10">
            <v>11</v>
          </cell>
          <cell r="BO10">
            <v>8</v>
          </cell>
          <cell r="BP10">
            <v>11</v>
          </cell>
          <cell r="BQ10">
            <v>8</v>
          </cell>
          <cell r="BR10">
            <v>16</v>
          </cell>
          <cell r="BS10">
            <v>8</v>
          </cell>
          <cell r="BT10">
            <v>18</v>
          </cell>
          <cell r="BU10">
            <v>8</v>
          </cell>
          <cell r="BV10">
            <v>16</v>
          </cell>
          <cell r="BW10">
            <v>8</v>
          </cell>
          <cell r="BX10">
            <v>13</v>
          </cell>
          <cell r="BY10">
            <v>8</v>
          </cell>
          <cell r="BZ10">
            <v>10</v>
          </cell>
          <cell r="CA10">
            <v>8</v>
          </cell>
          <cell r="CB10">
            <v>13</v>
          </cell>
          <cell r="CC10">
            <v>8</v>
          </cell>
          <cell r="CD10">
            <v>12</v>
          </cell>
          <cell r="CE10">
            <v>8</v>
          </cell>
          <cell r="CF10">
            <v>14.599999999999994</v>
          </cell>
          <cell r="CG10">
            <v>8</v>
          </cell>
          <cell r="CH10">
            <v>13</v>
          </cell>
          <cell r="CI10">
            <v>8</v>
          </cell>
          <cell r="CJ10">
            <v>16</v>
          </cell>
          <cell r="CK10">
            <v>8</v>
          </cell>
          <cell r="CL10">
            <v>14</v>
          </cell>
          <cell r="CM10">
            <v>8</v>
          </cell>
          <cell r="CN10">
            <v>16</v>
          </cell>
          <cell r="CO10">
            <v>8</v>
          </cell>
          <cell r="CP10">
            <v>17</v>
          </cell>
          <cell r="CQ10">
            <v>8</v>
          </cell>
          <cell r="CR10">
            <v>17</v>
          </cell>
          <cell r="CS10">
            <v>8</v>
          </cell>
          <cell r="CT10">
            <v>16</v>
          </cell>
          <cell r="CU10">
            <v>8</v>
          </cell>
          <cell r="CV10">
            <v>12</v>
          </cell>
          <cell r="CW10">
            <v>8</v>
          </cell>
          <cell r="CX10">
            <v>13</v>
          </cell>
          <cell r="CY10">
            <v>8</v>
          </cell>
          <cell r="CZ10">
            <v>12</v>
          </cell>
          <cell r="DA10">
            <v>8</v>
          </cell>
          <cell r="DB10">
            <v>13</v>
          </cell>
          <cell r="DC10">
            <v>8</v>
          </cell>
          <cell r="DD10">
            <v>12</v>
          </cell>
          <cell r="DE10">
            <v>8</v>
          </cell>
          <cell r="DF10">
            <v>15</v>
          </cell>
          <cell r="DG10">
            <v>8</v>
          </cell>
          <cell r="DH10">
            <v>11</v>
          </cell>
          <cell r="DI10">
            <v>8</v>
          </cell>
          <cell r="DJ10">
            <v>16</v>
          </cell>
          <cell r="DK10">
            <v>8</v>
          </cell>
          <cell r="DL10">
            <v>11</v>
          </cell>
          <cell r="DM10">
            <v>8</v>
          </cell>
          <cell r="GR10">
            <v>17</v>
          </cell>
          <cell r="GS10">
            <v>8</v>
          </cell>
        </row>
        <row r="11">
          <cell r="V11">
            <v>16</v>
          </cell>
          <cell r="W11">
            <v>9</v>
          </cell>
          <cell r="X11">
            <v>12</v>
          </cell>
          <cell r="Y11">
            <v>9</v>
          </cell>
          <cell r="Z11">
            <v>15</v>
          </cell>
          <cell r="AA11">
            <v>9</v>
          </cell>
          <cell r="AB11">
            <v>18</v>
          </cell>
          <cell r="AC11">
            <v>9</v>
          </cell>
          <cell r="AD11">
            <v>16</v>
          </cell>
          <cell r="AE11">
            <v>9</v>
          </cell>
          <cell r="AF11">
            <v>15</v>
          </cell>
          <cell r="AG11">
            <v>9</v>
          </cell>
          <cell r="AH11">
            <v>18</v>
          </cell>
          <cell r="AI11">
            <v>9</v>
          </cell>
          <cell r="AJ11">
            <v>15.400000000000006</v>
          </cell>
          <cell r="AK11">
            <v>9</v>
          </cell>
          <cell r="AL11">
            <v>20</v>
          </cell>
          <cell r="AM11">
            <v>9</v>
          </cell>
          <cell r="AN11">
            <v>14</v>
          </cell>
          <cell r="AO11">
            <v>9</v>
          </cell>
          <cell r="AP11">
            <v>14</v>
          </cell>
          <cell r="AQ11">
            <v>9</v>
          </cell>
          <cell r="AR11">
            <v>16</v>
          </cell>
          <cell r="AS11">
            <v>9</v>
          </cell>
          <cell r="AT11">
            <v>14</v>
          </cell>
          <cell r="AU11">
            <v>9</v>
          </cell>
          <cell r="AV11">
            <v>20</v>
          </cell>
          <cell r="AW11">
            <v>9</v>
          </cell>
          <cell r="AX11">
            <v>16</v>
          </cell>
          <cell r="AY11">
            <v>9</v>
          </cell>
          <cell r="AZ11">
            <v>17</v>
          </cell>
          <cell r="BA11">
            <v>9</v>
          </cell>
          <cell r="BB11">
            <v>18</v>
          </cell>
          <cell r="BC11">
            <v>9</v>
          </cell>
          <cell r="BD11">
            <v>14</v>
          </cell>
          <cell r="BE11">
            <v>9</v>
          </cell>
          <cell r="BF11">
            <v>16</v>
          </cell>
          <cell r="BG11">
            <v>9</v>
          </cell>
          <cell r="BH11">
            <v>19</v>
          </cell>
          <cell r="BI11">
            <v>9</v>
          </cell>
          <cell r="BJ11">
            <v>15</v>
          </cell>
          <cell r="BK11">
            <v>9</v>
          </cell>
          <cell r="BL11">
            <v>17</v>
          </cell>
          <cell r="BM11">
            <v>9</v>
          </cell>
          <cell r="BN11">
            <v>13</v>
          </cell>
          <cell r="BO11">
            <v>9</v>
          </cell>
          <cell r="BP11">
            <v>13</v>
          </cell>
          <cell r="BQ11">
            <v>9</v>
          </cell>
          <cell r="BR11">
            <v>18</v>
          </cell>
          <cell r="BS11">
            <v>9</v>
          </cell>
          <cell r="BT11">
            <v>19</v>
          </cell>
          <cell r="BU11">
            <v>9</v>
          </cell>
          <cell r="BV11">
            <v>18</v>
          </cell>
          <cell r="BW11">
            <v>9</v>
          </cell>
          <cell r="BX11">
            <v>15.400000000000006</v>
          </cell>
          <cell r="BY11">
            <v>9</v>
          </cell>
          <cell r="BZ11">
            <v>11</v>
          </cell>
          <cell r="CA11">
            <v>9</v>
          </cell>
          <cell r="CB11">
            <v>14</v>
          </cell>
          <cell r="CC11">
            <v>9</v>
          </cell>
          <cell r="CD11">
            <v>14</v>
          </cell>
          <cell r="CE11">
            <v>9</v>
          </cell>
          <cell r="CF11">
            <v>16</v>
          </cell>
          <cell r="CG11">
            <v>9</v>
          </cell>
          <cell r="CH11">
            <v>14</v>
          </cell>
          <cell r="CI11">
            <v>9</v>
          </cell>
          <cell r="CJ11">
            <v>17</v>
          </cell>
          <cell r="CK11">
            <v>9</v>
          </cell>
          <cell r="CL11">
            <v>16</v>
          </cell>
          <cell r="CM11">
            <v>9</v>
          </cell>
          <cell r="CN11">
            <v>18</v>
          </cell>
          <cell r="CO11">
            <v>9</v>
          </cell>
          <cell r="CP11">
            <v>18</v>
          </cell>
          <cell r="CQ11">
            <v>9</v>
          </cell>
          <cell r="CR11">
            <v>18</v>
          </cell>
          <cell r="CS11">
            <v>9</v>
          </cell>
          <cell r="CT11">
            <v>18</v>
          </cell>
          <cell r="CU11">
            <v>9</v>
          </cell>
          <cell r="CV11">
            <v>14</v>
          </cell>
          <cell r="CW11">
            <v>9</v>
          </cell>
          <cell r="CX11">
            <v>15</v>
          </cell>
          <cell r="CY11">
            <v>9</v>
          </cell>
          <cell r="CZ11">
            <v>14</v>
          </cell>
          <cell r="DA11">
            <v>9</v>
          </cell>
          <cell r="DB11">
            <v>14</v>
          </cell>
          <cell r="DC11">
            <v>9</v>
          </cell>
          <cell r="DD11">
            <v>14</v>
          </cell>
          <cell r="DE11">
            <v>9</v>
          </cell>
          <cell r="DF11">
            <v>17</v>
          </cell>
          <cell r="DG11">
            <v>9</v>
          </cell>
          <cell r="DH11">
            <v>14</v>
          </cell>
          <cell r="DI11">
            <v>9</v>
          </cell>
          <cell r="DJ11">
            <v>17</v>
          </cell>
          <cell r="DK11">
            <v>9</v>
          </cell>
          <cell r="DL11">
            <v>12</v>
          </cell>
          <cell r="DM11">
            <v>9</v>
          </cell>
          <cell r="GR11">
            <v>18</v>
          </cell>
          <cell r="GS11">
            <v>9</v>
          </cell>
        </row>
        <row r="12">
          <cell r="V12">
            <v>19</v>
          </cell>
          <cell r="W12">
            <v>10</v>
          </cell>
          <cell r="X12">
            <v>15</v>
          </cell>
          <cell r="Y12">
            <v>10</v>
          </cell>
          <cell r="Z12">
            <v>17</v>
          </cell>
          <cell r="AA12">
            <v>10</v>
          </cell>
          <cell r="AB12">
            <v>21</v>
          </cell>
          <cell r="AC12">
            <v>10</v>
          </cell>
          <cell r="AD12">
            <v>17.199999999999989</v>
          </cell>
          <cell r="AE12">
            <v>10</v>
          </cell>
          <cell r="AF12">
            <v>17</v>
          </cell>
          <cell r="AG12">
            <v>10</v>
          </cell>
          <cell r="AH12">
            <v>19</v>
          </cell>
          <cell r="AI12">
            <v>10</v>
          </cell>
          <cell r="AJ12">
            <v>17</v>
          </cell>
          <cell r="AK12">
            <v>10</v>
          </cell>
          <cell r="AL12">
            <v>21</v>
          </cell>
          <cell r="AM12">
            <v>10</v>
          </cell>
          <cell r="AN12">
            <v>17</v>
          </cell>
          <cell r="AO12">
            <v>10</v>
          </cell>
          <cell r="AP12">
            <v>16.199999999999989</v>
          </cell>
          <cell r="AQ12">
            <v>10</v>
          </cell>
          <cell r="AR12">
            <v>18</v>
          </cell>
          <cell r="AS12">
            <v>10</v>
          </cell>
          <cell r="AT12">
            <v>17</v>
          </cell>
          <cell r="AU12">
            <v>10</v>
          </cell>
          <cell r="AV12">
            <v>22</v>
          </cell>
          <cell r="AW12">
            <v>10</v>
          </cell>
          <cell r="AX12">
            <v>19</v>
          </cell>
          <cell r="AY12">
            <v>10</v>
          </cell>
          <cell r="AZ12">
            <v>19</v>
          </cell>
          <cell r="BA12">
            <v>10</v>
          </cell>
          <cell r="BB12">
            <v>20</v>
          </cell>
          <cell r="BC12">
            <v>10</v>
          </cell>
          <cell r="BD12">
            <v>16</v>
          </cell>
          <cell r="BE12">
            <v>10</v>
          </cell>
          <cell r="BF12">
            <v>18</v>
          </cell>
          <cell r="BG12">
            <v>10</v>
          </cell>
          <cell r="BH12">
            <v>21</v>
          </cell>
          <cell r="BI12">
            <v>10</v>
          </cell>
          <cell r="BJ12">
            <v>17</v>
          </cell>
          <cell r="BK12">
            <v>10</v>
          </cell>
          <cell r="BL12">
            <v>18</v>
          </cell>
          <cell r="BM12">
            <v>10</v>
          </cell>
          <cell r="BN12">
            <v>14.199999999999989</v>
          </cell>
          <cell r="BO12">
            <v>10</v>
          </cell>
          <cell r="BP12">
            <v>15</v>
          </cell>
          <cell r="BQ12">
            <v>10</v>
          </cell>
          <cell r="BR12">
            <v>18</v>
          </cell>
          <cell r="BS12">
            <v>10</v>
          </cell>
          <cell r="BT12">
            <v>21</v>
          </cell>
          <cell r="BU12">
            <v>10</v>
          </cell>
          <cell r="BV12">
            <v>20</v>
          </cell>
          <cell r="BW12">
            <v>10</v>
          </cell>
          <cell r="BX12">
            <v>17</v>
          </cell>
          <cell r="BY12">
            <v>10</v>
          </cell>
          <cell r="BZ12">
            <v>14</v>
          </cell>
          <cell r="CA12">
            <v>10</v>
          </cell>
          <cell r="CB12">
            <v>16</v>
          </cell>
          <cell r="CC12">
            <v>10</v>
          </cell>
          <cell r="CD12">
            <v>15</v>
          </cell>
          <cell r="CE12">
            <v>10</v>
          </cell>
          <cell r="CF12">
            <v>18</v>
          </cell>
          <cell r="CG12">
            <v>10</v>
          </cell>
          <cell r="CH12">
            <v>16</v>
          </cell>
          <cell r="CI12">
            <v>10</v>
          </cell>
          <cell r="CJ12">
            <v>19</v>
          </cell>
          <cell r="CK12">
            <v>10</v>
          </cell>
          <cell r="CL12">
            <v>16</v>
          </cell>
          <cell r="CM12">
            <v>10</v>
          </cell>
          <cell r="CN12">
            <v>19</v>
          </cell>
          <cell r="CO12">
            <v>10</v>
          </cell>
          <cell r="CP12">
            <v>20</v>
          </cell>
          <cell r="CQ12">
            <v>10</v>
          </cell>
          <cell r="CR12">
            <v>20</v>
          </cell>
          <cell r="CS12">
            <v>10</v>
          </cell>
          <cell r="CT12">
            <v>19.199999999999989</v>
          </cell>
          <cell r="CU12">
            <v>10</v>
          </cell>
          <cell r="CV12">
            <v>17</v>
          </cell>
          <cell r="CW12">
            <v>10</v>
          </cell>
          <cell r="CX12">
            <v>17</v>
          </cell>
          <cell r="CY12">
            <v>10</v>
          </cell>
          <cell r="CZ12">
            <v>17</v>
          </cell>
          <cell r="DA12">
            <v>10</v>
          </cell>
          <cell r="DB12">
            <v>16</v>
          </cell>
          <cell r="DC12">
            <v>10</v>
          </cell>
          <cell r="DD12">
            <v>15.199999999999989</v>
          </cell>
          <cell r="DE12">
            <v>10</v>
          </cell>
          <cell r="DF12">
            <v>19</v>
          </cell>
          <cell r="DG12">
            <v>10</v>
          </cell>
          <cell r="DH12">
            <v>15</v>
          </cell>
          <cell r="DI12">
            <v>10</v>
          </cell>
          <cell r="DJ12">
            <v>18</v>
          </cell>
          <cell r="DK12">
            <v>10</v>
          </cell>
          <cell r="DL12">
            <v>14</v>
          </cell>
          <cell r="DM12">
            <v>10</v>
          </cell>
          <cell r="GR12">
            <v>20</v>
          </cell>
          <cell r="GS12">
            <v>10</v>
          </cell>
        </row>
        <row r="16">
          <cell r="V16">
            <v>0</v>
          </cell>
          <cell r="W16">
            <v>1</v>
          </cell>
          <cell r="X16">
            <v>0</v>
          </cell>
          <cell r="Y16">
            <v>1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1</v>
          </cell>
          <cell r="AF16">
            <v>0</v>
          </cell>
          <cell r="AG16">
            <v>1</v>
          </cell>
          <cell r="AH16">
            <v>0</v>
          </cell>
          <cell r="AI16">
            <v>1</v>
          </cell>
          <cell r="AJ16">
            <v>0</v>
          </cell>
          <cell r="AK16">
            <v>1</v>
          </cell>
          <cell r="AL16">
            <v>0</v>
          </cell>
          <cell r="AM16">
            <v>1</v>
          </cell>
          <cell r="AN16">
            <v>0</v>
          </cell>
          <cell r="AO16">
            <v>1</v>
          </cell>
          <cell r="AP16">
            <v>0</v>
          </cell>
          <cell r="AQ16">
            <v>1</v>
          </cell>
          <cell r="AR16">
            <v>0</v>
          </cell>
          <cell r="AS16">
            <v>1</v>
          </cell>
          <cell r="AT16">
            <v>0</v>
          </cell>
          <cell r="AU16">
            <v>1</v>
          </cell>
          <cell r="AV16">
            <v>0</v>
          </cell>
          <cell r="AW16">
            <v>1</v>
          </cell>
          <cell r="AX16">
            <v>0</v>
          </cell>
          <cell r="AY16">
            <v>1</v>
          </cell>
          <cell r="AZ16">
            <v>0</v>
          </cell>
          <cell r="BA16">
            <v>1</v>
          </cell>
          <cell r="BB16">
            <v>0</v>
          </cell>
          <cell r="BC16">
            <v>1</v>
          </cell>
          <cell r="BD16">
            <v>0</v>
          </cell>
          <cell r="BE16">
            <v>1</v>
          </cell>
          <cell r="BF16">
            <v>0</v>
          </cell>
          <cell r="BG16">
            <v>1</v>
          </cell>
          <cell r="BH16">
            <v>0</v>
          </cell>
          <cell r="BI16">
            <v>1</v>
          </cell>
          <cell r="BL16">
            <v>0</v>
          </cell>
          <cell r="BM16">
            <v>1</v>
          </cell>
          <cell r="BN16">
            <v>0</v>
          </cell>
          <cell r="BO16">
            <v>1</v>
          </cell>
          <cell r="BP16">
            <v>0</v>
          </cell>
          <cell r="BQ16">
            <v>1</v>
          </cell>
          <cell r="BR16">
            <v>0</v>
          </cell>
          <cell r="BS16">
            <v>1</v>
          </cell>
          <cell r="BT16">
            <v>0</v>
          </cell>
          <cell r="BU16">
            <v>1</v>
          </cell>
          <cell r="BV16">
            <v>0</v>
          </cell>
          <cell r="BW16">
            <v>1</v>
          </cell>
          <cell r="BX16">
            <v>0</v>
          </cell>
          <cell r="BY16">
            <v>1</v>
          </cell>
          <cell r="BZ16">
            <v>0</v>
          </cell>
          <cell r="CA16">
            <v>1</v>
          </cell>
          <cell r="CB16">
            <v>0</v>
          </cell>
          <cell r="CC16">
            <v>1</v>
          </cell>
          <cell r="CD16">
            <v>0</v>
          </cell>
          <cell r="CE16">
            <v>1</v>
          </cell>
          <cell r="CF16">
            <v>0</v>
          </cell>
          <cell r="CG16">
            <v>1</v>
          </cell>
          <cell r="CH16">
            <v>0</v>
          </cell>
          <cell r="CI16">
            <v>1</v>
          </cell>
        </row>
        <row r="17">
          <cell r="V17">
            <v>9</v>
          </cell>
          <cell r="W17">
            <v>2</v>
          </cell>
          <cell r="X17">
            <v>7.333333333333333</v>
          </cell>
          <cell r="Y17">
            <v>2</v>
          </cell>
          <cell r="Z17">
            <v>10</v>
          </cell>
          <cell r="AA17">
            <v>2</v>
          </cell>
          <cell r="AB17">
            <v>9.3333333333333339</v>
          </cell>
          <cell r="AC17">
            <v>2</v>
          </cell>
          <cell r="AD17">
            <v>8.6666666666666661</v>
          </cell>
          <cell r="AE17">
            <v>2</v>
          </cell>
          <cell r="AF17">
            <v>6.666666666666667</v>
          </cell>
          <cell r="AG17">
            <v>2</v>
          </cell>
          <cell r="AH17">
            <v>8.3333333333333339</v>
          </cell>
          <cell r="AI17">
            <v>2</v>
          </cell>
          <cell r="AJ17">
            <v>8.3333333333333339</v>
          </cell>
          <cell r="AK17">
            <v>2</v>
          </cell>
          <cell r="AL17">
            <v>5.9333333333333336</v>
          </cell>
          <cell r="AM17">
            <v>2</v>
          </cell>
          <cell r="AN17">
            <v>7</v>
          </cell>
          <cell r="AO17">
            <v>2</v>
          </cell>
          <cell r="AP17">
            <v>8.3333333333333339</v>
          </cell>
          <cell r="AQ17">
            <v>2</v>
          </cell>
          <cell r="AR17">
            <v>6.666666666666667</v>
          </cell>
          <cell r="AS17">
            <v>2</v>
          </cell>
          <cell r="AT17">
            <v>9</v>
          </cell>
          <cell r="AU17">
            <v>2</v>
          </cell>
          <cell r="AV17">
            <v>6.666666666666667</v>
          </cell>
          <cell r="AW17">
            <v>2</v>
          </cell>
          <cell r="AX17">
            <v>7.333333333333333</v>
          </cell>
          <cell r="AY17">
            <v>2</v>
          </cell>
          <cell r="AZ17">
            <v>8.3333333333333339</v>
          </cell>
          <cell r="BA17">
            <v>2</v>
          </cell>
          <cell r="BB17">
            <v>9</v>
          </cell>
          <cell r="BC17">
            <v>2</v>
          </cell>
          <cell r="BD17">
            <v>9</v>
          </cell>
          <cell r="BE17">
            <v>2</v>
          </cell>
          <cell r="BF17">
            <v>8.25</v>
          </cell>
          <cell r="BG17">
            <v>2</v>
          </cell>
          <cell r="BH17">
            <v>6</v>
          </cell>
          <cell r="BI17">
            <v>2</v>
          </cell>
          <cell r="BL17">
            <v>10</v>
          </cell>
          <cell r="BM17">
            <v>2</v>
          </cell>
          <cell r="BN17">
            <v>6.333333333333333</v>
          </cell>
          <cell r="BO17">
            <v>2</v>
          </cell>
          <cell r="BP17">
            <v>5</v>
          </cell>
          <cell r="BQ17">
            <v>2</v>
          </cell>
          <cell r="BR17">
            <v>5.333333333333333</v>
          </cell>
          <cell r="BS17">
            <v>2</v>
          </cell>
          <cell r="BT17">
            <v>8.3333333333333339</v>
          </cell>
          <cell r="BU17">
            <v>2</v>
          </cell>
          <cell r="BV17">
            <v>9.3333333333333339</v>
          </cell>
          <cell r="BW17">
            <v>2</v>
          </cell>
          <cell r="BX17">
            <v>6</v>
          </cell>
          <cell r="BY17">
            <v>2</v>
          </cell>
          <cell r="BZ17">
            <v>8.3333333333333339</v>
          </cell>
          <cell r="CA17">
            <v>2</v>
          </cell>
          <cell r="CB17">
            <v>6</v>
          </cell>
          <cell r="CC17">
            <v>2</v>
          </cell>
          <cell r="CD17">
            <v>8.3333333333333339</v>
          </cell>
          <cell r="CE17">
            <v>2</v>
          </cell>
          <cell r="CF17">
            <v>10.333333333333334</v>
          </cell>
          <cell r="CG17">
            <v>2</v>
          </cell>
          <cell r="CH17">
            <v>10</v>
          </cell>
          <cell r="CI17">
            <v>2</v>
          </cell>
        </row>
        <row r="18">
          <cell r="V18">
            <v>10</v>
          </cell>
          <cell r="W18">
            <v>3</v>
          </cell>
          <cell r="X18">
            <v>8.5333333333333332</v>
          </cell>
          <cell r="Y18">
            <v>3</v>
          </cell>
          <cell r="Z18">
            <v>11</v>
          </cell>
          <cell r="AA18">
            <v>3</v>
          </cell>
          <cell r="AB18">
            <v>10</v>
          </cell>
          <cell r="AC18">
            <v>3</v>
          </cell>
          <cell r="AD18">
            <v>9.6666666666666661</v>
          </cell>
          <cell r="AE18">
            <v>3</v>
          </cell>
          <cell r="AF18">
            <v>8</v>
          </cell>
          <cell r="AG18">
            <v>3</v>
          </cell>
          <cell r="AH18">
            <v>9.8666666666666671</v>
          </cell>
          <cell r="AI18">
            <v>3</v>
          </cell>
          <cell r="AJ18">
            <v>10</v>
          </cell>
          <cell r="AK18">
            <v>3</v>
          </cell>
          <cell r="AL18">
            <v>7</v>
          </cell>
          <cell r="AM18">
            <v>3</v>
          </cell>
          <cell r="AN18">
            <v>8.3333333333333339</v>
          </cell>
          <cell r="AO18">
            <v>3</v>
          </cell>
          <cell r="AP18">
            <v>9.3333333333333339</v>
          </cell>
          <cell r="AQ18">
            <v>3</v>
          </cell>
          <cell r="AR18">
            <v>8</v>
          </cell>
          <cell r="AS18">
            <v>3</v>
          </cell>
          <cell r="AT18">
            <v>10.666666666666666</v>
          </cell>
          <cell r="AU18">
            <v>3</v>
          </cell>
          <cell r="AV18">
            <v>8</v>
          </cell>
          <cell r="AW18">
            <v>3</v>
          </cell>
          <cell r="AX18">
            <v>8.3333333333333339</v>
          </cell>
          <cell r="AY18">
            <v>3</v>
          </cell>
          <cell r="AZ18">
            <v>9.3333333333333339</v>
          </cell>
          <cell r="BA18">
            <v>3</v>
          </cell>
          <cell r="BB18">
            <v>10</v>
          </cell>
          <cell r="BC18">
            <v>3</v>
          </cell>
          <cell r="BD18">
            <v>10.25</v>
          </cell>
          <cell r="BE18">
            <v>3</v>
          </cell>
          <cell r="BF18">
            <v>9.25</v>
          </cell>
          <cell r="BG18">
            <v>3</v>
          </cell>
          <cell r="BH18">
            <v>7</v>
          </cell>
          <cell r="BI18">
            <v>3</v>
          </cell>
          <cell r="BL18">
            <v>11.333333333333334</v>
          </cell>
          <cell r="BM18">
            <v>3</v>
          </cell>
          <cell r="BN18">
            <v>7.333333333333333</v>
          </cell>
          <cell r="BO18">
            <v>3</v>
          </cell>
          <cell r="BP18">
            <v>6.333333333333333</v>
          </cell>
          <cell r="BQ18">
            <v>3</v>
          </cell>
          <cell r="BR18">
            <v>6.666666666666667</v>
          </cell>
          <cell r="BS18">
            <v>3</v>
          </cell>
          <cell r="BT18">
            <v>9.6666666666666661</v>
          </cell>
          <cell r="BU18">
            <v>3</v>
          </cell>
          <cell r="BV18">
            <v>11</v>
          </cell>
          <cell r="BW18">
            <v>3</v>
          </cell>
          <cell r="BX18">
            <v>7</v>
          </cell>
          <cell r="BY18">
            <v>3</v>
          </cell>
          <cell r="BZ18">
            <v>9.6666666666666661</v>
          </cell>
          <cell r="CA18">
            <v>3</v>
          </cell>
          <cell r="CB18">
            <v>7.333333333333333</v>
          </cell>
          <cell r="CC18">
            <v>3</v>
          </cell>
          <cell r="CD18">
            <v>9.6666666666666661</v>
          </cell>
          <cell r="CE18">
            <v>3</v>
          </cell>
          <cell r="CF18">
            <v>11.666666666666666</v>
          </cell>
          <cell r="CG18">
            <v>3</v>
          </cell>
          <cell r="CH18">
            <v>11.333333333333334</v>
          </cell>
          <cell r="CI18">
            <v>3</v>
          </cell>
        </row>
        <row r="19">
          <cell r="V19">
            <v>11.333333333333334</v>
          </cell>
          <cell r="W19">
            <v>4</v>
          </cell>
          <cell r="X19">
            <v>9.3333333333333339</v>
          </cell>
          <cell r="Y19">
            <v>4</v>
          </cell>
          <cell r="Z19">
            <v>11.666666666666666</v>
          </cell>
          <cell r="AA19">
            <v>4</v>
          </cell>
          <cell r="AB19">
            <v>11</v>
          </cell>
          <cell r="AC19">
            <v>4</v>
          </cell>
          <cell r="AD19">
            <v>10.333333333333334</v>
          </cell>
          <cell r="AE19">
            <v>4</v>
          </cell>
          <cell r="AF19">
            <v>8.6666666666666661</v>
          </cell>
          <cell r="AG19">
            <v>4</v>
          </cell>
          <cell r="AH19">
            <v>10.799999999999997</v>
          </cell>
          <cell r="AI19">
            <v>4</v>
          </cell>
          <cell r="AJ19">
            <v>11</v>
          </cell>
          <cell r="AK19">
            <v>4</v>
          </cell>
          <cell r="AL19">
            <v>8</v>
          </cell>
          <cell r="AM19">
            <v>4</v>
          </cell>
          <cell r="AN19">
            <v>9.3333333333333339</v>
          </cell>
          <cell r="AO19">
            <v>4</v>
          </cell>
          <cell r="AP19">
            <v>10.333333333333334</v>
          </cell>
          <cell r="AQ19">
            <v>4</v>
          </cell>
          <cell r="AR19">
            <v>8.6666666666666661</v>
          </cell>
          <cell r="AS19">
            <v>4</v>
          </cell>
          <cell r="AT19">
            <v>11.666666666666666</v>
          </cell>
          <cell r="AU19">
            <v>4</v>
          </cell>
          <cell r="AV19">
            <v>9</v>
          </cell>
          <cell r="AW19">
            <v>4</v>
          </cell>
          <cell r="AX19">
            <v>9.3333333333333339</v>
          </cell>
          <cell r="AY19">
            <v>4</v>
          </cell>
          <cell r="AZ19">
            <v>10.333333333333334</v>
          </cell>
          <cell r="BA19">
            <v>4</v>
          </cell>
          <cell r="BB19">
            <v>10.75</v>
          </cell>
          <cell r="BC19">
            <v>4</v>
          </cell>
          <cell r="BD19">
            <v>11</v>
          </cell>
          <cell r="BE19">
            <v>4</v>
          </cell>
          <cell r="BF19">
            <v>10</v>
          </cell>
          <cell r="BG19">
            <v>4</v>
          </cell>
          <cell r="BH19">
            <v>7.666666666666667</v>
          </cell>
          <cell r="BI19">
            <v>4</v>
          </cell>
          <cell r="BL19">
            <v>12</v>
          </cell>
          <cell r="BM19">
            <v>4</v>
          </cell>
          <cell r="BN19">
            <v>8.3333333333333339</v>
          </cell>
          <cell r="BO19">
            <v>4</v>
          </cell>
          <cell r="BP19">
            <v>7</v>
          </cell>
          <cell r="BQ19">
            <v>4</v>
          </cell>
          <cell r="BR19">
            <v>8</v>
          </cell>
          <cell r="BS19">
            <v>4</v>
          </cell>
          <cell r="BT19">
            <v>10.666666666666666</v>
          </cell>
          <cell r="BU19">
            <v>4</v>
          </cell>
          <cell r="BV19">
            <v>11.666666666666666</v>
          </cell>
          <cell r="BW19">
            <v>4</v>
          </cell>
          <cell r="BX19">
            <v>7.666666666666667</v>
          </cell>
          <cell r="BY19">
            <v>4</v>
          </cell>
          <cell r="BZ19">
            <v>10.666666666666666</v>
          </cell>
          <cell r="CA19">
            <v>4</v>
          </cell>
          <cell r="CB19">
            <v>8.3333333333333339</v>
          </cell>
          <cell r="CC19">
            <v>4</v>
          </cell>
          <cell r="CD19">
            <v>10.666666666666666</v>
          </cell>
          <cell r="CE19">
            <v>4</v>
          </cell>
          <cell r="CF19">
            <v>12.333333333333334</v>
          </cell>
          <cell r="CG19">
            <v>4</v>
          </cell>
          <cell r="CH19">
            <v>12.133333333333331</v>
          </cell>
          <cell r="CI19">
            <v>4</v>
          </cell>
        </row>
        <row r="20">
          <cell r="V20">
            <v>12</v>
          </cell>
          <cell r="W20">
            <v>5</v>
          </cell>
          <cell r="X20">
            <v>10</v>
          </cell>
          <cell r="Y20">
            <v>5</v>
          </cell>
          <cell r="Z20">
            <v>12.333333333333334</v>
          </cell>
          <cell r="AA20">
            <v>5</v>
          </cell>
          <cell r="AB20">
            <v>11.666666666666666</v>
          </cell>
          <cell r="AC20">
            <v>5</v>
          </cell>
          <cell r="AD20">
            <v>11</v>
          </cell>
          <cell r="AE20">
            <v>5</v>
          </cell>
          <cell r="AF20">
            <v>9.3333333333333339</v>
          </cell>
          <cell r="AG20">
            <v>5</v>
          </cell>
          <cell r="AH20">
            <v>11.666666666666666</v>
          </cell>
          <cell r="AI20">
            <v>5</v>
          </cell>
          <cell r="AJ20">
            <v>11.666666666666666</v>
          </cell>
          <cell r="AK20">
            <v>5</v>
          </cell>
          <cell r="AL20">
            <v>8.6666666666666661</v>
          </cell>
          <cell r="AM20">
            <v>5</v>
          </cell>
          <cell r="AN20">
            <v>10</v>
          </cell>
          <cell r="AO20">
            <v>5</v>
          </cell>
          <cell r="AP20">
            <v>10.666666666666666</v>
          </cell>
          <cell r="AQ20">
            <v>5</v>
          </cell>
          <cell r="AR20">
            <v>9.6666666666666661</v>
          </cell>
          <cell r="AS20">
            <v>5</v>
          </cell>
          <cell r="AT20">
            <v>12.333333333333334</v>
          </cell>
          <cell r="AU20">
            <v>5</v>
          </cell>
          <cell r="AV20">
            <v>10</v>
          </cell>
          <cell r="AW20">
            <v>5</v>
          </cell>
          <cell r="AX20">
            <v>10</v>
          </cell>
          <cell r="AY20">
            <v>5</v>
          </cell>
          <cell r="AZ20">
            <v>11</v>
          </cell>
          <cell r="BA20">
            <v>5</v>
          </cell>
          <cell r="BB20">
            <v>11.55</v>
          </cell>
          <cell r="BC20">
            <v>5</v>
          </cell>
          <cell r="BD20">
            <v>11.75</v>
          </cell>
          <cell r="BE20">
            <v>5</v>
          </cell>
          <cell r="BF20">
            <v>10.55</v>
          </cell>
          <cell r="BG20">
            <v>5</v>
          </cell>
          <cell r="BH20">
            <v>8.6666666666666661</v>
          </cell>
          <cell r="BI20">
            <v>5</v>
          </cell>
          <cell r="BL20">
            <v>13</v>
          </cell>
          <cell r="BM20">
            <v>5</v>
          </cell>
          <cell r="BN20">
            <v>9.3333333333333339</v>
          </cell>
          <cell r="BO20">
            <v>5</v>
          </cell>
          <cell r="BP20">
            <v>8</v>
          </cell>
          <cell r="BQ20">
            <v>5</v>
          </cell>
          <cell r="BR20">
            <v>9</v>
          </cell>
          <cell r="BS20">
            <v>5</v>
          </cell>
          <cell r="BT20">
            <v>11.333333333333334</v>
          </cell>
          <cell r="BU20">
            <v>5</v>
          </cell>
          <cell r="BV20">
            <v>12.333333333333334</v>
          </cell>
          <cell r="BW20">
            <v>5</v>
          </cell>
          <cell r="BX20">
            <v>8.3333333333333339</v>
          </cell>
          <cell r="BY20">
            <v>5</v>
          </cell>
          <cell r="BZ20">
            <v>11.333333333333334</v>
          </cell>
          <cell r="CA20">
            <v>5</v>
          </cell>
          <cell r="CB20">
            <v>9</v>
          </cell>
          <cell r="CC20">
            <v>5</v>
          </cell>
          <cell r="CD20">
            <v>11.333333333333334</v>
          </cell>
          <cell r="CE20">
            <v>5</v>
          </cell>
          <cell r="CF20">
            <v>13</v>
          </cell>
          <cell r="CG20">
            <v>5</v>
          </cell>
          <cell r="CH20">
            <v>13</v>
          </cell>
          <cell r="CI20">
            <v>5</v>
          </cell>
        </row>
        <row r="21">
          <cell r="V21">
            <v>13</v>
          </cell>
          <cell r="W21">
            <v>6</v>
          </cell>
          <cell r="X21">
            <v>10.666666666666666</v>
          </cell>
          <cell r="Y21">
            <v>6</v>
          </cell>
          <cell r="Z21">
            <v>13</v>
          </cell>
          <cell r="AA21">
            <v>6</v>
          </cell>
          <cell r="AB21">
            <v>12.666666666666666</v>
          </cell>
          <cell r="AC21">
            <v>6</v>
          </cell>
          <cell r="AD21">
            <v>11.666666666666666</v>
          </cell>
          <cell r="AE21">
            <v>6</v>
          </cell>
          <cell r="AF21">
            <v>9.6666666666666661</v>
          </cell>
          <cell r="AG21">
            <v>6</v>
          </cell>
          <cell r="AH21">
            <v>12.666666666666666</v>
          </cell>
          <cell r="AI21">
            <v>6</v>
          </cell>
          <cell r="AJ21">
            <v>12.333333333333334</v>
          </cell>
          <cell r="AK21">
            <v>6</v>
          </cell>
          <cell r="AL21">
            <v>9.6666666666666661</v>
          </cell>
          <cell r="AM21">
            <v>6</v>
          </cell>
          <cell r="AN21">
            <v>10.666666666666666</v>
          </cell>
          <cell r="AO21">
            <v>6</v>
          </cell>
          <cell r="AP21">
            <v>11.333333333333334</v>
          </cell>
          <cell r="AQ21">
            <v>6</v>
          </cell>
          <cell r="AR21">
            <v>10.666666666666666</v>
          </cell>
          <cell r="AS21">
            <v>6</v>
          </cell>
          <cell r="AT21">
            <v>13</v>
          </cell>
          <cell r="AU21">
            <v>6</v>
          </cell>
          <cell r="AV21">
            <v>10.333333333333334</v>
          </cell>
          <cell r="AW21">
            <v>6</v>
          </cell>
          <cell r="AX21">
            <v>10.666666666666666</v>
          </cell>
          <cell r="AY21">
            <v>6</v>
          </cell>
          <cell r="AZ21">
            <v>11.666666666666666</v>
          </cell>
          <cell r="BA21">
            <v>6</v>
          </cell>
          <cell r="BB21">
            <v>12.25</v>
          </cell>
          <cell r="BC21">
            <v>6</v>
          </cell>
          <cell r="BD21">
            <v>12.5</v>
          </cell>
          <cell r="BE21">
            <v>6</v>
          </cell>
          <cell r="BF21">
            <v>11.25</v>
          </cell>
          <cell r="BG21">
            <v>6</v>
          </cell>
          <cell r="BH21">
            <v>9.3333333333333339</v>
          </cell>
          <cell r="BI21">
            <v>6</v>
          </cell>
          <cell r="BL21">
            <v>13.666666666666666</v>
          </cell>
          <cell r="BM21">
            <v>6</v>
          </cell>
          <cell r="BN21">
            <v>10</v>
          </cell>
          <cell r="BO21">
            <v>6</v>
          </cell>
          <cell r="BP21">
            <v>8.6666666666666661</v>
          </cell>
          <cell r="BQ21">
            <v>6</v>
          </cell>
          <cell r="BR21">
            <v>9.6666666666666661</v>
          </cell>
          <cell r="BS21">
            <v>6</v>
          </cell>
          <cell r="BT21">
            <v>12</v>
          </cell>
          <cell r="BU21">
            <v>6</v>
          </cell>
          <cell r="BV21">
            <v>13</v>
          </cell>
          <cell r="BW21">
            <v>6</v>
          </cell>
          <cell r="BX21">
            <v>9.3333333333333339</v>
          </cell>
          <cell r="BY21">
            <v>6</v>
          </cell>
          <cell r="BZ21">
            <v>12.333333333333334</v>
          </cell>
          <cell r="CA21">
            <v>6</v>
          </cell>
          <cell r="CB21">
            <v>10</v>
          </cell>
          <cell r="CC21">
            <v>6</v>
          </cell>
          <cell r="CD21">
            <v>12</v>
          </cell>
          <cell r="CE21">
            <v>6</v>
          </cell>
          <cell r="CF21">
            <v>14</v>
          </cell>
          <cell r="CG21">
            <v>6</v>
          </cell>
          <cell r="CH21">
            <v>14</v>
          </cell>
          <cell r="CI21">
            <v>6</v>
          </cell>
        </row>
        <row r="22">
          <cell r="V22">
            <v>13.666666666666666</v>
          </cell>
          <cell r="W22">
            <v>7</v>
          </cell>
          <cell r="X22">
            <v>11.666666666666666</v>
          </cell>
          <cell r="Y22">
            <v>7</v>
          </cell>
          <cell r="Z22">
            <v>13.933333333333328</v>
          </cell>
          <cell r="AA22">
            <v>7</v>
          </cell>
          <cell r="AB22">
            <v>13.333333333333334</v>
          </cell>
          <cell r="AC22">
            <v>7</v>
          </cell>
          <cell r="AD22">
            <v>12.333333333333334</v>
          </cell>
          <cell r="AE22">
            <v>7</v>
          </cell>
          <cell r="AF22">
            <v>10.333333333333334</v>
          </cell>
          <cell r="AG22">
            <v>7</v>
          </cell>
          <cell r="AH22">
            <v>13.333333333333334</v>
          </cell>
          <cell r="AI22">
            <v>7</v>
          </cell>
          <cell r="AJ22">
            <v>13.333333333333334</v>
          </cell>
          <cell r="AK22">
            <v>7</v>
          </cell>
          <cell r="AL22">
            <v>10.333333333333334</v>
          </cell>
          <cell r="AM22">
            <v>7</v>
          </cell>
          <cell r="AN22">
            <v>11.666666666666666</v>
          </cell>
          <cell r="AO22">
            <v>7</v>
          </cell>
          <cell r="AP22">
            <v>11.666666666666666</v>
          </cell>
          <cell r="AQ22">
            <v>7</v>
          </cell>
          <cell r="AR22">
            <v>11.333333333333334</v>
          </cell>
          <cell r="AS22">
            <v>7</v>
          </cell>
          <cell r="AT22">
            <v>13.666666666666666</v>
          </cell>
          <cell r="AU22">
            <v>7</v>
          </cell>
          <cell r="AV22">
            <v>11.333333333333334</v>
          </cell>
          <cell r="AW22">
            <v>7</v>
          </cell>
          <cell r="AX22">
            <v>11.333333333333334</v>
          </cell>
          <cell r="AY22">
            <v>7</v>
          </cell>
          <cell r="AZ22">
            <v>12.666666666666666</v>
          </cell>
          <cell r="BA22">
            <v>7</v>
          </cell>
          <cell r="BB22">
            <v>12.75</v>
          </cell>
          <cell r="BC22">
            <v>7</v>
          </cell>
          <cell r="BD22">
            <v>13.25</v>
          </cell>
          <cell r="BE22">
            <v>7</v>
          </cell>
          <cell r="BF22">
            <v>11.75</v>
          </cell>
          <cell r="BG22">
            <v>7</v>
          </cell>
          <cell r="BH22">
            <v>10</v>
          </cell>
          <cell r="BI22">
            <v>7</v>
          </cell>
          <cell r="BL22">
            <v>14.333333333333334</v>
          </cell>
          <cell r="BM22">
            <v>7</v>
          </cell>
          <cell r="BN22">
            <v>10.933333333333328</v>
          </cell>
          <cell r="BO22">
            <v>7</v>
          </cell>
          <cell r="BP22">
            <v>10</v>
          </cell>
          <cell r="BQ22">
            <v>7</v>
          </cell>
          <cell r="BR22">
            <v>10.666666666666666</v>
          </cell>
          <cell r="BS22">
            <v>7</v>
          </cell>
          <cell r="BT22">
            <v>12.666666666666666</v>
          </cell>
          <cell r="BU22">
            <v>7</v>
          </cell>
          <cell r="BV22">
            <v>13.599999999999994</v>
          </cell>
          <cell r="BW22">
            <v>7</v>
          </cell>
          <cell r="BX22">
            <v>10</v>
          </cell>
          <cell r="BY22">
            <v>7</v>
          </cell>
          <cell r="BZ22">
            <v>13.333333333333334</v>
          </cell>
          <cell r="CA22">
            <v>7</v>
          </cell>
          <cell r="CB22">
            <v>10.666666666666666</v>
          </cell>
          <cell r="CC22">
            <v>7</v>
          </cell>
          <cell r="CD22">
            <v>12.666666666666666</v>
          </cell>
          <cell r="CE22">
            <v>7</v>
          </cell>
          <cell r="CF22">
            <v>14.666666666666666</v>
          </cell>
          <cell r="CG22">
            <v>7</v>
          </cell>
          <cell r="CH22">
            <v>15</v>
          </cell>
          <cell r="CI22">
            <v>7</v>
          </cell>
        </row>
        <row r="23">
          <cell r="V23">
            <v>14.666666666666666</v>
          </cell>
          <cell r="W23">
            <v>8</v>
          </cell>
          <cell r="X23">
            <v>12</v>
          </cell>
          <cell r="Y23">
            <v>8</v>
          </cell>
          <cell r="Z23">
            <v>14.666666666666666</v>
          </cell>
          <cell r="AA23">
            <v>8</v>
          </cell>
          <cell r="AB23">
            <v>14</v>
          </cell>
          <cell r="AC23">
            <v>8</v>
          </cell>
          <cell r="AD23">
            <v>13</v>
          </cell>
          <cell r="AE23">
            <v>8</v>
          </cell>
          <cell r="AF23">
            <v>11.333333333333334</v>
          </cell>
          <cell r="AG23">
            <v>8</v>
          </cell>
          <cell r="AH23">
            <v>14</v>
          </cell>
          <cell r="AI23">
            <v>8</v>
          </cell>
          <cell r="AJ23">
            <v>13.666666666666666</v>
          </cell>
          <cell r="AK23">
            <v>8</v>
          </cell>
          <cell r="AL23">
            <v>11</v>
          </cell>
          <cell r="AM23">
            <v>8</v>
          </cell>
          <cell r="AN23">
            <v>12</v>
          </cell>
          <cell r="AO23">
            <v>8</v>
          </cell>
          <cell r="AP23">
            <v>12.666666666666666</v>
          </cell>
          <cell r="AQ23">
            <v>8</v>
          </cell>
          <cell r="AR23">
            <v>12.2</v>
          </cell>
          <cell r="AS23">
            <v>8</v>
          </cell>
          <cell r="AT23">
            <v>14.333333333333334</v>
          </cell>
          <cell r="AU23">
            <v>8</v>
          </cell>
          <cell r="AV23">
            <v>12.333333333333334</v>
          </cell>
          <cell r="AW23">
            <v>8</v>
          </cell>
          <cell r="AX23">
            <v>12</v>
          </cell>
          <cell r="AY23">
            <v>8</v>
          </cell>
          <cell r="AZ23">
            <v>13.333333333333334</v>
          </cell>
          <cell r="BA23">
            <v>8</v>
          </cell>
          <cell r="BB23">
            <v>13.5</v>
          </cell>
          <cell r="BC23">
            <v>8</v>
          </cell>
          <cell r="BD23">
            <v>14</v>
          </cell>
          <cell r="BE23">
            <v>8</v>
          </cell>
          <cell r="BF23">
            <v>12.5</v>
          </cell>
          <cell r="BG23">
            <v>8</v>
          </cell>
          <cell r="BH23">
            <v>11</v>
          </cell>
          <cell r="BI23">
            <v>8</v>
          </cell>
          <cell r="BL23">
            <v>15.333333333333334</v>
          </cell>
          <cell r="BM23">
            <v>8</v>
          </cell>
          <cell r="BN23">
            <v>11.866666666666665</v>
          </cell>
          <cell r="BO23">
            <v>8</v>
          </cell>
          <cell r="BP23">
            <v>10.666666666666666</v>
          </cell>
          <cell r="BQ23">
            <v>8</v>
          </cell>
          <cell r="BR23">
            <v>11.333333333333334</v>
          </cell>
          <cell r="BS23">
            <v>8</v>
          </cell>
          <cell r="BT23">
            <v>13.666666666666666</v>
          </cell>
          <cell r="BU23">
            <v>8</v>
          </cell>
          <cell r="BV23">
            <v>14.333333333333334</v>
          </cell>
          <cell r="BW23">
            <v>8</v>
          </cell>
          <cell r="BX23">
            <v>10.666666666666666</v>
          </cell>
          <cell r="BY23">
            <v>8</v>
          </cell>
          <cell r="BZ23">
            <v>14</v>
          </cell>
          <cell r="CA23">
            <v>8</v>
          </cell>
          <cell r="CB23">
            <v>11.666666666666666</v>
          </cell>
          <cell r="CC23">
            <v>8</v>
          </cell>
          <cell r="CD23">
            <v>13.666666666666666</v>
          </cell>
          <cell r="CE23">
            <v>8</v>
          </cell>
          <cell r="CF23">
            <v>15</v>
          </cell>
          <cell r="CG23">
            <v>8</v>
          </cell>
          <cell r="CH23">
            <v>15.666666666666666</v>
          </cell>
          <cell r="CI23">
            <v>8</v>
          </cell>
        </row>
        <row r="24">
          <cell r="V24">
            <v>15.666666666666666</v>
          </cell>
          <cell r="W24">
            <v>9</v>
          </cell>
          <cell r="X24">
            <v>13</v>
          </cell>
          <cell r="Y24">
            <v>9</v>
          </cell>
          <cell r="Z24">
            <v>15.333333333333334</v>
          </cell>
          <cell r="AA24">
            <v>9</v>
          </cell>
          <cell r="AB24">
            <v>14.666666666666666</v>
          </cell>
          <cell r="AC24">
            <v>9</v>
          </cell>
          <cell r="AD24">
            <v>14</v>
          </cell>
          <cell r="AE24">
            <v>9</v>
          </cell>
          <cell r="AF24">
            <v>12</v>
          </cell>
          <cell r="AG24">
            <v>9</v>
          </cell>
          <cell r="AH24">
            <v>15</v>
          </cell>
          <cell r="AI24">
            <v>9</v>
          </cell>
          <cell r="AJ24">
            <v>14.666666666666666</v>
          </cell>
          <cell r="AK24">
            <v>9</v>
          </cell>
          <cell r="AL24">
            <v>12</v>
          </cell>
          <cell r="AM24">
            <v>9</v>
          </cell>
          <cell r="AN24">
            <v>13</v>
          </cell>
          <cell r="AO24">
            <v>9</v>
          </cell>
          <cell r="AP24">
            <v>13.333333333333334</v>
          </cell>
          <cell r="AQ24">
            <v>9</v>
          </cell>
          <cell r="AR24">
            <v>13.333333333333334</v>
          </cell>
          <cell r="AS24">
            <v>9</v>
          </cell>
          <cell r="AT24">
            <v>15</v>
          </cell>
          <cell r="AU24">
            <v>9</v>
          </cell>
          <cell r="AV24">
            <v>13.333333333333334</v>
          </cell>
          <cell r="AW24">
            <v>9</v>
          </cell>
          <cell r="AX24">
            <v>13.133333333333335</v>
          </cell>
          <cell r="AY24">
            <v>9</v>
          </cell>
          <cell r="AZ24">
            <v>14.333333333333334</v>
          </cell>
          <cell r="BA24">
            <v>9</v>
          </cell>
          <cell r="BB24">
            <v>14.25</v>
          </cell>
          <cell r="BC24">
            <v>9</v>
          </cell>
          <cell r="BD24">
            <v>14.75</v>
          </cell>
          <cell r="BE24">
            <v>9</v>
          </cell>
          <cell r="BF24">
            <v>13.5</v>
          </cell>
          <cell r="BG24">
            <v>9</v>
          </cell>
          <cell r="BH24">
            <v>11.666666666666666</v>
          </cell>
          <cell r="BI24">
            <v>9</v>
          </cell>
          <cell r="BL24">
            <v>16</v>
          </cell>
          <cell r="BM24">
            <v>9</v>
          </cell>
          <cell r="BN24">
            <v>13</v>
          </cell>
          <cell r="BO24">
            <v>9</v>
          </cell>
          <cell r="BP24">
            <v>12</v>
          </cell>
          <cell r="BQ24">
            <v>9</v>
          </cell>
          <cell r="BR24">
            <v>13</v>
          </cell>
          <cell r="BS24">
            <v>9</v>
          </cell>
          <cell r="BT24">
            <v>14.333333333333334</v>
          </cell>
          <cell r="BU24">
            <v>9</v>
          </cell>
          <cell r="BV24">
            <v>15</v>
          </cell>
          <cell r="BW24">
            <v>9</v>
          </cell>
          <cell r="BX24">
            <v>11.666666666666666</v>
          </cell>
          <cell r="BY24">
            <v>9</v>
          </cell>
          <cell r="BZ24">
            <v>15</v>
          </cell>
          <cell r="CA24">
            <v>9</v>
          </cell>
          <cell r="CB24">
            <v>12.666666666666666</v>
          </cell>
          <cell r="CC24">
            <v>9</v>
          </cell>
          <cell r="CD24">
            <v>14.666666666666666</v>
          </cell>
          <cell r="CE24">
            <v>9</v>
          </cell>
          <cell r="CF24">
            <v>15.666666666666666</v>
          </cell>
          <cell r="CG24">
            <v>9</v>
          </cell>
          <cell r="CH24">
            <v>16.333333333333332</v>
          </cell>
          <cell r="CI24">
            <v>9</v>
          </cell>
        </row>
        <row r="25">
          <cell r="V25">
            <v>16.666666666666668</v>
          </cell>
          <cell r="W25">
            <v>10</v>
          </cell>
          <cell r="X25">
            <v>14.333333333333334</v>
          </cell>
          <cell r="Y25">
            <v>10</v>
          </cell>
          <cell r="Z25">
            <v>16.399999999999995</v>
          </cell>
          <cell r="AA25">
            <v>10</v>
          </cell>
          <cell r="AB25">
            <v>15.666666666666666</v>
          </cell>
          <cell r="AC25">
            <v>10</v>
          </cell>
          <cell r="AD25">
            <v>15.333333333333334</v>
          </cell>
          <cell r="AE25">
            <v>10</v>
          </cell>
          <cell r="AF25">
            <v>13</v>
          </cell>
          <cell r="AG25">
            <v>10</v>
          </cell>
          <cell r="AH25">
            <v>16</v>
          </cell>
          <cell r="AI25">
            <v>10</v>
          </cell>
          <cell r="AJ25">
            <v>16.066666666666663</v>
          </cell>
          <cell r="AK25">
            <v>10</v>
          </cell>
          <cell r="AL25">
            <v>13.666666666666666</v>
          </cell>
          <cell r="AM25">
            <v>10</v>
          </cell>
          <cell r="AN25">
            <v>14.333333333333334</v>
          </cell>
          <cell r="AO25">
            <v>10</v>
          </cell>
          <cell r="AP25">
            <v>14.666666666666666</v>
          </cell>
          <cell r="AQ25">
            <v>10</v>
          </cell>
          <cell r="AR25">
            <v>14</v>
          </cell>
          <cell r="AS25">
            <v>10</v>
          </cell>
          <cell r="AT25">
            <v>16.333333333333332</v>
          </cell>
          <cell r="AU25">
            <v>10</v>
          </cell>
          <cell r="AV25">
            <v>14.666666666666666</v>
          </cell>
          <cell r="AW25">
            <v>10</v>
          </cell>
          <cell r="AX25">
            <v>13.666666666666666</v>
          </cell>
          <cell r="AY25">
            <v>10</v>
          </cell>
          <cell r="AZ25">
            <v>15.333333333333334</v>
          </cell>
          <cell r="BA25">
            <v>10</v>
          </cell>
          <cell r="BB25">
            <v>15.25</v>
          </cell>
          <cell r="BC25">
            <v>10</v>
          </cell>
          <cell r="BD25">
            <v>15.75</v>
          </cell>
          <cell r="BE25">
            <v>10</v>
          </cell>
          <cell r="BF25">
            <v>15</v>
          </cell>
          <cell r="BG25">
            <v>10</v>
          </cell>
          <cell r="BH25">
            <v>12.666666666666666</v>
          </cell>
          <cell r="BI25">
            <v>10</v>
          </cell>
          <cell r="BL25">
            <v>17.333333333333332</v>
          </cell>
          <cell r="BM25">
            <v>10</v>
          </cell>
          <cell r="BN25">
            <v>14.333333333333334</v>
          </cell>
          <cell r="BO25">
            <v>10</v>
          </cell>
          <cell r="BP25">
            <v>13.666666666666666</v>
          </cell>
          <cell r="BQ25">
            <v>10</v>
          </cell>
          <cell r="BR25">
            <v>14.333333333333334</v>
          </cell>
          <cell r="BS25">
            <v>10</v>
          </cell>
          <cell r="BT25">
            <v>15.333333333333334</v>
          </cell>
          <cell r="BU25">
            <v>10</v>
          </cell>
          <cell r="BV25">
            <v>16</v>
          </cell>
          <cell r="BW25">
            <v>10</v>
          </cell>
          <cell r="BX25">
            <v>12.733333333333329</v>
          </cell>
          <cell r="BY25">
            <v>10</v>
          </cell>
          <cell r="BZ25">
            <v>16.666666666666668</v>
          </cell>
          <cell r="CA25">
            <v>10</v>
          </cell>
          <cell r="CB25">
            <v>13.666666666666666</v>
          </cell>
          <cell r="CC25">
            <v>10</v>
          </cell>
          <cell r="CD25">
            <v>16</v>
          </cell>
          <cell r="CE25">
            <v>10</v>
          </cell>
          <cell r="CF25">
            <v>16.666666666666668</v>
          </cell>
          <cell r="CG25">
            <v>10</v>
          </cell>
          <cell r="CH25">
            <v>17.666666666666668</v>
          </cell>
          <cell r="CI25">
            <v>10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6593-B5EB-264F-B420-6BA523AA8FA2}">
  <dimension ref="A1:MK2"/>
  <sheetViews>
    <sheetView workbookViewId="0">
      <selection activeCell="B3" sqref="B3"/>
    </sheetView>
  </sheetViews>
  <sheetFormatPr baseColWidth="10" defaultRowHeight="16" x14ac:dyDescent="0.2"/>
  <sheetData>
    <row r="1" spans="1:349" s="9" customFormat="1" ht="15" x14ac:dyDescent="0.2">
      <c r="A1" s="9" t="s">
        <v>130</v>
      </c>
      <c r="B1" s="9" t="s">
        <v>132</v>
      </c>
      <c r="C1" s="9" t="s">
        <v>133</v>
      </c>
      <c r="D1" s="9" t="s">
        <v>134</v>
      </c>
      <c r="E1" s="9" t="s">
        <v>136</v>
      </c>
      <c r="F1" s="9" t="s">
        <v>138</v>
      </c>
      <c r="G1" s="9" t="s">
        <v>139</v>
      </c>
      <c r="H1" s="9" t="s">
        <v>141</v>
      </c>
      <c r="I1" s="9" t="s">
        <v>143</v>
      </c>
      <c r="J1" s="9" t="s">
        <v>145</v>
      </c>
      <c r="K1" s="9" t="s">
        <v>147</v>
      </c>
      <c r="L1" s="9" t="s">
        <v>149</v>
      </c>
      <c r="M1" s="9" t="s">
        <v>601</v>
      </c>
      <c r="N1" s="9" t="s">
        <v>607</v>
      </c>
      <c r="O1" s="9" t="s">
        <v>610</v>
      </c>
      <c r="P1" s="9" t="s">
        <v>613</v>
      </c>
      <c r="Q1" s="9" t="s">
        <v>615</v>
      </c>
      <c r="R1" s="9" t="s">
        <v>619</v>
      </c>
      <c r="S1" s="9" t="s">
        <v>620</v>
      </c>
      <c r="T1" s="9" t="s">
        <v>621</v>
      </c>
      <c r="U1" s="9" t="s">
        <v>623</v>
      </c>
      <c r="V1" s="9" t="s">
        <v>625</v>
      </c>
      <c r="W1" s="9" t="s">
        <v>627</v>
      </c>
      <c r="X1" s="9" t="s">
        <v>629</v>
      </c>
      <c r="Y1" s="9" t="s">
        <v>631</v>
      </c>
      <c r="Z1" s="9" t="s">
        <v>633</v>
      </c>
      <c r="AA1" s="9" t="s">
        <v>635</v>
      </c>
      <c r="AB1" s="9" t="s">
        <v>637</v>
      </c>
      <c r="AC1" s="9" t="s">
        <v>639</v>
      </c>
      <c r="AD1" s="9" t="s">
        <v>641</v>
      </c>
      <c r="AE1" s="9" t="s">
        <v>642</v>
      </c>
      <c r="AF1" s="9" t="s">
        <v>644</v>
      </c>
      <c r="AG1" s="9" t="s">
        <v>645</v>
      </c>
      <c r="AH1" s="9" t="s">
        <v>647</v>
      </c>
      <c r="AI1" s="9" t="s">
        <v>649</v>
      </c>
      <c r="AJ1" s="9" t="s">
        <v>650</v>
      </c>
      <c r="AK1" s="9" t="s">
        <v>652</v>
      </c>
      <c r="AL1" s="9" t="s">
        <v>653</v>
      </c>
      <c r="AM1" s="9" t="s">
        <v>654</v>
      </c>
      <c r="AN1" s="9" t="s">
        <v>656</v>
      </c>
      <c r="AO1" s="9" t="s">
        <v>658</v>
      </c>
      <c r="AP1" s="9" t="s">
        <v>660</v>
      </c>
      <c r="AQ1" s="9" t="s">
        <v>661</v>
      </c>
      <c r="AR1" s="9" t="s">
        <v>663</v>
      </c>
      <c r="AS1" s="9" t="s">
        <v>664</v>
      </c>
      <c r="AT1" s="9" t="s">
        <v>665</v>
      </c>
      <c r="AU1" s="9" t="s">
        <v>666</v>
      </c>
      <c r="AV1" s="9" t="s">
        <v>667</v>
      </c>
      <c r="AW1" s="9" t="s">
        <v>670</v>
      </c>
      <c r="AX1" s="9" t="s">
        <v>672</v>
      </c>
      <c r="AY1" s="9" t="s">
        <v>674</v>
      </c>
      <c r="AZ1" s="9" t="s">
        <v>677</v>
      </c>
      <c r="BA1" s="9" t="s">
        <v>678</v>
      </c>
      <c r="BB1" s="9" t="s">
        <v>679</v>
      </c>
      <c r="BC1" s="9" t="s">
        <v>680</v>
      </c>
      <c r="BD1" s="9" t="s">
        <v>682</v>
      </c>
      <c r="BE1" s="9" t="s">
        <v>683</v>
      </c>
      <c r="BF1" s="9" t="s">
        <v>685</v>
      </c>
      <c r="BG1" s="9" t="s">
        <v>686</v>
      </c>
      <c r="BH1" s="9" t="s">
        <v>687</v>
      </c>
      <c r="BI1" s="9" t="s">
        <v>688</v>
      </c>
      <c r="BJ1" s="9" t="s">
        <v>689</v>
      </c>
      <c r="BK1" s="9" t="s">
        <v>690</v>
      </c>
      <c r="BL1" s="9" t="s">
        <v>691</v>
      </c>
      <c r="BM1" s="9" t="s">
        <v>692</v>
      </c>
      <c r="BN1" s="9" t="s">
        <v>693</v>
      </c>
      <c r="BO1" s="9" t="s">
        <v>694</v>
      </c>
      <c r="BP1" s="9" t="s">
        <v>695</v>
      </c>
      <c r="BQ1" s="9" t="s">
        <v>696</v>
      </c>
      <c r="BR1" s="9" t="s">
        <v>697</v>
      </c>
      <c r="BS1" s="9" t="s">
        <v>698</v>
      </c>
      <c r="BT1" s="9" t="s">
        <v>699</v>
      </c>
      <c r="BU1" s="9" t="s">
        <v>700</v>
      </c>
      <c r="BV1" s="9" t="s">
        <v>701</v>
      </c>
      <c r="BW1" s="9" t="s">
        <v>702</v>
      </c>
      <c r="BX1" s="9" t="s">
        <v>703</v>
      </c>
      <c r="BY1" s="9" t="s">
        <v>704</v>
      </c>
      <c r="BZ1" s="9" t="s">
        <v>705</v>
      </c>
      <c r="CA1" s="9" t="s">
        <v>706</v>
      </c>
      <c r="CB1" s="9" t="s">
        <v>707</v>
      </c>
      <c r="CC1" s="9" t="s">
        <v>708</v>
      </c>
      <c r="CD1" s="9" t="s">
        <v>709</v>
      </c>
      <c r="CE1" s="9" t="s">
        <v>710</v>
      </c>
      <c r="CF1" s="9" t="s">
        <v>711</v>
      </c>
      <c r="CG1" s="9" t="s">
        <v>712</v>
      </c>
      <c r="CH1" s="9" t="s">
        <v>713</v>
      </c>
      <c r="CI1" s="9" t="s">
        <v>714</v>
      </c>
      <c r="CJ1" s="9" t="s">
        <v>715</v>
      </c>
      <c r="CK1" s="9" t="s">
        <v>716</v>
      </c>
      <c r="CL1" s="9" t="s">
        <v>717</v>
      </c>
      <c r="CM1" s="9" t="s">
        <v>718</v>
      </c>
      <c r="CN1" s="9" t="s">
        <v>719</v>
      </c>
      <c r="CO1" s="9" t="s">
        <v>720</v>
      </c>
      <c r="CP1" s="9" t="s">
        <v>721</v>
      </c>
      <c r="CQ1" s="9" t="s">
        <v>722</v>
      </c>
      <c r="CR1" s="9" t="s">
        <v>723</v>
      </c>
      <c r="CS1" s="9" t="s">
        <v>724</v>
      </c>
      <c r="CT1" s="9" t="s">
        <v>725</v>
      </c>
      <c r="CU1" s="9" t="s">
        <v>726</v>
      </c>
      <c r="CV1" s="9" t="s">
        <v>727</v>
      </c>
      <c r="CW1" s="9" t="s">
        <v>728</v>
      </c>
      <c r="CX1" s="9" t="s">
        <v>729</v>
      </c>
      <c r="CY1" s="9" t="s">
        <v>730</v>
      </c>
      <c r="CZ1" s="9" t="s">
        <v>731</v>
      </c>
      <c r="DA1" s="9" t="s">
        <v>732</v>
      </c>
      <c r="DB1" s="9" t="s">
        <v>733</v>
      </c>
      <c r="DC1" s="9" t="s">
        <v>734</v>
      </c>
      <c r="DD1" s="9" t="s">
        <v>735</v>
      </c>
      <c r="DE1" s="9" t="s">
        <v>736</v>
      </c>
      <c r="DF1" s="9" t="s">
        <v>737</v>
      </c>
      <c r="DG1" s="9" t="s">
        <v>738</v>
      </c>
      <c r="DH1" s="9" t="s">
        <v>739</v>
      </c>
      <c r="DI1" s="9" t="s">
        <v>740</v>
      </c>
      <c r="DJ1" s="9" t="s">
        <v>741</v>
      </c>
      <c r="DK1" s="9" t="s">
        <v>742</v>
      </c>
      <c r="DL1" s="9" t="s">
        <v>743</v>
      </c>
      <c r="DM1" s="9" t="s">
        <v>744</v>
      </c>
      <c r="DN1" s="9" t="s">
        <v>745</v>
      </c>
      <c r="DO1" s="9" t="s">
        <v>746</v>
      </c>
      <c r="DP1" s="9" t="s">
        <v>747</v>
      </c>
      <c r="DQ1" s="9" t="s">
        <v>748</v>
      </c>
      <c r="DR1" s="9" t="s">
        <v>749</v>
      </c>
      <c r="DS1" s="9" t="s">
        <v>750</v>
      </c>
      <c r="DT1" s="9" t="s">
        <v>751</v>
      </c>
      <c r="DU1" s="9" t="s">
        <v>752</v>
      </c>
      <c r="DV1" s="9" t="s">
        <v>753</v>
      </c>
      <c r="DW1" s="9" t="s">
        <v>754</v>
      </c>
      <c r="DX1" s="9" t="s">
        <v>755</v>
      </c>
      <c r="DY1" s="9" t="s">
        <v>756</v>
      </c>
      <c r="DZ1" s="9" t="s">
        <v>757</v>
      </c>
      <c r="EA1" s="9" t="s">
        <v>758</v>
      </c>
      <c r="EB1" s="9" t="s">
        <v>759</v>
      </c>
      <c r="EC1" s="9" t="s">
        <v>760</v>
      </c>
      <c r="ED1" s="9" t="s">
        <v>761</v>
      </c>
      <c r="EE1" s="9" t="s">
        <v>762</v>
      </c>
      <c r="EF1" s="9" t="s">
        <v>763</v>
      </c>
      <c r="EG1" s="9" t="s">
        <v>764</v>
      </c>
      <c r="EH1" s="9" t="s">
        <v>765</v>
      </c>
      <c r="EI1" s="9" t="s">
        <v>766</v>
      </c>
      <c r="EJ1" s="9" t="s">
        <v>767</v>
      </c>
      <c r="EK1" s="9" t="s">
        <v>768</v>
      </c>
      <c r="EL1" s="9" t="s">
        <v>769</v>
      </c>
      <c r="EM1" s="9" t="s">
        <v>770</v>
      </c>
      <c r="EN1" s="9" t="s">
        <v>771</v>
      </c>
      <c r="EO1" s="9" t="s">
        <v>772</v>
      </c>
      <c r="EP1" s="9" t="s">
        <v>773</v>
      </c>
      <c r="EQ1" s="9" t="s">
        <v>774</v>
      </c>
      <c r="ER1" s="9" t="s">
        <v>775</v>
      </c>
      <c r="ES1" s="9" t="s">
        <v>776</v>
      </c>
      <c r="ET1" s="9" t="s">
        <v>777</v>
      </c>
      <c r="EU1" s="9" t="s">
        <v>778</v>
      </c>
      <c r="EV1" s="9" t="s">
        <v>779</v>
      </c>
      <c r="EW1" s="9" t="s">
        <v>780</v>
      </c>
      <c r="EX1" s="9" t="s">
        <v>781</v>
      </c>
      <c r="EY1" s="9" t="s">
        <v>782</v>
      </c>
      <c r="EZ1" s="9" t="s">
        <v>783</v>
      </c>
      <c r="FA1" s="9" t="s">
        <v>784</v>
      </c>
      <c r="FB1" s="9" t="s">
        <v>785</v>
      </c>
      <c r="FC1" s="9" t="s">
        <v>786</v>
      </c>
      <c r="FD1" s="9" t="s">
        <v>787</v>
      </c>
      <c r="FE1" s="9" t="s">
        <v>788</v>
      </c>
      <c r="FF1" s="9" t="s">
        <v>789</v>
      </c>
      <c r="FG1" s="9" t="s">
        <v>790</v>
      </c>
      <c r="FH1" s="9" t="s">
        <v>791</v>
      </c>
      <c r="FI1" s="9" t="s">
        <v>792</v>
      </c>
      <c r="FJ1" s="9" t="s">
        <v>793</v>
      </c>
      <c r="FK1" s="9" t="s">
        <v>794</v>
      </c>
      <c r="FL1" s="9" t="s">
        <v>795</v>
      </c>
      <c r="FM1" s="9" t="s">
        <v>796</v>
      </c>
      <c r="FN1" s="9" t="s">
        <v>797</v>
      </c>
      <c r="FO1" s="9" t="s">
        <v>798</v>
      </c>
      <c r="FP1" s="9" t="s">
        <v>799</v>
      </c>
      <c r="FQ1" s="9" t="s">
        <v>800</v>
      </c>
      <c r="FR1" s="9" t="s">
        <v>801</v>
      </c>
      <c r="FS1" s="9" t="s">
        <v>802</v>
      </c>
      <c r="FT1" s="9" t="s">
        <v>803</v>
      </c>
      <c r="FU1" s="9" t="s">
        <v>804</v>
      </c>
      <c r="FV1" s="9" t="s">
        <v>805</v>
      </c>
      <c r="FW1" s="9" t="s">
        <v>806</v>
      </c>
      <c r="FX1" s="9" t="s">
        <v>807</v>
      </c>
      <c r="FY1" s="9" t="s">
        <v>808</v>
      </c>
      <c r="FZ1" s="9" t="s">
        <v>809</v>
      </c>
      <c r="GA1" s="9" t="s">
        <v>810</v>
      </c>
      <c r="GB1" s="9" t="s">
        <v>811</v>
      </c>
      <c r="GC1" s="9" t="s">
        <v>812</v>
      </c>
      <c r="GD1" s="9" t="s">
        <v>813</v>
      </c>
      <c r="GE1" s="9" t="s">
        <v>814</v>
      </c>
      <c r="GF1" s="9" t="s">
        <v>815</v>
      </c>
      <c r="GG1" s="9" t="s">
        <v>816</v>
      </c>
      <c r="GH1" s="9" t="s">
        <v>817</v>
      </c>
      <c r="GI1" s="9" t="s">
        <v>818</v>
      </c>
      <c r="GJ1" s="9" t="s">
        <v>819</v>
      </c>
      <c r="GK1" s="9" t="s">
        <v>820</v>
      </c>
      <c r="GL1" s="9" t="s">
        <v>821</v>
      </c>
      <c r="GM1" s="9" t="s">
        <v>822</v>
      </c>
      <c r="GN1" s="9" t="s">
        <v>823</v>
      </c>
      <c r="GO1" s="9" t="s">
        <v>824</v>
      </c>
      <c r="GP1" s="9" t="s">
        <v>825</v>
      </c>
      <c r="GQ1" s="9" t="s">
        <v>826</v>
      </c>
      <c r="GR1" s="9" t="s">
        <v>827</v>
      </c>
      <c r="GS1" s="9" t="s">
        <v>828</v>
      </c>
      <c r="GT1" s="9" t="s">
        <v>829</v>
      </c>
      <c r="GU1" s="9" t="s">
        <v>830</v>
      </c>
      <c r="GV1" s="9" t="s">
        <v>831</v>
      </c>
      <c r="GW1" s="9" t="s">
        <v>832</v>
      </c>
      <c r="GX1" s="9" t="s">
        <v>833</v>
      </c>
      <c r="GY1" s="9" t="s">
        <v>834</v>
      </c>
      <c r="GZ1" s="9" t="s">
        <v>835</v>
      </c>
      <c r="HA1" s="9" t="s">
        <v>836</v>
      </c>
      <c r="HB1" s="9" t="s">
        <v>837</v>
      </c>
      <c r="HC1" s="9" t="s">
        <v>838</v>
      </c>
      <c r="HD1" s="9" t="s">
        <v>839</v>
      </c>
      <c r="HE1" s="9" t="s">
        <v>840</v>
      </c>
      <c r="HF1" s="9" t="s">
        <v>841</v>
      </c>
      <c r="HG1" s="9" t="s">
        <v>842</v>
      </c>
      <c r="HH1" s="9" t="s">
        <v>843</v>
      </c>
      <c r="HI1" s="9" t="s">
        <v>844</v>
      </c>
      <c r="HJ1" s="9" t="s">
        <v>845</v>
      </c>
      <c r="HK1" s="9" t="s">
        <v>846</v>
      </c>
      <c r="HL1" s="9" t="s">
        <v>847</v>
      </c>
      <c r="HM1" s="9" t="s">
        <v>848</v>
      </c>
      <c r="HN1" s="9" t="s">
        <v>849</v>
      </c>
      <c r="HO1" s="9" t="s">
        <v>850</v>
      </c>
      <c r="HP1" s="9" t="s">
        <v>851</v>
      </c>
      <c r="HQ1" s="9" t="s">
        <v>852</v>
      </c>
      <c r="HR1" s="9" t="s">
        <v>853</v>
      </c>
      <c r="HS1" s="9" t="s">
        <v>854</v>
      </c>
      <c r="HT1" s="9" t="s">
        <v>855</v>
      </c>
      <c r="HU1" s="9" t="s">
        <v>856</v>
      </c>
      <c r="HV1" s="9" t="s">
        <v>857</v>
      </c>
      <c r="HW1" s="9" t="s">
        <v>858</v>
      </c>
      <c r="HX1" s="9" t="s">
        <v>859</v>
      </c>
      <c r="HY1" s="9" t="s">
        <v>860</v>
      </c>
      <c r="HZ1" s="9" t="s">
        <v>861</v>
      </c>
      <c r="IA1" s="9" t="s">
        <v>862</v>
      </c>
      <c r="IB1" s="9" t="s">
        <v>863</v>
      </c>
      <c r="IC1" s="9" t="s">
        <v>864</v>
      </c>
      <c r="ID1" s="9" t="s">
        <v>865</v>
      </c>
      <c r="IE1" s="9" t="s">
        <v>866</v>
      </c>
      <c r="IF1" s="9" t="s">
        <v>867</v>
      </c>
      <c r="IG1" s="9" t="s">
        <v>868</v>
      </c>
      <c r="IH1" s="9" t="s">
        <v>869</v>
      </c>
      <c r="II1" s="9" t="s">
        <v>870</v>
      </c>
      <c r="IJ1" s="9" t="s">
        <v>871</v>
      </c>
      <c r="IK1" s="9" t="s">
        <v>872</v>
      </c>
      <c r="IL1" s="9" t="s">
        <v>873</v>
      </c>
      <c r="IM1" s="9" t="s">
        <v>874</v>
      </c>
      <c r="IN1" s="9" t="s">
        <v>875</v>
      </c>
      <c r="IO1" s="9" t="s">
        <v>876</v>
      </c>
      <c r="IP1" s="9" t="s">
        <v>877</v>
      </c>
      <c r="IQ1" s="9" t="s">
        <v>878</v>
      </c>
      <c r="IR1" s="9" t="s">
        <v>879</v>
      </c>
      <c r="IS1" s="9" t="s">
        <v>880</v>
      </c>
      <c r="IT1" s="9" t="s">
        <v>881</v>
      </c>
      <c r="IU1" s="9" t="s">
        <v>882</v>
      </c>
      <c r="IV1" s="9" t="s">
        <v>883</v>
      </c>
      <c r="IW1" s="9" t="s">
        <v>884</v>
      </c>
      <c r="IX1" s="9" t="s">
        <v>885</v>
      </c>
      <c r="IY1" s="9" t="s">
        <v>886</v>
      </c>
      <c r="IZ1" s="9" t="s">
        <v>887</v>
      </c>
      <c r="JA1" s="9" t="s">
        <v>888</v>
      </c>
      <c r="JB1" s="9" t="s">
        <v>889</v>
      </c>
      <c r="JC1" s="9" t="s">
        <v>890</v>
      </c>
      <c r="JD1" s="9" t="s">
        <v>891</v>
      </c>
      <c r="JE1" s="9" t="s">
        <v>892</v>
      </c>
      <c r="JF1" s="9" t="s">
        <v>893</v>
      </c>
      <c r="JG1" s="9" t="s">
        <v>894</v>
      </c>
      <c r="JH1" s="9" t="s">
        <v>895</v>
      </c>
      <c r="JI1" s="9" t="s">
        <v>896</v>
      </c>
      <c r="JJ1" s="9" t="s">
        <v>897</v>
      </c>
      <c r="JK1" s="9" t="s">
        <v>898</v>
      </c>
      <c r="JL1" s="9" t="s">
        <v>899</v>
      </c>
      <c r="JM1" s="9" t="s">
        <v>900</v>
      </c>
      <c r="JN1" s="9" t="s">
        <v>901</v>
      </c>
      <c r="JO1" s="9" t="s">
        <v>902</v>
      </c>
      <c r="JP1" s="9" t="s">
        <v>903</v>
      </c>
      <c r="JQ1" s="9" t="s">
        <v>904</v>
      </c>
      <c r="JR1" s="9" t="s">
        <v>905</v>
      </c>
      <c r="JS1" s="9" t="s">
        <v>906</v>
      </c>
      <c r="JT1" s="9" t="s">
        <v>907</v>
      </c>
      <c r="JU1" s="9" t="s">
        <v>908</v>
      </c>
      <c r="JV1" s="9" t="s">
        <v>909</v>
      </c>
      <c r="JW1" s="9" t="s">
        <v>910</v>
      </c>
      <c r="JX1" s="9" t="s">
        <v>911</v>
      </c>
      <c r="JY1" s="9" t="s">
        <v>912</v>
      </c>
      <c r="JZ1" s="9" t="s">
        <v>913</v>
      </c>
      <c r="KA1" s="9" t="s">
        <v>914</v>
      </c>
      <c r="KB1" s="9" t="s">
        <v>915</v>
      </c>
      <c r="KC1" s="9" t="s">
        <v>916</v>
      </c>
      <c r="KD1" s="9" t="s">
        <v>917</v>
      </c>
      <c r="KE1" s="9" t="s">
        <v>918</v>
      </c>
      <c r="KF1" s="9" t="s">
        <v>919</v>
      </c>
      <c r="KG1" s="9" t="s">
        <v>920</v>
      </c>
      <c r="KH1" s="9" t="s">
        <v>921</v>
      </c>
      <c r="KI1" s="9" t="s">
        <v>922</v>
      </c>
      <c r="KJ1" s="9" t="s">
        <v>923</v>
      </c>
      <c r="KK1" s="9" t="s">
        <v>924</v>
      </c>
      <c r="KL1" s="9" t="s">
        <v>925</v>
      </c>
      <c r="KM1" s="9" t="s">
        <v>926</v>
      </c>
      <c r="KN1" s="9" t="s">
        <v>927</v>
      </c>
      <c r="KO1" s="9" t="s">
        <v>928</v>
      </c>
      <c r="KP1" s="9" t="s">
        <v>929</v>
      </c>
      <c r="KQ1" s="9" t="s">
        <v>930</v>
      </c>
      <c r="KR1" s="9" t="s">
        <v>931</v>
      </c>
      <c r="KS1" s="9" t="s">
        <v>932</v>
      </c>
      <c r="KT1" s="9" t="s">
        <v>933</v>
      </c>
      <c r="KU1" s="9" t="s">
        <v>934</v>
      </c>
      <c r="KV1" s="9" t="s">
        <v>935</v>
      </c>
      <c r="KW1" s="9" t="s">
        <v>936</v>
      </c>
      <c r="KX1" s="9" t="s">
        <v>937</v>
      </c>
      <c r="KY1" s="9" t="s">
        <v>938</v>
      </c>
      <c r="KZ1" s="9" t="s">
        <v>939</v>
      </c>
      <c r="LA1" s="9" t="s">
        <v>940</v>
      </c>
      <c r="LB1" s="9" t="s">
        <v>941</v>
      </c>
      <c r="LC1" s="9" t="s">
        <v>942</v>
      </c>
      <c r="LD1" s="9" t="s">
        <v>943</v>
      </c>
      <c r="LE1" s="9" t="s">
        <v>944</v>
      </c>
      <c r="LF1" s="9" t="s">
        <v>945</v>
      </c>
      <c r="LG1" s="9" t="s">
        <v>946</v>
      </c>
      <c r="LH1" s="9" t="s">
        <v>947</v>
      </c>
      <c r="LI1" s="9" t="s">
        <v>948</v>
      </c>
      <c r="LJ1" s="9" t="s">
        <v>949</v>
      </c>
      <c r="LK1" s="9" t="s">
        <v>950</v>
      </c>
      <c r="LL1" s="9" t="s">
        <v>951</v>
      </c>
      <c r="LM1" s="9" t="s">
        <v>952</v>
      </c>
      <c r="LN1" s="9" t="s">
        <v>953</v>
      </c>
      <c r="LO1" s="9" t="s">
        <v>954</v>
      </c>
      <c r="LP1" s="9" t="s">
        <v>955</v>
      </c>
      <c r="LQ1" s="9" t="s">
        <v>956</v>
      </c>
      <c r="LR1" s="9" t="s">
        <v>957</v>
      </c>
      <c r="LS1" s="9" t="s">
        <v>958</v>
      </c>
      <c r="LT1" s="9" t="s">
        <v>959</v>
      </c>
      <c r="LU1" s="9" t="s">
        <v>960</v>
      </c>
      <c r="LV1" s="9" t="s">
        <v>961</v>
      </c>
      <c r="LW1" s="9" t="s">
        <v>962</v>
      </c>
      <c r="LX1" s="9" t="s">
        <v>963</v>
      </c>
      <c r="LY1" s="9" t="s">
        <v>964</v>
      </c>
      <c r="LZ1" s="9" t="s">
        <v>965</v>
      </c>
      <c r="MA1" s="9" t="s">
        <v>966</v>
      </c>
      <c r="MB1" s="9" t="s">
        <v>967</v>
      </c>
      <c r="MC1" s="9" t="s">
        <v>968</v>
      </c>
      <c r="MD1" s="9" t="s">
        <v>969</v>
      </c>
      <c r="ME1" s="9" t="s">
        <v>970</v>
      </c>
      <c r="MF1" s="9" t="s">
        <v>971</v>
      </c>
      <c r="MG1" s="9" t="s">
        <v>972</v>
      </c>
      <c r="MH1" s="9" t="s">
        <v>973</v>
      </c>
      <c r="MI1" s="9" t="s">
        <v>974</v>
      </c>
      <c r="MJ1" s="9" t="s">
        <v>975</v>
      </c>
      <c r="MK1" s="9" t="s">
        <v>976</v>
      </c>
    </row>
    <row r="2" spans="1:349" x14ac:dyDescent="0.2">
      <c r="A2" t="s">
        <v>131</v>
      </c>
      <c r="B2" t="s">
        <v>979</v>
      </c>
      <c r="C2" t="s">
        <v>979</v>
      </c>
      <c r="D2" t="s">
        <v>135</v>
      </c>
      <c r="E2" t="s">
        <v>137</v>
      </c>
      <c r="F2">
        <v>21</v>
      </c>
      <c r="G2" t="s">
        <v>140</v>
      </c>
      <c r="H2" t="s">
        <v>142</v>
      </c>
      <c r="I2" t="s">
        <v>144</v>
      </c>
      <c r="J2" t="s">
        <v>146</v>
      </c>
      <c r="K2" t="s">
        <v>148</v>
      </c>
      <c r="L2" t="s">
        <v>150</v>
      </c>
      <c r="M2" t="s">
        <v>158</v>
      </c>
      <c r="N2" t="s">
        <v>977</v>
      </c>
      <c r="O2" t="s">
        <v>978</v>
      </c>
      <c r="P2" t="s">
        <v>977</v>
      </c>
      <c r="Q2" t="s">
        <v>978</v>
      </c>
      <c r="R2" t="s">
        <v>978</v>
      </c>
      <c r="S2" t="s">
        <v>977</v>
      </c>
      <c r="T2" t="s">
        <v>977</v>
      </c>
      <c r="U2" t="s">
        <v>978</v>
      </c>
      <c r="V2" t="s">
        <v>977</v>
      </c>
      <c r="W2" t="s">
        <v>978</v>
      </c>
      <c r="X2" t="s">
        <v>978</v>
      </c>
      <c r="Y2" t="s">
        <v>977</v>
      </c>
      <c r="Z2" t="s">
        <v>977</v>
      </c>
      <c r="AA2" t="s">
        <v>978</v>
      </c>
      <c r="AB2" t="s">
        <v>978</v>
      </c>
      <c r="AC2" t="s">
        <v>977</v>
      </c>
      <c r="AD2" t="s">
        <v>978</v>
      </c>
      <c r="AE2" t="s">
        <v>977</v>
      </c>
      <c r="AF2" t="s">
        <v>978</v>
      </c>
      <c r="AG2" t="s">
        <v>977</v>
      </c>
      <c r="AH2" t="s">
        <v>977</v>
      </c>
      <c r="AI2" t="s">
        <v>978</v>
      </c>
      <c r="AJ2" t="s">
        <v>978</v>
      </c>
      <c r="AK2" t="s">
        <v>977</v>
      </c>
      <c r="AL2" t="s">
        <v>978</v>
      </c>
      <c r="AM2" t="s">
        <v>977</v>
      </c>
      <c r="AN2" t="s">
        <v>978</v>
      </c>
      <c r="AO2" t="s">
        <v>977</v>
      </c>
      <c r="AP2" t="s">
        <v>978</v>
      </c>
      <c r="AQ2" t="s">
        <v>977</v>
      </c>
      <c r="AR2" t="s">
        <v>977</v>
      </c>
      <c r="AS2" t="s">
        <v>978</v>
      </c>
      <c r="AT2" t="s">
        <v>978</v>
      </c>
      <c r="AU2" t="s">
        <v>977</v>
      </c>
      <c r="AV2" t="s">
        <v>977</v>
      </c>
      <c r="AW2" t="s">
        <v>978</v>
      </c>
      <c r="AX2" t="s">
        <v>977</v>
      </c>
      <c r="AY2" t="s">
        <v>978</v>
      </c>
      <c r="AZ2" t="s">
        <v>977</v>
      </c>
      <c r="BA2" t="s">
        <v>978</v>
      </c>
      <c r="BB2" t="s">
        <v>978</v>
      </c>
      <c r="BC2" t="s">
        <v>977</v>
      </c>
      <c r="BD2" t="s">
        <v>978</v>
      </c>
      <c r="BE2" t="s">
        <v>977</v>
      </c>
      <c r="BF2" t="s">
        <v>977</v>
      </c>
      <c r="BG2" t="s">
        <v>978</v>
      </c>
      <c r="BH2" t="s">
        <v>977</v>
      </c>
      <c r="BI2" t="s">
        <v>978</v>
      </c>
      <c r="BJ2" t="s">
        <v>978</v>
      </c>
      <c r="BK2" t="s">
        <v>977</v>
      </c>
      <c r="BL2" t="s">
        <v>978</v>
      </c>
      <c r="BM2" t="s">
        <v>977</v>
      </c>
      <c r="BN2" t="s">
        <v>977</v>
      </c>
      <c r="BO2" t="s">
        <v>978</v>
      </c>
      <c r="BP2" t="s">
        <v>978</v>
      </c>
      <c r="BQ2" t="s">
        <v>977</v>
      </c>
      <c r="BR2" t="s">
        <v>977</v>
      </c>
      <c r="BS2" t="s">
        <v>978</v>
      </c>
      <c r="BT2" t="s">
        <v>978</v>
      </c>
      <c r="BU2" t="s">
        <v>977</v>
      </c>
      <c r="BV2" t="s">
        <v>977</v>
      </c>
      <c r="BW2" t="s">
        <v>978</v>
      </c>
      <c r="BX2" t="s">
        <v>977</v>
      </c>
      <c r="BY2" t="s">
        <v>978</v>
      </c>
      <c r="BZ2" t="s">
        <v>978</v>
      </c>
      <c r="CA2" t="s">
        <v>977</v>
      </c>
      <c r="CB2" t="s">
        <v>978</v>
      </c>
      <c r="CC2" t="s">
        <v>977</v>
      </c>
      <c r="CD2" t="s">
        <v>978</v>
      </c>
      <c r="CE2" t="s">
        <v>977</v>
      </c>
      <c r="CF2" t="s">
        <v>978</v>
      </c>
      <c r="CG2" t="s">
        <v>977</v>
      </c>
      <c r="CH2" t="s">
        <v>977</v>
      </c>
      <c r="CI2" t="s">
        <v>978</v>
      </c>
      <c r="CJ2" t="s">
        <v>977</v>
      </c>
      <c r="CK2" t="s">
        <v>978</v>
      </c>
      <c r="CL2" t="s">
        <v>978</v>
      </c>
      <c r="CM2" t="s">
        <v>977</v>
      </c>
      <c r="CN2" t="s">
        <v>977</v>
      </c>
      <c r="CO2" t="s">
        <v>978</v>
      </c>
      <c r="CP2" t="s">
        <v>978</v>
      </c>
      <c r="CQ2" t="s">
        <v>977</v>
      </c>
      <c r="CR2" t="s">
        <v>978</v>
      </c>
      <c r="CS2" t="s">
        <v>977</v>
      </c>
      <c r="CT2" t="s">
        <v>978</v>
      </c>
      <c r="CU2" t="s">
        <v>977</v>
      </c>
      <c r="CV2" t="s">
        <v>978</v>
      </c>
      <c r="CW2" t="s">
        <v>977</v>
      </c>
      <c r="CX2" t="s">
        <v>978</v>
      </c>
      <c r="CY2" t="s">
        <v>977</v>
      </c>
      <c r="CZ2" t="s">
        <v>978</v>
      </c>
      <c r="DA2" t="s">
        <v>977</v>
      </c>
      <c r="DB2" t="s">
        <v>978</v>
      </c>
      <c r="DC2" t="s">
        <v>977</v>
      </c>
      <c r="DD2" t="s">
        <v>978</v>
      </c>
      <c r="DE2" t="s">
        <v>977</v>
      </c>
      <c r="DF2" t="s">
        <v>978</v>
      </c>
      <c r="DG2" t="s">
        <v>977</v>
      </c>
      <c r="DH2" t="s">
        <v>977</v>
      </c>
      <c r="DI2" t="s">
        <v>978</v>
      </c>
      <c r="DJ2" t="s">
        <v>977</v>
      </c>
      <c r="DK2" t="s">
        <v>978</v>
      </c>
      <c r="DL2" t="s">
        <v>978</v>
      </c>
      <c r="DM2" t="s">
        <v>977</v>
      </c>
      <c r="DN2" t="s">
        <v>978</v>
      </c>
      <c r="DO2" t="s">
        <v>977</v>
      </c>
      <c r="DP2" t="s">
        <v>978</v>
      </c>
      <c r="DQ2" t="s">
        <v>977</v>
      </c>
      <c r="DR2" t="s">
        <v>978</v>
      </c>
      <c r="DS2" t="s">
        <v>977</v>
      </c>
      <c r="DT2" t="s">
        <v>977</v>
      </c>
      <c r="DU2" t="s">
        <v>978</v>
      </c>
      <c r="DV2" t="s">
        <v>978</v>
      </c>
      <c r="DW2" t="s">
        <v>977</v>
      </c>
      <c r="DX2" t="s">
        <v>978</v>
      </c>
      <c r="DY2" t="s">
        <v>977</v>
      </c>
      <c r="DZ2" t="s">
        <v>978</v>
      </c>
      <c r="EA2" t="s">
        <v>977</v>
      </c>
      <c r="EB2" t="s">
        <v>978</v>
      </c>
      <c r="EC2" t="s">
        <v>977</v>
      </c>
      <c r="ED2" t="s">
        <v>978</v>
      </c>
      <c r="EE2" t="s">
        <v>977</v>
      </c>
      <c r="EF2" t="s">
        <v>977</v>
      </c>
      <c r="EG2" t="s">
        <v>978</v>
      </c>
      <c r="EH2" t="s">
        <v>978</v>
      </c>
      <c r="EI2" t="s">
        <v>977</v>
      </c>
      <c r="EJ2" t="s">
        <v>977</v>
      </c>
      <c r="EK2" t="s">
        <v>978</v>
      </c>
      <c r="EL2" t="s">
        <v>978</v>
      </c>
      <c r="EM2" t="s">
        <v>977</v>
      </c>
      <c r="EN2" t="s">
        <v>978</v>
      </c>
      <c r="EO2" t="s">
        <v>977</v>
      </c>
      <c r="EP2" t="s">
        <v>978</v>
      </c>
      <c r="EQ2" t="s">
        <v>977</v>
      </c>
      <c r="ER2" t="s">
        <v>978</v>
      </c>
      <c r="ES2" t="s">
        <v>977</v>
      </c>
      <c r="ET2" t="s">
        <v>978</v>
      </c>
      <c r="EU2" t="s">
        <v>977</v>
      </c>
      <c r="EV2" t="s">
        <v>977</v>
      </c>
      <c r="EW2" t="s">
        <v>978</v>
      </c>
      <c r="EX2" t="s">
        <v>977</v>
      </c>
      <c r="EY2" t="s">
        <v>978</v>
      </c>
      <c r="EZ2" t="s">
        <v>978</v>
      </c>
      <c r="FA2" t="s">
        <v>977</v>
      </c>
      <c r="FB2" t="s">
        <v>977</v>
      </c>
      <c r="FC2" t="s">
        <v>978</v>
      </c>
      <c r="FD2" t="s">
        <v>977</v>
      </c>
      <c r="FE2" t="s">
        <v>978</v>
      </c>
      <c r="FF2" t="s">
        <v>977</v>
      </c>
      <c r="FG2" t="s">
        <v>978</v>
      </c>
      <c r="FH2" t="s">
        <v>978</v>
      </c>
      <c r="FI2" t="s">
        <v>977</v>
      </c>
      <c r="FJ2" t="s">
        <v>978</v>
      </c>
      <c r="FK2" t="s">
        <v>977</v>
      </c>
      <c r="FL2" t="s">
        <v>978</v>
      </c>
      <c r="FM2" t="s">
        <v>977</v>
      </c>
      <c r="FN2" t="s">
        <v>977</v>
      </c>
      <c r="FO2" t="s">
        <v>978</v>
      </c>
      <c r="FP2" t="s">
        <v>978</v>
      </c>
      <c r="FQ2" t="s">
        <v>977</v>
      </c>
      <c r="FR2" t="s">
        <v>977</v>
      </c>
      <c r="FS2" t="s">
        <v>978</v>
      </c>
      <c r="FT2" t="s">
        <v>977</v>
      </c>
      <c r="FU2" t="s">
        <v>978</v>
      </c>
      <c r="FV2" t="s">
        <v>978</v>
      </c>
      <c r="FW2" t="s">
        <v>977</v>
      </c>
      <c r="FX2" t="s">
        <v>978</v>
      </c>
      <c r="FY2" t="s">
        <v>977</v>
      </c>
      <c r="FZ2" t="s">
        <v>978</v>
      </c>
      <c r="GA2" t="s">
        <v>977</v>
      </c>
      <c r="GB2" t="s">
        <v>977</v>
      </c>
      <c r="GC2" t="s">
        <v>978</v>
      </c>
      <c r="GD2" t="s">
        <v>978</v>
      </c>
      <c r="GE2" t="s">
        <v>977</v>
      </c>
      <c r="GF2" t="s">
        <v>978</v>
      </c>
      <c r="GG2" t="s">
        <v>977</v>
      </c>
      <c r="GH2" t="s">
        <v>978</v>
      </c>
      <c r="GI2" t="s">
        <v>977</v>
      </c>
      <c r="GJ2" t="s">
        <v>978</v>
      </c>
      <c r="GK2" t="s">
        <v>977</v>
      </c>
      <c r="GL2" t="s">
        <v>978</v>
      </c>
      <c r="GM2" t="s">
        <v>977</v>
      </c>
      <c r="GN2" t="s">
        <v>978</v>
      </c>
      <c r="GO2" t="s">
        <v>977</v>
      </c>
      <c r="GP2" t="s">
        <v>977</v>
      </c>
      <c r="GQ2" t="s">
        <v>978</v>
      </c>
      <c r="GR2" t="s">
        <v>977</v>
      </c>
      <c r="GS2" t="s">
        <v>978</v>
      </c>
      <c r="GT2" t="s">
        <v>978</v>
      </c>
      <c r="GU2" t="s">
        <v>977</v>
      </c>
      <c r="GV2" t="s">
        <v>978</v>
      </c>
      <c r="GW2" t="s">
        <v>977</v>
      </c>
      <c r="GX2" t="s">
        <v>977</v>
      </c>
      <c r="GY2" t="s">
        <v>978</v>
      </c>
      <c r="GZ2" t="s">
        <v>977</v>
      </c>
      <c r="HA2" t="s">
        <v>978</v>
      </c>
      <c r="HB2" t="s">
        <v>977</v>
      </c>
      <c r="HC2" t="s">
        <v>978</v>
      </c>
      <c r="HD2" t="s">
        <v>978</v>
      </c>
      <c r="HE2" t="s">
        <v>977</v>
      </c>
      <c r="HF2" t="s">
        <v>978</v>
      </c>
      <c r="HG2" t="s">
        <v>977</v>
      </c>
      <c r="HH2" t="s">
        <v>977</v>
      </c>
      <c r="HI2" t="s">
        <v>978</v>
      </c>
      <c r="HJ2" t="s">
        <v>977</v>
      </c>
      <c r="HK2" t="s">
        <v>978</v>
      </c>
      <c r="HL2" t="s">
        <v>978</v>
      </c>
      <c r="HM2" t="s">
        <v>977</v>
      </c>
      <c r="HN2" t="s">
        <v>977</v>
      </c>
      <c r="HO2" t="s">
        <v>978</v>
      </c>
      <c r="HP2" t="s">
        <v>978</v>
      </c>
      <c r="HQ2" t="s">
        <v>977</v>
      </c>
      <c r="HR2" t="s">
        <v>978</v>
      </c>
      <c r="HS2" t="s">
        <v>977</v>
      </c>
      <c r="HT2" t="s">
        <v>977</v>
      </c>
      <c r="HU2" t="s">
        <v>978</v>
      </c>
      <c r="HV2" t="s">
        <v>978</v>
      </c>
      <c r="HW2" t="s">
        <v>977</v>
      </c>
      <c r="HX2" t="s">
        <v>978</v>
      </c>
      <c r="HY2" t="s">
        <v>977</v>
      </c>
      <c r="HZ2" t="s">
        <v>978</v>
      </c>
      <c r="IA2" t="s">
        <v>977</v>
      </c>
      <c r="IB2" t="s">
        <v>977</v>
      </c>
      <c r="IC2" t="s">
        <v>978</v>
      </c>
      <c r="ID2" t="s">
        <v>978</v>
      </c>
      <c r="IE2" t="s">
        <v>977</v>
      </c>
      <c r="IF2" t="s">
        <v>977</v>
      </c>
      <c r="IG2" t="s">
        <v>978</v>
      </c>
      <c r="IH2" t="s">
        <v>977</v>
      </c>
      <c r="II2" t="s">
        <v>978</v>
      </c>
      <c r="IJ2" t="s">
        <v>978</v>
      </c>
      <c r="IK2" t="s">
        <v>977</v>
      </c>
      <c r="IL2" t="s">
        <v>978</v>
      </c>
      <c r="IM2" t="s">
        <v>977</v>
      </c>
      <c r="IN2" t="s">
        <v>978</v>
      </c>
      <c r="IO2" t="s">
        <v>977</v>
      </c>
      <c r="IP2" t="s">
        <v>977</v>
      </c>
      <c r="IQ2" t="s">
        <v>978</v>
      </c>
      <c r="IR2" t="s">
        <v>978</v>
      </c>
      <c r="IS2" t="s">
        <v>977</v>
      </c>
      <c r="IT2" t="s">
        <v>978</v>
      </c>
      <c r="IU2" t="s">
        <v>977</v>
      </c>
      <c r="IV2" t="s">
        <v>978</v>
      </c>
      <c r="IW2" t="s">
        <v>977</v>
      </c>
      <c r="IX2" t="s">
        <v>977</v>
      </c>
      <c r="IY2" t="s">
        <v>978</v>
      </c>
      <c r="IZ2" t="s">
        <v>977</v>
      </c>
      <c r="JA2" t="s">
        <v>978</v>
      </c>
      <c r="JB2" t="s">
        <v>977</v>
      </c>
      <c r="JC2" t="s">
        <v>978</v>
      </c>
      <c r="JD2" t="s">
        <v>978</v>
      </c>
      <c r="JE2" t="s">
        <v>977</v>
      </c>
      <c r="JF2" t="s">
        <v>978</v>
      </c>
      <c r="JG2" t="s">
        <v>977</v>
      </c>
      <c r="JH2" t="s">
        <v>977</v>
      </c>
      <c r="JI2" t="s">
        <v>978</v>
      </c>
      <c r="JJ2" t="s">
        <v>978</v>
      </c>
      <c r="JK2" t="s">
        <v>977</v>
      </c>
      <c r="JL2" t="s">
        <v>977</v>
      </c>
      <c r="JM2" t="s">
        <v>978</v>
      </c>
      <c r="JN2" t="s">
        <v>978</v>
      </c>
      <c r="JO2" t="s">
        <v>977</v>
      </c>
      <c r="JP2" t="s">
        <v>978</v>
      </c>
      <c r="JQ2" t="s">
        <v>977</v>
      </c>
      <c r="JR2" t="s">
        <v>978</v>
      </c>
      <c r="JS2" t="s">
        <v>977</v>
      </c>
      <c r="JT2" t="s">
        <v>977</v>
      </c>
      <c r="JU2" t="s">
        <v>978</v>
      </c>
      <c r="JV2" t="s">
        <v>977</v>
      </c>
      <c r="JW2" t="s">
        <v>978</v>
      </c>
      <c r="JX2" t="s">
        <v>978</v>
      </c>
      <c r="JY2" t="s">
        <v>977</v>
      </c>
      <c r="JZ2" t="s">
        <v>978</v>
      </c>
      <c r="KA2" t="s">
        <v>977</v>
      </c>
      <c r="KB2" t="s">
        <v>977</v>
      </c>
      <c r="KC2" t="s">
        <v>978</v>
      </c>
      <c r="KD2" t="s">
        <v>977</v>
      </c>
      <c r="KE2" t="s">
        <v>978</v>
      </c>
      <c r="KF2" t="s">
        <v>977</v>
      </c>
      <c r="KG2" t="s">
        <v>978</v>
      </c>
      <c r="KH2" t="s">
        <v>978</v>
      </c>
      <c r="KI2" t="s">
        <v>977</v>
      </c>
      <c r="KJ2" t="s">
        <v>977</v>
      </c>
      <c r="KK2" t="s">
        <v>978</v>
      </c>
      <c r="KL2" t="s">
        <v>977</v>
      </c>
      <c r="KM2" t="s">
        <v>978</v>
      </c>
      <c r="KN2" t="s">
        <v>978</v>
      </c>
      <c r="KO2" t="s">
        <v>977</v>
      </c>
      <c r="KP2" t="s">
        <v>977</v>
      </c>
      <c r="KQ2" t="s">
        <v>978</v>
      </c>
      <c r="KR2" t="s">
        <v>978</v>
      </c>
      <c r="KS2" t="s">
        <v>977</v>
      </c>
      <c r="KT2" t="s">
        <v>978</v>
      </c>
      <c r="KU2" t="s">
        <v>977</v>
      </c>
      <c r="KV2" t="s">
        <v>978</v>
      </c>
      <c r="KW2" t="s">
        <v>977</v>
      </c>
      <c r="KX2" t="s">
        <v>978</v>
      </c>
      <c r="KY2" t="s">
        <v>977</v>
      </c>
      <c r="KZ2" t="s">
        <v>978</v>
      </c>
      <c r="LA2" t="s">
        <v>977</v>
      </c>
      <c r="LB2" t="s">
        <v>978</v>
      </c>
      <c r="LC2" t="s">
        <v>977</v>
      </c>
      <c r="LD2" t="s">
        <v>977</v>
      </c>
      <c r="LE2" t="s">
        <v>978</v>
      </c>
      <c r="LF2" t="s">
        <v>978</v>
      </c>
      <c r="LG2" t="s">
        <v>977</v>
      </c>
      <c r="LH2" t="s">
        <v>978</v>
      </c>
      <c r="LI2" t="s">
        <v>977</v>
      </c>
      <c r="LJ2" t="s">
        <v>977</v>
      </c>
      <c r="LK2" t="s">
        <v>978</v>
      </c>
      <c r="LL2" t="s">
        <v>978</v>
      </c>
      <c r="LM2" t="s">
        <v>977</v>
      </c>
      <c r="LN2" t="s">
        <v>978</v>
      </c>
      <c r="LO2" t="s">
        <v>977</v>
      </c>
      <c r="LP2" t="s">
        <v>978</v>
      </c>
      <c r="LQ2" t="s">
        <v>977</v>
      </c>
      <c r="LR2" t="s">
        <v>978</v>
      </c>
      <c r="LS2" t="s">
        <v>977</v>
      </c>
      <c r="LT2" t="s">
        <v>978</v>
      </c>
      <c r="LU2" t="s">
        <v>977</v>
      </c>
      <c r="LV2" t="s">
        <v>978</v>
      </c>
      <c r="LW2" t="s">
        <v>977</v>
      </c>
      <c r="LX2" t="s">
        <v>977</v>
      </c>
      <c r="LY2" t="s">
        <v>978</v>
      </c>
      <c r="LZ2" t="s">
        <v>978</v>
      </c>
      <c r="MA2" t="s">
        <v>977</v>
      </c>
      <c r="MB2" t="s">
        <v>978</v>
      </c>
      <c r="MC2" t="s">
        <v>977</v>
      </c>
      <c r="MD2" t="s">
        <v>978</v>
      </c>
      <c r="ME2" t="s">
        <v>977</v>
      </c>
      <c r="MF2" t="s">
        <v>977</v>
      </c>
      <c r="MG2" t="s">
        <v>978</v>
      </c>
      <c r="MH2" t="s">
        <v>977</v>
      </c>
      <c r="MI2" t="s">
        <v>978</v>
      </c>
      <c r="MJ2" t="s">
        <v>977</v>
      </c>
      <c r="MK2" t="s">
        <v>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8E40-0CCB-204A-911B-7E1C718EE76B}">
  <dimension ref="A1:HQ537"/>
  <sheetViews>
    <sheetView workbookViewId="0">
      <selection activeCell="G18" sqref="G18"/>
    </sheetView>
  </sheetViews>
  <sheetFormatPr baseColWidth="10" defaultRowHeight="16" x14ac:dyDescent="0.2"/>
  <sheetData>
    <row r="1" spans="1:225" x14ac:dyDescent="0.2">
      <c r="A1" s="122" t="s">
        <v>130</v>
      </c>
      <c r="B1" s="123" t="s">
        <v>130</v>
      </c>
      <c r="C1" s="124"/>
      <c r="D1" s="123"/>
      <c r="E1" s="124"/>
      <c r="F1" s="124"/>
      <c r="G1" s="123">
        <v>5</v>
      </c>
      <c r="H1" s="123">
        <v>1</v>
      </c>
      <c r="I1" s="124"/>
      <c r="J1" s="124">
        <v>1</v>
      </c>
      <c r="K1" s="124"/>
      <c r="L1" s="123" t="s">
        <v>569</v>
      </c>
      <c r="M1" s="123" t="s">
        <v>570</v>
      </c>
      <c r="N1" s="124"/>
      <c r="O1" s="122" t="s">
        <v>571</v>
      </c>
      <c r="P1" s="122" t="s">
        <v>572</v>
      </c>
      <c r="Q1" s="125"/>
      <c r="R1" s="125"/>
      <c r="S1" s="125"/>
      <c r="T1" s="126" t="s">
        <v>573</v>
      </c>
      <c r="U1" s="127" t="s">
        <v>574</v>
      </c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  <c r="CR1" s="128"/>
      <c r="CS1" s="128"/>
      <c r="CT1" s="128"/>
      <c r="CU1" s="128"/>
      <c r="CV1" s="128"/>
      <c r="CW1" s="128"/>
      <c r="CX1" s="128"/>
      <c r="CY1" s="128"/>
      <c r="CZ1" s="128"/>
      <c r="DA1" s="128"/>
      <c r="DB1" s="128"/>
      <c r="DC1" s="128"/>
      <c r="DD1" s="128"/>
      <c r="DE1" s="128"/>
      <c r="DF1" s="128"/>
      <c r="DG1" s="128"/>
      <c r="DH1" s="128"/>
      <c r="DI1" s="128"/>
      <c r="DJ1" s="128"/>
      <c r="DK1" s="128"/>
      <c r="DL1" s="128"/>
      <c r="DM1" s="128"/>
      <c r="DN1" s="124"/>
      <c r="DO1" s="124"/>
      <c r="DP1" s="124"/>
      <c r="DQ1" s="124"/>
      <c r="DR1" s="124"/>
      <c r="DS1" s="125"/>
      <c r="DT1" s="126" t="s">
        <v>575</v>
      </c>
      <c r="DU1" s="127" t="s">
        <v>574</v>
      </c>
      <c r="DV1" s="128"/>
      <c r="DW1" s="128"/>
      <c r="DX1" s="128"/>
      <c r="DY1" s="128"/>
      <c r="DZ1" s="128"/>
      <c r="EA1" s="128"/>
      <c r="EB1" s="128"/>
      <c r="EC1" s="128"/>
      <c r="ED1" s="128"/>
      <c r="EE1" s="128"/>
      <c r="EF1" s="128"/>
      <c r="EG1" s="128"/>
      <c r="EH1" s="128"/>
      <c r="EI1" s="128"/>
      <c r="EJ1" s="128"/>
      <c r="EK1" s="128"/>
      <c r="EL1" s="128"/>
      <c r="EM1" s="128"/>
      <c r="EN1" s="128"/>
      <c r="EO1" s="128"/>
      <c r="EP1" s="128"/>
      <c r="EQ1" s="128"/>
      <c r="ER1" s="128"/>
      <c r="ES1" s="128"/>
      <c r="ET1" s="128"/>
      <c r="EU1" s="128"/>
      <c r="EV1" s="128"/>
      <c r="EW1" s="128"/>
      <c r="EX1" s="128"/>
      <c r="EY1" s="128"/>
      <c r="EZ1" s="128"/>
      <c r="FA1" s="128"/>
      <c r="FB1" s="128"/>
      <c r="FC1" s="128"/>
      <c r="FD1" s="128"/>
      <c r="FE1" s="128"/>
      <c r="FF1" s="128"/>
      <c r="FG1" s="128"/>
      <c r="FH1" s="128"/>
      <c r="FI1" s="128"/>
      <c r="FJ1" s="128"/>
      <c r="FK1" s="128"/>
      <c r="FL1" s="128"/>
      <c r="FM1" s="128"/>
      <c r="FN1" s="128"/>
      <c r="FO1" s="128"/>
      <c r="FP1" s="128"/>
      <c r="FQ1" s="128"/>
      <c r="FR1" s="128"/>
      <c r="FS1" s="128"/>
      <c r="FT1" s="128"/>
      <c r="FU1" s="128"/>
      <c r="FV1" s="128"/>
      <c r="FW1" s="128"/>
      <c r="FX1" s="128"/>
      <c r="FY1" s="128"/>
      <c r="FZ1" s="128"/>
      <c r="GA1" s="128"/>
      <c r="GB1" s="128"/>
      <c r="GC1" s="128"/>
      <c r="GD1" s="128"/>
      <c r="GE1" s="128"/>
      <c r="GF1" s="128"/>
      <c r="GG1" s="128"/>
      <c r="GH1" s="128"/>
      <c r="GI1" s="128"/>
      <c r="GJ1" s="128"/>
      <c r="GK1" s="128"/>
      <c r="GL1" s="128"/>
      <c r="GM1" s="128"/>
      <c r="GN1" s="128"/>
      <c r="GO1" s="128"/>
      <c r="GP1" s="128"/>
      <c r="GQ1" s="128"/>
      <c r="GR1" s="128"/>
      <c r="GS1" s="128"/>
      <c r="GT1" s="128"/>
      <c r="GU1" s="128"/>
      <c r="GV1" s="128"/>
      <c r="GW1" s="128"/>
      <c r="GX1" s="128"/>
      <c r="GY1" s="128"/>
      <c r="GZ1" s="128"/>
      <c r="HA1" s="128"/>
      <c r="HB1" s="128"/>
      <c r="HC1" s="128"/>
      <c r="HD1" s="128"/>
      <c r="HE1" s="128"/>
      <c r="HF1" s="128"/>
      <c r="HG1" s="128"/>
      <c r="HH1" s="128"/>
      <c r="HI1" s="128"/>
      <c r="HJ1" s="128"/>
      <c r="HK1" s="128"/>
      <c r="HL1" s="128"/>
      <c r="HM1" s="128"/>
      <c r="HN1" s="124"/>
      <c r="HO1" s="124"/>
      <c r="HP1" s="124"/>
      <c r="HQ1" s="124"/>
    </row>
    <row r="2" spans="1:225" x14ac:dyDescent="0.2">
      <c r="A2" s="122" t="s">
        <v>132</v>
      </c>
      <c r="B2" s="123" t="s">
        <v>132</v>
      </c>
      <c r="C2" s="124"/>
      <c r="D2" s="123"/>
      <c r="E2" s="124"/>
      <c r="F2" s="124"/>
      <c r="G2" s="123">
        <v>1</v>
      </c>
      <c r="H2" s="123">
        <v>5</v>
      </c>
      <c r="I2" s="124"/>
      <c r="J2" s="124">
        <v>2</v>
      </c>
      <c r="K2" s="124"/>
      <c r="L2" s="123" t="s">
        <v>576</v>
      </c>
      <c r="M2" s="123" t="s">
        <v>577</v>
      </c>
      <c r="N2" s="124"/>
      <c r="O2" s="124" t="s">
        <v>5</v>
      </c>
      <c r="P2" s="124" t="s">
        <v>578</v>
      </c>
      <c r="Q2" s="129"/>
      <c r="R2" s="129"/>
      <c r="S2" s="124"/>
      <c r="T2" s="124"/>
      <c r="U2" s="130"/>
      <c r="V2" s="128" t="s">
        <v>6</v>
      </c>
      <c r="W2" s="128"/>
      <c r="X2" s="128" t="s">
        <v>10</v>
      </c>
      <c r="Y2" s="128"/>
      <c r="Z2" s="128" t="s">
        <v>12</v>
      </c>
      <c r="AA2" s="128"/>
      <c r="AB2" s="128" t="s">
        <v>15</v>
      </c>
      <c r="AC2" s="128"/>
      <c r="AD2" s="128" t="s">
        <v>18</v>
      </c>
      <c r="AE2" s="128"/>
      <c r="AF2" s="128" t="s">
        <v>20</v>
      </c>
      <c r="AG2" s="128"/>
      <c r="AH2" s="128" t="s">
        <v>48</v>
      </c>
      <c r="AI2" s="128"/>
      <c r="AJ2" s="128" t="s">
        <v>51</v>
      </c>
      <c r="AK2" s="128"/>
      <c r="AL2" s="128" t="s">
        <v>45</v>
      </c>
      <c r="AM2" s="128"/>
      <c r="AN2" s="128" t="s">
        <v>29</v>
      </c>
      <c r="AO2" s="128"/>
      <c r="AP2" s="128" t="s">
        <v>31</v>
      </c>
      <c r="AQ2" s="128"/>
      <c r="AR2" s="128" t="s">
        <v>33</v>
      </c>
      <c r="AS2" s="128"/>
      <c r="AT2" s="128" t="s">
        <v>39</v>
      </c>
      <c r="AU2" s="128"/>
      <c r="AV2" s="128" t="s">
        <v>36</v>
      </c>
      <c r="AW2" s="128"/>
      <c r="AX2" s="128" t="s">
        <v>196</v>
      </c>
      <c r="AY2" s="128"/>
      <c r="AZ2" s="128" t="s">
        <v>13</v>
      </c>
      <c r="BA2" s="128"/>
      <c r="BB2" s="128" t="s">
        <v>11</v>
      </c>
      <c r="BC2" s="128"/>
      <c r="BD2" s="128" t="s">
        <v>64</v>
      </c>
      <c r="BE2" s="128"/>
      <c r="BF2" s="128" t="s">
        <v>67</v>
      </c>
      <c r="BG2" s="128"/>
      <c r="BH2" s="128" t="s">
        <v>70</v>
      </c>
      <c r="BI2" s="128"/>
      <c r="BJ2" s="128" t="s">
        <v>17</v>
      </c>
      <c r="BK2" s="128"/>
      <c r="BL2" s="128" t="s">
        <v>98</v>
      </c>
      <c r="BM2" s="128"/>
      <c r="BN2" s="128" t="s">
        <v>100</v>
      </c>
      <c r="BO2" s="128"/>
      <c r="BP2" s="128" t="s">
        <v>102</v>
      </c>
      <c r="BQ2" s="128"/>
      <c r="BR2" s="128" t="s">
        <v>38</v>
      </c>
      <c r="BS2" s="128"/>
      <c r="BT2" s="128" t="s">
        <v>25</v>
      </c>
      <c r="BU2" s="128"/>
      <c r="BV2" s="128" t="s">
        <v>77</v>
      </c>
      <c r="BW2" s="128"/>
      <c r="BX2" s="128" t="s">
        <v>87</v>
      </c>
      <c r="BY2" s="128"/>
      <c r="BZ2" s="128" t="s">
        <v>103</v>
      </c>
      <c r="CA2" s="128"/>
      <c r="CB2" s="128" t="s">
        <v>23</v>
      </c>
      <c r="CC2" s="128"/>
      <c r="CD2" s="128" t="s">
        <v>509</v>
      </c>
      <c r="CE2" s="128"/>
      <c r="CF2" s="128" t="s">
        <v>223</v>
      </c>
      <c r="CG2" s="128"/>
      <c r="CH2" s="128" t="s">
        <v>214</v>
      </c>
      <c r="CI2" s="128"/>
      <c r="CJ2" s="128" t="s">
        <v>24</v>
      </c>
      <c r="CK2" s="128"/>
      <c r="CL2" s="128" t="s">
        <v>21</v>
      </c>
      <c r="CM2" s="128"/>
      <c r="CN2" s="128" t="s">
        <v>96</v>
      </c>
      <c r="CO2" s="128"/>
      <c r="CP2" s="128" t="s">
        <v>32</v>
      </c>
      <c r="CQ2" s="128"/>
      <c r="CR2" s="128" t="s">
        <v>44</v>
      </c>
      <c r="CS2" s="128"/>
      <c r="CT2" s="128" t="s">
        <v>40</v>
      </c>
      <c r="CU2" s="128"/>
      <c r="CV2" s="128" t="s">
        <v>116</v>
      </c>
      <c r="CW2" s="128"/>
      <c r="CX2" s="128" t="s">
        <v>52</v>
      </c>
      <c r="CY2" s="128"/>
      <c r="CZ2" s="128" t="s">
        <v>108</v>
      </c>
      <c r="DA2" s="128"/>
      <c r="DB2" s="128" t="s">
        <v>43</v>
      </c>
      <c r="DC2" s="128"/>
      <c r="DD2" s="128" t="s">
        <v>121</v>
      </c>
      <c r="DE2" s="128"/>
      <c r="DF2" s="128" t="s">
        <v>9</v>
      </c>
      <c r="DG2" s="128"/>
      <c r="DH2" s="128" t="s">
        <v>122</v>
      </c>
      <c r="DI2" s="128"/>
      <c r="DJ2" s="128" t="s">
        <v>30</v>
      </c>
      <c r="DK2" s="128"/>
      <c r="DL2" s="128" t="s">
        <v>34</v>
      </c>
      <c r="DM2" s="128"/>
      <c r="DN2" s="128" t="s">
        <v>49</v>
      </c>
      <c r="DO2" s="128"/>
      <c r="DP2" s="124"/>
      <c r="DQ2" s="124"/>
      <c r="DR2" s="124"/>
      <c r="DS2" s="124"/>
      <c r="DT2" s="124"/>
      <c r="DU2" s="130"/>
      <c r="DV2" s="128" t="s">
        <v>6</v>
      </c>
      <c r="DW2" s="128"/>
      <c r="DX2" s="128" t="s">
        <v>10</v>
      </c>
      <c r="DY2" s="128"/>
      <c r="DZ2" s="128" t="s">
        <v>12</v>
      </c>
      <c r="EA2" s="128"/>
      <c r="EB2" s="128" t="s">
        <v>15</v>
      </c>
      <c r="EC2" s="128"/>
      <c r="ED2" s="128" t="s">
        <v>18</v>
      </c>
      <c r="EE2" s="128"/>
      <c r="EF2" s="128" t="s">
        <v>20</v>
      </c>
      <c r="EG2" s="128"/>
      <c r="EH2" s="128" t="s">
        <v>48</v>
      </c>
      <c r="EI2" s="128"/>
      <c r="EJ2" s="128" t="s">
        <v>51</v>
      </c>
      <c r="EK2" s="128"/>
      <c r="EL2" s="128" t="s">
        <v>45</v>
      </c>
      <c r="EM2" s="128"/>
      <c r="EN2" s="128" t="s">
        <v>29</v>
      </c>
      <c r="EO2" s="128"/>
      <c r="EP2" s="128" t="s">
        <v>31</v>
      </c>
      <c r="EQ2" s="128"/>
      <c r="ER2" s="128" t="s">
        <v>33</v>
      </c>
      <c r="ES2" s="128"/>
      <c r="ET2" s="128" t="s">
        <v>39</v>
      </c>
      <c r="EU2" s="128"/>
      <c r="EV2" s="128" t="s">
        <v>36</v>
      </c>
      <c r="EW2" s="128"/>
      <c r="EX2" s="128" t="s">
        <v>196</v>
      </c>
      <c r="EY2" s="128"/>
      <c r="EZ2" s="128" t="s">
        <v>13</v>
      </c>
      <c r="FA2" s="128"/>
      <c r="FB2" s="128" t="s">
        <v>11</v>
      </c>
      <c r="FC2" s="128"/>
      <c r="FD2" s="128" t="s">
        <v>64</v>
      </c>
      <c r="FE2" s="128"/>
      <c r="FF2" s="128" t="s">
        <v>67</v>
      </c>
      <c r="FG2" s="128"/>
      <c r="FH2" s="128" t="s">
        <v>70</v>
      </c>
      <c r="FI2" s="128"/>
      <c r="FJ2" s="128" t="s">
        <v>17</v>
      </c>
      <c r="FK2" s="128"/>
      <c r="FL2" s="128" t="s">
        <v>98</v>
      </c>
      <c r="FM2" s="128"/>
      <c r="FN2" s="128" t="s">
        <v>100</v>
      </c>
      <c r="FO2" s="128"/>
      <c r="FP2" s="128" t="s">
        <v>102</v>
      </c>
      <c r="FQ2" s="128"/>
      <c r="FR2" s="128" t="s">
        <v>38</v>
      </c>
      <c r="FS2" s="128"/>
      <c r="FT2" s="128" t="s">
        <v>25</v>
      </c>
      <c r="FU2" s="128"/>
      <c r="FV2" s="128" t="s">
        <v>77</v>
      </c>
      <c r="FW2" s="128"/>
      <c r="FX2" s="128" t="s">
        <v>87</v>
      </c>
      <c r="FY2" s="128"/>
      <c r="FZ2" s="128" t="s">
        <v>103</v>
      </c>
      <c r="GA2" s="128"/>
      <c r="GB2" s="128" t="s">
        <v>23</v>
      </c>
      <c r="GC2" s="128"/>
      <c r="GD2" s="128" t="s">
        <v>509</v>
      </c>
      <c r="GE2" s="128"/>
      <c r="GF2" s="128" t="s">
        <v>223</v>
      </c>
      <c r="GG2" s="128"/>
      <c r="GH2" s="128" t="s">
        <v>214</v>
      </c>
      <c r="GI2" s="128"/>
      <c r="GJ2" s="128" t="s">
        <v>24</v>
      </c>
      <c r="GK2" s="128"/>
      <c r="GL2" s="128" t="s">
        <v>21</v>
      </c>
      <c r="GM2" s="128"/>
      <c r="GN2" s="128" t="s">
        <v>96</v>
      </c>
      <c r="GO2" s="128"/>
      <c r="GP2" s="128" t="s">
        <v>32</v>
      </c>
      <c r="GQ2" s="128"/>
      <c r="GR2" s="128" t="s">
        <v>44</v>
      </c>
      <c r="GS2" s="128"/>
      <c r="GT2" s="128" t="s">
        <v>40</v>
      </c>
      <c r="GU2" s="128"/>
      <c r="GV2" s="128" t="s">
        <v>116</v>
      </c>
      <c r="GW2" s="128"/>
      <c r="GX2" s="128" t="s">
        <v>52</v>
      </c>
      <c r="GY2" s="128"/>
      <c r="GZ2" s="128" t="s">
        <v>108</v>
      </c>
      <c r="HA2" s="128"/>
      <c r="HB2" s="128" t="s">
        <v>43</v>
      </c>
      <c r="HC2" s="128"/>
      <c r="HD2" s="128" t="s">
        <v>121</v>
      </c>
      <c r="HE2" s="128"/>
      <c r="HF2" s="128" t="s">
        <v>9</v>
      </c>
      <c r="HG2" s="128"/>
      <c r="HH2" s="128" t="s">
        <v>122</v>
      </c>
      <c r="HI2" s="128"/>
      <c r="HJ2" s="128" t="s">
        <v>30</v>
      </c>
      <c r="HK2" s="128"/>
      <c r="HL2" s="128" t="s">
        <v>34</v>
      </c>
      <c r="HM2" s="128"/>
      <c r="HN2" s="128" t="s">
        <v>49</v>
      </c>
      <c r="HO2" s="128"/>
      <c r="HP2" s="124"/>
      <c r="HQ2" s="124"/>
    </row>
    <row r="3" spans="1:225" x14ac:dyDescent="0.2">
      <c r="A3" s="122" t="s">
        <v>134</v>
      </c>
      <c r="B3" s="123" t="s">
        <v>579</v>
      </c>
      <c r="C3" s="124"/>
      <c r="D3" s="123"/>
      <c r="E3" s="124"/>
      <c r="F3" s="124"/>
      <c r="G3" s="124"/>
      <c r="H3" s="124"/>
      <c r="I3" s="124"/>
      <c r="J3" s="124">
        <v>3</v>
      </c>
      <c r="K3" s="124"/>
      <c r="L3" s="123" t="s">
        <v>580</v>
      </c>
      <c r="M3" s="123" t="s">
        <v>581</v>
      </c>
      <c r="N3" s="124"/>
      <c r="O3" s="124" t="s">
        <v>42</v>
      </c>
      <c r="P3" s="124" t="s">
        <v>582</v>
      </c>
      <c r="Q3" s="129"/>
      <c r="R3" s="129"/>
      <c r="S3" s="124"/>
      <c r="T3" s="124"/>
      <c r="U3" s="122">
        <v>0</v>
      </c>
      <c r="V3" s="123">
        <v>0</v>
      </c>
      <c r="W3" s="131">
        <v>1</v>
      </c>
      <c r="X3" s="123">
        <v>0</v>
      </c>
      <c r="Y3" s="131">
        <v>1</v>
      </c>
      <c r="Z3" s="123">
        <v>0</v>
      </c>
      <c r="AA3" s="131">
        <v>1</v>
      </c>
      <c r="AB3" s="123">
        <v>0</v>
      </c>
      <c r="AC3" s="131">
        <v>1</v>
      </c>
      <c r="AD3" s="123">
        <v>0</v>
      </c>
      <c r="AE3" s="131">
        <v>1</v>
      </c>
      <c r="AF3" s="123">
        <v>0</v>
      </c>
      <c r="AG3" s="131">
        <v>1</v>
      </c>
      <c r="AH3" s="123">
        <v>0</v>
      </c>
      <c r="AI3" s="131">
        <v>1</v>
      </c>
      <c r="AJ3" s="123">
        <v>0</v>
      </c>
      <c r="AK3" s="131">
        <v>1</v>
      </c>
      <c r="AL3" s="123">
        <v>0</v>
      </c>
      <c r="AM3" s="131">
        <v>1</v>
      </c>
      <c r="AN3" s="123">
        <v>0</v>
      </c>
      <c r="AO3" s="131">
        <v>1</v>
      </c>
      <c r="AP3" s="123">
        <v>0</v>
      </c>
      <c r="AQ3" s="131">
        <v>1</v>
      </c>
      <c r="AR3" s="123">
        <v>0</v>
      </c>
      <c r="AS3" s="131">
        <v>1</v>
      </c>
      <c r="AT3" s="123">
        <v>0</v>
      </c>
      <c r="AU3" s="131">
        <v>1</v>
      </c>
      <c r="AV3" s="123">
        <v>0</v>
      </c>
      <c r="AW3" s="131">
        <v>1</v>
      </c>
      <c r="AX3" s="123">
        <v>0</v>
      </c>
      <c r="AY3" s="131">
        <v>1</v>
      </c>
      <c r="AZ3" s="123">
        <v>0</v>
      </c>
      <c r="BA3" s="131">
        <v>1</v>
      </c>
      <c r="BB3" s="123">
        <v>0</v>
      </c>
      <c r="BC3" s="131">
        <v>1</v>
      </c>
      <c r="BD3" s="123">
        <v>0</v>
      </c>
      <c r="BE3" s="131">
        <v>1</v>
      </c>
      <c r="BF3" s="123">
        <v>0</v>
      </c>
      <c r="BG3" s="131">
        <v>1</v>
      </c>
      <c r="BH3" s="123">
        <v>0</v>
      </c>
      <c r="BI3" s="131">
        <v>1</v>
      </c>
      <c r="BJ3" s="123">
        <v>0</v>
      </c>
      <c r="BK3" s="131">
        <v>1</v>
      </c>
      <c r="BL3" s="123">
        <v>0</v>
      </c>
      <c r="BM3" s="131">
        <v>1</v>
      </c>
      <c r="BN3" s="123">
        <v>0</v>
      </c>
      <c r="BO3" s="131">
        <v>1</v>
      </c>
      <c r="BP3" s="123">
        <v>0</v>
      </c>
      <c r="BQ3" s="131">
        <v>1</v>
      </c>
      <c r="BR3" s="123">
        <v>0</v>
      </c>
      <c r="BS3" s="131">
        <v>1</v>
      </c>
      <c r="BT3" s="123">
        <v>0</v>
      </c>
      <c r="BU3" s="131">
        <v>1</v>
      </c>
      <c r="BV3" s="123">
        <v>0</v>
      </c>
      <c r="BW3" s="131">
        <v>1</v>
      </c>
      <c r="BX3" s="123">
        <v>0</v>
      </c>
      <c r="BY3" s="131">
        <v>1</v>
      </c>
      <c r="BZ3" s="123">
        <v>0</v>
      </c>
      <c r="CA3" s="131">
        <v>1</v>
      </c>
      <c r="CB3" s="123">
        <v>0</v>
      </c>
      <c r="CC3" s="131">
        <v>1</v>
      </c>
      <c r="CD3" s="123">
        <v>0</v>
      </c>
      <c r="CE3" s="131">
        <v>1</v>
      </c>
      <c r="CF3" s="123">
        <v>0</v>
      </c>
      <c r="CG3" s="131">
        <v>1</v>
      </c>
      <c r="CH3" s="123">
        <v>0</v>
      </c>
      <c r="CI3" s="131">
        <v>1</v>
      </c>
      <c r="CJ3" s="123">
        <v>0</v>
      </c>
      <c r="CK3" s="131">
        <v>1</v>
      </c>
      <c r="CL3" s="123">
        <v>0</v>
      </c>
      <c r="CM3" s="131">
        <v>1</v>
      </c>
      <c r="CN3" s="123">
        <v>0</v>
      </c>
      <c r="CO3" s="131">
        <v>1</v>
      </c>
      <c r="CP3" s="123">
        <v>0</v>
      </c>
      <c r="CQ3" s="131">
        <v>1</v>
      </c>
      <c r="CR3" s="123">
        <v>0</v>
      </c>
      <c r="CS3" s="131">
        <v>1</v>
      </c>
      <c r="CT3" s="123">
        <v>0</v>
      </c>
      <c r="CU3" s="131">
        <v>1</v>
      </c>
      <c r="CV3" s="123">
        <v>0</v>
      </c>
      <c r="CW3" s="131">
        <v>1</v>
      </c>
      <c r="CX3" s="123">
        <v>0</v>
      </c>
      <c r="CY3" s="131">
        <v>1</v>
      </c>
      <c r="CZ3" s="123">
        <v>0</v>
      </c>
      <c r="DA3" s="131">
        <v>1</v>
      </c>
      <c r="DB3" s="123">
        <v>0</v>
      </c>
      <c r="DC3" s="131">
        <v>1</v>
      </c>
      <c r="DD3" s="123">
        <v>0</v>
      </c>
      <c r="DE3" s="131">
        <v>1</v>
      </c>
      <c r="DF3" s="123">
        <v>0</v>
      </c>
      <c r="DG3" s="131">
        <v>1</v>
      </c>
      <c r="DH3" s="123">
        <v>0</v>
      </c>
      <c r="DI3" s="131">
        <v>1</v>
      </c>
      <c r="DJ3" s="123">
        <v>0</v>
      </c>
      <c r="DK3" s="131">
        <v>1</v>
      </c>
      <c r="DL3" s="123">
        <v>0</v>
      </c>
      <c r="DM3" s="131">
        <v>1</v>
      </c>
      <c r="DN3" s="123">
        <v>0</v>
      </c>
      <c r="DO3" s="131">
        <v>1</v>
      </c>
      <c r="DP3" s="124"/>
      <c r="DQ3" s="124"/>
      <c r="DR3" s="124"/>
      <c r="DS3" s="124"/>
      <c r="DT3" s="124"/>
      <c r="DU3" s="122">
        <v>0</v>
      </c>
      <c r="DV3" s="123">
        <v>0</v>
      </c>
      <c r="DW3" s="131">
        <v>1</v>
      </c>
      <c r="DX3" s="123">
        <v>0</v>
      </c>
      <c r="DY3" s="131">
        <v>1</v>
      </c>
      <c r="DZ3" s="123">
        <v>0</v>
      </c>
      <c r="EA3" s="131">
        <v>1</v>
      </c>
      <c r="EB3" s="123">
        <v>0</v>
      </c>
      <c r="EC3" s="131">
        <v>1</v>
      </c>
      <c r="ED3" s="123">
        <v>0</v>
      </c>
      <c r="EE3" s="131">
        <v>1</v>
      </c>
      <c r="EF3" s="123">
        <v>0</v>
      </c>
      <c r="EG3" s="131">
        <v>1</v>
      </c>
      <c r="EH3" s="123">
        <v>0</v>
      </c>
      <c r="EI3" s="131">
        <v>1</v>
      </c>
      <c r="EJ3" s="123">
        <v>0</v>
      </c>
      <c r="EK3" s="131">
        <v>1</v>
      </c>
      <c r="EL3" s="123">
        <v>0</v>
      </c>
      <c r="EM3" s="131">
        <v>1</v>
      </c>
      <c r="EN3" s="123">
        <v>0</v>
      </c>
      <c r="EO3" s="131">
        <v>1</v>
      </c>
      <c r="EP3" s="123">
        <v>0</v>
      </c>
      <c r="EQ3" s="131">
        <v>1</v>
      </c>
      <c r="ER3" s="123">
        <v>0</v>
      </c>
      <c r="ES3" s="131">
        <v>1</v>
      </c>
      <c r="ET3" s="123">
        <v>0</v>
      </c>
      <c r="EU3" s="131">
        <v>1</v>
      </c>
      <c r="EV3" s="123">
        <v>0</v>
      </c>
      <c r="EW3" s="131">
        <v>1</v>
      </c>
      <c r="EX3" s="123">
        <v>0</v>
      </c>
      <c r="EY3" s="131">
        <v>1</v>
      </c>
      <c r="EZ3" s="123">
        <v>0</v>
      </c>
      <c r="FA3" s="131">
        <v>1</v>
      </c>
      <c r="FB3" s="123">
        <v>0</v>
      </c>
      <c r="FC3" s="131">
        <v>1</v>
      </c>
      <c r="FD3" s="123">
        <v>0</v>
      </c>
      <c r="FE3" s="131">
        <v>1</v>
      </c>
      <c r="FF3" s="123">
        <v>0</v>
      </c>
      <c r="FG3" s="131">
        <v>1</v>
      </c>
      <c r="FH3" s="123">
        <v>0</v>
      </c>
      <c r="FI3" s="131">
        <v>1</v>
      </c>
      <c r="FJ3" s="123">
        <v>0</v>
      </c>
      <c r="FK3" s="131">
        <v>1</v>
      </c>
      <c r="FL3" s="123">
        <v>0</v>
      </c>
      <c r="FM3" s="131">
        <v>1</v>
      </c>
      <c r="FN3" s="123">
        <v>0</v>
      </c>
      <c r="FO3" s="131">
        <v>1</v>
      </c>
      <c r="FP3" s="123">
        <v>0</v>
      </c>
      <c r="FQ3" s="131">
        <v>1</v>
      </c>
      <c r="FR3" s="123">
        <v>0</v>
      </c>
      <c r="FS3" s="131">
        <v>1</v>
      </c>
      <c r="FT3" s="123">
        <v>0</v>
      </c>
      <c r="FU3" s="131">
        <v>1</v>
      </c>
      <c r="FV3" s="123">
        <v>0</v>
      </c>
      <c r="FW3" s="131">
        <v>1</v>
      </c>
      <c r="FX3" s="123">
        <v>0</v>
      </c>
      <c r="FY3" s="131">
        <v>1</v>
      </c>
      <c r="FZ3" s="123">
        <v>0</v>
      </c>
      <c r="GA3" s="131">
        <v>1</v>
      </c>
      <c r="GB3" s="123">
        <v>0</v>
      </c>
      <c r="GC3" s="131">
        <v>1</v>
      </c>
      <c r="GD3" s="123">
        <v>0</v>
      </c>
      <c r="GE3" s="131">
        <v>1</v>
      </c>
      <c r="GF3" s="123">
        <v>0</v>
      </c>
      <c r="GG3" s="131">
        <v>1</v>
      </c>
      <c r="GH3" s="123">
        <v>0</v>
      </c>
      <c r="GI3" s="131">
        <v>1</v>
      </c>
      <c r="GJ3" s="123">
        <v>0</v>
      </c>
      <c r="GK3" s="131">
        <v>1</v>
      </c>
      <c r="GL3" s="123">
        <v>0</v>
      </c>
      <c r="GM3" s="131">
        <v>1</v>
      </c>
      <c r="GN3" s="123">
        <v>0</v>
      </c>
      <c r="GO3" s="131">
        <v>1</v>
      </c>
      <c r="GP3" s="123">
        <v>0</v>
      </c>
      <c r="GQ3" s="131">
        <v>1</v>
      </c>
      <c r="GR3" s="123">
        <v>0</v>
      </c>
      <c r="GS3" s="131">
        <v>1</v>
      </c>
      <c r="GT3" s="123">
        <v>0</v>
      </c>
      <c r="GU3" s="131">
        <v>1</v>
      </c>
      <c r="GV3" s="123">
        <v>0</v>
      </c>
      <c r="GW3" s="131">
        <v>1</v>
      </c>
      <c r="GX3" s="123">
        <v>0</v>
      </c>
      <c r="GY3" s="131">
        <v>1</v>
      </c>
      <c r="GZ3" s="123">
        <v>0</v>
      </c>
      <c r="HA3" s="131">
        <v>1</v>
      </c>
      <c r="HB3" s="123">
        <v>0</v>
      </c>
      <c r="HC3" s="131">
        <v>1</v>
      </c>
      <c r="HD3" s="123">
        <v>0</v>
      </c>
      <c r="HE3" s="131">
        <v>1</v>
      </c>
      <c r="HF3" s="123">
        <v>0</v>
      </c>
      <c r="HG3" s="131">
        <v>1</v>
      </c>
      <c r="HH3" s="123">
        <v>0</v>
      </c>
      <c r="HI3" s="131">
        <v>1</v>
      </c>
      <c r="HJ3" s="123">
        <v>0</v>
      </c>
      <c r="HK3" s="131">
        <v>1</v>
      </c>
      <c r="HL3" s="123">
        <v>0</v>
      </c>
      <c r="HM3" s="131">
        <v>1</v>
      </c>
      <c r="HN3" s="123">
        <v>0</v>
      </c>
      <c r="HO3" s="131">
        <v>1</v>
      </c>
      <c r="HP3" s="124"/>
      <c r="HQ3" s="124"/>
    </row>
    <row r="4" spans="1:225" x14ac:dyDescent="0.2">
      <c r="A4" s="122" t="s">
        <v>136</v>
      </c>
      <c r="B4" s="123" t="s">
        <v>583</v>
      </c>
      <c r="C4" s="124"/>
      <c r="D4" s="123"/>
      <c r="E4" s="124"/>
      <c r="F4" s="124"/>
      <c r="G4" s="124"/>
      <c r="H4" s="124"/>
      <c r="I4" s="124"/>
      <c r="J4" s="124">
        <v>4</v>
      </c>
      <c r="K4" s="124"/>
      <c r="L4" s="123" t="s">
        <v>584</v>
      </c>
      <c r="M4" s="123" t="s">
        <v>585</v>
      </c>
      <c r="N4" s="124"/>
      <c r="O4" s="124" t="s">
        <v>14</v>
      </c>
      <c r="P4" s="124" t="s">
        <v>586</v>
      </c>
      <c r="Q4" s="129"/>
      <c r="R4" s="129"/>
      <c r="S4" s="124"/>
      <c r="T4" s="124"/>
      <c r="U4" s="122">
        <v>0.1</v>
      </c>
      <c r="V4" s="132">
        <v>6.8</v>
      </c>
      <c r="W4" s="131">
        <v>2</v>
      </c>
      <c r="X4" s="132">
        <v>3</v>
      </c>
      <c r="Y4" s="131">
        <v>2</v>
      </c>
      <c r="Z4" s="132">
        <v>5</v>
      </c>
      <c r="AA4" s="131">
        <v>2</v>
      </c>
      <c r="AB4" s="132">
        <v>8</v>
      </c>
      <c r="AC4" s="131">
        <v>2</v>
      </c>
      <c r="AD4" s="132">
        <v>7</v>
      </c>
      <c r="AE4" s="131">
        <v>2</v>
      </c>
      <c r="AF4" s="132">
        <v>6</v>
      </c>
      <c r="AG4" s="131">
        <v>2</v>
      </c>
      <c r="AH4" s="132">
        <v>9</v>
      </c>
      <c r="AI4" s="131">
        <v>2</v>
      </c>
      <c r="AJ4" s="132">
        <v>7</v>
      </c>
      <c r="AK4" s="131">
        <v>2</v>
      </c>
      <c r="AL4" s="132">
        <v>8</v>
      </c>
      <c r="AM4" s="131">
        <v>2</v>
      </c>
      <c r="AN4" s="132">
        <v>5</v>
      </c>
      <c r="AO4" s="131">
        <v>2</v>
      </c>
      <c r="AP4" s="132">
        <v>4</v>
      </c>
      <c r="AQ4" s="131">
        <v>2</v>
      </c>
      <c r="AR4" s="132">
        <v>4</v>
      </c>
      <c r="AS4" s="131">
        <v>2</v>
      </c>
      <c r="AT4" s="132">
        <v>2</v>
      </c>
      <c r="AU4" s="131">
        <v>2</v>
      </c>
      <c r="AV4" s="132">
        <v>8</v>
      </c>
      <c r="AW4" s="131">
        <v>2</v>
      </c>
      <c r="AX4" s="132">
        <v>6</v>
      </c>
      <c r="AY4" s="131">
        <v>2</v>
      </c>
      <c r="AZ4" s="132">
        <v>8</v>
      </c>
      <c r="BA4" s="131">
        <v>2</v>
      </c>
      <c r="BB4" s="132">
        <v>7</v>
      </c>
      <c r="BC4" s="131">
        <v>2</v>
      </c>
      <c r="BD4" s="132">
        <v>3</v>
      </c>
      <c r="BE4" s="131">
        <v>2</v>
      </c>
      <c r="BF4" s="132">
        <v>5</v>
      </c>
      <c r="BG4" s="131">
        <v>2</v>
      </c>
      <c r="BH4" s="132">
        <v>10</v>
      </c>
      <c r="BI4" s="131">
        <v>2</v>
      </c>
      <c r="BJ4" s="132">
        <v>3</v>
      </c>
      <c r="BK4" s="131">
        <v>2</v>
      </c>
      <c r="BL4" s="132">
        <v>7</v>
      </c>
      <c r="BM4" s="131">
        <v>2</v>
      </c>
      <c r="BN4" s="132">
        <v>3</v>
      </c>
      <c r="BO4" s="131">
        <v>2</v>
      </c>
      <c r="BP4" s="132">
        <v>2</v>
      </c>
      <c r="BQ4" s="131">
        <v>2</v>
      </c>
      <c r="BR4" s="132">
        <v>7</v>
      </c>
      <c r="BS4" s="131">
        <v>2</v>
      </c>
      <c r="BT4" s="132">
        <v>9</v>
      </c>
      <c r="BU4" s="131">
        <v>2</v>
      </c>
      <c r="BV4" s="132">
        <v>8</v>
      </c>
      <c r="BW4" s="131">
        <v>2</v>
      </c>
      <c r="BX4" s="132">
        <v>2</v>
      </c>
      <c r="BY4" s="131">
        <v>2</v>
      </c>
      <c r="BZ4" s="132">
        <v>2</v>
      </c>
      <c r="CA4" s="131">
        <v>2</v>
      </c>
      <c r="CB4" s="132">
        <v>4</v>
      </c>
      <c r="CC4" s="131">
        <v>2</v>
      </c>
      <c r="CD4" s="132">
        <v>4</v>
      </c>
      <c r="CE4" s="131">
        <v>2</v>
      </c>
      <c r="CF4" s="132">
        <v>7</v>
      </c>
      <c r="CG4" s="131">
        <v>2</v>
      </c>
      <c r="CH4" s="132">
        <v>4</v>
      </c>
      <c r="CI4" s="131">
        <v>2</v>
      </c>
      <c r="CJ4" s="132">
        <v>8</v>
      </c>
      <c r="CK4" s="131">
        <v>2</v>
      </c>
      <c r="CL4" s="132">
        <v>7</v>
      </c>
      <c r="CM4" s="131">
        <v>2</v>
      </c>
      <c r="CN4" s="132">
        <v>7</v>
      </c>
      <c r="CO4" s="131">
        <v>2</v>
      </c>
      <c r="CP4" s="132">
        <v>8</v>
      </c>
      <c r="CQ4" s="131">
        <v>2</v>
      </c>
      <c r="CR4" s="132">
        <v>7</v>
      </c>
      <c r="CS4" s="131">
        <v>2</v>
      </c>
      <c r="CT4" s="132">
        <v>8</v>
      </c>
      <c r="CU4" s="131">
        <v>2</v>
      </c>
      <c r="CV4" s="132">
        <v>2.8</v>
      </c>
      <c r="CW4" s="131">
        <v>2</v>
      </c>
      <c r="CX4" s="132">
        <v>4</v>
      </c>
      <c r="CY4" s="131">
        <v>2</v>
      </c>
      <c r="CZ4" s="132">
        <v>3</v>
      </c>
      <c r="DA4" s="131">
        <v>2</v>
      </c>
      <c r="DB4" s="132">
        <v>4</v>
      </c>
      <c r="DC4" s="131">
        <v>2</v>
      </c>
      <c r="DD4" s="132">
        <v>3</v>
      </c>
      <c r="DE4" s="131">
        <v>2</v>
      </c>
      <c r="DF4" s="132">
        <v>6.8</v>
      </c>
      <c r="DG4" s="131">
        <v>2</v>
      </c>
      <c r="DH4" s="132">
        <v>2</v>
      </c>
      <c r="DI4" s="131">
        <v>2</v>
      </c>
      <c r="DJ4" s="132">
        <v>7</v>
      </c>
      <c r="DK4" s="131">
        <v>2</v>
      </c>
      <c r="DL4" s="132">
        <v>3</v>
      </c>
      <c r="DM4" s="131">
        <v>2</v>
      </c>
      <c r="DN4" s="132">
        <v>2.8</v>
      </c>
      <c r="DO4" s="131">
        <v>2</v>
      </c>
      <c r="DP4" s="124"/>
      <c r="DQ4" s="124"/>
      <c r="DR4" s="124"/>
      <c r="DS4" s="124"/>
      <c r="DT4" s="124"/>
      <c r="DU4" s="122">
        <v>0.1</v>
      </c>
      <c r="DV4" s="132">
        <v>6.8</v>
      </c>
      <c r="DW4" s="131">
        <v>2</v>
      </c>
      <c r="DX4" s="132">
        <v>3</v>
      </c>
      <c r="DY4" s="131">
        <v>2</v>
      </c>
      <c r="DZ4" s="132">
        <v>5</v>
      </c>
      <c r="EA4" s="131">
        <v>2</v>
      </c>
      <c r="EB4" s="132">
        <v>8</v>
      </c>
      <c r="EC4" s="131">
        <v>2</v>
      </c>
      <c r="ED4" s="132">
        <v>7</v>
      </c>
      <c r="EE4" s="131">
        <v>2</v>
      </c>
      <c r="EF4" s="132">
        <v>6</v>
      </c>
      <c r="EG4" s="131">
        <v>2</v>
      </c>
      <c r="EH4" s="132">
        <v>9</v>
      </c>
      <c r="EI4" s="131">
        <v>2</v>
      </c>
      <c r="EJ4" s="132">
        <v>7</v>
      </c>
      <c r="EK4" s="131">
        <v>2</v>
      </c>
      <c r="EL4" s="132">
        <v>8</v>
      </c>
      <c r="EM4" s="131">
        <v>2</v>
      </c>
      <c r="EN4" s="132">
        <v>5</v>
      </c>
      <c r="EO4" s="131">
        <v>2</v>
      </c>
      <c r="EP4" s="132">
        <v>4</v>
      </c>
      <c r="EQ4" s="131">
        <v>2</v>
      </c>
      <c r="ER4" s="132">
        <v>4</v>
      </c>
      <c r="ES4" s="131">
        <v>2</v>
      </c>
      <c r="ET4" s="132">
        <v>2</v>
      </c>
      <c r="EU4" s="131">
        <v>2</v>
      </c>
      <c r="EV4" s="132">
        <v>8</v>
      </c>
      <c r="EW4" s="131">
        <v>2</v>
      </c>
      <c r="EX4" s="132">
        <v>6</v>
      </c>
      <c r="EY4" s="131">
        <v>2</v>
      </c>
      <c r="EZ4" s="132">
        <v>8</v>
      </c>
      <c r="FA4" s="131">
        <v>2</v>
      </c>
      <c r="FB4" s="132">
        <v>7</v>
      </c>
      <c r="FC4" s="131">
        <v>2</v>
      </c>
      <c r="FD4" s="132">
        <v>3</v>
      </c>
      <c r="FE4" s="131">
        <v>2</v>
      </c>
      <c r="FF4" s="132">
        <v>5</v>
      </c>
      <c r="FG4" s="131">
        <v>2</v>
      </c>
      <c r="FH4" s="132">
        <v>10</v>
      </c>
      <c r="FI4" s="131">
        <v>2</v>
      </c>
      <c r="FJ4" s="132">
        <v>3</v>
      </c>
      <c r="FK4" s="131">
        <v>2</v>
      </c>
      <c r="FL4" s="132">
        <v>7</v>
      </c>
      <c r="FM4" s="131">
        <v>2</v>
      </c>
      <c r="FN4" s="132">
        <v>3</v>
      </c>
      <c r="FO4" s="131">
        <v>2</v>
      </c>
      <c r="FP4" s="132">
        <v>2</v>
      </c>
      <c r="FQ4" s="131">
        <v>2</v>
      </c>
      <c r="FR4" s="132">
        <v>7</v>
      </c>
      <c r="FS4" s="131">
        <v>2</v>
      </c>
      <c r="FT4" s="132">
        <v>9</v>
      </c>
      <c r="FU4" s="131">
        <v>2</v>
      </c>
      <c r="FV4" s="132">
        <v>8</v>
      </c>
      <c r="FW4" s="131">
        <v>2</v>
      </c>
      <c r="FX4" s="132">
        <v>2</v>
      </c>
      <c r="FY4" s="131">
        <v>2</v>
      </c>
      <c r="FZ4" s="132">
        <v>2</v>
      </c>
      <c r="GA4" s="131">
        <v>2</v>
      </c>
      <c r="GB4" s="132">
        <v>4</v>
      </c>
      <c r="GC4" s="131">
        <v>2</v>
      </c>
      <c r="GD4" s="132">
        <v>4</v>
      </c>
      <c r="GE4" s="131">
        <v>2</v>
      </c>
      <c r="GF4" s="132">
        <v>7</v>
      </c>
      <c r="GG4" s="131">
        <v>2</v>
      </c>
      <c r="GH4" s="132">
        <v>4</v>
      </c>
      <c r="GI4" s="131">
        <v>2</v>
      </c>
      <c r="GJ4" s="132">
        <v>8</v>
      </c>
      <c r="GK4" s="131">
        <v>2</v>
      </c>
      <c r="GL4" s="132">
        <v>7</v>
      </c>
      <c r="GM4" s="131">
        <v>2</v>
      </c>
      <c r="GN4" s="132">
        <v>7</v>
      </c>
      <c r="GO4" s="131">
        <v>2</v>
      </c>
      <c r="GP4" s="132">
        <v>8</v>
      </c>
      <c r="GQ4" s="131">
        <v>2</v>
      </c>
      <c r="GR4" s="132">
        <v>7</v>
      </c>
      <c r="GS4" s="131">
        <v>2</v>
      </c>
      <c r="GT4" s="132">
        <v>8</v>
      </c>
      <c r="GU4" s="131">
        <v>2</v>
      </c>
      <c r="GV4" s="132">
        <v>2.8</v>
      </c>
      <c r="GW4" s="131">
        <v>2</v>
      </c>
      <c r="GX4" s="132">
        <v>4</v>
      </c>
      <c r="GY4" s="131">
        <v>2</v>
      </c>
      <c r="GZ4" s="132">
        <v>3</v>
      </c>
      <c r="HA4" s="131">
        <v>2</v>
      </c>
      <c r="HB4" s="132">
        <v>4</v>
      </c>
      <c r="HC4" s="131">
        <v>2</v>
      </c>
      <c r="HD4" s="132">
        <v>3</v>
      </c>
      <c r="HE4" s="131">
        <v>2</v>
      </c>
      <c r="HF4" s="132">
        <v>6.8</v>
      </c>
      <c r="HG4" s="131">
        <v>2</v>
      </c>
      <c r="HH4" s="132">
        <v>2</v>
      </c>
      <c r="HI4" s="131">
        <v>2</v>
      </c>
      <c r="HJ4" s="132">
        <v>7</v>
      </c>
      <c r="HK4" s="131">
        <v>2</v>
      </c>
      <c r="HL4" s="132">
        <v>3</v>
      </c>
      <c r="HM4" s="131">
        <v>2</v>
      </c>
      <c r="HN4" s="132">
        <v>2.8</v>
      </c>
      <c r="HO4" s="131">
        <v>2</v>
      </c>
      <c r="HP4" s="124"/>
      <c r="HQ4" s="124"/>
    </row>
    <row r="5" spans="1:225" x14ac:dyDescent="0.2">
      <c r="A5" s="122" t="s">
        <v>138</v>
      </c>
      <c r="B5" s="123" t="s">
        <v>138</v>
      </c>
      <c r="C5" s="124"/>
      <c r="D5" s="123"/>
      <c r="E5" s="124"/>
      <c r="F5" s="124"/>
      <c r="G5" s="124"/>
      <c r="H5" s="124"/>
      <c r="I5" s="124"/>
      <c r="J5" s="124">
        <v>5</v>
      </c>
      <c r="K5" s="124"/>
      <c r="L5" s="123" t="s">
        <v>587</v>
      </c>
      <c r="M5" s="123" t="s">
        <v>588</v>
      </c>
      <c r="N5" s="124"/>
      <c r="O5" s="124" t="s">
        <v>22</v>
      </c>
      <c r="P5" s="124" t="s">
        <v>589</v>
      </c>
      <c r="Q5" s="129"/>
      <c r="R5" s="129"/>
      <c r="S5" s="124"/>
      <c r="T5" s="124"/>
      <c r="U5" s="122">
        <v>0.2</v>
      </c>
      <c r="V5" s="132">
        <v>8</v>
      </c>
      <c r="W5" s="131">
        <v>3</v>
      </c>
      <c r="X5" s="132">
        <v>4</v>
      </c>
      <c r="Y5" s="131">
        <v>3</v>
      </c>
      <c r="Z5" s="132">
        <v>6</v>
      </c>
      <c r="AA5" s="131">
        <v>3</v>
      </c>
      <c r="AB5" s="132">
        <v>10</v>
      </c>
      <c r="AC5" s="131">
        <v>3</v>
      </c>
      <c r="AD5" s="132">
        <v>9</v>
      </c>
      <c r="AE5" s="131">
        <v>3</v>
      </c>
      <c r="AF5" s="132">
        <v>8</v>
      </c>
      <c r="AG5" s="131">
        <v>3</v>
      </c>
      <c r="AH5" s="132">
        <v>11</v>
      </c>
      <c r="AI5" s="131">
        <v>3</v>
      </c>
      <c r="AJ5" s="132">
        <v>7.6</v>
      </c>
      <c r="AK5" s="131">
        <v>3</v>
      </c>
      <c r="AL5" s="132">
        <v>10</v>
      </c>
      <c r="AM5" s="131">
        <v>3</v>
      </c>
      <c r="AN5" s="132">
        <v>6</v>
      </c>
      <c r="AO5" s="131">
        <v>3</v>
      </c>
      <c r="AP5" s="132">
        <v>6</v>
      </c>
      <c r="AQ5" s="131">
        <v>3</v>
      </c>
      <c r="AR5" s="132">
        <v>6</v>
      </c>
      <c r="AS5" s="131">
        <v>3</v>
      </c>
      <c r="AT5" s="132">
        <v>5</v>
      </c>
      <c r="AU5" s="131">
        <v>3</v>
      </c>
      <c r="AV5" s="132">
        <v>10.6</v>
      </c>
      <c r="AW5" s="131">
        <v>3</v>
      </c>
      <c r="AX5" s="132">
        <v>8</v>
      </c>
      <c r="AY5" s="131">
        <v>3</v>
      </c>
      <c r="AZ5" s="132">
        <v>10</v>
      </c>
      <c r="BA5" s="131">
        <v>3</v>
      </c>
      <c r="BB5" s="132">
        <v>10</v>
      </c>
      <c r="BC5" s="131">
        <v>3</v>
      </c>
      <c r="BD5" s="132">
        <v>5</v>
      </c>
      <c r="BE5" s="131">
        <v>3</v>
      </c>
      <c r="BF5" s="132">
        <v>7</v>
      </c>
      <c r="BG5" s="131">
        <v>3</v>
      </c>
      <c r="BH5" s="132">
        <v>12</v>
      </c>
      <c r="BI5" s="131">
        <v>3</v>
      </c>
      <c r="BJ5" s="132">
        <v>6</v>
      </c>
      <c r="BK5" s="131">
        <v>3</v>
      </c>
      <c r="BL5" s="132">
        <v>9</v>
      </c>
      <c r="BM5" s="131">
        <v>3</v>
      </c>
      <c r="BN5" s="132">
        <v>5</v>
      </c>
      <c r="BO5" s="131">
        <v>3</v>
      </c>
      <c r="BP5" s="132">
        <v>4</v>
      </c>
      <c r="BQ5" s="131">
        <v>3</v>
      </c>
      <c r="BR5" s="132">
        <v>9</v>
      </c>
      <c r="BS5" s="131">
        <v>3</v>
      </c>
      <c r="BT5" s="132">
        <v>11</v>
      </c>
      <c r="BU5" s="131">
        <v>3</v>
      </c>
      <c r="BV5" s="132">
        <v>10</v>
      </c>
      <c r="BW5" s="131">
        <v>3</v>
      </c>
      <c r="BX5" s="132">
        <v>5</v>
      </c>
      <c r="BY5" s="131">
        <v>3</v>
      </c>
      <c r="BZ5" s="132">
        <v>3</v>
      </c>
      <c r="CA5" s="131">
        <v>3</v>
      </c>
      <c r="CB5" s="132">
        <v>6</v>
      </c>
      <c r="CC5" s="131">
        <v>3</v>
      </c>
      <c r="CD5" s="132">
        <v>5</v>
      </c>
      <c r="CE5" s="131">
        <v>3</v>
      </c>
      <c r="CF5" s="132">
        <v>8</v>
      </c>
      <c r="CG5" s="131">
        <v>3</v>
      </c>
      <c r="CH5" s="132">
        <v>7</v>
      </c>
      <c r="CI5" s="131">
        <v>3</v>
      </c>
      <c r="CJ5" s="132">
        <v>10</v>
      </c>
      <c r="CK5" s="131">
        <v>3</v>
      </c>
      <c r="CL5" s="132">
        <v>8</v>
      </c>
      <c r="CM5" s="131">
        <v>3</v>
      </c>
      <c r="CN5" s="132">
        <v>9</v>
      </c>
      <c r="CO5" s="131">
        <v>3</v>
      </c>
      <c r="CP5" s="132">
        <v>10.6</v>
      </c>
      <c r="CQ5" s="131">
        <v>3</v>
      </c>
      <c r="CR5" s="132">
        <v>9.6</v>
      </c>
      <c r="CS5" s="131">
        <v>3</v>
      </c>
      <c r="CT5" s="132">
        <v>10</v>
      </c>
      <c r="CU5" s="131">
        <v>3</v>
      </c>
      <c r="CV5" s="132">
        <v>4</v>
      </c>
      <c r="CW5" s="131">
        <v>3</v>
      </c>
      <c r="CX5" s="132">
        <v>7</v>
      </c>
      <c r="CY5" s="131">
        <v>3</v>
      </c>
      <c r="CZ5" s="132">
        <v>5</v>
      </c>
      <c r="DA5" s="131">
        <v>3</v>
      </c>
      <c r="DB5" s="132">
        <v>6</v>
      </c>
      <c r="DC5" s="131">
        <v>3</v>
      </c>
      <c r="DD5" s="132">
        <v>4</v>
      </c>
      <c r="DE5" s="131">
        <v>3</v>
      </c>
      <c r="DF5" s="132">
        <v>9</v>
      </c>
      <c r="DG5" s="131">
        <v>3</v>
      </c>
      <c r="DH5" s="132">
        <v>5</v>
      </c>
      <c r="DI5" s="131">
        <v>3</v>
      </c>
      <c r="DJ5" s="132">
        <v>9.6</v>
      </c>
      <c r="DK5" s="131">
        <v>3</v>
      </c>
      <c r="DL5" s="132">
        <v>5</v>
      </c>
      <c r="DM5" s="131">
        <v>3</v>
      </c>
      <c r="DN5" s="132">
        <v>4</v>
      </c>
      <c r="DO5" s="131">
        <v>3</v>
      </c>
      <c r="DP5" s="124"/>
      <c r="DQ5" s="124"/>
      <c r="DR5" s="124"/>
      <c r="DS5" s="124"/>
      <c r="DT5" s="124"/>
      <c r="DU5" s="122">
        <v>0.2</v>
      </c>
      <c r="DV5" s="132">
        <v>8</v>
      </c>
      <c r="DW5" s="131">
        <v>3</v>
      </c>
      <c r="DX5" s="132">
        <v>4</v>
      </c>
      <c r="DY5" s="131">
        <v>3</v>
      </c>
      <c r="DZ5" s="132">
        <v>6</v>
      </c>
      <c r="EA5" s="131">
        <v>3</v>
      </c>
      <c r="EB5" s="132">
        <v>10</v>
      </c>
      <c r="EC5" s="131">
        <v>3</v>
      </c>
      <c r="ED5" s="132">
        <v>9</v>
      </c>
      <c r="EE5" s="131">
        <v>3</v>
      </c>
      <c r="EF5" s="132">
        <v>8</v>
      </c>
      <c r="EG5" s="131">
        <v>3</v>
      </c>
      <c r="EH5" s="132">
        <v>11</v>
      </c>
      <c r="EI5" s="131">
        <v>3</v>
      </c>
      <c r="EJ5" s="132">
        <v>7.6</v>
      </c>
      <c r="EK5" s="131">
        <v>3</v>
      </c>
      <c r="EL5" s="132">
        <v>10</v>
      </c>
      <c r="EM5" s="131">
        <v>3</v>
      </c>
      <c r="EN5" s="132">
        <v>6</v>
      </c>
      <c r="EO5" s="131">
        <v>3</v>
      </c>
      <c r="EP5" s="132">
        <v>6</v>
      </c>
      <c r="EQ5" s="131">
        <v>3</v>
      </c>
      <c r="ER5" s="132">
        <v>6</v>
      </c>
      <c r="ES5" s="131">
        <v>3</v>
      </c>
      <c r="ET5" s="132">
        <v>5</v>
      </c>
      <c r="EU5" s="131">
        <v>3</v>
      </c>
      <c r="EV5" s="132">
        <v>10.6</v>
      </c>
      <c r="EW5" s="131">
        <v>3</v>
      </c>
      <c r="EX5" s="132">
        <v>8</v>
      </c>
      <c r="EY5" s="131">
        <v>3</v>
      </c>
      <c r="EZ5" s="132">
        <v>10</v>
      </c>
      <c r="FA5" s="131">
        <v>3</v>
      </c>
      <c r="FB5" s="132">
        <v>10</v>
      </c>
      <c r="FC5" s="131">
        <v>3</v>
      </c>
      <c r="FD5" s="132">
        <v>5</v>
      </c>
      <c r="FE5" s="131">
        <v>3</v>
      </c>
      <c r="FF5" s="132">
        <v>7</v>
      </c>
      <c r="FG5" s="131">
        <v>3</v>
      </c>
      <c r="FH5" s="132">
        <v>12</v>
      </c>
      <c r="FI5" s="131">
        <v>3</v>
      </c>
      <c r="FJ5" s="132">
        <v>6</v>
      </c>
      <c r="FK5" s="131">
        <v>3</v>
      </c>
      <c r="FL5" s="132">
        <v>9</v>
      </c>
      <c r="FM5" s="131">
        <v>3</v>
      </c>
      <c r="FN5" s="132">
        <v>5</v>
      </c>
      <c r="FO5" s="131">
        <v>3</v>
      </c>
      <c r="FP5" s="132">
        <v>4</v>
      </c>
      <c r="FQ5" s="131">
        <v>3</v>
      </c>
      <c r="FR5" s="132">
        <v>9</v>
      </c>
      <c r="FS5" s="131">
        <v>3</v>
      </c>
      <c r="FT5" s="132">
        <v>11</v>
      </c>
      <c r="FU5" s="131">
        <v>3</v>
      </c>
      <c r="FV5" s="132">
        <v>10</v>
      </c>
      <c r="FW5" s="131">
        <v>3</v>
      </c>
      <c r="FX5" s="132">
        <v>5</v>
      </c>
      <c r="FY5" s="131">
        <v>3</v>
      </c>
      <c r="FZ5" s="132">
        <v>3</v>
      </c>
      <c r="GA5" s="131">
        <v>3</v>
      </c>
      <c r="GB5" s="132">
        <v>6</v>
      </c>
      <c r="GC5" s="131">
        <v>3</v>
      </c>
      <c r="GD5" s="132">
        <v>5</v>
      </c>
      <c r="GE5" s="131">
        <v>3</v>
      </c>
      <c r="GF5" s="132">
        <v>8</v>
      </c>
      <c r="GG5" s="131">
        <v>3</v>
      </c>
      <c r="GH5" s="132">
        <v>7</v>
      </c>
      <c r="GI5" s="131">
        <v>3</v>
      </c>
      <c r="GJ5" s="132">
        <v>10</v>
      </c>
      <c r="GK5" s="131">
        <v>3</v>
      </c>
      <c r="GL5" s="132">
        <v>8</v>
      </c>
      <c r="GM5" s="131">
        <v>3</v>
      </c>
      <c r="GN5" s="132">
        <v>9</v>
      </c>
      <c r="GO5" s="131">
        <v>3</v>
      </c>
      <c r="GP5" s="132">
        <v>10.6</v>
      </c>
      <c r="GQ5" s="131">
        <v>3</v>
      </c>
      <c r="GR5" s="132">
        <v>9.6</v>
      </c>
      <c r="GS5" s="131">
        <v>3</v>
      </c>
      <c r="GT5" s="132">
        <v>10</v>
      </c>
      <c r="GU5" s="131">
        <v>3</v>
      </c>
      <c r="GV5" s="132">
        <v>4</v>
      </c>
      <c r="GW5" s="131">
        <v>3</v>
      </c>
      <c r="GX5" s="132">
        <v>7</v>
      </c>
      <c r="GY5" s="131">
        <v>3</v>
      </c>
      <c r="GZ5" s="132">
        <v>5</v>
      </c>
      <c r="HA5" s="131">
        <v>3</v>
      </c>
      <c r="HB5" s="132">
        <v>6</v>
      </c>
      <c r="HC5" s="131">
        <v>3</v>
      </c>
      <c r="HD5" s="132">
        <v>4</v>
      </c>
      <c r="HE5" s="131">
        <v>3</v>
      </c>
      <c r="HF5" s="132">
        <v>9</v>
      </c>
      <c r="HG5" s="131">
        <v>3</v>
      </c>
      <c r="HH5" s="132">
        <v>5</v>
      </c>
      <c r="HI5" s="131">
        <v>3</v>
      </c>
      <c r="HJ5" s="132">
        <v>9.6</v>
      </c>
      <c r="HK5" s="131">
        <v>3</v>
      </c>
      <c r="HL5" s="132">
        <v>5</v>
      </c>
      <c r="HM5" s="131">
        <v>3</v>
      </c>
      <c r="HN5" s="132">
        <v>4</v>
      </c>
      <c r="HO5" s="131">
        <v>3</v>
      </c>
      <c r="HP5" s="124"/>
      <c r="HQ5" s="124"/>
    </row>
    <row r="6" spans="1:225" x14ac:dyDescent="0.2">
      <c r="A6" s="122" t="s">
        <v>141</v>
      </c>
      <c r="B6" s="123" t="s">
        <v>590</v>
      </c>
      <c r="C6" s="124"/>
      <c r="D6" s="123"/>
      <c r="E6" s="124"/>
      <c r="F6" s="124"/>
      <c r="G6" s="124" t="s">
        <v>591</v>
      </c>
      <c r="H6" s="124"/>
      <c r="I6" s="124"/>
      <c r="J6" s="124">
        <v>6</v>
      </c>
      <c r="K6" s="124"/>
      <c r="L6" s="123" t="s">
        <v>592</v>
      </c>
      <c r="M6" s="123" t="s">
        <v>593</v>
      </c>
      <c r="N6" s="124"/>
      <c r="O6" s="124" t="s">
        <v>81</v>
      </c>
      <c r="P6" s="124" t="s">
        <v>594</v>
      </c>
      <c r="Q6" s="129"/>
      <c r="R6" s="129"/>
      <c r="S6" s="124"/>
      <c r="T6" s="124"/>
      <c r="U6" s="122">
        <v>0.3</v>
      </c>
      <c r="V6" s="132">
        <v>10</v>
      </c>
      <c r="W6" s="131">
        <v>4</v>
      </c>
      <c r="X6" s="132">
        <v>6</v>
      </c>
      <c r="Y6" s="131">
        <v>4</v>
      </c>
      <c r="Z6" s="132">
        <v>8</v>
      </c>
      <c r="AA6" s="131">
        <v>4</v>
      </c>
      <c r="AB6" s="132">
        <v>12</v>
      </c>
      <c r="AC6" s="131">
        <v>4</v>
      </c>
      <c r="AD6" s="132">
        <v>9</v>
      </c>
      <c r="AE6" s="131">
        <v>4</v>
      </c>
      <c r="AF6" s="132">
        <v>9</v>
      </c>
      <c r="AG6" s="131">
        <v>4</v>
      </c>
      <c r="AH6" s="132">
        <v>13</v>
      </c>
      <c r="AI6" s="131">
        <v>4</v>
      </c>
      <c r="AJ6" s="132">
        <v>9</v>
      </c>
      <c r="AK6" s="131">
        <v>4</v>
      </c>
      <c r="AL6" s="132">
        <v>13</v>
      </c>
      <c r="AM6" s="131">
        <v>4</v>
      </c>
      <c r="AN6" s="132">
        <v>8</v>
      </c>
      <c r="AO6" s="131">
        <v>4</v>
      </c>
      <c r="AP6" s="132">
        <v>8</v>
      </c>
      <c r="AQ6" s="131">
        <v>4</v>
      </c>
      <c r="AR6" s="132">
        <v>8</v>
      </c>
      <c r="AS6" s="131">
        <v>4</v>
      </c>
      <c r="AT6" s="132">
        <v>6</v>
      </c>
      <c r="AU6" s="131">
        <v>4</v>
      </c>
      <c r="AV6" s="132">
        <v>12</v>
      </c>
      <c r="AW6" s="131">
        <v>4</v>
      </c>
      <c r="AX6" s="132">
        <v>9</v>
      </c>
      <c r="AY6" s="131">
        <v>4</v>
      </c>
      <c r="AZ6" s="132">
        <v>11</v>
      </c>
      <c r="BA6" s="131">
        <v>4</v>
      </c>
      <c r="BB6" s="132">
        <v>11</v>
      </c>
      <c r="BC6" s="131">
        <v>4</v>
      </c>
      <c r="BD6" s="132">
        <v>7</v>
      </c>
      <c r="BE6" s="131">
        <v>4</v>
      </c>
      <c r="BF6" s="132">
        <v>9</v>
      </c>
      <c r="BG6" s="131">
        <v>4</v>
      </c>
      <c r="BH6" s="132">
        <v>13</v>
      </c>
      <c r="BI6" s="131">
        <v>4</v>
      </c>
      <c r="BJ6" s="132">
        <v>7</v>
      </c>
      <c r="BK6" s="131">
        <v>4</v>
      </c>
      <c r="BL6" s="132">
        <v>10</v>
      </c>
      <c r="BM6" s="131">
        <v>4</v>
      </c>
      <c r="BN6" s="132">
        <v>6</v>
      </c>
      <c r="BO6" s="131">
        <v>4</v>
      </c>
      <c r="BP6" s="132">
        <v>6</v>
      </c>
      <c r="BQ6" s="131">
        <v>4</v>
      </c>
      <c r="BR6" s="132">
        <v>11</v>
      </c>
      <c r="BS6" s="131">
        <v>4</v>
      </c>
      <c r="BT6" s="132">
        <v>13</v>
      </c>
      <c r="BU6" s="131">
        <v>4</v>
      </c>
      <c r="BV6" s="132">
        <v>11</v>
      </c>
      <c r="BW6" s="131">
        <v>4</v>
      </c>
      <c r="BX6" s="132">
        <v>7</v>
      </c>
      <c r="BY6" s="131">
        <v>4</v>
      </c>
      <c r="BZ6" s="132">
        <v>4</v>
      </c>
      <c r="CA6" s="131">
        <v>4</v>
      </c>
      <c r="CB6" s="132">
        <v>7</v>
      </c>
      <c r="CC6" s="131">
        <v>4</v>
      </c>
      <c r="CD6" s="132">
        <v>7</v>
      </c>
      <c r="CE6" s="131">
        <v>4</v>
      </c>
      <c r="CF6" s="132">
        <v>10</v>
      </c>
      <c r="CG6" s="131">
        <v>4</v>
      </c>
      <c r="CH6" s="132">
        <v>9</v>
      </c>
      <c r="CI6" s="131">
        <v>4</v>
      </c>
      <c r="CJ6" s="132">
        <v>11</v>
      </c>
      <c r="CK6" s="131">
        <v>4</v>
      </c>
      <c r="CL6" s="132">
        <v>9</v>
      </c>
      <c r="CM6" s="131">
        <v>4</v>
      </c>
      <c r="CN6" s="132">
        <v>11</v>
      </c>
      <c r="CO6" s="131">
        <v>4</v>
      </c>
      <c r="CP6" s="132">
        <v>12</v>
      </c>
      <c r="CQ6" s="131">
        <v>4</v>
      </c>
      <c r="CR6" s="132">
        <v>11</v>
      </c>
      <c r="CS6" s="131">
        <v>4</v>
      </c>
      <c r="CT6" s="132">
        <v>12</v>
      </c>
      <c r="CU6" s="131">
        <v>4</v>
      </c>
      <c r="CV6" s="132">
        <v>6</v>
      </c>
      <c r="CW6" s="131">
        <v>4</v>
      </c>
      <c r="CX6" s="132">
        <v>8</v>
      </c>
      <c r="CY6" s="131">
        <v>4</v>
      </c>
      <c r="CZ6" s="132">
        <v>7</v>
      </c>
      <c r="DA6" s="131">
        <v>4</v>
      </c>
      <c r="DB6" s="132">
        <v>7</v>
      </c>
      <c r="DC6" s="131">
        <v>4</v>
      </c>
      <c r="DD6" s="132">
        <v>6</v>
      </c>
      <c r="DE6" s="131">
        <v>4</v>
      </c>
      <c r="DF6" s="132">
        <v>10</v>
      </c>
      <c r="DG6" s="131">
        <v>4</v>
      </c>
      <c r="DH6" s="132">
        <v>6</v>
      </c>
      <c r="DI6" s="131">
        <v>4</v>
      </c>
      <c r="DJ6" s="132">
        <v>11</v>
      </c>
      <c r="DK6" s="131">
        <v>4</v>
      </c>
      <c r="DL6" s="132">
        <v>6</v>
      </c>
      <c r="DM6" s="131">
        <v>4</v>
      </c>
      <c r="DN6" s="132">
        <v>6</v>
      </c>
      <c r="DO6" s="131">
        <v>4</v>
      </c>
      <c r="DP6" s="124"/>
      <c r="DQ6" s="124"/>
      <c r="DR6" s="124"/>
      <c r="DS6" s="124"/>
      <c r="DT6" s="124"/>
      <c r="DU6" s="122">
        <v>0.3</v>
      </c>
      <c r="DV6" s="132">
        <v>10</v>
      </c>
      <c r="DW6" s="131">
        <v>4</v>
      </c>
      <c r="DX6" s="132">
        <v>6</v>
      </c>
      <c r="DY6" s="131">
        <v>4</v>
      </c>
      <c r="DZ6" s="132">
        <v>8</v>
      </c>
      <c r="EA6" s="131">
        <v>4</v>
      </c>
      <c r="EB6" s="132">
        <v>12</v>
      </c>
      <c r="EC6" s="131">
        <v>4</v>
      </c>
      <c r="ED6" s="132">
        <v>9</v>
      </c>
      <c r="EE6" s="131">
        <v>4</v>
      </c>
      <c r="EF6" s="132">
        <v>9</v>
      </c>
      <c r="EG6" s="131">
        <v>4</v>
      </c>
      <c r="EH6" s="132">
        <v>13</v>
      </c>
      <c r="EI6" s="131">
        <v>4</v>
      </c>
      <c r="EJ6" s="132">
        <v>9</v>
      </c>
      <c r="EK6" s="131">
        <v>4</v>
      </c>
      <c r="EL6" s="132">
        <v>13</v>
      </c>
      <c r="EM6" s="131">
        <v>4</v>
      </c>
      <c r="EN6" s="132">
        <v>8</v>
      </c>
      <c r="EO6" s="131">
        <v>4</v>
      </c>
      <c r="EP6" s="132">
        <v>8</v>
      </c>
      <c r="EQ6" s="131">
        <v>4</v>
      </c>
      <c r="ER6" s="132">
        <v>8</v>
      </c>
      <c r="ES6" s="131">
        <v>4</v>
      </c>
      <c r="ET6" s="132">
        <v>6</v>
      </c>
      <c r="EU6" s="131">
        <v>4</v>
      </c>
      <c r="EV6" s="132">
        <v>12</v>
      </c>
      <c r="EW6" s="131">
        <v>4</v>
      </c>
      <c r="EX6" s="132">
        <v>9</v>
      </c>
      <c r="EY6" s="131">
        <v>4</v>
      </c>
      <c r="EZ6" s="132">
        <v>11</v>
      </c>
      <c r="FA6" s="131">
        <v>4</v>
      </c>
      <c r="FB6" s="132">
        <v>11</v>
      </c>
      <c r="FC6" s="131">
        <v>4</v>
      </c>
      <c r="FD6" s="132">
        <v>7</v>
      </c>
      <c r="FE6" s="131">
        <v>4</v>
      </c>
      <c r="FF6" s="132">
        <v>9</v>
      </c>
      <c r="FG6" s="131">
        <v>4</v>
      </c>
      <c r="FH6" s="132">
        <v>13</v>
      </c>
      <c r="FI6" s="131">
        <v>4</v>
      </c>
      <c r="FJ6" s="132">
        <v>7</v>
      </c>
      <c r="FK6" s="131">
        <v>4</v>
      </c>
      <c r="FL6" s="132">
        <v>10</v>
      </c>
      <c r="FM6" s="131">
        <v>4</v>
      </c>
      <c r="FN6" s="132">
        <v>6</v>
      </c>
      <c r="FO6" s="131">
        <v>4</v>
      </c>
      <c r="FP6" s="132">
        <v>6</v>
      </c>
      <c r="FQ6" s="131">
        <v>4</v>
      </c>
      <c r="FR6" s="132">
        <v>11</v>
      </c>
      <c r="FS6" s="131">
        <v>4</v>
      </c>
      <c r="FT6" s="132">
        <v>13</v>
      </c>
      <c r="FU6" s="131">
        <v>4</v>
      </c>
      <c r="FV6" s="132">
        <v>11</v>
      </c>
      <c r="FW6" s="131">
        <v>4</v>
      </c>
      <c r="FX6" s="132">
        <v>7</v>
      </c>
      <c r="FY6" s="131">
        <v>4</v>
      </c>
      <c r="FZ6" s="132">
        <v>4</v>
      </c>
      <c r="GA6" s="131">
        <v>4</v>
      </c>
      <c r="GB6" s="132">
        <v>7</v>
      </c>
      <c r="GC6" s="131">
        <v>4</v>
      </c>
      <c r="GD6" s="132">
        <v>7</v>
      </c>
      <c r="GE6" s="131">
        <v>4</v>
      </c>
      <c r="GF6" s="132">
        <v>10</v>
      </c>
      <c r="GG6" s="131">
        <v>4</v>
      </c>
      <c r="GH6" s="132">
        <v>9</v>
      </c>
      <c r="GI6" s="131">
        <v>4</v>
      </c>
      <c r="GJ6" s="132">
        <v>11</v>
      </c>
      <c r="GK6" s="131">
        <v>4</v>
      </c>
      <c r="GL6" s="132">
        <v>9</v>
      </c>
      <c r="GM6" s="131">
        <v>4</v>
      </c>
      <c r="GN6" s="132">
        <v>11</v>
      </c>
      <c r="GO6" s="131">
        <v>4</v>
      </c>
      <c r="GP6" s="132">
        <v>12</v>
      </c>
      <c r="GQ6" s="131">
        <v>4</v>
      </c>
      <c r="GR6" s="132">
        <v>11</v>
      </c>
      <c r="GS6" s="131">
        <v>4</v>
      </c>
      <c r="GT6" s="132">
        <v>12</v>
      </c>
      <c r="GU6" s="131">
        <v>4</v>
      </c>
      <c r="GV6" s="132">
        <v>6</v>
      </c>
      <c r="GW6" s="131">
        <v>4</v>
      </c>
      <c r="GX6" s="132">
        <v>8</v>
      </c>
      <c r="GY6" s="131">
        <v>4</v>
      </c>
      <c r="GZ6" s="132">
        <v>7</v>
      </c>
      <c r="HA6" s="131">
        <v>4</v>
      </c>
      <c r="HB6" s="132">
        <v>7</v>
      </c>
      <c r="HC6" s="131">
        <v>4</v>
      </c>
      <c r="HD6" s="132">
        <v>6</v>
      </c>
      <c r="HE6" s="131">
        <v>4</v>
      </c>
      <c r="HF6" s="132">
        <v>10</v>
      </c>
      <c r="HG6" s="131">
        <v>4</v>
      </c>
      <c r="HH6" s="132">
        <v>6</v>
      </c>
      <c r="HI6" s="131">
        <v>4</v>
      </c>
      <c r="HJ6" s="132">
        <v>11</v>
      </c>
      <c r="HK6" s="131">
        <v>4</v>
      </c>
      <c r="HL6" s="132">
        <v>6</v>
      </c>
      <c r="HM6" s="131">
        <v>4</v>
      </c>
      <c r="HN6" s="132">
        <v>6</v>
      </c>
      <c r="HO6" s="131">
        <v>4</v>
      </c>
      <c r="HP6" s="124"/>
      <c r="HQ6" s="124"/>
    </row>
    <row r="7" spans="1:225" x14ac:dyDescent="0.2">
      <c r="A7" s="122" t="s">
        <v>595</v>
      </c>
      <c r="B7" s="123" t="s">
        <v>596</v>
      </c>
      <c r="C7" s="124"/>
      <c r="D7" s="123"/>
      <c r="E7" s="124"/>
      <c r="F7" s="124"/>
      <c r="G7" s="124" t="s">
        <v>597</v>
      </c>
      <c r="H7" s="124"/>
      <c r="I7" s="124"/>
      <c r="J7" s="124">
        <v>7</v>
      </c>
      <c r="K7" s="124"/>
      <c r="L7" s="124"/>
      <c r="M7" s="124"/>
      <c r="N7" s="124"/>
      <c r="O7" s="124" t="s">
        <v>83</v>
      </c>
      <c r="P7" s="124" t="s">
        <v>598</v>
      </c>
      <c r="Q7" s="129"/>
      <c r="R7" s="129"/>
      <c r="S7" s="124"/>
      <c r="T7" s="124"/>
      <c r="U7" s="122">
        <v>0.4</v>
      </c>
      <c r="V7" s="132">
        <v>12</v>
      </c>
      <c r="W7" s="131">
        <v>5</v>
      </c>
      <c r="X7" s="132">
        <v>7</v>
      </c>
      <c r="Y7" s="131">
        <v>5</v>
      </c>
      <c r="Z7" s="132">
        <v>9</v>
      </c>
      <c r="AA7" s="131">
        <v>5</v>
      </c>
      <c r="AB7" s="132">
        <v>13</v>
      </c>
      <c r="AC7" s="131">
        <v>5</v>
      </c>
      <c r="AD7" s="132">
        <v>11</v>
      </c>
      <c r="AE7" s="131">
        <v>5</v>
      </c>
      <c r="AF7" s="132">
        <v>11</v>
      </c>
      <c r="AG7" s="131">
        <v>5</v>
      </c>
      <c r="AH7" s="132">
        <v>14</v>
      </c>
      <c r="AI7" s="131">
        <v>5</v>
      </c>
      <c r="AJ7" s="132">
        <v>10</v>
      </c>
      <c r="AK7" s="131">
        <v>5</v>
      </c>
      <c r="AL7" s="132">
        <v>14</v>
      </c>
      <c r="AM7" s="131">
        <v>5</v>
      </c>
      <c r="AN7" s="132">
        <v>9</v>
      </c>
      <c r="AO7" s="131">
        <v>5</v>
      </c>
      <c r="AP7" s="132">
        <v>9</v>
      </c>
      <c r="AQ7" s="131">
        <v>5</v>
      </c>
      <c r="AR7" s="132">
        <v>9</v>
      </c>
      <c r="AS7" s="131">
        <v>5</v>
      </c>
      <c r="AT7" s="132">
        <v>8</v>
      </c>
      <c r="AU7" s="131">
        <v>5</v>
      </c>
      <c r="AV7" s="132">
        <v>13</v>
      </c>
      <c r="AW7" s="131">
        <v>5</v>
      </c>
      <c r="AX7" s="132">
        <v>11</v>
      </c>
      <c r="AY7" s="131">
        <v>5</v>
      </c>
      <c r="AZ7" s="132">
        <v>13</v>
      </c>
      <c r="BA7" s="131">
        <v>5</v>
      </c>
      <c r="BB7" s="132">
        <v>13</v>
      </c>
      <c r="BC7" s="131">
        <v>5</v>
      </c>
      <c r="BD7" s="132">
        <v>8</v>
      </c>
      <c r="BE7" s="131">
        <v>5</v>
      </c>
      <c r="BF7" s="132">
        <v>11</v>
      </c>
      <c r="BG7" s="131">
        <v>5</v>
      </c>
      <c r="BH7" s="132">
        <v>14</v>
      </c>
      <c r="BI7" s="131">
        <v>5</v>
      </c>
      <c r="BJ7" s="132">
        <v>9</v>
      </c>
      <c r="BK7" s="131">
        <v>5</v>
      </c>
      <c r="BL7" s="132">
        <v>12</v>
      </c>
      <c r="BM7" s="131">
        <v>5</v>
      </c>
      <c r="BN7" s="132">
        <v>7</v>
      </c>
      <c r="BO7" s="131">
        <v>5</v>
      </c>
      <c r="BP7" s="132">
        <v>7</v>
      </c>
      <c r="BQ7" s="131">
        <v>5</v>
      </c>
      <c r="BR7" s="132">
        <v>12</v>
      </c>
      <c r="BS7" s="131">
        <v>5</v>
      </c>
      <c r="BT7" s="132">
        <v>14</v>
      </c>
      <c r="BU7" s="131">
        <v>5</v>
      </c>
      <c r="BV7" s="132">
        <v>12</v>
      </c>
      <c r="BW7" s="131">
        <v>5</v>
      </c>
      <c r="BX7" s="132">
        <v>8.1999999999999993</v>
      </c>
      <c r="BY7" s="131">
        <v>5</v>
      </c>
      <c r="BZ7" s="132">
        <v>6</v>
      </c>
      <c r="CA7" s="131">
        <v>5</v>
      </c>
      <c r="CB7" s="132">
        <v>8</v>
      </c>
      <c r="CC7" s="131">
        <v>5</v>
      </c>
      <c r="CD7" s="132">
        <v>9</v>
      </c>
      <c r="CE7" s="131">
        <v>5</v>
      </c>
      <c r="CF7" s="132">
        <v>11</v>
      </c>
      <c r="CG7" s="131">
        <v>5</v>
      </c>
      <c r="CH7" s="132">
        <v>10</v>
      </c>
      <c r="CI7" s="131">
        <v>5</v>
      </c>
      <c r="CJ7" s="132">
        <v>12</v>
      </c>
      <c r="CK7" s="131">
        <v>5</v>
      </c>
      <c r="CL7" s="132">
        <v>11</v>
      </c>
      <c r="CM7" s="131">
        <v>5</v>
      </c>
      <c r="CN7" s="132">
        <v>12</v>
      </c>
      <c r="CO7" s="131">
        <v>5</v>
      </c>
      <c r="CP7" s="132">
        <v>13</v>
      </c>
      <c r="CQ7" s="131">
        <v>5</v>
      </c>
      <c r="CR7" s="132">
        <v>13</v>
      </c>
      <c r="CS7" s="131">
        <v>5</v>
      </c>
      <c r="CT7" s="132">
        <v>13</v>
      </c>
      <c r="CU7" s="131">
        <v>5</v>
      </c>
      <c r="CV7" s="132">
        <v>8</v>
      </c>
      <c r="CW7" s="131">
        <v>5</v>
      </c>
      <c r="CX7" s="132">
        <v>9</v>
      </c>
      <c r="CY7" s="131">
        <v>5</v>
      </c>
      <c r="CZ7" s="132">
        <v>8</v>
      </c>
      <c r="DA7" s="131">
        <v>5</v>
      </c>
      <c r="DB7" s="132">
        <v>9</v>
      </c>
      <c r="DC7" s="131">
        <v>5</v>
      </c>
      <c r="DD7" s="132">
        <v>7</v>
      </c>
      <c r="DE7" s="131">
        <v>5</v>
      </c>
      <c r="DF7" s="132">
        <v>11</v>
      </c>
      <c r="DG7" s="131">
        <v>5</v>
      </c>
      <c r="DH7" s="132">
        <v>7</v>
      </c>
      <c r="DI7" s="131">
        <v>5</v>
      </c>
      <c r="DJ7" s="132">
        <v>12.2</v>
      </c>
      <c r="DK7" s="131">
        <v>5</v>
      </c>
      <c r="DL7" s="132">
        <v>7</v>
      </c>
      <c r="DM7" s="131">
        <v>5</v>
      </c>
      <c r="DN7" s="132">
        <v>8</v>
      </c>
      <c r="DO7" s="131">
        <v>5</v>
      </c>
      <c r="DP7" s="124"/>
      <c r="DQ7" s="124"/>
      <c r="DR7" s="124"/>
      <c r="DS7" s="124"/>
      <c r="DT7" s="124"/>
      <c r="DU7" s="122">
        <v>0.4</v>
      </c>
      <c r="DV7" s="132">
        <v>12</v>
      </c>
      <c r="DW7" s="131">
        <v>5</v>
      </c>
      <c r="DX7" s="132">
        <v>7</v>
      </c>
      <c r="DY7" s="131">
        <v>5</v>
      </c>
      <c r="DZ7" s="132">
        <v>9</v>
      </c>
      <c r="EA7" s="131">
        <v>5</v>
      </c>
      <c r="EB7" s="132">
        <v>13</v>
      </c>
      <c r="EC7" s="131">
        <v>5</v>
      </c>
      <c r="ED7" s="132">
        <v>11</v>
      </c>
      <c r="EE7" s="131">
        <v>5</v>
      </c>
      <c r="EF7" s="132">
        <v>11</v>
      </c>
      <c r="EG7" s="131">
        <v>5</v>
      </c>
      <c r="EH7" s="132">
        <v>14</v>
      </c>
      <c r="EI7" s="131">
        <v>5</v>
      </c>
      <c r="EJ7" s="132">
        <v>10</v>
      </c>
      <c r="EK7" s="131">
        <v>5</v>
      </c>
      <c r="EL7" s="132">
        <v>14</v>
      </c>
      <c r="EM7" s="131">
        <v>5</v>
      </c>
      <c r="EN7" s="132">
        <v>9</v>
      </c>
      <c r="EO7" s="131">
        <v>5</v>
      </c>
      <c r="EP7" s="132">
        <v>9</v>
      </c>
      <c r="EQ7" s="131">
        <v>5</v>
      </c>
      <c r="ER7" s="132">
        <v>9</v>
      </c>
      <c r="ES7" s="131">
        <v>5</v>
      </c>
      <c r="ET7" s="132">
        <v>8</v>
      </c>
      <c r="EU7" s="131">
        <v>5</v>
      </c>
      <c r="EV7" s="132">
        <v>13</v>
      </c>
      <c r="EW7" s="131">
        <v>5</v>
      </c>
      <c r="EX7" s="132">
        <v>11</v>
      </c>
      <c r="EY7" s="131">
        <v>5</v>
      </c>
      <c r="EZ7" s="132">
        <v>13</v>
      </c>
      <c r="FA7" s="131">
        <v>5</v>
      </c>
      <c r="FB7" s="132">
        <v>13</v>
      </c>
      <c r="FC7" s="131">
        <v>5</v>
      </c>
      <c r="FD7" s="132">
        <v>8</v>
      </c>
      <c r="FE7" s="131">
        <v>5</v>
      </c>
      <c r="FF7" s="132">
        <v>11</v>
      </c>
      <c r="FG7" s="131">
        <v>5</v>
      </c>
      <c r="FH7" s="132">
        <v>14</v>
      </c>
      <c r="FI7" s="131">
        <v>5</v>
      </c>
      <c r="FJ7" s="132">
        <v>9</v>
      </c>
      <c r="FK7" s="131">
        <v>5</v>
      </c>
      <c r="FL7" s="132">
        <v>12</v>
      </c>
      <c r="FM7" s="131">
        <v>5</v>
      </c>
      <c r="FN7" s="132">
        <v>7</v>
      </c>
      <c r="FO7" s="131">
        <v>5</v>
      </c>
      <c r="FP7" s="132">
        <v>7</v>
      </c>
      <c r="FQ7" s="131">
        <v>5</v>
      </c>
      <c r="FR7" s="132">
        <v>12</v>
      </c>
      <c r="FS7" s="131">
        <v>5</v>
      </c>
      <c r="FT7" s="132">
        <v>14</v>
      </c>
      <c r="FU7" s="131">
        <v>5</v>
      </c>
      <c r="FV7" s="132">
        <v>12</v>
      </c>
      <c r="FW7" s="131">
        <v>5</v>
      </c>
      <c r="FX7" s="132">
        <v>8.1999999999999993</v>
      </c>
      <c r="FY7" s="131">
        <v>5</v>
      </c>
      <c r="FZ7" s="132">
        <v>6</v>
      </c>
      <c r="GA7" s="131">
        <v>5</v>
      </c>
      <c r="GB7" s="132">
        <v>8</v>
      </c>
      <c r="GC7" s="131">
        <v>5</v>
      </c>
      <c r="GD7" s="132">
        <v>9</v>
      </c>
      <c r="GE7" s="131">
        <v>5</v>
      </c>
      <c r="GF7" s="132">
        <v>11</v>
      </c>
      <c r="GG7" s="131">
        <v>5</v>
      </c>
      <c r="GH7" s="132">
        <v>10</v>
      </c>
      <c r="GI7" s="131">
        <v>5</v>
      </c>
      <c r="GJ7" s="132">
        <v>12</v>
      </c>
      <c r="GK7" s="131">
        <v>5</v>
      </c>
      <c r="GL7" s="132">
        <v>11</v>
      </c>
      <c r="GM7" s="131">
        <v>5</v>
      </c>
      <c r="GN7" s="132">
        <v>12</v>
      </c>
      <c r="GO7" s="131">
        <v>5</v>
      </c>
      <c r="GP7" s="132">
        <v>13</v>
      </c>
      <c r="GQ7" s="131">
        <v>5</v>
      </c>
      <c r="GR7" s="132">
        <v>13</v>
      </c>
      <c r="GS7" s="131">
        <v>5</v>
      </c>
      <c r="GT7" s="132">
        <v>13</v>
      </c>
      <c r="GU7" s="131">
        <v>5</v>
      </c>
      <c r="GV7" s="132">
        <v>8</v>
      </c>
      <c r="GW7" s="131">
        <v>5</v>
      </c>
      <c r="GX7" s="132">
        <v>9</v>
      </c>
      <c r="GY7" s="131">
        <v>5</v>
      </c>
      <c r="GZ7" s="132">
        <v>8</v>
      </c>
      <c r="HA7" s="131">
        <v>5</v>
      </c>
      <c r="HB7" s="132">
        <v>9</v>
      </c>
      <c r="HC7" s="131">
        <v>5</v>
      </c>
      <c r="HD7" s="132">
        <v>7</v>
      </c>
      <c r="HE7" s="131">
        <v>5</v>
      </c>
      <c r="HF7" s="132">
        <v>11</v>
      </c>
      <c r="HG7" s="131">
        <v>5</v>
      </c>
      <c r="HH7" s="132">
        <v>7</v>
      </c>
      <c r="HI7" s="131">
        <v>5</v>
      </c>
      <c r="HJ7" s="132">
        <v>12.2</v>
      </c>
      <c r="HK7" s="131">
        <v>5</v>
      </c>
      <c r="HL7" s="132">
        <v>7</v>
      </c>
      <c r="HM7" s="131">
        <v>5</v>
      </c>
      <c r="HN7" s="132">
        <v>8</v>
      </c>
      <c r="HO7" s="131">
        <v>5</v>
      </c>
      <c r="HP7" s="124"/>
      <c r="HQ7" s="124"/>
    </row>
    <row r="8" spans="1:225" x14ac:dyDescent="0.2">
      <c r="A8" s="122" t="s">
        <v>149</v>
      </c>
      <c r="B8" s="123" t="s">
        <v>599</v>
      </c>
      <c r="C8" s="124"/>
      <c r="D8" s="123"/>
      <c r="E8" s="124"/>
      <c r="F8" s="123">
        <v>3.2886000000000002</v>
      </c>
      <c r="G8" s="124"/>
      <c r="H8" s="124"/>
      <c r="I8" s="124"/>
      <c r="J8" s="124">
        <v>8</v>
      </c>
      <c r="K8" s="124"/>
      <c r="L8" s="124"/>
      <c r="M8" s="124"/>
      <c r="N8" s="124"/>
      <c r="O8" s="124" t="s">
        <v>28</v>
      </c>
      <c r="P8" s="124" t="s">
        <v>600</v>
      </c>
      <c r="Q8" s="129"/>
      <c r="R8" s="129"/>
      <c r="S8" s="124"/>
      <c r="T8" s="124"/>
      <c r="U8" s="122">
        <v>0.5</v>
      </c>
      <c r="V8" s="132">
        <v>12</v>
      </c>
      <c r="W8" s="131">
        <v>6</v>
      </c>
      <c r="X8" s="132">
        <v>8</v>
      </c>
      <c r="Y8" s="131">
        <v>6</v>
      </c>
      <c r="Z8" s="132">
        <v>11</v>
      </c>
      <c r="AA8" s="131">
        <v>6</v>
      </c>
      <c r="AB8" s="132">
        <v>14</v>
      </c>
      <c r="AC8" s="131">
        <v>6</v>
      </c>
      <c r="AD8" s="132">
        <v>12</v>
      </c>
      <c r="AE8" s="131">
        <v>6</v>
      </c>
      <c r="AF8" s="132">
        <v>11</v>
      </c>
      <c r="AG8" s="131">
        <v>6</v>
      </c>
      <c r="AH8" s="132">
        <v>15</v>
      </c>
      <c r="AI8" s="131">
        <v>6</v>
      </c>
      <c r="AJ8" s="132">
        <v>11</v>
      </c>
      <c r="AK8" s="131">
        <v>6</v>
      </c>
      <c r="AL8" s="132">
        <v>16</v>
      </c>
      <c r="AM8" s="131">
        <v>6</v>
      </c>
      <c r="AN8" s="132">
        <v>10</v>
      </c>
      <c r="AO8" s="131">
        <v>6</v>
      </c>
      <c r="AP8" s="132">
        <v>11</v>
      </c>
      <c r="AQ8" s="131">
        <v>6</v>
      </c>
      <c r="AR8" s="132">
        <v>11</v>
      </c>
      <c r="AS8" s="131">
        <v>6</v>
      </c>
      <c r="AT8" s="132">
        <v>9</v>
      </c>
      <c r="AU8" s="131">
        <v>6</v>
      </c>
      <c r="AV8" s="132">
        <v>15</v>
      </c>
      <c r="AW8" s="131">
        <v>6</v>
      </c>
      <c r="AX8" s="132">
        <v>12</v>
      </c>
      <c r="AY8" s="131">
        <v>6</v>
      </c>
      <c r="AZ8" s="132">
        <v>14</v>
      </c>
      <c r="BA8" s="131">
        <v>6</v>
      </c>
      <c r="BB8" s="132">
        <v>14</v>
      </c>
      <c r="BC8" s="131">
        <v>6</v>
      </c>
      <c r="BD8" s="132">
        <v>9</v>
      </c>
      <c r="BE8" s="131">
        <v>6</v>
      </c>
      <c r="BF8" s="132">
        <v>11</v>
      </c>
      <c r="BG8" s="131">
        <v>6</v>
      </c>
      <c r="BH8" s="132">
        <v>16</v>
      </c>
      <c r="BI8" s="131">
        <v>6</v>
      </c>
      <c r="BJ8" s="132">
        <v>10</v>
      </c>
      <c r="BK8" s="131">
        <v>6</v>
      </c>
      <c r="BL8" s="132">
        <v>13</v>
      </c>
      <c r="BM8" s="131">
        <v>6</v>
      </c>
      <c r="BN8" s="132">
        <v>8</v>
      </c>
      <c r="BO8" s="131">
        <v>6</v>
      </c>
      <c r="BP8" s="132">
        <v>8</v>
      </c>
      <c r="BQ8" s="131">
        <v>6</v>
      </c>
      <c r="BR8" s="132">
        <v>14</v>
      </c>
      <c r="BS8" s="131">
        <v>6</v>
      </c>
      <c r="BT8" s="132">
        <v>16</v>
      </c>
      <c r="BU8" s="131">
        <v>6</v>
      </c>
      <c r="BV8" s="132">
        <v>14</v>
      </c>
      <c r="BW8" s="131">
        <v>6</v>
      </c>
      <c r="BX8" s="132">
        <v>10</v>
      </c>
      <c r="BY8" s="131">
        <v>6</v>
      </c>
      <c r="BZ8" s="132">
        <v>7</v>
      </c>
      <c r="CA8" s="131">
        <v>6</v>
      </c>
      <c r="CB8" s="132">
        <v>10</v>
      </c>
      <c r="CC8" s="131">
        <v>6</v>
      </c>
      <c r="CD8" s="132">
        <v>9</v>
      </c>
      <c r="CE8" s="131">
        <v>6</v>
      </c>
      <c r="CF8" s="132">
        <v>12</v>
      </c>
      <c r="CG8" s="131">
        <v>6</v>
      </c>
      <c r="CH8" s="132">
        <v>11</v>
      </c>
      <c r="CI8" s="131">
        <v>6</v>
      </c>
      <c r="CJ8" s="132">
        <v>14</v>
      </c>
      <c r="CK8" s="131">
        <v>6</v>
      </c>
      <c r="CL8" s="132">
        <v>12</v>
      </c>
      <c r="CM8" s="131">
        <v>6</v>
      </c>
      <c r="CN8" s="132">
        <v>14</v>
      </c>
      <c r="CO8" s="131">
        <v>6</v>
      </c>
      <c r="CP8" s="132">
        <v>14</v>
      </c>
      <c r="CQ8" s="131">
        <v>6</v>
      </c>
      <c r="CR8" s="132">
        <v>14</v>
      </c>
      <c r="CS8" s="131">
        <v>6</v>
      </c>
      <c r="CT8" s="132">
        <v>14</v>
      </c>
      <c r="CU8" s="131">
        <v>6</v>
      </c>
      <c r="CV8" s="132">
        <v>9</v>
      </c>
      <c r="CW8" s="131">
        <v>6</v>
      </c>
      <c r="CX8" s="132">
        <v>10</v>
      </c>
      <c r="CY8" s="131">
        <v>6</v>
      </c>
      <c r="CZ8" s="132">
        <v>9</v>
      </c>
      <c r="DA8" s="131">
        <v>6</v>
      </c>
      <c r="DB8" s="132">
        <v>11</v>
      </c>
      <c r="DC8" s="131">
        <v>6</v>
      </c>
      <c r="DD8" s="132">
        <v>9</v>
      </c>
      <c r="DE8" s="131">
        <v>6</v>
      </c>
      <c r="DF8" s="132">
        <v>12</v>
      </c>
      <c r="DG8" s="131">
        <v>6</v>
      </c>
      <c r="DH8" s="132">
        <v>9</v>
      </c>
      <c r="DI8" s="131">
        <v>6</v>
      </c>
      <c r="DJ8" s="132">
        <v>14</v>
      </c>
      <c r="DK8" s="131">
        <v>6</v>
      </c>
      <c r="DL8" s="132">
        <v>8</v>
      </c>
      <c r="DM8" s="131">
        <v>6</v>
      </c>
      <c r="DN8" s="132">
        <v>9</v>
      </c>
      <c r="DO8" s="131">
        <v>6</v>
      </c>
      <c r="DP8" s="124"/>
      <c r="DQ8" s="124"/>
      <c r="DR8" s="124"/>
      <c r="DS8" s="124"/>
      <c r="DT8" s="124"/>
      <c r="DU8" s="122">
        <v>0.5</v>
      </c>
      <c r="DV8" s="132">
        <v>12</v>
      </c>
      <c r="DW8" s="131">
        <v>6</v>
      </c>
      <c r="DX8" s="132">
        <v>8</v>
      </c>
      <c r="DY8" s="131">
        <v>6</v>
      </c>
      <c r="DZ8" s="132">
        <v>11</v>
      </c>
      <c r="EA8" s="131">
        <v>6</v>
      </c>
      <c r="EB8" s="132">
        <v>14</v>
      </c>
      <c r="EC8" s="131">
        <v>6</v>
      </c>
      <c r="ED8" s="132">
        <v>12</v>
      </c>
      <c r="EE8" s="131">
        <v>6</v>
      </c>
      <c r="EF8" s="132">
        <v>11</v>
      </c>
      <c r="EG8" s="131">
        <v>6</v>
      </c>
      <c r="EH8" s="132">
        <v>15</v>
      </c>
      <c r="EI8" s="131">
        <v>6</v>
      </c>
      <c r="EJ8" s="132">
        <v>11</v>
      </c>
      <c r="EK8" s="131">
        <v>6</v>
      </c>
      <c r="EL8" s="132">
        <v>16</v>
      </c>
      <c r="EM8" s="131">
        <v>6</v>
      </c>
      <c r="EN8" s="132">
        <v>10</v>
      </c>
      <c r="EO8" s="131">
        <v>6</v>
      </c>
      <c r="EP8" s="132">
        <v>11</v>
      </c>
      <c r="EQ8" s="131">
        <v>6</v>
      </c>
      <c r="ER8" s="132">
        <v>11</v>
      </c>
      <c r="ES8" s="131">
        <v>6</v>
      </c>
      <c r="ET8" s="132">
        <v>9</v>
      </c>
      <c r="EU8" s="131">
        <v>6</v>
      </c>
      <c r="EV8" s="132">
        <v>15</v>
      </c>
      <c r="EW8" s="131">
        <v>6</v>
      </c>
      <c r="EX8" s="132">
        <v>12</v>
      </c>
      <c r="EY8" s="131">
        <v>6</v>
      </c>
      <c r="EZ8" s="132">
        <v>14</v>
      </c>
      <c r="FA8" s="131">
        <v>6</v>
      </c>
      <c r="FB8" s="132">
        <v>14</v>
      </c>
      <c r="FC8" s="131">
        <v>6</v>
      </c>
      <c r="FD8" s="132">
        <v>9</v>
      </c>
      <c r="FE8" s="131">
        <v>6</v>
      </c>
      <c r="FF8" s="132">
        <v>11</v>
      </c>
      <c r="FG8" s="131">
        <v>6</v>
      </c>
      <c r="FH8" s="132">
        <v>16</v>
      </c>
      <c r="FI8" s="131">
        <v>6</v>
      </c>
      <c r="FJ8" s="132">
        <v>10</v>
      </c>
      <c r="FK8" s="131">
        <v>6</v>
      </c>
      <c r="FL8" s="132">
        <v>13</v>
      </c>
      <c r="FM8" s="131">
        <v>6</v>
      </c>
      <c r="FN8" s="132">
        <v>8</v>
      </c>
      <c r="FO8" s="131">
        <v>6</v>
      </c>
      <c r="FP8" s="132">
        <v>8</v>
      </c>
      <c r="FQ8" s="131">
        <v>6</v>
      </c>
      <c r="FR8" s="132">
        <v>14</v>
      </c>
      <c r="FS8" s="131">
        <v>6</v>
      </c>
      <c r="FT8" s="132">
        <v>16</v>
      </c>
      <c r="FU8" s="131">
        <v>6</v>
      </c>
      <c r="FV8" s="132">
        <v>14</v>
      </c>
      <c r="FW8" s="131">
        <v>6</v>
      </c>
      <c r="FX8" s="132">
        <v>10</v>
      </c>
      <c r="FY8" s="131">
        <v>6</v>
      </c>
      <c r="FZ8" s="132">
        <v>7</v>
      </c>
      <c r="GA8" s="131">
        <v>6</v>
      </c>
      <c r="GB8" s="132">
        <v>10</v>
      </c>
      <c r="GC8" s="131">
        <v>6</v>
      </c>
      <c r="GD8" s="132">
        <v>9</v>
      </c>
      <c r="GE8" s="131">
        <v>6</v>
      </c>
      <c r="GF8" s="132">
        <v>12</v>
      </c>
      <c r="GG8" s="131">
        <v>6</v>
      </c>
      <c r="GH8" s="132">
        <v>11</v>
      </c>
      <c r="GI8" s="131">
        <v>6</v>
      </c>
      <c r="GJ8" s="132">
        <v>14</v>
      </c>
      <c r="GK8" s="131">
        <v>6</v>
      </c>
      <c r="GL8" s="132">
        <v>12</v>
      </c>
      <c r="GM8" s="131">
        <v>6</v>
      </c>
      <c r="GN8" s="132">
        <v>14</v>
      </c>
      <c r="GO8" s="131">
        <v>6</v>
      </c>
      <c r="GP8" s="132">
        <v>14</v>
      </c>
      <c r="GQ8" s="131">
        <v>6</v>
      </c>
      <c r="GR8" s="132">
        <v>14</v>
      </c>
      <c r="GS8" s="131">
        <v>6</v>
      </c>
      <c r="GT8" s="132">
        <v>14</v>
      </c>
      <c r="GU8" s="131">
        <v>6</v>
      </c>
      <c r="GV8" s="132">
        <v>9</v>
      </c>
      <c r="GW8" s="131">
        <v>6</v>
      </c>
      <c r="GX8" s="132">
        <v>10</v>
      </c>
      <c r="GY8" s="131">
        <v>6</v>
      </c>
      <c r="GZ8" s="132">
        <v>9</v>
      </c>
      <c r="HA8" s="131">
        <v>6</v>
      </c>
      <c r="HB8" s="132">
        <v>11</v>
      </c>
      <c r="HC8" s="131">
        <v>6</v>
      </c>
      <c r="HD8" s="132">
        <v>9</v>
      </c>
      <c r="HE8" s="131">
        <v>6</v>
      </c>
      <c r="HF8" s="132">
        <v>12</v>
      </c>
      <c r="HG8" s="131">
        <v>6</v>
      </c>
      <c r="HH8" s="132">
        <v>9</v>
      </c>
      <c r="HI8" s="131">
        <v>6</v>
      </c>
      <c r="HJ8" s="132">
        <v>14</v>
      </c>
      <c r="HK8" s="131">
        <v>6</v>
      </c>
      <c r="HL8" s="132">
        <v>8</v>
      </c>
      <c r="HM8" s="131">
        <v>6</v>
      </c>
      <c r="HN8" s="132">
        <v>9</v>
      </c>
      <c r="HO8" s="131">
        <v>6</v>
      </c>
      <c r="HP8" s="124"/>
      <c r="HQ8" s="124"/>
    </row>
    <row r="9" spans="1:225" x14ac:dyDescent="0.2">
      <c r="A9" s="122" t="s">
        <v>601</v>
      </c>
      <c r="B9" s="133" t="s">
        <v>602</v>
      </c>
      <c r="C9" s="122"/>
      <c r="D9" s="133" t="s">
        <v>603</v>
      </c>
      <c r="E9" s="122" t="s">
        <v>604</v>
      </c>
      <c r="F9" s="122" t="s">
        <v>605</v>
      </c>
      <c r="G9" s="122"/>
      <c r="H9" s="122" t="s">
        <v>606</v>
      </c>
      <c r="I9" s="122"/>
      <c r="J9" s="124">
        <v>9</v>
      </c>
      <c r="K9" s="122"/>
      <c r="L9" s="122"/>
      <c r="M9" s="122"/>
      <c r="N9" s="122"/>
      <c r="O9" s="124" t="s">
        <v>8</v>
      </c>
      <c r="P9" s="124" t="e">
        <v>#N/A</v>
      </c>
      <c r="Q9" s="129"/>
      <c r="R9" s="129"/>
      <c r="S9" s="122"/>
      <c r="T9" s="122"/>
      <c r="U9" s="122">
        <v>0.6</v>
      </c>
      <c r="V9" s="132">
        <v>14</v>
      </c>
      <c r="W9" s="131">
        <v>7</v>
      </c>
      <c r="X9" s="132">
        <v>10</v>
      </c>
      <c r="Y9" s="131">
        <v>7</v>
      </c>
      <c r="Z9" s="132">
        <v>12</v>
      </c>
      <c r="AA9" s="131">
        <v>7</v>
      </c>
      <c r="AB9" s="132">
        <v>16</v>
      </c>
      <c r="AC9" s="131">
        <v>7</v>
      </c>
      <c r="AD9" s="132">
        <v>13</v>
      </c>
      <c r="AE9" s="131">
        <v>7</v>
      </c>
      <c r="AF9" s="132">
        <v>13</v>
      </c>
      <c r="AG9" s="131">
        <v>7</v>
      </c>
      <c r="AH9" s="132">
        <v>16</v>
      </c>
      <c r="AI9" s="131">
        <v>7</v>
      </c>
      <c r="AJ9" s="132">
        <v>12</v>
      </c>
      <c r="AK9" s="131">
        <v>7</v>
      </c>
      <c r="AL9" s="132">
        <v>17</v>
      </c>
      <c r="AM9" s="131">
        <v>7</v>
      </c>
      <c r="AN9" s="132">
        <v>12</v>
      </c>
      <c r="AO9" s="131">
        <v>7</v>
      </c>
      <c r="AP9" s="132">
        <v>11</v>
      </c>
      <c r="AQ9" s="131">
        <v>7</v>
      </c>
      <c r="AR9" s="132">
        <v>12</v>
      </c>
      <c r="AS9" s="131">
        <v>7</v>
      </c>
      <c r="AT9" s="132">
        <v>10</v>
      </c>
      <c r="AU9" s="131">
        <v>7</v>
      </c>
      <c r="AV9" s="132">
        <v>17</v>
      </c>
      <c r="AW9" s="131">
        <v>7</v>
      </c>
      <c r="AX9" s="132">
        <v>14</v>
      </c>
      <c r="AY9" s="131">
        <v>7</v>
      </c>
      <c r="AZ9" s="132">
        <v>15</v>
      </c>
      <c r="BA9" s="131">
        <v>7</v>
      </c>
      <c r="BB9" s="132">
        <v>16</v>
      </c>
      <c r="BC9" s="131">
        <v>7</v>
      </c>
      <c r="BD9" s="132">
        <v>11</v>
      </c>
      <c r="BE9" s="131">
        <v>7</v>
      </c>
      <c r="BF9" s="132">
        <v>13</v>
      </c>
      <c r="BG9" s="131">
        <v>7</v>
      </c>
      <c r="BH9" s="132">
        <v>17</v>
      </c>
      <c r="BI9" s="131">
        <v>7</v>
      </c>
      <c r="BJ9" s="132">
        <v>11</v>
      </c>
      <c r="BK9" s="131">
        <v>7</v>
      </c>
      <c r="BL9" s="132">
        <v>13.8</v>
      </c>
      <c r="BM9" s="131">
        <v>7</v>
      </c>
      <c r="BN9" s="132">
        <v>9</v>
      </c>
      <c r="BO9" s="131">
        <v>7</v>
      </c>
      <c r="BP9" s="132">
        <v>9</v>
      </c>
      <c r="BQ9" s="131">
        <v>7</v>
      </c>
      <c r="BR9" s="132">
        <v>15</v>
      </c>
      <c r="BS9" s="131">
        <v>7</v>
      </c>
      <c r="BT9" s="132">
        <v>16.8</v>
      </c>
      <c r="BU9" s="131">
        <v>7</v>
      </c>
      <c r="BV9" s="132">
        <v>15</v>
      </c>
      <c r="BW9" s="131">
        <v>7</v>
      </c>
      <c r="BX9" s="132">
        <v>11</v>
      </c>
      <c r="BY9" s="131">
        <v>7</v>
      </c>
      <c r="BZ9" s="132">
        <v>8</v>
      </c>
      <c r="CA9" s="131">
        <v>7</v>
      </c>
      <c r="CB9" s="132">
        <v>11</v>
      </c>
      <c r="CC9" s="131">
        <v>7</v>
      </c>
      <c r="CD9" s="132">
        <v>11</v>
      </c>
      <c r="CE9" s="131">
        <v>7</v>
      </c>
      <c r="CF9" s="132">
        <v>14</v>
      </c>
      <c r="CG9" s="131">
        <v>7</v>
      </c>
      <c r="CH9" s="132">
        <v>12</v>
      </c>
      <c r="CI9" s="131">
        <v>7</v>
      </c>
      <c r="CJ9" s="132">
        <v>14</v>
      </c>
      <c r="CK9" s="131">
        <v>7</v>
      </c>
      <c r="CL9" s="132">
        <v>13</v>
      </c>
      <c r="CM9" s="131">
        <v>7</v>
      </c>
      <c r="CN9" s="132">
        <v>15</v>
      </c>
      <c r="CO9" s="131">
        <v>7</v>
      </c>
      <c r="CP9" s="132">
        <v>16</v>
      </c>
      <c r="CQ9" s="131">
        <v>7</v>
      </c>
      <c r="CR9" s="132">
        <v>16</v>
      </c>
      <c r="CS9" s="131">
        <v>7</v>
      </c>
      <c r="CT9" s="132">
        <v>15</v>
      </c>
      <c r="CU9" s="131">
        <v>7</v>
      </c>
      <c r="CV9" s="132">
        <v>10</v>
      </c>
      <c r="CW9" s="131">
        <v>7</v>
      </c>
      <c r="CX9" s="132">
        <v>12</v>
      </c>
      <c r="CY9" s="131">
        <v>7</v>
      </c>
      <c r="CZ9" s="132">
        <v>10</v>
      </c>
      <c r="DA9" s="131">
        <v>7</v>
      </c>
      <c r="DB9" s="132">
        <v>11</v>
      </c>
      <c r="DC9" s="131">
        <v>7</v>
      </c>
      <c r="DD9" s="132">
        <v>10</v>
      </c>
      <c r="DE9" s="131">
        <v>7</v>
      </c>
      <c r="DF9" s="132">
        <v>14</v>
      </c>
      <c r="DG9" s="131">
        <v>7</v>
      </c>
      <c r="DH9" s="132">
        <v>10</v>
      </c>
      <c r="DI9" s="131">
        <v>7</v>
      </c>
      <c r="DJ9" s="132">
        <v>15</v>
      </c>
      <c r="DK9" s="131">
        <v>7</v>
      </c>
      <c r="DL9" s="132">
        <v>10</v>
      </c>
      <c r="DM9" s="131">
        <v>7</v>
      </c>
      <c r="DN9" s="132">
        <v>10</v>
      </c>
      <c r="DO9" s="131">
        <v>7</v>
      </c>
      <c r="DP9" s="122"/>
      <c r="DQ9" s="122"/>
      <c r="DR9" s="122"/>
      <c r="DS9" s="122"/>
      <c r="DT9" s="122"/>
      <c r="DU9" s="122">
        <v>0.6</v>
      </c>
      <c r="DV9" s="132">
        <v>14</v>
      </c>
      <c r="DW9" s="131">
        <v>7</v>
      </c>
      <c r="DX9" s="132">
        <v>10</v>
      </c>
      <c r="DY9" s="131">
        <v>7</v>
      </c>
      <c r="DZ9" s="132">
        <v>12</v>
      </c>
      <c r="EA9" s="131">
        <v>7</v>
      </c>
      <c r="EB9" s="132">
        <v>16</v>
      </c>
      <c r="EC9" s="131">
        <v>7</v>
      </c>
      <c r="ED9" s="132">
        <v>13</v>
      </c>
      <c r="EE9" s="131">
        <v>7</v>
      </c>
      <c r="EF9" s="132">
        <v>13</v>
      </c>
      <c r="EG9" s="131">
        <v>7</v>
      </c>
      <c r="EH9" s="132">
        <v>16</v>
      </c>
      <c r="EI9" s="131">
        <v>7</v>
      </c>
      <c r="EJ9" s="132">
        <v>12</v>
      </c>
      <c r="EK9" s="131">
        <v>7</v>
      </c>
      <c r="EL9" s="132">
        <v>17</v>
      </c>
      <c r="EM9" s="131">
        <v>7</v>
      </c>
      <c r="EN9" s="132">
        <v>12</v>
      </c>
      <c r="EO9" s="131">
        <v>7</v>
      </c>
      <c r="EP9" s="132">
        <v>11</v>
      </c>
      <c r="EQ9" s="131">
        <v>7</v>
      </c>
      <c r="ER9" s="132">
        <v>12</v>
      </c>
      <c r="ES9" s="131">
        <v>7</v>
      </c>
      <c r="ET9" s="132">
        <v>10</v>
      </c>
      <c r="EU9" s="131">
        <v>7</v>
      </c>
      <c r="EV9" s="132">
        <v>17</v>
      </c>
      <c r="EW9" s="131">
        <v>7</v>
      </c>
      <c r="EX9" s="132">
        <v>14</v>
      </c>
      <c r="EY9" s="131">
        <v>7</v>
      </c>
      <c r="EZ9" s="132">
        <v>15</v>
      </c>
      <c r="FA9" s="131">
        <v>7</v>
      </c>
      <c r="FB9" s="132">
        <v>16</v>
      </c>
      <c r="FC9" s="131">
        <v>7</v>
      </c>
      <c r="FD9" s="132">
        <v>11</v>
      </c>
      <c r="FE9" s="131">
        <v>7</v>
      </c>
      <c r="FF9" s="132">
        <v>13</v>
      </c>
      <c r="FG9" s="131">
        <v>7</v>
      </c>
      <c r="FH9" s="132">
        <v>17</v>
      </c>
      <c r="FI9" s="131">
        <v>7</v>
      </c>
      <c r="FJ9" s="132">
        <v>11</v>
      </c>
      <c r="FK9" s="131">
        <v>7</v>
      </c>
      <c r="FL9" s="132">
        <v>13.8</v>
      </c>
      <c r="FM9" s="131">
        <v>7</v>
      </c>
      <c r="FN9" s="132">
        <v>9</v>
      </c>
      <c r="FO9" s="131">
        <v>7</v>
      </c>
      <c r="FP9" s="132">
        <v>9</v>
      </c>
      <c r="FQ9" s="131">
        <v>7</v>
      </c>
      <c r="FR9" s="132">
        <v>15</v>
      </c>
      <c r="FS9" s="131">
        <v>7</v>
      </c>
      <c r="FT9" s="132">
        <v>16.8</v>
      </c>
      <c r="FU9" s="131">
        <v>7</v>
      </c>
      <c r="FV9" s="132">
        <v>15</v>
      </c>
      <c r="FW9" s="131">
        <v>7</v>
      </c>
      <c r="FX9" s="132">
        <v>11</v>
      </c>
      <c r="FY9" s="131">
        <v>7</v>
      </c>
      <c r="FZ9" s="132">
        <v>8</v>
      </c>
      <c r="GA9" s="131">
        <v>7</v>
      </c>
      <c r="GB9" s="132">
        <v>11</v>
      </c>
      <c r="GC9" s="131">
        <v>7</v>
      </c>
      <c r="GD9" s="132">
        <v>11</v>
      </c>
      <c r="GE9" s="131">
        <v>7</v>
      </c>
      <c r="GF9" s="132">
        <v>14</v>
      </c>
      <c r="GG9" s="131">
        <v>7</v>
      </c>
      <c r="GH9" s="132">
        <v>12</v>
      </c>
      <c r="GI9" s="131">
        <v>7</v>
      </c>
      <c r="GJ9" s="132">
        <v>14</v>
      </c>
      <c r="GK9" s="131">
        <v>7</v>
      </c>
      <c r="GL9" s="132">
        <v>13</v>
      </c>
      <c r="GM9" s="131">
        <v>7</v>
      </c>
      <c r="GN9" s="132">
        <v>15</v>
      </c>
      <c r="GO9" s="131">
        <v>7</v>
      </c>
      <c r="GP9" s="132">
        <v>16</v>
      </c>
      <c r="GQ9" s="131">
        <v>7</v>
      </c>
      <c r="GR9" s="132">
        <v>16</v>
      </c>
      <c r="GS9" s="131">
        <v>7</v>
      </c>
      <c r="GT9" s="132">
        <v>15</v>
      </c>
      <c r="GU9" s="131">
        <v>7</v>
      </c>
      <c r="GV9" s="132">
        <v>10</v>
      </c>
      <c r="GW9" s="131">
        <v>7</v>
      </c>
      <c r="GX9" s="132">
        <v>12</v>
      </c>
      <c r="GY9" s="131">
        <v>7</v>
      </c>
      <c r="GZ9" s="132">
        <v>10</v>
      </c>
      <c r="HA9" s="131">
        <v>7</v>
      </c>
      <c r="HB9" s="132">
        <v>11</v>
      </c>
      <c r="HC9" s="131">
        <v>7</v>
      </c>
      <c r="HD9" s="132">
        <v>10</v>
      </c>
      <c r="HE9" s="131">
        <v>7</v>
      </c>
      <c r="HF9" s="132">
        <v>14</v>
      </c>
      <c r="HG9" s="131">
        <v>7</v>
      </c>
      <c r="HH9" s="132">
        <v>10</v>
      </c>
      <c r="HI9" s="131">
        <v>7</v>
      </c>
      <c r="HJ9" s="132">
        <v>15</v>
      </c>
      <c r="HK9" s="131">
        <v>7</v>
      </c>
      <c r="HL9" s="132">
        <v>10</v>
      </c>
      <c r="HM9" s="131">
        <v>7</v>
      </c>
      <c r="HN9" s="132">
        <v>10</v>
      </c>
      <c r="HO9" s="131">
        <v>7</v>
      </c>
      <c r="HP9" s="122"/>
      <c r="HQ9" s="122"/>
    </row>
    <row r="10" spans="1:225" x14ac:dyDescent="0.2">
      <c r="A10" s="122" t="s">
        <v>607</v>
      </c>
      <c r="B10" s="123">
        <v>1</v>
      </c>
      <c r="C10" s="124" t="s">
        <v>159</v>
      </c>
      <c r="D10" s="123">
        <v>1</v>
      </c>
      <c r="E10" s="124" t="s">
        <v>161</v>
      </c>
      <c r="F10" s="123">
        <v>4</v>
      </c>
      <c r="G10" s="123"/>
      <c r="H10" s="123">
        <v>0</v>
      </c>
      <c r="I10" s="124" t="s">
        <v>608</v>
      </c>
      <c r="J10" s="124">
        <v>10</v>
      </c>
      <c r="K10" s="124"/>
      <c r="L10" s="124"/>
      <c r="M10" s="124"/>
      <c r="N10" s="124"/>
      <c r="O10" s="124" t="s">
        <v>35</v>
      </c>
      <c r="P10" s="124" t="s">
        <v>609</v>
      </c>
      <c r="Q10" s="129"/>
      <c r="R10" s="129"/>
      <c r="S10" s="124"/>
      <c r="T10" s="124"/>
      <c r="U10" s="122">
        <v>0.7</v>
      </c>
      <c r="V10" s="132">
        <v>16</v>
      </c>
      <c r="W10" s="131">
        <v>8</v>
      </c>
      <c r="X10" s="132">
        <v>11</v>
      </c>
      <c r="Y10" s="131">
        <v>8</v>
      </c>
      <c r="Z10" s="132">
        <v>13</v>
      </c>
      <c r="AA10" s="131">
        <v>8</v>
      </c>
      <c r="AB10" s="132">
        <v>17</v>
      </c>
      <c r="AC10" s="131">
        <v>8</v>
      </c>
      <c r="AD10" s="132">
        <v>14</v>
      </c>
      <c r="AE10" s="131">
        <v>8</v>
      </c>
      <c r="AF10" s="132">
        <v>13.6</v>
      </c>
      <c r="AG10" s="131">
        <v>8</v>
      </c>
      <c r="AH10" s="132">
        <v>17</v>
      </c>
      <c r="AI10" s="131">
        <v>8</v>
      </c>
      <c r="AJ10" s="132">
        <v>13</v>
      </c>
      <c r="AK10" s="131">
        <v>8</v>
      </c>
      <c r="AL10" s="132">
        <v>18</v>
      </c>
      <c r="AM10" s="131">
        <v>8</v>
      </c>
      <c r="AN10" s="132">
        <v>12</v>
      </c>
      <c r="AO10" s="131">
        <v>8</v>
      </c>
      <c r="AP10" s="132">
        <v>13</v>
      </c>
      <c r="AQ10" s="131">
        <v>8</v>
      </c>
      <c r="AR10" s="132">
        <v>14</v>
      </c>
      <c r="AS10" s="131">
        <v>8</v>
      </c>
      <c r="AT10" s="132">
        <v>12</v>
      </c>
      <c r="AU10" s="131">
        <v>8</v>
      </c>
      <c r="AV10" s="132">
        <v>18</v>
      </c>
      <c r="AW10" s="131">
        <v>8</v>
      </c>
      <c r="AX10" s="132">
        <v>15</v>
      </c>
      <c r="AY10" s="131">
        <v>8</v>
      </c>
      <c r="AZ10" s="132">
        <v>16</v>
      </c>
      <c r="BA10" s="131">
        <v>8</v>
      </c>
      <c r="BB10" s="132">
        <v>17</v>
      </c>
      <c r="BC10" s="131">
        <v>8</v>
      </c>
      <c r="BD10" s="132">
        <v>12</v>
      </c>
      <c r="BE10" s="131">
        <v>8</v>
      </c>
      <c r="BF10" s="132">
        <v>14</v>
      </c>
      <c r="BG10" s="131">
        <v>8</v>
      </c>
      <c r="BH10" s="132">
        <v>18</v>
      </c>
      <c r="BI10" s="131">
        <v>8</v>
      </c>
      <c r="BJ10" s="132">
        <v>12</v>
      </c>
      <c r="BK10" s="131">
        <v>8</v>
      </c>
      <c r="BL10" s="132">
        <v>15</v>
      </c>
      <c r="BM10" s="131">
        <v>8</v>
      </c>
      <c r="BN10" s="132">
        <v>11</v>
      </c>
      <c r="BO10" s="131">
        <v>8</v>
      </c>
      <c r="BP10" s="132">
        <v>11</v>
      </c>
      <c r="BQ10" s="131">
        <v>8</v>
      </c>
      <c r="BR10" s="132">
        <v>16</v>
      </c>
      <c r="BS10" s="131">
        <v>8</v>
      </c>
      <c r="BT10" s="132">
        <v>18</v>
      </c>
      <c r="BU10" s="131">
        <v>8</v>
      </c>
      <c r="BV10" s="132">
        <v>16</v>
      </c>
      <c r="BW10" s="131">
        <v>8</v>
      </c>
      <c r="BX10" s="132">
        <v>13</v>
      </c>
      <c r="BY10" s="131">
        <v>8</v>
      </c>
      <c r="BZ10" s="132">
        <v>10</v>
      </c>
      <c r="CA10" s="131">
        <v>8</v>
      </c>
      <c r="CB10" s="132">
        <v>13</v>
      </c>
      <c r="CC10" s="131">
        <v>8</v>
      </c>
      <c r="CD10" s="132">
        <v>12</v>
      </c>
      <c r="CE10" s="131">
        <v>8</v>
      </c>
      <c r="CF10" s="132">
        <v>14.6</v>
      </c>
      <c r="CG10" s="131">
        <v>8</v>
      </c>
      <c r="CH10" s="132">
        <v>13</v>
      </c>
      <c r="CI10" s="131">
        <v>8</v>
      </c>
      <c r="CJ10" s="132">
        <v>16</v>
      </c>
      <c r="CK10" s="131">
        <v>8</v>
      </c>
      <c r="CL10" s="132">
        <v>14</v>
      </c>
      <c r="CM10" s="131">
        <v>8</v>
      </c>
      <c r="CN10" s="132">
        <v>16</v>
      </c>
      <c r="CO10" s="131">
        <v>8</v>
      </c>
      <c r="CP10" s="132">
        <v>17</v>
      </c>
      <c r="CQ10" s="131">
        <v>8</v>
      </c>
      <c r="CR10" s="132">
        <v>17</v>
      </c>
      <c r="CS10" s="131">
        <v>8</v>
      </c>
      <c r="CT10" s="132">
        <v>16</v>
      </c>
      <c r="CU10" s="131">
        <v>8</v>
      </c>
      <c r="CV10" s="132">
        <v>12</v>
      </c>
      <c r="CW10" s="131">
        <v>8</v>
      </c>
      <c r="CX10" s="132">
        <v>13</v>
      </c>
      <c r="CY10" s="131">
        <v>8</v>
      </c>
      <c r="CZ10" s="132">
        <v>12</v>
      </c>
      <c r="DA10" s="131">
        <v>8</v>
      </c>
      <c r="DB10" s="132">
        <v>13</v>
      </c>
      <c r="DC10" s="131">
        <v>8</v>
      </c>
      <c r="DD10" s="132">
        <v>12</v>
      </c>
      <c r="DE10" s="131">
        <v>8</v>
      </c>
      <c r="DF10" s="132">
        <v>15</v>
      </c>
      <c r="DG10" s="131">
        <v>8</v>
      </c>
      <c r="DH10" s="132">
        <v>11</v>
      </c>
      <c r="DI10" s="131">
        <v>8</v>
      </c>
      <c r="DJ10" s="132">
        <v>16</v>
      </c>
      <c r="DK10" s="131">
        <v>8</v>
      </c>
      <c r="DL10" s="132">
        <v>11</v>
      </c>
      <c r="DM10" s="131">
        <v>8</v>
      </c>
      <c r="DN10" s="132">
        <v>12</v>
      </c>
      <c r="DO10" s="131">
        <v>8</v>
      </c>
      <c r="DP10" s="124"/>
      <c r="DQ10" s="124"/>
      <c r="DR10" s="124"/>
      <c r="DS10" s="124"/>
      <c r="DT10" s="124"/>
      <c r="DU10" s="122">
        <v>0.7</v>
      </c>
      <c r="DV10" s="132">
        <v>16</v>
      </c>
      <c r="DW10" s="131">
        <v>8</v>
      </c>
      <c r="DX10" s="132">
        <v>11</v>
      </c>
      <c r="DY10" s="131">
        <v>8</v>
      </c>
      <c r="DZ10" s="132">
        <v>13</v>
      </c>
      <c r="EA10" s="131">
        <v>8</v>
      </c>
      <c r="EB10" s="132">
        <v>17</v>
      </c>
      <c r="EC10" s="131">
        <v>8</v>
      </c>
      <c r="ED10" s="132">
        <v>14</v>
      </c>
      <c r="EE10" s="131">
        <v>8</v>
      </c>
      <c r="EF10" s="132">
        <v>13.6</v>
      </c>
      <c r="EG10" s="131">
        <v>8</v>
      </c>
      <c r="EH10" s="132">
        <v>17</v>
      </c>
      <c r="EI10" s="131">
        <v>8</v>
      </c>
      <c r="EJ10" s="132">
        <v>13</v>
      </c>
      <c r="EK10" s="131">
        <v>8</v>
      </c>
      <c r="EL10" s="132">
        <v>18</v>
      </c>
      <c r="EM10" s="131">
        <v>8</v>
      </c>
      <c r="EN10" s="132">
        <v>12</v>
      </c>
      <c r="EO10" s="131">
        <v>8</v>
      </c>
      <c r="EP10" s="132">
        <v>13</v>
      </c>
      <c r="EQ10" s="131">
        <v>8</v>
      </c>
      <c r="ER10" s="132">
        <v>14</v>
      </c>
      <c r="ES10" s="131">
        <v>8</v>
      </c>
      <c r="ET10" s="132">
        <v>12</v>
      </c>
      <c r="EU10" s="131">
        <v>8</v>
      </c>
      <c r="EV10" s="132">
        <v>18</v>
      </c>
      <c r="EW10" s="131">
        <v>8</v>
      </c>
      <c r="EX10" s="132">
        <v>15</v>
      </c>
      <c r="EY10" s="131">
        <v>8</v>
      </c>
      <c r="EZ10" s="132">
        <v>16</v>
      </c>
      <c r="FA10" s="131">
        <v>8</v>
      </c>
      <c r="FB10" s="132">
        <v>17</v>
      </c>
      <c r="FC10" s="131">
        <v>8</v>
      </c>
      <c r="FD10" s="132">
        <v>12</v>
      </c>
      <c r="FE10" s="131">
        <v>8</v>
      </c>
      <c r="FF10" s="132">
        <v>14</v>
      </c>
      <c r="FG10" s="131">
        <v>8</v>
      </c>
      <c r="FH10" s="132">
        <v>18</v>
      </c>
      <c r="FI10" s="131">
        <v>8</v>
      </c>
      <c r="FJ10" s="132">
        <v>12</v>
      </c>
      <c r="FK10" s="131">
        <v>8</v>
      </c>
      <c r="FL10" s="132">
        <v>15</v>
      </c>
      <c r="FM10" s="131">
        <v>8</v>
      </c>
      <c r="FN10" s="132">
        <v>11</v>
      </c>
      <c r="FO10" s="131">
        <v>8</v>
      </c>
      <c r="FP10" s="132">
        <v>11</v>
      </c>
      <c r="FQ10" s="131">
        <v>8</v>
      </c>
      <c r="FR10" s="132">
        <v>16</v>
      </c>
      <c r="FS10" s="131">
        <v>8</v>
      </c>
      <c r="FT10" s="132">
        <v>18</v>
      </c>
      <c r="FU10" s="131">
        <v>8</v>
      </c>
      <c r="FV10" s="132">
        <v>16</v>
      </c>
      <c r="FW10" s="131">
        <v>8</v>
      </c>
      <c r="FX10" s="132">
        <v>13</v>
      </c>
      <c r="FY10" s="131">
        <v>8</v>
      </c>
      <c r="FZ10" s="132">
        <v>10</v>
      </c>
      <c r="GA10" s="131">
        <v>8</v>
      </c>
      <c r="GB10" s="132">
        <v>13</v>
      </c>
      <c r="GC10" s="131">
        <v>8</v>
      </c>
      <c r="GD10" s="132">
        <v>12</v>
      </c>
      <c r="GE10" s="131">
        <v>8</v>
      </c>
      <c r="GF10" s="132">
        <v>14.6</v>
      </c>
      <c r="GG10" s="131">
        <v>8</v>
      </c>
      <c r="GH10" s="132">
        <v>13</v>
      </c>
      <c r="GI10" s="131">
        <v>8</v>
      </c>
      <c r="GJ10" s="132">
        <v>16</v>
      </c>
      <c r="GK10" s="131">
        <v>8</v>
      </c>
      <c r="GL10" s="132">
        <v>14</v>
      </c>
      <c r="GM10" s="131">
        <v>8</v>
      </c>
      <c r="GN10" s="132">
        <v>16</v>
      </c>
      <c r="GO10" s="131">
        <v>8</v>
      </c>
      <c r="GP10" s="132">
        <v>17</v>
      </c>
      <c r="GQ10" s="131">
        <v>8</v>
      </c>
      <c r="GR10" s="132">
        <v>17</v>
      </c>
      <c r="GS10" s="131">
        <v>8</v>
      </c>
      <c r="GT10" s="132">
        <v>16</v>
      </c>
      <c r="GU10" s="131">
        <v>8</v>
      </c>
      <c r="GV10" s="132">
        <v>12</v>
      </c>
      <c r="GW10" s="131">
        <v>8</v>
      </c>
      <c r="GX10" s="132">
        <v>13</v>
      </c>
      <c r="GY10" s="131">
        <v>8</v>
      </c>
      <c r="GZ10" s="132">
        <v>12</v>
      </c>
      <c r="HA10" s="131">
        <v>8</v>
      </c>
      <c r="HB10" s="132">
        <v>13</v>
      </c>
      <c r="HC10" s="131">
        <v>8</v>
      </c>
      <c r="HD10" s="132">
        <v>12</v>
      </c>
      <c r="HE10" s="131">
        <v>8</v>
      </c>
      <c r="HF10" s="132">
        <v>15</v>
      </c>
      <c r="HG10" s="131">
        <v>8</v>
      </c>
      <c r="HH10" s="132">
        <v>11</v>
      </c>
      <c r="HI10" s="131">
        <v>8</v>
      </c>
      <c r="HJ10" s="132">
        <v>16</v>
      </c>
      <c r="HK10" s="131">
        <v>8</v>
      </c>
      <c r="HL10" s="132">
        <v>11</v>
      </c>
      <c r="HM10" s="131">
        <v>8</v>
      </c>
      <c r="HN10" s="132">
        <v>12</v>
      </c>
      <c r="HO10" s="131">
        <v>8</v>
      </c>
      <c r="HP10" s="124"/>
      <c r="HQ10" s="124"/>
    </row>
    <row r="11" spans="1:225" x14ac:dyDescent="0.2">
      <c r="A11" s="122" t="s">
        <v>610</v>
      </c>
      <c r="B11" s="123">
        <v>1</v>
      </c>
      <c r="C11" s="124" t="s">
        <v>162</v>
      </c>
      <c r="D11" s="123">
        <v>2</v>
      </c>
      <c r="E11" s="124" t="s">
        <v>161</v>
      </c>
      <c r="F11" s="123">
        <v>4</v>
      </c>
      <c r="G11" s="123"/>
      <c r="H11" s="123">
        <v>0</v>
      </c>
      <c r="I11" s="124" t="s">
        <v>611</v>
      </c>
      <c r="J11" s="124"/>
      <c r="K11" s="124"/>
      <c r="L11" s="124"/>
      <c r="M11" s="124"/>
      <c r="N11" s="124"/>
      <c r="O11" s="124" t="s">
        <v>47</v>
      </c>
      <c r="P11" s="124" t="s">
        <v>612</v>
      </c>
      <c r="Q11" s="129"/>
      <c r="R11" s="129"/>
      <c r="S11" s="124"/>
      <c r="T11" s="124"/>
      <c r="U11" s="122">
        <v>0.8</v>
      </c>
      <c r="V11" s="132">
        <v>16</v>
      </c>
      <c r="W11" s="131">
        <v>9</v>
      </c>
      <c r="X11" s="132">
        <v>12</v>
      </c>
      <c r="Y11" s="131">
        <v>9</v>
      </c>
      <c r="Z11" s="132">
        <v>15</v>
      </c>
      <c r="AA11" s="131">
        <v>9</v>
      </c>
      <c r="AB11" s="132">
        <v>18</v>
      </c>
      <c r="AC11" s="131">
        <v>9</v>
      </c>
      <c r="AD11" s="132">
        <v>16</v>
      </c>
      <c r="AE11" s="131">
        <v>9</v>
      </c>
      <c r="AF11" s="132">
        <v>15</v>
      </c>
      <c r="AG11" s="131">
        <v>9</v>
      </c>
      <c r="AH11" s="132">
        <v>18</v>
      </c>
      <c r="AI11" s="131">
        <v>9</v>
      </c>
      <c r="AJ11" s="132">
        <v>15.4</v>
      </c>
      <c r="AK11" s="131">
        <v>9</v>
      </c>
      <c r="AL11" s="132">
        <v>20</v>
      </c>
      <c r="AM11" s="131">
        <v>9</v>
      </c>
      <c r="AN11" s="132">
        <v>14</v>
      </c>
      <c r="AO11" s="131">
        <v>9</v>
      </c>
      <c r="AP11" s="132">
        <v>14</v>
      </c>
      <c r="AQ11" s="131">
        <v>9</v>
      </c>
      <c r="AR11" s="132">
        <v>16</v>
      </c>
      <c r="AS11" s="131">
        <v>9</v>
      </c>
      <c r="AT11" s="132">
        <v>14</v>
      </c>
      <c r="AU11" s="131">
        <v>9</v>
      </c>
      <c r="AV11" s="132">
        <v>20</v>
      </c>
      <c r="AW11" s="131">
        <v>9</v>
      </c>
      <c r="AX11" s="132">
        <v>16</v>
      </c>
      <c r="AY11" s="131">
        <v>9</v>
      </c>
      <c r="AZ11" s="132">
        <v>17</v>
      </c>
      <c r="BA11" s="131">
        <v>9</v>
      </c>
      <c r="BB11" s="132">
        <v>18</v>
      </c>
      <c r="BC11" s="131">
        <v>9</v>
      </c>
      <c r="BD11" s="132">
        <v>14</v>
      </c>
      <c r="BE11" s="131">
        <v>9</v>
      </c>
      <c r="BF11" s="132">
        <v>16</v>
      </c>
      <c r="BG11" s="131">
        <v>9</v>
      </c>
      <c r="BH11" s="132">
        <v>19</v>
      </c>
      <c r="BI11" s="131">
        <v>9</v>
      </c>
      <c r="BJ11" s="132">
        <v>15</v>
      </c>
      <c r="BK11" s="131">
        <v>9</v>
      </c>
      <c r="BL11" s="132">
        <v>17</v>
      </c>
      <c r="BM11" s="131">
        <v>9</v>
      </c>
      <c r="BN11" s="132">
        <v>13</v>
      </c>
      <c r="BO11" s="131">
        <v>9</v>
      </c>
      <c r="BP11" s="132">
        <v>13</v>
      </c>
      <c r="BQ11" s="131">
        <v>9</v>
      </c>
      <c r="BR11" s="132">
        <v>18</v>
      </c>
      <c r="BS11" s="131">
        <v>9</v>
      </c>
      <c r="BT11" s="132">
        <v>19</v>
      </c>
      <c r="BU11" s="131">
        <v>9</v>
      </c>
      <c r="BV11" s="132">
        <v>18</v>
      </c>
      <c r="BW11" s="131">
        <v>9</v>
      </c>
      <c r="BX11" s="132">
        <v>15.4</v>
      </c>
      <c r="BY11" s="131">
        <v>9</v>
      </c>
      <c r="BZ11" s="132">
        <v>11</v>
      </c>
      <c r="CA11" s="131">
        <v>9</v>
      </c>
      <c r="CB11" s="132">
        <v>14</v>
      </c>
      <c r="CC11" s="131">
        <v>9</v>
      </c>
      <c r="CD11" s="132">
        <v>14</v>
      </c>
      <c r="CE11" s="131">
        <v>9</v>
      </c>
      <c r="CF11" s="132">
        <v>16</v>
      </c>
      <c r="CG11" s="131">
        <v>9</v>
      </c>
      <c r="CH11" s="132">
        <v>14</v>
      </c>
      <c r="CI11" s="131">
        <v>9</v>
      </c>
      <c r="CJ11" s="132">
        <v>17</v>
      </c>
      <c r="CK11" s="131">
        <v>9</v>
      </c>
      <c r="CL11" s="132">
        <v>16</v>
      </c>
      <c r="CM11" s="131">
        <v>9</v>
      </c>
      <c r="CN11" s="132">
        <v>18</v>
      </c>
      <c r="CO11" s="131">
        <v>9</v>
      </c>
      <c r="CP11" s="132">
        <v>18</v>
      </c>
      <c r="CQ11" s="131">
        <v>9</v>
      </c>
      <c r="CR11" s="132">
        <v>18</v>
      </c>
      <c r="CS11" s="131">
        <v>9</v>
      </c>
      <c r="CT11" s="132">
        <v>18</v>
      </c>
      <c r="CU11" s="131">
        <v>9</v>
      </c>
      <c r="CV11" s="132">
        <v>14</v>
      </c>
      <c r="CW11" s="131">
        <v>9</v>
      </c>
      <c r="CX11" s="132">
        <v>15</v>
      </c>
      <c r="CY11" s="131">
        <v>9</v>
      </c>
      <c r="CZ11" s="132">
        <v>14</v>
      </c>
      <c r="DA11" s="131">
        <v>9</v>
      </c>
      <c r="DB11" s="132">
        <v>14</v>
      </c>
      <c r="DC11" s="131">
        <v>9</v>
      </c>
      <c r="DD11" s="132">
        <v>14</v>
      </c>
      <c r="DE11" s="131">
        <v>9</v>
      </c>
      <c r="DF11" s="132">
        <v>17</v>
      </c>
      <c r="DG11" s="131">
        <v>9</v>
      </c>
      <c r="DH11" s="132">
        <v>14</v>
      </c>
      <c r="DI11" s="131">
        <v>9</v>
      </c>
      <c r="DJ11" s="132">
        <v>17</v>
      </c>
      <c r="DK11" s="131">
        <v>9</v>
      </c>
      <c r="DL11" s="132">
        <v>12</v>
      </c>
      <c r="DM11" s="131">
        <v>9</v>
      </c>
      <c r="DN11" s="132">
        <v>14</v>
      </c>
      <c r="DO11" s="131">
        <v>9</v>
      </c>
      <c r="DP11" s="124"/>
      <c r="DQ11" s="124"/>
      <c r="DR11" s="124"/>
      <c r="DS11" s="124"/>
      <c r="DT11" s="124"/>
      <c r="DU11" s="122">
        <v>0.8</v>
      </c>
      <c r="DV11" s="132">
        <v>16</v>
      </c>
      <c r="DW11" s="131">
        <v>9</v>
      </c>
      <c r="DX11" s="132">
        <v>12</v>
      </c>
      <c r="DY11" s="131">
        <v>9</v>
      </c>
      <c r="DZ11" s="132">
        <v>15</v>
      </c>
      <c r="EA11" s="131">
        <v>9</v>
      </c>
      <c r="EB11" s="132">
        <v>18</v>
      </c>
      <c r="EC11" s="131">
        <v>9</v>
      </c>
      <c r="ED11" s="132">
        <v>16</v>
      </c>
      <c r="EE11" s="131">
        <v>9</v>
      </c>
      <c r="EF11" s="132">
        <v>15</v>
      </c>
      <c r="EG11" s="131">
        <v>9</v>
      </c>
      <c r="EH11" s="132">
        <v>18</v>
      </c>
      <c r="EI11" s="131">
        <v>9</v>
      </c>
      <c r="EJ11" s="132">
        <v>15.4</v>
      </c>
      <c r="EK11" s="131">
        <v>9</v>
      </c>
      <c r="EL11" s="132">
        <v>20</v>
      </c>
      <c r="EM11" s="131">
        <v>9</v>
      </c>
      <c r="EN11" s="132">
        <v>14</v>
      </c>
      <c r="EO11" s="131">
        <v>9</v>
      </c>
      <c r="EP11" s="132">
        <v>14</v>
      </c>
      <c r="EQ11" s="131">
        <v>9</v>
      </c>
      <c r="ER11" s="132">
        <v>16</v>
      </c>
      <c r="ES11" s="131">
        <v>9</v>
      </c>
      <c r="ET11" s="132">
        <v>14</v>
      </c>
      <c r="EU11" s="131">
        <v>9</v>
      </c>
      <c r="EV11" s="132">
        <v>20</v>
      </c>
      <c r="EW11" s="131">
        <v>9</v>
      </c>
      <c r="EX11" s="132">
        <v>16</v>
      </c>
      <c r="EY11" s="131">
        <v>9</v>
      </c>
      <c r="EZ11" s="132">
        <v>17</v>
      </c>
      <c r="FA11" s="131">
        <v>9</v>
      </c>
      <c r="FB11" s="132">
        <v>18</v>
      </c>
      <c r="FC11" s="131">
        <v>9</v>
      </c>
      <c r="FD11" s="132">
        <v>14</v>
      </c>
      <c r="FE11" s="131">
        <v>9</v>
      </c>
      <c r="FF11" s="132">
        <v>16</v>
      </c>
      <c r="FG11" s="131">
        <v>9</v>
      </c>
      <c r="FH11" s="132">
        <v>19</v>
      </c>
      <c r="FI11" s="131">
        <v>9</v>
      </c>
      <c r="FJ11" s="132">
        <v>15</v>
      </c>
      <c r="FK11" s="131">
        <v>9</v>
      </c>
      <c r="FL11" s="132">
        <v>17</v>
      </c>
      <c r="FM11" s="131">
        <v>9</v>
      </c>
      <c r="FN11" s="132">
        <v>13</v>
      </c>
      <c r="FO11" s="131">
        <v>9</v>
      </c>
      <c r="FP11" s="132">
        <v>13</v>
      </c>
      <c r="FQ11" s="131">
        <v>9</v>
      </c>
      <c r="FR11" s="132">
        <v>18</v>
      </c>
      <c r="FS11" s="131">
        <v>9</v>
      </c>
      <c r="FT11" s="132">
        <v>19</v>
      </c>
      <c r="FU11" s="131">
        <v>9</v>
      </c>
      <c r="FV11" s="132">
        <v>18</v>
      </c>
      <c r="FW11" s="131">
        <v>9</v>
      </c>
      <c r="FX11" s="132">
        <v>15.4</v>
      </c>
      <c r="FY11" s="131">
        <v>9</v>
      </c>
      <c r="FZ11" s="132">
        <v>11</v>
      </c>
      <c r="GA11" s="131">
        <v>9</v>
      </c>
      <c r="GB11" s="132">
        <v>14</v>
      </c>
      <c r="GC11" s="131">
        <v>9</v>
      </c>
      <c r="GD11" s="132">
        <v>14</v>
      </c>
      <c r="GE11" s="131">
        <v>9</v>
      </c>
      <c r="GF11" s="132">
        <v>16</v>
      </c>
      <c r="GG11" s="131">
        <v>9</v>
      </c>
      <c r="GH11" s="132">
        <v>14</v>
      </c>
      <c r="GI11" s="131">
        <v>9</v>
      </c>
      <c r="GJ11" s="132">
        <v>17</v>
      </c>
      <c r="GK11" s="131">
        <v>9</v>
      </c>
      <c r="GL11" s="132">
        <v>16</v>
      </c>
      <c r="GM11" s="131">
        <v>9</v>
      </c>
      <c r="GN11" s="132">
        <v>18</v>
      </c>
      <c r="GO11" s="131">
        <v>9</v>
      </c>
      <c r="GP11" s="132">
        <v>18</v>
      </c>
      <c r="GQ11" s="131">
        <v>9</v>
      </c>
      <c r="GR11" s="132">
        <v>18</v>
      </c>
      <c r="GS11" s="131">
        <v>9</v>
      </c>
      <c r="GT11" s="132">
        <v>18</v>
      </c>
      <c r="GU11" s="131">
        <v>9</v>
      </c>
      <c r="GV11" s="132">
        <v>14</v>
      </c>
      <c r="GW11" s="131">
        <v>9</v>
      </c>
      <c r="GX11" s="132">
        <v>15</v>
      </c>
      <c r="GY11" s="131">
        <v>9</v>
      </c>
      <c r="GZ11" s="132">
        <v>14</v>
      </c>
      <c r="HA11" s="131">
        <v>9</v>
      </c>
      <c r="HB11" s="132">
        <v>14</v>
      </c>
      <c r="HC11" s="131">
        <v>9</v>
      </c>
      <c r="HD11" s="132">
        <v>14</v>
      </c>
      <c r="HE11" s="131">
        <v>9</v>
      </c>
      <c r="HF11" s="132">
        <v>17</v>
      </c>
      <c r="HG11" s="131">
        <v>9</v>
      </c>
      <c r="HH11" s="132">
        <v>14</v>
      </c>
      <c r="HI11" s="131">
        <v>9</v>
      </c>
      <c r="HJ11" s="132">
        <v>17</v>
      </c>
      <c r="HK11" s="131">
        <v>9</v>
      </c>
      <c r="HL11" s="132">
        <v>12</v>
      </c>
      <c r="HM11" s="131">
        <v>9</v>
      </c>
      <c r="HN11" s="132">
        <v>14</v>
      </c>
      <c r="HO11" s="131">
        <v>9</v>
      </c>
      <c r="HP11" s="124"/>
      <c r="HQ11" s="124"/>
    </row>
    <row r="12" spans="1:225" x14ac:dyDescent="0.2">
      <c r="A12" s="122" t="s">
        <v>613</v>
      </c>
      <c r="B12" s="123">
        <v>2</v>
      </c>
      <c r="C12" s="124" t="s">
        <v>164</v>
      </c>
      <c r="D12" s="123">
        <v>3</v>
      </c>
      <c r="E12" s="124" t="s">
        <v>161</v>
      </c>
      <c r="F12" s="123">
        <v>2</v>
      </c>
      <c r="G12" s="123"/>
      <c r="H12" s="124"/>
      <c r="I12" s="124"/>
      <c r="J12" s="124"/>
      <c r="K12" s="124"/>
      <c r="L12" s="124"/>
      <c r="M12" s="123"/>
      <c r="N12" s="124"/>
      <c r="O12" s="124" t="s">
        <v>56</v>
      </c>
      <c r="P12" s="124" t="s">
        <v>614</v>
      </c>
      <c r="Q12" s="129"/>
      <c r="R12" s="129"/>
      <c r="S12" s="124"/>
      <c r="T12" s="124"/>
      <c r="U12" s="122">
        <v>0.9</v>
      </c>
      <c r="V12" s="132">
        <v>19</v>
      </c>
      <c r="W12" s="131">
        <v>10</v>
      </c>
      <c r="X12" s="132">
        <v>15</v>
      </c>
      <c r="Y12" s="131">
        <v>10</v>
      </c>
      <c r="Z12" s="132">
        <v>17</v>
      </c>
      <c r="AA12" s="131">
        <v>10</v>
      </c>
      <c r="AB12" s="132">
        <v>21</v>
      </c>
      <c r="AC12" s="131">
        <v>10</v>
      </c>
      <c r="AD12" s="132">
        <v>17.2</v>
      </c>
      <c r="AE12" s="131">
        <v>10</v>
      </c>
      <c r="AF12" s="132">
        <v>17</v>
      </c>
      <c r="AG12" s="131">
        <v>10</v>
      </c>
      <c r="AH12" s="132">
        <v>19</v>
      </c>
      <c r="AI12" s="131">
        <v>10</v>
      </c>
      <c r="AJ12" s="132">
        <v>17</v>
      </c>
      <c r="AK12" s="131">
        <v>10</v>
      </c>
      <c r="AL12" s="132">
        <v>21</v>
      </c>
      <c r="AM12" s="131">
        <v>10</v>
      </c>
      <c r="AN12" s="132">
        <v>17</v>
      </c>
      <c r="AO12" s="131">
        <v>10</v>
      </c>
      <c r="AP12" s="132">
        <v>16.2</v>
      </c>
      <c r="AQ12" s="131">
        <v>10</v>
      </c>
      <c r="AR12" s="132">
        <v>18</v>
      </c>
      <c r="AS12" s="131">
        <v>10</v>
      </c>
      <c r="AT12" s="132">
        <v>17</v>
      </c>
      <c r="AU12" s="131">
        <v>10</v>
      </c>
      <c r="AV12" s="132">
        <v>22</v>
      </c>
      <c r="AW12" s="131">
        <v>10</v>
      </c>
      <c r="AX12" s="132">
        <v>19</v>
      </c>
      <c r="AY12" s="131">
        <v>10</v>
      </c>
      <c r="AZ12" s="132">
        <v>19</v>
      </c>
      <c r="BA12" s="131">
        <v>10</v>
      </c>
      <c r="BB12" s="132">
        <v>20</v>
      </c>
      <c r="BC12" s="131">
        <v>10</v>
      </c>
      <c r="BD12" s="132">
        <v>16</v>
      </c>
      <c r="BE12" s="131">
        <v>10</v>
      </c>
      <c r="BF12" s="132">
        <v>18</v>
      </c>
      <c r="BG12" s="131">
        <v>10</v>
      </c>
      <c r="BH12" s="132">
        <v>21</v>
      </c>
      <c r="BI12" s="131">
        <v>10</v>
      </c>
      <c r="BJ12" s="132">
        <v>17</v>
      </c>
      <c r="BK12" s="131">
        <v>10</v>
      </c>
      <c r="BL12" s="132">
        <v>18</v>
      </c>
      <c r="BM12" s="131">
        <v>10</v>
      </c>
      <c r="BN12" s="132">
        <v>14.2</v>
      </c>
      <c r="BO12" s="131">
        <v>10</v>
      </c>
      <c r="BP12" s="132">
        <v>15</v>
      </c>
      <c r="BQ12" s="131">
        <v>10</v>
      </c>
      <c r="BR12" s="132">
        <v>18</v>
      </c>
      <c r="BS12" s="131">
        <v>10</v>
      </c>
      <c r="BT12" s="132">
        <v>21</v>
      </c>
      <c r="BU12" s="131">
        <v>10</v>
      </c>
      <c r="BV12" s="132">
        <v>20</v>
      </c>
      <c r="BW12" s="131">
        <v>10</v>
      </c>
      <c r="BX12" s="132">
        <v>17</v>
      </c>
      <c r="BY12" s="131">
        <v>10</v>
      </c>
      <c r="BZ12" s="132">
        <v>14</v>
      </c>
      <c r="CA12" s="131">
        <v>10</v>
      </c>
      <c r="CB12" s="132">
        <v>16</v>
      </c>
      <c r="CC12" s="131">
        <v>10</v>
      </c>
      <c r="CD12" s="132">
        <v>15</v>
      </c>
      <c r="CE12" s="131">
        <v>10</v>
      </c>
      <c r="CF12" s="132">
        <v>18</v>
      </c>
      <c r="CG12" s="131">
        <v>10</v>
      </c>
      <c r="CH12" s="132">
        <v>16</v>
      </c>
      <c r="CI12" s="131">
        <v>10</v>
      </c>
      <c r="CJ12" s="132">
        <v>19</v>
      </c>
      <c r="CK12" s="131">
        <v>10</v>
      </c>
      <c r="CL12" s="132">
        <v>16</v>
      </c>
      <c r="CM12" s="131">
        <v>10</v>
      </c>
      <c r="CN12" s="132">
        <v>19</v>
      </c>
      <c r="CO12" s="131">
        <v>10</v>
      </c>
      <c r="CP12" s="132">
        <v>20</v>
      </c>
      <c r="CQ12" s="131">
        <v>10</v>
      </c>
      <c r="CR12" s="132">
        <v>20</v>
      </c>
      <c r="CS12" s="131">
        <v>10</v>
      </c>
      <c r="CT12" s="132">
        <v>19.2</v>
      </c>
      <c r="CU12" s="131">
        <v>10</v>
      </c>
      <c r="CV12" s="132">
        <v>17</v>
      </c>
      <c r="CW12" s="131">
        <v>10</v>
      </c>
      <c r="CX12" s="132">
        <v>17</v>
      </c>
      <c r="CY12" s="131">
        <v>10</v>
      </c>
      <c r="CZ12" s="132">
        <v>17</v>
      </c>
      <c r="DA12" s="131">
        <v>10</v>
      </c>
      <c r="DB12" s="132">
        <v>16</v>
      </c>
      <c r="DC12" s="131">
        <v>10</v>
      </c>
      <c r="DD12" s="132">
        <v>15.2</v>
      </c>
      <c r="DE12" s="131">
        <v>10</v>
      </c>
      <c r="DF12" s="132">
        <v>19</v>
      </c>
      <c r="DG12" s="131">
        <v>10</v>
      </c>
      <c r="DH12" s="132">
        <v>15</v>
      </c>
      <c r="DI12" s="131">
        <v>10</v>
      </c>
      <c r="DJ12" s="132">
        <v>18</v>
      </c>
      <c r="DK12" s="131">
        <v>10</v>
      </c>
      <c r="DL12" s="132">
        <v>14</v>
      </c>
      <c r="DM12" s="131">
        <v>10</v>
      </c>
      <c r="DN12" s="132">
        <v>17</v>
      </c>
      <c r="DO12" s="131">
        <v>10</v>
      </c>
      <c r="DP12" s="124"/>
      <c r="DQ12" s="124"/>
      <c r="DR12" s="124"/>
      <c r="DS12" s="124"/>
      <c r="DT12" s="124"/>
      <c r="DU12" s="122">
        <v>0.9</v>
      </c>
      <c r="DV12" s="132">
        <v>19</v>
      </c>
      <c r="DW12" s="131">
        <v>10</v>
      </c>
      <c r="DX12" s="132">
        <v>15</v>
      </c>
      <c r="DY12" s="131">
        <v>10</v>
      </c>
      <c r="DZ12" s="132">
        <v>17</v>
      </c>
      <c r="EA12" s="131">
        <v>10</v>
      </c>
      <c r="EB12" s="132">
        <v>21</v>
      </c>
      <c r="EC12" s="131">
        <v>10</v>
      </c>
      <c r="ED12" s="132">
        <v>17.2</v>
      </c>
      <c r="EE12" s="131">
        <v>10</v>
      </c>
      <c r="EF12" s="132">
        <v>17</v>
      </c>
      <c r="EG12" s="131">
        <v>10</v>
      </c>
      <c r="EH12" s="132">
        <v>19</v>
      </c>
      <c r="EI12" s="131">
        <v>10</v>
      </c>
      <c r="EJ12" s="132">
        <v>17</v>
      </c>
      <c r="EK12" s="131">
        <v>10</v>
      </c>
      <c r="EL12" s="132">
        <v>21</v>
      </c>
      <c r="EM12" s="131">
        <v>10</v>
      </c>
      <c r="EN12" s="132">
        <v>17</v>
      </c>
      <c r="EO12" s="131">
        <v>10</v>
      </c>
      <c r="EP12" s="132">
        <v>16.2</v>
      </c>
      <c r="EQ12" s="131">
        <v>10</v>
      </c>
      <c r="ER12" s="132">
        <v>18</v>
      </c>
      <c r="ES12" s="131">
        <v>10</v>
      </c>
      <c r="ET12" s="132">
        <v>17</v>
      </c>
      <c r="EU12" s="131">
        <v>10</v>
      </c>
      <c r="EV12" s="132">
        <v>22</v>
      </c>
      <c r="EW12" s="131">
        <v>10</v>
      </c>
      <c r="EX12" s="132">
        <v>19</v>
      </c>
      <c r="EY12" s="131">
        <v>10</v>
      </c>
      <c r="EZ12" s="132">
        <v>19</v>
      </c>
      <c r="FA12" s="131">
        <v>10</v>
      </c>
      <c r="FB12" s="132">
        <v>20</v>
      </c>
      <c r="FC12" s="131">
        <v>10</v>
      </c>
      <c r="FD12" s="132">
        <v>16</v>
      </c>
      <c r="FE12" s="131">
        <v>10</v>
      </c>
      <c r="FF12" s="132">
        <v>18</v>
      </c>
      <c r="FG12" s="131">
        <v>10</v>
      </c>
      <c r="FH12" s="132">
        <v>21</v>
      </c>
      <c r="FI12" s="131">
        <v>10</v>
      </c>
      <c r="FJ12" s="132">
        <v>17</v>
      </c>
      <c r="FK12" s="131">
        <v>10</v>
      </c>
      <c r="FL12" s="132">
        <v>18</v>
      </c>
      <c r="FM12" s="131">
        <v>10</v>
      </c>
      <c r="FN12" s="132">
        <v>14.2</v>
      </c>
      <c r="FO12" s="131">
        <v>10</v>
      </c>
      <c r="FP12" s="132">
        <v>15</v>
      </c>
      <c r="FQ12" s="131">
        <v>10</v>
      </c>
      <c r="FR12" s="132">
        <v>18</v>
      </c>
      <c r="FS12" s="131">
        <v>10</v>
      </c>
      <c r="FT12" s="132">
        <v>21</v>
      </c>
      <c r="FU12" s="131">
        <v>10</v>
      </c>
      <c r="FV12" s="132">
        <v>20</v>
      </c>
      <c r="FW12" s="131">
        <v>10</v>
      </c>
      <c r="FX12" s="132">
        <v>17</v>
      </c>
      <c r="FY12" s="131">
        <v>10</v>
      </c>
      <c r="FZ12" s="132">
        <v>14</v>
      </c>
      <c r="GA12" s="131">
        <v>10</v>
      </c>
      <c r="GB12" s="132">
        <v>16</v>
      </c>
      <c r="GC12" s="131">
        <v>10</v>
      </c>
      <c r="GD12" s="132">
        <v>15</v>
      </c>
      <c r="GE12" s="131">
        <v>10</v>
      </c>
      <c r="GF12" s="132">
        <v>18</v>
      </c>
      <c r="GG12" s="131">
        <v>10</v>
      </c>
      <c r="GH12" s="132">
        <v>16</v>
      </c>
      <c r="GI12" s="131">
        <v>10</v>
      </c>
      <c r="GJ12" s="132">
        <v>19</v>
      </c>
      <c r="GK12" s="131">
        <v>10</v>
      </c>
      <c r="GL12" s="132">
        <v>16</v>
      </c>
      <c r="GM12" s="131">
        <v>10</v>
      </c>
      <c r="GN12" s="132">
        <v>19</v>
      </c>
      <c r="GO12" s="131">
        <v>10</v>
      </c>
      <c r="GP12" s="132">
        <v>20</v>
      </c>
      <c r="GQ12" s="131">
        <v>10</v>
      </c>
      <c r="GR12" s="132">
        <v>20</v>
      </c>
      <c r="GS12" s="131">
        <v>10</v>
      </c>
      <c r="GT12" s="132">
        <v>19.2</v>
      </c>
      <c r="GU12" s="131">
        <v>10</v>
      </c>
      <c r="GV12" s="132">
        <v>17</v>
      </c>
      <c r="GW12" s="131">
        <v>10</v>
      </c>
      <c r="GX12" s="132">
        <v>17</v>
      </c>
      <c r="GY12" s="131">
        <v>10</v>
      </c>
      <c r="GZ12" s="132">
        <v>17</v>
      </c>
      <c r="HA12" s="131">
        <v>10</v>
      </c>
      <c r="HB12" s="132">
        <v>16</v>
      </c>
      <c r="HC12" s="131">
        <v>10</v>
      </c>
      <c r="HD12" s="132">
        <v>15.2</v>
      </c>
      <c r="HE12" s="131">
        <v>10</v>
      </c>
      <c r="HF12" s="132">
        <v>19</v>
      </c>
      <c r="HG12" s="131">
        <v>10</v>
      </c>
      <c r="HH12" s="132">
        <v>15</v>
      </c>
      <c r="HI12" s="131">
        <v>10</v>
      </c>
      <c r="HJ12" s="132">
        <v>18</v>
      </c>
      <c r="HK12" s="131">
        <v>10</v>
      </c>
      <c r="HL12" s="132">
        <v>14</v>
      </c>
      <c r="HM12" s="131">
        <v>10</v>
      </c>
      <c r="HN12" s="132">
        <v>17</v>
      </c>
      <c r="HO12" s="131">
        <v>10</v>
      </c>
      <c r="HP12" s="124"/>
      <c r="HQ12" s="124"/>
    </row>
    <row r="13" spans="1:225" x14ac:dyDescent="0.2">
      <c r="A13" s="122" t="s">
        <v>615</v>
      </c>
      <c r="B13" s="123">
        <v>2</v>
      </c>
      <c r="C13" s="124" t="s">
        <v>165</v>
      </c>
      <c r="D13" s="123">
        <v>4</v>
      </c>
      <c r="E13" s="124" t="s">
        <v>161</v>
      </c>
      <c r="F13" s="123">
        <v>3</v>
      </c>
      <c r="G13" s="123"/>
      <c r="H13" s="124"/>
      <c r="I13" s="122" t="s">
        <v>616</v>
      </c>
      <c r="J13" s="122"/>
      <c r="K13" s="124" t="s">
        <v>617</v>
      </c>
      <c r="L13" s="124"/>
      <c r="M13" s="124"/>
      <c r="N13" s="124"/>
      <c r="O13" s="124" t="s">
        <v>97</v>
      </c>
      <c r="P13" s="124" t="s">
        <v>618</v>
      </c>
      <c r="Q13" s="129"/>
      <c r="R13" s="129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4"/>
      <c r="BN13" s="124"/>
      <c r="BO13" s="124"/>
      <c r="BP13" s="124"/>
      <c r="BQ13" s="124"/>
      <c r="BR13" s="124"/>
      <c r="BS13" s="124"/>
      <c r="BT13" s="124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  <c r="GA13" s="124"/>
      <c r="GB13" s="124"/>
      <c r="GC13" s="124"/>
      <c r="GD13" s="124"/>
      <c r="GE13" s="124"/>
      <c r="GF13" s="124"/>
      <c r="GG13" s="124"/>
      <c r="GH13" s="124"/>
      <c r="GI13" s="124"/>
      <c r="GJ13" s="124"/>
      <c r="GK13" s="124"/>
      <c r="GL13" s="124"/>
      <c r="GM13" s="124"/>
      <c r="GN13" s="124"/>
      <c r="GO13" s="124"/>
      <c r="GP13" s="124"/>
      <c r="GQ13" s="124"/>
      <c r="GR13" s="124"/>
      <c r="GS13" s="124"/>
      <c r="GT13" s="124"/>
      <c r="GU13" s="124"/>
      <c r="GV13" s="124"/>
      <c r="GW13" s="124"/>
      <c r="GX13" s="124"/>
      <c r="GY13" s="124"/>
      <c r="GZ13" s="124"/>
      <c r="HA13" s="124"/>
      <c r="HB13" s="124"/>
      <c r="HC13" s="124"/>
      <c r="HD13" s="124"/>
      <c r="HE13" s="124"/>
      <c r="HF13" s="124"/>
      <c r="HG13" s="124"/>
      <c r="HH13" s="124"/>
      <c r="HI13" s="124"/>
      <c r="HJ13" s="124"/>
      <c r="HK13" s="124"/>
      <c r="HL13" s="124"/>
      <c r="HM13" s="124"/>
      <c r="HN13" s="124"/>
      <c r="HO13" s="124"/>
      <c r="HP13" s="124"/>
      <c r="HQ13" s="124"/>
    </row>
    <row r="14" spans="1:225" x14ac:dyDescent="0.2">
      <c r="A14" s="122" t="s">
        <v>619</v>
      </c>
      <c r="B14" s="123">
        <v>3</v>
      </c>
      <c r="C14" s="124" t="s">
        <v>166</v>
      </c>
      <c r="D14" s="123">
        <v>5</v>
      </c>
      <c r="E14" s="124" t="s">
        <v>161</v>
      </c>
      <c r="F14" s="123">
        <v>3</v>
      </c>
      <c r="G14" s="123"/>
      <c r="H14" s="124"/>
      <c r="I14" s="123" t="e">
        <v>#N/A</v>
      </c>
      <c r="J14" s="124"/>
      <c r="K14" s="124"/>
      <c r="L14" s="124"/>
      <c r="M14" s="124"/>
      <c r="N14" s="124"/>
      <c r="O14" s="124" t="s">
        <v>66</v>
      </c>
      <c r="P14" s="124" t="s">
        <v>66</v>
      </c>
      <c r="Q14" s="129"/>
      <c r="R14" s="129"/>
      <c r="S14" s="124"/>
      <c r="T14" s="124"/>
      <c r="U14" s="124"/>
      <c r="V14" s="128"/>
      <c r="W14" s="130"/>
      <c r="X14" s="128"/>
      <c r="Y14" s="130"/>
      <c r="Z14" s="128"/>
      <c r="AA14" s="130"/>
      <c r="AB14" s="128"/>
      <c r="AC14" s="130"/>
      <c r="AD14" s="128"/>
      <c r="AE14" s="130"/>
      <c r="AF14" s="128"/>
      <c r="AG14" s="130"/>
      <c r="AH14" s="128"/>
      <c r="AI14" s="130"/>
      <c r="AJ14" s="128"/>
      <c r="AK14" s="130"/>
      <c r="AL14" s="128"/>
      <c r="AM14" s="130"/>
      <c r="AN14" s="128"/>
      <c r="AO14" s="130"/>
      <c r="AP14" s="128"/>
      <c r="AQ14" s="130"/>
      <c r="AR14" s="128"/>
      <c r="AS14" s="130"/>
      <c r="AT14" s="128"/>
      <c r="AU14" s="130"/>
      <c r="AV14" s="128"/>
      <c r="AW14" s="130"/>
      <c r="AX14" s="128"/>
      <c r="AY14" s="130"/>
      <c r="AZ14" s="128"/>
      <c r="BA14" s="128"/>
      <c r="BB14" s="128"/>
      <c r="BC14" s="130"/>
      <c r="BD14" s="128"/>
      <c r="BE14" s="130"/>
      <c r="BF14" s="128"/>
      <c r="BG14" s="130"/>
      <c r="BH14" s="128"/>
      <c r="BI14" s="128"/>
      <c r="BJ14" s="128"/>
      <c r="BK14" s="130"/>
      <c r="BL14" s="128"/>
      <c r="BM14" s="130"/>
      <c r="BN14" s="128"/>
      <c r="BO14" s="130"/>
      <c r="BP14" s="128"/>
      <c r="BQ14" s="130"/>
      <c r="BR14" s="128"/>
      <c r="BS14" s="130"/>
      <c r="BT14" s="128"/>
      <c r="BU14" s="130"/>
      <c r="BV14" s="128"/>
      <c r="BW14" s="130"/>
      <c r="BX14" s="128"/>
      <c r="BY14" s="130"/>
      <c r="BZ14" s="128"/>
      <c r="CA14" s="130"/>
      <c r="CB14" s="128"/>
      <c r="CC14" s="130"/>
      <c r="CD14" s="128"/>
      <c r="CE14" s="130"/>
      <c r="CF14" s="128"/>
      <c r="CG14" s="130"/>
      <c r="CH14" s="128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124"/>
      <c r="DN14" s="124"/>
      <c r="DO14" s="124"/>
      <c r="DP14" s="124"/>
      <c r="DQ14" s="124"/>
      <c r="DR14" s="124"/>
      <c r="DS14" s="124"/>
      <c r="DT14" s="124"/>
      <c r="DU14" s="124"/>
      <c r="DV14" s="128"/>
      <c r="DW14" s="130"/>
      <c r="DX14" s="128"/>
      <c r="DY14" s="130"/>
      <c r="DZ14" s="128"/>
      <c r="EA14" s="130"/>
      <c r="EB14" s="128"/>
      <c r="EC14" s="130"/>
      <c r="ED14" s="128"/>
      <c r="EE14" s="130"/>
      <c r="EF14" s="128"/>
      <c r="EG14" s="130"/>
      <c r="EH14" s="128"/>
      <c r="EI14" s="130"/>
      <c r="EJ14" s="128"/>
      <c r="EK14" s="130"/>
      <c r="EL14" s="128"/>
      <c r="EM14" s="130"/>
      <c r="EN14" s="128"/>
      <c r="EO14" s="130"/>
      <c r="EP14" s="128"/>
      <c r="EQ14" s="130"/>
      <c r="ER14" s="128"/>
      <c r="ES14" s="130"/>
      <c r="ET14" s="128"/>
      <c r="EU14" s="130"/>
      <c r="EV14" s="128"/>
      <c r="EW14" s="130"/>
      <c r="EX14" s="128"/>
      <c r="EY14" s="130"/>
      <c r="EZ14" s="128"/>
      <c r="FA14" s="128"/>
      <c r="FB14" s="128"/>
      <c r="FC14" s="130"/>
      <c r="FD14" s="128"/>
      <c r="FE14" s="130"/>
      <c r="FF14" s="128"/>
      <c r="FG14" s="130"/>
      <c r="FH14" s="128"/>
      <c r="FI14" s="128"/>
      <c r="FJ14" s="128"/>
      <c r="FK14" s="130"/>
      <c r="FL14" s="128"/>
      <c r="FM14" s="130"/>
      <c r="FN14" s="128"/>
      <c r="FO14" s="130"/>
      <c r="FP14" s="128"/>
      <c r="FQ14" s="130"/>
      <c r="FR14" s="128"/>
      <c r="FS14" s="130"/>
      <c r="FT14" s="128"/>
      <c r="FU14" s="130"/>
      <c r="FV14" s="128"/>
      <c r="FW14" s="130"/>
      <c r="FX14" s="128"/>
      <c r="FY14" s="130"/>
      <c r="FZ14" s="128"/>
      <c r="GA14" s="130"/>
      <c r="GB14" s="128"/>
      <c r="GC14" s="130"/>
      <c r="GD14" s="128"/>
      <c r="GE14" s="130"/>
      <c r="GF14" s="128"/>
      <c r="GG14" s="130"/>
      <c r="GH14" s="128"/>
      <c r="GI14" s="124"/>
      <c r="GJ14" s="124"/>
      <c r="GK14" s="124"/>
      <c r="GL14" s="124"/>
      <c r="GM14" s="124"/>
      <c r="GN14" s="124"/>
      <c r="GO14" s="124"/>
      <c r="GP14" s="124"/>
      <c r="GQ14" s="124"/>
      <c r="GR14" s="124"/>
      <c r="GS14" s="124"/>
      <c r="GT14" s="124"/>
      <c r="GU14" s="124"/>
      <c r="GV14" s="124"/>
      <c r="GW14" s="124"/>
      <c r="GX14" s="124"/>
      <c r="GY14" s="124"/>
      <c r="GZ14" s="124"/>
      <c r="HA14" s="124"/>
      <c r="HB14" s="124"/>
      <c r="HC14" s="124"/>
      <c r="HD14" s="124"/>
      <c r="HE14" s="124"/>
      <c r="HF14" s="124"/>
      <c r="HG14" s="124"/>
      <c r="HH14" s="124"/>
      <c r="HI14" s="124"/>
      <c r="HJ14" s="124"/>
      <c r="HK14" s="124"/>
      <c r="HL14" s="124"/>
      <c r="HM14" s="124"/>
      <c r="HN14" s="124"/>
      <c r="HO14" s="124"/>
      <c r="HP14" s="124"/>
      <c r="HQ14" s="124"/>
    </row>
    <row r="15" spans="1:225" x14ac:dyDescent="0.2">
      <c r="A15" s="122" t="s">
        <v>620</v>
      </c>
      <c r="B15" s="133">
        <v>3</v>
      </c>
      <c r="C15" s="124" t="s">
        <v>167</v>
      </c>
      <c r="D15" s="123">
        <v>6</v>
      </c>
      <c r="E15" s="124" t="s">
        <v>161</v>
      </c>
      <c r="F15" s="123">
        <v>3</v>
      </c>
      <c r="G15" s="133"/>
      <c r="H15" s="122"/>
      <c r="I15" s="122"/>
      <c r="J15" s="122"/>
      <c r="K15" s="122"/>
      <c r="L15" s="122"/>
      <c r="M15" s="122"/>
      <c r="N15" s="122"/>
      <c r="O15" s="122" t="s">
        <v>82</v>
      </c>
      <c r="P15" s="122" t="e">
        <v>#N/A</v>
      </c>
      <c r="Q15" s="134"/>
      <c r="R15" s="134"/>
      <c r="S15" s="122"/>
      <c r="T15" s="122"/>
      <c r="U15" s="122"/>
      <c r="V15" s="128" t="s">
        <v>76</v>
      </c>
      <c r="W15" s="128"/>
      <c r="X15" s="128" t="s">
        <v>78</v>
      </c>
      <c r="Y15" s="128"/>
      <c r="Z15" s="128" t="s">
        <v>79</v>
      </c>
      <c r="AA15" s="128"/>
      <c r="AB15" s="128" t="s">
        <v>14</v>
      </c>
      <c r="AC15" s="128"/>
      <c r="AD15" s="128" t="s">
        <v>89</v>
      </c>
      <c r="AE15" s="128"/>
      <c r="AF15" s="128" t="s">
        <v>91</v>
      </c>
      <c r="AG15" s="128"/>
      <c r="AH15" s="128" t="s">
        <v>88</v>
      </c>
      <c r="AI15" s="128"/>
      <c r="AJ15" s="128" t="s">
        <v>66</v>
      </c>
      <c r="AK15" s="128"/>
      <c r="AL15" s="128" t="s">
        <v>515</v>
      </c>
      <c r="AM15" s="128"/>
      <c r="AN15" s="128" t="s">
        <v>508</v>
      </c>
      <c r="AO15" s="128"/>
      <c r="AP15" s="128" t="s">
        <v>83</v>
      </c>
      <c r="AQ15" s="128"/>
      <c r="AR15" s="128" t="s">
        <v>105</v>
      </c>
      <c r="AS15" s="128"/>
      <c r="AT15" s="128" t="s">
        <v>42</v>
      </c>
      <c r="AU15" s="128"/>
      <c r="AV15" s="128" t="s">
        <v>74</v>
      </c>
      <c r="AW15" s="128"/>
      <c r="AX15" s="128" t="s">
        <v>5</v>
      </c>
      <c r="AY15" s="128"/>
      <c r="AZ15" s="128" t="s">
        <v>22</v>
      </c>
      <c r="BA15" s="128"/>
      <c r="BB15" s="128" t="s">
        <v>27</v>
      </c>
      <c r="BC15" s="128"/>
      <c r="BD15" s="128" t="s">
        <v>523</v>
      </c>
      <c r="BE15" s="128"/>
      <c r="BF15" s="128" t="s">
        <v>19</v>
      </c>
      <c r="BG15" s="128"/>
      <c r="BH15" s="128" t="s">
        <v>82</v>
      </c>
      <c r="BI15" s="128"/>
      <c r="BJ15" s="128" t="s">
        <v>81</v>
      </c>
      <c r="BK15" s="128"/>
      <c r="BL15" s="128" t="s">
        <v>47</v>
      </c>
      <c r="BM15" s="128"/>
      <c r="BN15" s="128" t="s">
        <v>86</v>
      </c>
      <c r="BO15" s="128"/>
      <c r="BP15" s="128" t="s">
        <v>92</v>
      </c>
      <c r="BQ15" s="128"/>
      <c r="BR15" s="128" t="s">
        <v>59</v>
      </c>
      <c r="BS15" s="128"/>
      <c r="BT15" s="128" t="s">
        <v>84</v>
      </c>
      <c r="BU15" s="128"/>
      <c r="BV15" s="128" t="s">
        <v>97</v>
      </c>
      <c r="BW15" s="128"/>
      <c r="BX15" s="128" t="s">
        <v>101</v>
      </c>
      <c r="BY15" s="128"/>
      <c r="BZ15" s="128" t="s">
        <v>56</v>
      </c>
      <c r="CA15" s="128"/>
      <c r="CB15" s="128" t="s">
        <v>63</v>
      </c>
      <c r="CC15" s="128"/>
      <c r="CD15" s="128" t="s">
        <v>35</v>
      </c>
      <c r="CE15" s="128"/>
      <c r="CF15" s="128" t="s">
        <v>94</v>
      </c>
      <c r="CG15" s="128"/>
      <c r="CH15" s="128" t="s">
        <v>110</v>
      </c>
      <c r="CI15" s="122"/>
      <c r="CJ15" s="135" t="s">
        <v>511</v>
      </c>
      <c r="CK15" s="135"/>
      <c r="CL15" s="135" t="s">
        <v>46</v>
      </c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4"/>
      <c r="DO15" s="124"/>
      <c r="DP15" s="122"/>
      <c r="DQ15" s="122"/>
      <c r="DR15" s="122"/>
      <c r="DS15" s="122"/>
      <c r="DT15" s="122"/>
      <c r="DU15" s="122"/>
      <c r="DV15" s="128" t="s">
        <v>76</v>
      </c>
      <c r="DW15" s="128"/>
      <c r="DX15" s="128" t="s">
        <v>78</v>
      </c>
      <c r="DY15" s="128"/>
      <c r="DZ15" s="128" t="s">
        <v>79</v>
      </c>
      <c r="EA15" s="128"/>
      <c r="EB15" s="128" t="s">
        <v>14</v>
      </c>
      <c r="EC15" s="128"/>
      <c r="ED15" s="128" t="s">
        <v>89</v>
      </c>
      <c r="EE15" s="128"/>
      <c r="EF15" s="128" t="s">
        <v>91</v>
      </c>
      <c r="EG15" s="128"/>
      <c r="EH15" s="128" t="s">
        <v>88</v>
      </c>
      <c r="EI15" s="128"/>
      <c r="EJ15" s="128" t="s">
        <v>66</v>
      </c>
      <c r="EK15" s="128"/>
      <c r="EL15" s="128" t="s">
        <v>515</v>
      </c>
      <c r="EM15" s="128"/>
      <c r="EN15" s="128" t="s">
        <v>508</v>
      </c>
      <c r="EO15" s="128"/>
      <c r="EP15" s="128" t="s">
        <v>83</v>
      </c>
      <c r="EQ15" s="128"/>
      <c r="ER15" s="128" t="s">
        <v>105</v>
      </c>
      <c r="ES15" s="128"/>
      <c r="ET15" s="128" t="s">
        <v>42</v>
      </c>
      <c r="EU15" s="128"/>
      <c r="EV15" s="128" t="s">
        <v>74</v>
      </c>
      <c r="EW15" s="128"/>
      <c r="EX15" s="128" t="s">
        <v>5</v>
      </c>
      <c r="EY15" s="128"/>
      <c r="EZ15" s="128" t="s">
        <v>22</v>
      </c>
      <c r="FA15" s="128"/>
      <c r="FB15" s="128" t="s">
        <v>27</v>
      </c>
      <c r="FC15" s="128"/>
      <c r="FD15" s="128" t="s">
        <v>523</v>
      </c>
      <c r="FE15" s="128"/>
      <c r="FF15" s="128" t="s">
        <v>19</v>
      </c>
      <c r="FG15" s="128"/>
      <c r="FH15" s="128" t="s">
        <v>82</v>
      </c>
      <c r="FI15" s="128"/>
      <c r="FJ15" s="128" t="s">
        <v>81</v>
      </c>
      <c r="FK15" s="128"/>
      <c r="FL15" s="128" t="s">
        <v>47</v>
      </c>
      <c r="FM15" s="128"/>
      <c r="FN15" s="128" t="s">
        <v>86</v>
      </c>
      <c r="FO15" s="128"/>
      <c r="FP15" s="128" t="s">
        <v>92</v>
      </c>
      <c r="FQ15" s="128"/>
      <c r="FR15" s="128" t="s">
        <v>59</v>
      </c>
      <c r="FS15" s="128"/>
      <c r="FT15" s="128" t="s">
        <v>84</v>
      </c>
      <c r="FU15" s="128"/>
      <c r="FV15" s="128" t="s">
        <v>97</v>
      </c>
      <c r="FW15" s="128"/>
      <c r="FX15" s="128" t="s">
        <v>101</v>
      </c>
      <c r="FY15" s="128"/>
      <c r="FZ15" s="128" t="s">
        <v>56</v>
      </c>
      <c r="GA15" s="128"/>
      <c r="GB15" s="128" t="s">
        <v>63</v>
      </c>
      <c r="GC15" s="128"/>
      <c r="GD15" s="128" t="s">
        <v>35</v>
      </c>
      <c r="GE15" s="128"/>
      <c r="GF15" s="128" t="s">
        <v>94</v>
      </c>
      <c r="GG15" s="128"/>
      <c r="GH15" s="128" t="s">
        <v>110</v>
      </c>
      <c r="GI15" s="122"/>
      <c r="GJ15" s="135" t="s">
        <v>511</v>
      </c>
      <c r="GK15" s="135"/>
      <c r="GL15" s="135" t="s">
        <v>46</v>
      </c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4"/>
      <c r="HO15" s="124"/>
      <c r="HP15" s="122"/>
      <c r="HQ15" s="122"/>
    </row>
    <row r="16" spans="1:225" x14ac:dyDescent="0.2">
      <c r="A16" s="122" t="s">
        <v>621</v>
      </c>
      <c r="B16" s="123">
        <v>4</v>
      </c>
      <c r="C16" s="124" t="s">
        <v>168</v>
      </c>
      <c r="D16" s="123">
        <v>7</v>
      </c>
      <c r="E16" s="124" t="s">
        <v>161</v>
      </c>
      <c r="F16" s="123">
        <v>2</v>
      </c>
      <c r="G16" s="123"/>
      <c r="H16" s="124"/>
      <c r="I16" s="124"/>
      <c r="J16" s="124"/>
      <c r="K16" s="124"/>
      <c r="L16" s="124"/>
      <c r="M16" s="124"/>
      <c r="N16" s="124"/>
      <c r="O16" s="124" t="s">
        <v>79</v>
      </c>
      <c r="P16" s="124" t="s">
        <v>622</v>
      </c>
      <c r="Q16" s="129"/>
      <c r="R16" s="129"/>
      <c r="S16" s="124"/>
      <c r="T16" s="124"/>
      <c r="U16" s="122">
        <v>0</v>
      </c>
      <c r="V16" s="136">
        <v>0</v>
      </c>
      <c r="W16" s="131">
        <v>1</v>
      </c>
      <c r="X16" s="123">
        <v>0</v>
      </c>
      <c r="Y16" s="131">
        <v>1</v>
      </c>
      <c r="Z16" s="123">
        <v>0</v>
      </c>
      <c r="AA16" s="131">
        <v>1</v>
      </c>
      <c r="AB16" s="123">
        <v>0</v>
      </c>
      <c r="AC16" s="131">
        <v>1</v>
      </c>
      <c r="AD16" s="123">
        <v>0</v>
      </c>
      <c r="AE16" s="131">
        <v>1</v>
      </c>
      <c r="AF16" s="123">
        <v>0</v>
      </c>
      <c r="AG16" s="131">
        <v>1</v>
      </c>
      <c r="AH16" s="123">
        <v>0</v>
      </c>
      <c r="AI16" s="131">
        <v>1</v>
      </c>
      <c r="AJ16" s="123">
        <v>0</v>
      </c>
      <c r="AK16" s="131">
        <v>1</v>
      </c>
      <c r="AL16" s="123">
        <v>0</v>
      </c>
      <c r="AM16" s="131">
        <v>1</v>
      </c>
      <c r="AN16" s="123">
        <v>0</v>
      </c>
      <c r="AO16" s="131">
        <v>1</v>
      </c>
      <c r="AP16" s="123">
        <v>0</v>
      </c>
      <c r="AQ16" s="131">
        <v>1</v>
      </c>
      <c r="AR16" s="123">
        <v>0</v>
      </c>
      <c r="AS16" s="131">
        <v>1</v>
      </c>
      <c r="AT16" s="123">
        <v>0</v>
      </c>
      <c r="AU16" s="131">
        <v>1</v>
      </c>
      <c r="AV16" s="123">
        <v>0</v>
      </c>
      <c r="AW16" s="131">
        <v>1</v>
      </c>
      <c r="AX16" s="123">
        <v>0</v>
      </c>
      <c r="AY16" s="131">
        <v>1</v>
      </c>
      <c r="AZ16" s="123">
        <v>0</v>
      </c>
      <c r="BA16" s="131">
        <v>1</v>
      </c>
      <c r="BB16" s="123">
        <v>0</v>
      </c>
      <c r="BC16" s="131">
        <v>1</v>
      </c>
      <c r="BD16" s="123">
        <v>0</v>
      </c>
      <c r="BE16" s="131">
        <v>1</v>
      </c>
      <c r="BF16" s="123">
        <v>0</v>
      </c>
      <c r="BG16" s="131">
        <v>1</v>
      </c>
      <c r="BH16" s="123">
        <v>0</v>
      </c>
      <c r="BI16" s="131">
        <v>1</v>
      </c>
      <c r="BJ16" s="123">
        <v>0</v>
      </c>
      <c r="BK16" s="131">
        <v>1</v>
      </c>
      <c r="BL16" s="123">
        <v>0</v>
      </c>
      <c r="BM16" s="131">
        <v>1</v>
      </c>
      <c r="BN16" s="123">
        <v>0</v>
      </c>
      <c r="BO16" s="131">
        <v>1</v>
      </c>
      <c r="BP16" s="123">
        <v>0</v>
      </c>
      <c r="BQ16" s="131">
        <v>1</v>
      </c>
      <c r="BR16" s="123">
        <v>0</v>
      </c>
      <c r="BS16" s="131">
        <v>1</v>
      </c>
      <c r="BT16" s="123">
        <v>0</v>
      </c>
      <c r="BU16" s="131">
        <v>1</v>
      </c>
      <c r="BV16" s="123">
        <v>0</v>
      </c>
      <c r="BW16" s="131">
        <v>1</v>
      </c>
      <c r="BX16" s="123">
        <v>0</v>
      </c>
      <c r="BY16" s="131">
        <v>1</v>
      </c>
      <c r="BZ16" s="123">
        <v>0</v>
      </c>
      <c r="CA16" s="131">
        <v>1</v>
      </c>
      <c r="CB16" s="123">
        <v>0</v>
      </c>
      <c r="CC16" s="131">
        <v>1</v>
      </c>
      <c r="CD16" s="123">
        <v>0</v>
      </c>
      <c r="CE16" s="131">
        <v>1</v>
      </c>
      <c r="CF16" s="123">
        <v>0</v>
      </c>
      <c r="CG16" s="131">
        <v>1</v>
      </c>
      <c r="CH16" s="123">
        <v>0</v>
      </c>
      <c r="CI16" s="131">
        <v>1</v>
      </c>
      <c r="CJ16" s="131">
        <v>0</v>
      </c>
      <c r="CK16" s="131">
        <v>1</v>
      </c>
      <c r="CL16" s="131">
        <v>0</v>
      </c>
      <c r="CM16" s="131">
        <v>1</v>
      </c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2">
        <v>0</v>
      </c>
      <c r="DV16" s="136">
        <v>0</v>
      </c>
      <c r="DW16" s="131">
        <v>1</v>
      </c>
      <c r="DX16" s="123">
        <v>0</v>
      </c>
      <c r="DY16" s="131">
        <v>1</v>
      </c>
      <c r="DZ16" s="123">
        <v>0</v>
      </c>
      <c r="EA16" s="131">
        <v>1</v>
      </c>
      <c r="EB16" s="123">
        <v>0</v>
      </c>
      <c r="EC16" s="131">
        <v>1</v>
      </c>
      <c r="ED16" s="123">
        <v>0</v>
      </c>
      <c r="EE16" s="131">
        <v>1</v>
      </c>
      <c r="EF16" s="123">
        <v>0</v>
      </c>
      <c r="EG16" s="131">
        <v>1</v>
      </c>
      <c r="EH16" s="123">
        <v>0</v>
      </c>
      <c r="EI16" s="131">
        <v>1</v>
      </c>
      <c r="EJ16" s="123">
        <v>0</v>
      </c>
      <c r="EK16" s="131">
        <v>1</v>
      </c>
      <c r="EL16" s="123">
        <v>0</v>
      </c>
      <c r="EM16" s="131">
        <v>1</v>
      </c>
      <c r="EN16" s="123">
        <v>0</v>
      </c>
      <c r="EO16" s="131">
        <v>1</v>
      </c>
      <c r="EP16" s="123">
        <v>0</v>
      </c>
      <c r="EQ16" s="131">
        <v>1</v>
      </c>
      <c r="ER16" s="123">
        <v>0</v>
      </c>
      <c r="ES16" s="131">
        <v>1</v>
      </c>
      <c r="ET16" s="123">
        <v>0</v>
      </c>
      <c r="EU16" s="131">
        <v>1</v>
      </c>
      <c r="EV16" s="123">
        <v>0</v>
      </c>
      <c r="EW16" s="131">
        <v>1</v>
      </c>
      <c r="EX16" s="123">
        <v>0</v>
      </c>
      <c r="EY16" s="131">
        <v>1</v>
      </c>
      <c r="EZ16" s="123">
        <v>0</v>
      </c>
      <c r="FA16" s="131">
        <v>1</v>
      </c>
      <c r="FB16" s="123">
        <v>0</v>
      </c>
      <c r="FC16" s="131">
        <v>1</v>
      </c>
      <c r="FD16" s="123">
        <v>0</v>
      </c>
      <c r="FE16" s="131">
        <v>1</v>
      </c>
      <c r="FF16" s="123">
        <v>0</v>
      </c>
      <c r="FG16" s="131">
        <v>1</v>
      </c>
      <c r="FH16" s="123">
        <v>0</v>
      </c>
      <c r="FI16" s="131">
        <v>1</v>
      </c>
      <c r="FJ16" s="123">
        <v>0</v>
      </c>
      <c r="FK16" s="131">
        <v>1</v>
      </c>
      <c r="FL16" s="123">
        <v>0</v>
      </c>
      <c r="FM16" s="131">
        <v>1</v>
      </c>
      <c r="FN16" s="123">
        <v>0</v>
      </c>
      <c r="FO16" s="131">
        <v>1</v>
      </c>
      <c r="FP16" s="123">
        <v>0</v>
      </c>
      <c r="FQ16" s="131">
        <v>1</v>
      </c>
      <c r="FR16" s="123">
        <v>0</v>
      </c>
      <c r="FS16" s="131">
        <v>1</v>
      </c>
      <c r="FT16" s="123">
        <v>0</v>
      </c>
      <c r="FU16" s="131">
        <v>1</v>
      </c>
      <c r="FV16" s="123">
        <v>0</v>
      </c>
      <c r="FW16" s="131">
        <v>1</v>
      </c>
      <c r="FX16" s="123">
        <v>0</v>
      </c>
      <c r="FY16" s="131">
        <v>1</v>
      </c>
      <c r="FZ16" s="123">
        <v>0</v>
      </c>
      <c r="GA16" s="131">
        <v>1</v>
      </c>
      <c r="GB16" s="123">
        <v>0</v>
      </c>
      <c r="GC16" s="131">
        <v>1</v>
      </c>
      <c r="GD16" s="123">
        <v>0</v>
      </c>
      <c r="GE16" s="131">
        <v>1</v>
      </c>
      <c r="GF16" s="123">
        <v>0</v>
      </c>
      <c r="GG16" s="131">
        <v>1</v>
      </c>
      <c r="GH16" s="123">
        <v>0</v>
      </c>
      <c r="GI16" s="131">
        <v>1</v>
      </c>
      <c r="GJ16" s="131">
        <v>0</v>
      </c>
      <c r="GK16" s="131">
        <v>1</v>
      </c>
      <c r="GL16" s="131">
        <v>0</v>
      </c>
      <c r="GM16" s="131">
        <v>1</v>
      </c>
      <c r="GN16" s="124"/>
      <c r="GO16" s="124"/>
      <c r="GP16" s="124"/>
      <c r="GQ16" s="124"/>
      <c r="GR16" s="124"/>
      <c r="GS16" s="124"/>
      <c r="GT16" s="124"/>
      <c r="GU16" s="124"/>
      <c r="GV16" s="124"/>
      <c r="GW16" s="124"/>
      <c r="GX16" s="124"/>
      <c r="GY16" s="124"/>
      <c r="GZ16" s="124"/>
      <c r="HA16" s="124"/>
      <c r="HB16" s="124"/>
      <c r="HC16" s="124"/>
      <c r="HD16" s="124"/>
      <c r="HE16" s="124"/>
      <c r="HF16" s="124"/>
      <c r="HG16" s="124"/>
      <c r="HH16" s="124"/>
      <c r="HI16" s="124"/>
      <c r="HJ16" s="124"/>
      <c r="HK16" s="124"/>
      <c r="HL16" s="124"/>
      <c r="HM16" s="124"/>
      <c r="HN16" s="124"/>
      <c r="HO16" s="124"/>
      <c r="HP16" s="124"/>
      <c r="HQ16" s="124"/>
    </row>
    <row r="17" spans="1:225" x14ac:dyDescent="0.2">
      <c r="A17" s="122" t="s">
        <v>623</v>
      </c>
      <c r="B17" s="123">
        <v>4</v>
      </c>
      <c r="C17" s="124" t="s">
        <v>169</v>
      </c>
      <c r="D17" s="123">
        <v>8</v>
      </c>
      <c r="E17" s="124" t="s">
        <v>161</v>
      </c>
      <c r="F17" s="123">
        <v>3</v>
      </c>
      <c r="G17" s="123"/>
      <c r="H17" s="124"/>
      <c r="I17" s="124"/>
      <c r="J17" s="124"/>
      <c r="K17" s="124"/>
      <c r="L17" s="124"/>
      <c r="M17" s="124"/>
      <c r="N17" s="124"/>
      <c r="O17" s="124" t="s">
        <v>86</v>
      </c>
      <c r="P17" s="124" t="s">
        <v>624</v>
      </c>
      <c r="Q17" s="129"/>
      <c r="R17" s="129"/>
      <c r="S17" s="124"/>
      <c r="T17" s="124"/>
      <c r="U17" s="122">
        <v>0.1</v>
      </c>
      <c r="V17" s="132">
        <v>9</v>
      </c>
      <c r="W17" s="131">
        <v>2</v>
      </c>
      <c r="X17" s="132">
        <v>7.3</v>
      </c>
      <c r="Y17" s="131">
        <v>2</v>
      </c>
      <c r="Z17" s="132">
        <v>10</v>
      </c>
      <c r="AA17" s="131">
        <v>2</v>
      </c>
      <c r="AB17" s="132">
        <v>9.3000000000000007</v>
      </c>
      <c r="AC17" s="131">
        <v>2</v>
      </c>
      <c r="AD17" s="132">
        <v>8.6999999999999993</v>
      </c>
      <c r="AE17" s="131">
        <v>2</v>
      </c>
      <c r="AF17" s="132">
        <v>6.7</v>
      </c>
      <c r="AG17" s="131">
        <v>2</v>
      </c>
      <c r="AH17" s="132">
        <v>8.3000000000000007</v>
      </c>
      <c r="AI17" s="131">
        <v>2</v>
      </c>
      <c r="AJ17" s="132">
        <v>8.3000000000000007</v>
      </c>
      <c r="AK17" s="131">
        <v>2</v>
      </c>
      <c r="AL17" s="132">
        <v>5.9</v>
      </c>
      <c r="AM17" s="131">
        <v>2</v>
      </c>
      <c r="AN17" s="132">
        <v>7</v>
      </c>
      <c r="AO17" s="131">
        <v>2</v>
      </c>
      <c r="AP17" s="132">
        <v>8.3000000000000007</v>
      </c>
      <c r="AQ17" s="131">
        <v>2</v>
      </c>
      <c r="AR17" s="132">
        <v>6.7</v>
      </c>
      <c r="AS17" s="131">
        <v>2</v>
      </c>
      <c r="AT17" s="132">
        <v>9</v>
      </c>
      <c r="AU17" s="131">
        <v>2</v>
      </c>
      <c r="AV17" s="132">
        <v>6.7</v>
      </c>
      <c r="AW17" s="131">
        <v>2</v>
      </c>
      <c r="AX17" s="132">
        <v>7.3</v>
      </c>
      <c r="AY17" s="131">
        <v>2</v>
      </c>
      <c r="AZ17" s="132">
        <v>8.3000000000000007</v>
      </c>
      <c r="BA17" s="131">
        <v>2</v>
      </c>
      <c r="BB17" s="132">
        <v>9</v>
      </c>
      <c r="BC17" s="131">
        <v>2</v>
      </c>
      <c r="BD17" s="132">
        <v>9</v>
      </c>
      <c r="BE17" s="131">
        <v>2</v>
      </c>
      <c r="BF17" s="132">
        <v>8.3000000000000007</v>
      </c>
      <c r="BG17" s="131">
        <v>2</v>
      </c>
      <c r="BH17" s="132">
        <v>6</v>
      </c>
      <c r="BI17" s="131">
        <v>2</v>
      </c>
      <c r="BJ17" s="132">
        <v>10.6</v>
      </c>
      <c r="BK17" s="131">
        <v>2</v>
      </c>
      <c r="BL17" s="132">
        <v>10</v>
      </c>
      <c r="BM17" s="131">
        <v>2</v>
      </c>
      <c r="BN17" s="132">
        <v>6.3</v>
      </c>
      <c r="BO17" s="131">
        <v>2</v>
      </c>
      <c r="BP17" s="132">
        <v>5</v>
      </c>
      <c r="BQ17" s="131">
        <v>2</v>
      </c>
      <c r="BR17" s="132">
        <v>5.3</v>
      </c>
      <c r="BS17" s="131">
        <v>2</v>
      </c>
      <c r="BT17" s="132">
        <v>8.3000000000000007</v>
      </c>
      <c r="BU17" s="131">
        <v>2</v>
      </c>
      <c r="BV17" s="132">
        <v>9.3000000000000007</v>
      </c>
      <c r="BW17" s="131">
        <v>2</v>
      </c>
      <c r="BX17" s="132">
        <v>6</v>
      </c>
      <c r="BY17" s="131">
        <v>2</v>
      </c>
      <c r="BZ17" s="132">
        <v>8.3000000000000007</v>
      </c>
      <c r="CA17" s="131">
        <v>2</v>
      </c>
      <c r="CB17" s="132">
        <v>6</v>
      </c>
      <c r="CC17" s="131">
        <v>2</v>
      </c>
      <c r="CD17" s="132">
        <v>8.3000000000000007</v>
      </c>
      <c r="CE17" s="131">
        <v>2</v>
      </c>
      <c r="CF17" s="132">
        <v>10.3</v>
      </c>
      <c r="CG17" s="131">
        <v>2</v>
      </c>
      <c r="CH17" s="132">
        <v>10</v>
      </c>
      <c r="CI17" s="131">
        <v>2</v>
      </c>
      <c r="CJ17" s="131">
        <v>7</v>
      </c>
      <c r="CK17" s="131">
        <v>2</v>
      </c>
      <c r="CL17" s="131">
        <v>6</v>
      </c>
      <c r="CM17" s="131">
        <v>2</v>
      </c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2">
        <v>0.1</v>
      </c>
      <c r="DV17" s="132">
        <v>9</v>
      </c>
      <c r="DW17" s="131">
        <v>2</v>
      </c>
      <c r="DX17" s="132">
        <v>7.3</v>
      </c>
      <c r="DY17" s="131">
        <v>2</v>
      </c>
      <c r="DZ17" s="132">
        <v>10</v>
      </c>
      <c r="EA17" s="131">
        <v>2</v>
      </c>
      <c r="EB17" s="132">
        <v>9.3000000000000007</v>
      </c>
      <c r="EC17" s="131">
        <v>2</v>
      </c>
      <c r="ED17" s="132">
        <v>8.6999999999999993</v>
      </c>
      <c r="EE17" s="131">
        <v>2</v>
      </c>
      <c r="EF17" s="132">
        <v>6.7</v>
      </c>
      <c r="EG17" s="131">
        <v>2</v>
      </c>
      <c r="EH17" s="132">
        <v>8.3000000000000007</v>
      </c>
      <c r="EI17" s="131">
        <v>2</v>
      </c>
      <c r="EJ17" s="132">
        <v>8.3000000000000007</v>
      </c>
      <c r="EK17" s="131">
        <v>2</v>
      </c>
      <c r="EL17" s="132">
        <v>5.9</v>
      </c>
      <c r="EM17" s="131">
        <v>2</v>
      </c>
      <c r="EN17" s="132">
        <v>7</v>
      </c>
      <c r="EO17" s="131">
        <v>2</v>
      </c>
      <c r="EP17" s="132">
        <v>8.3000000000000007</v>
      </c>
      <c r="EQ17" s="131">
        <v>2</v>
      </c>
      <c r="ER17" s="132">
        <v>6.7</v>
      </c>
      <c r="ES17" s="131">
        <v>2</v>
      </c>
      <c r="ET17" s="132">
        <v>9</v>
      </c>
      <c r="EU17" s="131">
        <v>2</v>
      </c>
      <c r="EV17" s="132">
        <v>6.7</v>
      </c>
      <c r="EW17" s="131">
        <v>2</v>
      </c>
      <c r="EX17" s="132">
        <v>7.3</v>
      </c>
      <c r="EY17" s="131">
        <v>2</v>
      </c>
      <c r="EZ17" s="132">
        <v>8.3000000000000007</v>
      </c>
      <c r="FA17" s="131">
        <v>2</v>
      </c>
      <c r="FB17" s="132">
        <v>9</v>
      </c>
      <c r="FC17" s="131">
        <v>2</v>
      </c>
      <c r="FD17" s="132">
        <v>9</v>
      </c>
      <c r="FE17" s="131">
        <v>2</v>
      </c>
      <c r="FF17" s="132">
        <v>8.3000000000000007</v>
      </c>
      <c r="FG17" s="131">
        <v>2</v>
      </c>
      <c r="FH17" s="132">
        <v>6</v>
      </c>
      <c r="FI17" s="131">
        <v>2</v>
      </c>
      <c r="FJ17" s="132">
        <v>10.6</v>
      </c>
      <c r="FK17" s="131">
        <v>2</v>
      </c>
      <c r="FL17" s="132">
        <v>10</v>
      </c>
      <c r="FM17" s="131">
        <v>2</v>
      </c>
      <c r="FN17" s="132">
        <v>6.3</v>
      </c>
      <c r="FO17" s="131">
        <v>2</v>
      </c>
      <c r="FP17" s="132">
        <v>5</v>
      </c>
      <c r="FQ17" s="131">
        <v>2</v>
      </c>
      <c r="FR17" s="132">
        <v>5.3</v>
      </c>
      <c r="FS17" s="131">
        <v>2</v>
      </c>
      <c r="FT17" s="132">
        <v>8.3000000000000007</v>
      </c>
      <c r="FU17" s="131">
        <v>2</v>
      </c>
      <c r="FV17" s="132">
        <v>9.3000000000000007</v>
      </c>
      <c r="FW17" s="131">
        <v>2</v>
      </c>
      <c r="FX17" s="132">
        <v>6</v>
      </c>
      <c r="FY17" s="131">
        <v>2</v>
      </c>
      <c r="FZ17" s="132">
        <v>8.3000000000000007</v>
      </c>
      <c r="GA17" s="131">
        <v>2</v>
      </c>
      <c r="GB17" s="132">
        <v>6</v>
      </c>
      <c r="GC17" s="131">
        <v>2</v>
      </c>
      <c r="GD17" s="132">
        <v>8.3000000000000007</v>
      </c>
      <c r="GE17" s="131">
        <v>2</v>
      </c>
      <c r="GF17" s="132">
        <v>10.3</v>
      </c>
      <c r="GG17" s="131">
        <v>2</v>
      </c>
      <c r="GH17" s="132">
        <v>10</v>
      </c>
      <c r="GI17" s="131">
        <v>2</v>
      </c>
      <c r="GJ17" s="131">
        <v>7</v>
      </c>
      <c r="GK17" s="131">
        <v>2</v>
      </c>
      <c r="GL17" s="131">
        <v>6</v>
      </c>
      <c r="GM17" s="131">
        <v>2</v>
      </c>
      <c r="GN17" s="124"/>
      <c r="GO17" s="124"/>
      <c r="GP17" s="124"/>
      <c r="GQ17" s="124"/>
      <c r="GR17" s="124"/>
      <c r="GS17" s="124"/>
      <c r="GT17" s="124"/>
      <c r="GU17" s="124"/>
      <c r="GV17" s="124"/>
      <c r="GW17" s="124"/>
      <c r="GX17" s="124"/>
      <c r="GY17" s="124"/>
      <c r="GZ17" s="124"/>
      <c r="HA17" s="124"/>
      <c r="HB17" s="124"/>
      <c r="HC17" s="124"/>
      <c r="HD17" s="124"/>
      <c r="HE17" s="124"/>
      <c r="HF17" s="124"/>
      <c r="HG17" s="124"/>
      <c r="HH17" s="124"/>
      <c r="HI17" s="124"/>
      <c r="HJ17" s="124"/>
      <c r="HK17" s="124"/>
      <c r="HL17" s="124"/>
      <c r="HM17" s="124"/>
      <c r="HN17" s="124"/>
      <c r="HO17" s="124"/>
      <c r="HP17" s="124"/>
      <c r="HQ17" s="124"/>
    </row>
    <row r="18" spans="1:225" x14ac:dyDescent="0.2">
      <c r="A18" s="122" t="s">
        <v>625</v>
      </c>
      <c r="B18" s="123">
        <v>5</v>
      </c>
      <c r="C18" s="124" t="s">
        <v>170</v>
      </c>
      <c r="D18" s="123">
        <v>9</v>
      </c>
      <c r="E18" s="124" t="s">
        <v>161</v>
      </c>
      <c r="F18" s="123">
        <v>2</v>
      </c>
      <c r="G18" s="123"/>
      <c r="H18" s="124"/>
      <c r="I18" s="124"/>
      <c r="J18" s="124"/>
      <c r="K18" s="124"/>
      <c r="L18" s="124"/>
      <c r="M18" s="124"/>
      <c r="N18" s="124"/>
      <c r="O18" s="124" t="s">
        <v>89</v>
      </c>
      <c r="P18" s="124" t="s">
        <v>626</v>
      </c>
      <c r="Q18" s="129"/>
      <c r="R18" s="129"/>
      <c r="S18" s="124"/>
      <c r="T18" s="124"/>
      <c r="U18" s="122">
        <v>0.2</v>
      </c>
      <c r="V18" s="132">
        <v>10</v>
      </c>
      <c r="W18" s="131">
        <v>3</v>
      </c>
      <c r="X18" s="132">
        <v>8.5</v>
      </c>
      <c r="Y18" s="131">
        <v>3</v>
      </c>
      <c r="Z18" s="132">
        <v>11</v>
      </c>
      <c r="AA18" s="131">
        <v>3</v>
      </c>
      <c r="AB18" s="132">
        <v>10</v>
      </c>
      <c r="AC18" s="131">
        <v>3</v>
      </c>
      <c r="AD18" s="132">
        <v>9.6999999999999993</v>
      </c>
      <c r="AE18" s="131">
        <v>3</v>
      </c>
      <c r="AF18" s="132">
        <v>8</v>
      </c>
      <c r="AG18" s="131">
        <v>3</v>
      </c>
      <c r="AH18" s="132">
        <v>9.9</v>
      </c>
      <c r="AI18" s="131">
        <v>3</v>
      </c>
      <c r="AJ18" s="132">
        <v>10</v>
      </c>
      <c r="AK18" s="131">
        <v>3</v>
      </c>
      <c r="AL18" s="132">
        <v>7</v>
      </c>
      <c r="AM18" s="131">
        <v>3</v>
      </c>
      <c r="AN18" s="132">
        <v>8.3000000000000007</v>
      </c>
      <c r="AO18" s="131">
        <v>3</v>
      </c>
      <c r="AP18" s="132">
        <v>9.3000000000000007</v>
      </c>
      <c r="AQ18" s="131">
        <v>3</v>
      </c>
      <c r="AR18" s="132">
        <v>8</v>
      </c>
      <c r="AS18" s="131">
        <v>3</v>
      </c>
      <c r="AT18" s="132">
        <v>10.7</v>
      </c>
      <c r="AU18" s="131">
        <v>3</v>
      </c>
      <c r="AV18" s="132">
        <v>8</v>
      </c>
      <c r="AW18" s="131">
        <v>3</v>
      </c>
      <c r="AX18" s="132">
        <v>8.3000000000000007</v>
      </c>
      <c r="AY18" s="131">
        <v>3</v>
      </c>
      <c r="AZ18" s="132">
        <v>9.3000000000000007</v>
      </c>
      <c r="BA18" s="131">
        <v>3</v>
      </c>
      <c r="BB18" s="132">
        <v>10</v>
      </c>
      <c r="BC18" s="131">
        <v>3</v>
      </c>
      <c r="BD18" s="132">
        <v>10.3</v>
      </c>
      <c r="BE18" s="131">
        <v>3</v>
      </c>
      <c r="BF18" s="132">
        <v>9.3000000000000007</v>
      </c>
      <c r="BG18" s="131">
        <v>3</v>
      </c>
      <c r="BH18" s="132">
        <v>7</v>
      </c>
      <c r="BI18" s="131">
        <v>3</v>
      </c>
      <c r="BJ18" s="132">
        <v>11.7</v>
      </c>
      <c r="BK18" s="131">
        <v>3</v>
      </c>
      <c r="BL18" s="132">
        <v>11.3</v>
      </c>
      <c r="BM18" s="131">
        <v>3</v>
      </c>
      <c r="BN18" s="132">
        <v>7.3</v>
      </c>
      <c r="BO18" s="131">
        <v>3</v>
      </c>
      <c r="BP18" s="132">
        <v>6.3</v>
      </c>
      <c r="BQ18" s="131">
        <v>3</v>
      </c>
      <c r="BR18" s="132">
        <v>6.7</v>
      </c>
      <c r="BS18" s="131">
        <v>3</v>
      </c>
      <c r="BT18" s="132">
        <v>9.6999999999999993</v>
      </c>
      <c r="BU18" s="131">
        <v>3</v>
      </c>
      <c r="BV18" s="132">
        <v>11</v>
      </c>
      <c r="BW18" s="131">
        <v>3</v>
      </c>
      <c r="BX18" s="132">
        <v>7</v>
      </c>
      <c r="BY18" s="131">
        <v>3</v>
      </c>
      <c r="BZ18" s="132">
        <v>9.6999999999999993</v>
      </c>
      <c r="CA18" s="131">
        <v>3</v>
      </c>
      <c r="CB18" s="132">
        <v>7.3</v>
      </c>
      <c r="CC18" s="131">
        <v>3</v>
      </c>
      <c r="CD18" s="132">
        <v>9.6999999999999993</v>
      </c>
      <c r="CE18" s="131">
        <v>3</v>
      </c>
      <c r="CF18" s="132">
        <v>11.7</v>
      </c>
      <c r="CG18" s="131">
        <v>3</v>
      </c>
      <c r="CH18" s="132">
        <v>11.3</v>
      </c>
      <c r="CI18" s="131">
        <v>3</v>
      </c>
      <c r="CJ18" s="131">
        <v>8</v>
      </c>
      <c r="CK18" s="131">
        <v>3</v>
      </c>
      <c r="CL18" s="131">
        <v>7</v>
      </c>
      <c r="CM18" s="131">
        <v>3</v>
      </c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2">
        <v>0.2</v>
      </c>
      <c r="DV18" s="132">
        <v>10</v>
      </c>
      <c r="DW18" s="131">
        <v>3</v>
      </c>
      <c r="DX18" s="132">
        <v>8.5</v>
      </c>
      <c r="DY18" s="131">
        <v>3</v>
      </c>
      <c r="DZ18" s="132">
        <v>11</v>
      </c>
      <c r="EA18" s="131">
        <v>3</v>
      </c>
      <c r="EB18" s="132">
        <v>10</v>
      </c>
      <c r="EC18" s="131">
        <v>3</v>
      </c>
      <c r="ED18" s="132">
        <v>9.6999999999999993</v>
      </c>
      <c r="EE18" s="131">
        <v>3</v>
      </c>
      <c r="EF18" s="132">
        <v>8</v>
      </c>
      <c r="EG18" s="131">
        <v>3</v>
      </c>
      <c r="EH18" s="132">
        <v>9.9</v>
      </c>
      <c r="EI18" s="131">
        <v>3</v>
      </c>
      <c r="EJ18" s="132">
        <v>10</v>
      </c>
      <c r="EK18" s="131">
        <v>3</v>
      </c>
      <c r="EL18" s="132">
        <v>7</v>
      </c>
      <c r="EM18" s="131">
        <v>3</v>
      </c>
      <c r="EN18" s="132">
        <v>8.3000000000000007</v>
      </c>
      <c r="EO18" s="131">
        <v>3</v>
      </c>
      <c r="EP18" s="132">
        <v>9.3000000000000007</v>
      </c>
      <c r="EQ18" s="131">
        <v>3</v>
      </c>
      <c r="ER18" s="132">
        <v>8</v>
      </c>
      <c r="ES18" s="131">
        <v>3</v>
      </c>
      <c r="ET18" s="132">
        <v>10.7</v>
      </c>
      <c r="EU18" s="131">
        <v>3</v>
      </c>
      <c r="EV18" s="132">
        <v>8</v>
      </c>
      <c r="EW18" s="131">
        <v>3</v>
      </c>
      <c r="EX18" s="132">
        <v>8.3000000000000007</v>
      </c>
      <c r="EY18" s="131">
        <v>3</v>
      </c>
      <c r="EZ18" s="132">
        <v>9.3000000000000007</v>
      </c>
      <c r="FA18" s="131">
        <v>3</v>
      </c>
      <c r="FB18" s="132">
        <v>10</v>
      </c>
      <c r="FC18" s="131">
        <v>3</v>
      </c>
      <c r="FD18" s="132">
        <v>10.3</v>
      </c>
      <c r="FE18" s="131">
        <v>3</v>
      </c>
      <c r="FF18" s="132">
        <v>9.3000000000000007</v>
      </c>
      <c r="FG18" s="131">
        <v>3</v>
      </c>
      <c r="FH18" s="132">
        <v>7</v>
      </c>
      <c r="FI18" s="131">
        <v>3</v>
      </c>
      <c r="FJ18" s="132">
        <v>11.7</v>
      </c>
      <c r="FK18" s="131">
        <v>3</v>
      </c>
      <c r="FL18" s="132">
        <v>11.3</v>
      </c>
      <c r="FM18" s="131">
        <v>3</v>
      </c>
      <c r="FN18" s="132">
        <v>7.3</v>
      </c>
      <c r="FO18" s="131">
        <v>3</v>
      </c>
      <c r="FP18" s="132">
        <v>6.3</v>
      </c>
      <c r="FQ18" s="131">
        <v>3</v>
      </c>
      <c r="FR18" s="132">
        <v>6.7</v>
      </c>
      <c r="FS18" s="131">
        <v>3</v>
      </c>
      <c r="FT18" s="132">
        <v>9.6999999999999993</v>
      </c>
      <c r="FU18" s="131">
        <v>3</v>
      </c>
      <c r="FV18" s="132">
        <v>11</v>
      </c>
      <c r="FW18" s="131">
        <v>3</v>
      </c>
      <c r="FX18" s="132">
        <v>7</v>
      </c>
      <c r="FY18" s="131">
        <v>3</v>
      </c>
      <c r="FZ18" s="132">
        <v>9.6999999999999993</v>
      </c>
      <c r="GA18" s="131">
        <v>3</v>
      </c>
      <c r="GB18" s="132">
        <v>7.3</v>
      </c>
      <c r="GC18" s="131">
        <v>3</v>
      </c>
      <c r="GD18" s="132">
        <v>9.6999999999999993</v>
      </c>
      <c r="GE18" s="131">
        <v>3</v>
      </c>
      <c r="GF18" s="132">
        <v>11.7</v>
      </c>
      <c r="GG18" s="131">
        <v>3</v>
      </c>
      <c r="GH18" s="132">
        <v>11.3</v>
      </c>
      <c r="GI18" s="131">
        <v>3</v>
      </c>
      <c r="GJ18" s="131">
        <v>8</v>
      </c>
      <c r="GK18" s="131">
        <v>3</v>
      </c>
      <c r="GL18" s="131">
        <v>7</v>
      </c>
      <c r="GM18" s="131">
        <v>3</v>
      </c>
      <c r="GN18" s="124"/>
      <c r="GO18" s="124"/>
      <c r="GP18" s="124"/>
      <c r="GQ18" s="124"/>
      <c r="GR18" s="124"/>
      <c r="GS18" s="124"/>
      <c r="GT18" s="124"/>
      <c r="GU18" s="124"/>
      <c r="GV18" s="124"/>
      <c r="GW18" s="124"/>
      <c r="GX18" s="124"/>
      <c r="GY18" s="124"/>
      <c r="GZ18" s="124"/>
      <c r="HA18" s="124"/>
      <c r="HB18" s="124"/>
      <c r="HC18" s="124"/>
      <c r="HD18" s="124"/>
      <c r="HE18" s="124"/>
      <c r="HF18" s="124"/>
      <c r="HG18" s="124"/>
      <c r="HH18" s="124"/>
      <c r="HI18" s="124"/>
      <c r="HJ18" s="124"/>
      <c r="HK18" s="124"/>
      <c r="HL18" s="124"/>
      <c r="HM18" s="124"/>
      <c r="HN18" s="124"/>
      <c r="HO18" s="124"/>
      <c r="HP18" s="124"/>
      <c r="HQ18" s="124"/>
    </row>
    <row r="19" spans="1:225" x14ac:dyDescent="0.2">
      <c r="A19" s="122" t="s">
        <v>627</v>
      </c>
      <c r="B19" s="123">
        <v>5</v>
      </c>
      <c r="C19" s="124" t="s">
        <v>171</v>
      </c>
      <c r="D19" s="123">
        <v>10</v>
      </c>
      <c r="E19" s="124" t="s">
        <v>161</v>
      </c>
      <c r="F19" s="123">
        <v>3</v>
      </c>
      <c r="G19" s="123"/>
      <c r="H19" s="124"/>
      <c r="I19" s="124"/>
      <c r="J19" s="124"/>
      <c r="K19" s="124"/>
      <c r="L19" s="124"/>
      <c r="M19" s="124"/>
      <c r="N19" s="124"/>
      <c r="O19" s="124" t="s">
        <v>92</v>
      </c>
      <c r="P19" s="124" t="s">
        <v>628</v>
      </c>
      <c r="Q19" s="129"/>
      <c r="R19" s="129"/>
      <c r="S19" s="124"/>
      <c r="T19" s="124"/>
      <c r="U19" s="122">
        <v>0.3</v>
      </c>
      <c r="V19" s="132">
        <v>11.3</v>
      </c>
      <c r="W19" s="131">
        <v>4</v>
      </c>
      <c r="X19" s="132">
        <v>9.3000000000000007</v>
      </c>
      <c r="Y19" s="131">
        <v>4</v>
      </c>
      <c r="Z19" s="132">
        <v>11.7</v>
      </c>
      <c r="AA19" s="131">
        <v>4</v>
      </c>
      <c r="AB19" s="132">
        <v>11</v>
      </c>
      <c r="AC19" s="131">
        <v>4</v>
      </c>
      <c r="AD19" s="132">
        <v>10.3</v>
      </c>
      <c r="AE19" s="131">
        <v>4</v>
      </c>
      <c r="AF19" s="132">
        <v>8.6999999999999993</v>
      </c>
      <c r="AG19" s="131">
        <v>4</v>
      </c>
      <c r="AH19" s="132">
        <v>10.8</v>
      </c>
      <c r="AI19" s="131">
        <v>4</v>
      </c>
      <c r="AJ19" s="132">
        <v>11</v>
      </c>
      <c r="AK19" s="131">
        <v>4</v>
      </c>
      <c r="AL19" s="132">
        <v>8</v>
      </c>
      <c r="AM19" s="131">
        <v>4</v>
      </c>
      <c r="AN19" s="132">
        <v>9.3000000000000007</v>
      </c>
      <c r="AO19" s="131">
        <v>4</v>
      </c>
      <c r="AP19" s="132">
        <v>10.3</v>
      </c>
      <c r="AQ19" s="131">
        <v>4</v>
      </c>
      <c r="AR19" s="132">
        <v>8.6999999999999993</v>
      </c>
      <c r="AS19" s="131">
        <v>4</v>
      </c>
      <c r="AT19" s="132">
        <v>11.7</v>
      </c>
      <c r="AU19" s="131">
        <v>4</v>
      </c>
      <c r="AV19" s="132">
        <v>9</v>
      </c>
      <c r="AW19" s="131">
        <v>4</v>
      </c>
      <c r="AX19" s="132">
        <v>9.3000000000000007</v>
      </c>
      <c r="AY19" s="131">
        <v>4</v>
      </c>
      <c r="AZ19" s="132">
        <v>10.3</v>
      </c>
      <c r="BA19" s="131">
        <v>4</v>
      </c>
      <c r="BB19" s="132">
        <v>10.8</v>
      </c>
      <c r="BC19" s="131">
        <v>4</v>
      </c>
      <c r="BD19" s="132">
        <v>11</v>
      </c>
      <c r="BE19" s="131">
        <v>4</v>
      </c>
      <c r="BF19" s="132">
        <v>10</v>
      </c>
      <c r="BG19" s="131">
        <v>4</v>
      </c>
      <c r="BH19" s="132">
        <v>7.7</v>
      </c>
      <c r="BI19" s="131">
        <v>4</v>
      </c>
      <c r="BJ19" s="132">
        <v>12.7</v>
      </c>
      <c r="BK19" s="131">
        <v>4</v>
      </c>
      <c r="BL19" s="132">
        <v>12</v>
      </c>
      <c r="BM19" s="131">
        <v>4</v>
      </c>
      <c r="BN19" s="132">
        <v>8.3000000000000007</v>
      </c>
      <c r="BO19" s="131">
        <v>4</v>
      </c>
      <c r="BP19" s="132">
        <v>7</v>
      </c>
      <c r="BQ19" s="131">
        <v>4</v>
      </c>
      <c r="BR19" s="132">
        <v>8</v>
      </c>
      <c r="BS19" s="131">
        <v>4</v>
      </c>
      <c r="BT19" s="132">
        <v>10.7</v>
      </c>
      <c r="BU19" s="131">
        <v>4</v>
      </c>
      <c r="BV19" s="132">
        <v>11.7</v>
      </c>
      <c r="BW19" s="131">
        <v>4</v>
      </c>
      <c r="BX19" s="132">
        <v>7.7</v>
      </c>
      <c r="BY19" s="131">
        <v>4</v>
      </c>
      <c r="BZ19" s="132">
        <v>10.7</v>
      </c>
      <c r="CA19" s="131">
        <v>4</v>
      </c>
      <c r="CB19" s="132">
        <v>8.3000000000000007</v>
      </c>
      <c r="CC19" s="131">
        <v>4</v>
      </c>
      <c r="CD19" s="132">
        <v>10.7</v>
      </c>
      <c r="CE19" s="131">
        <v>4</v>
      </c>
      <c r="CF19" s="132">
        <v>12.3</v>
      </c>
      <c r="CG19" s="131">
        <v>4</v>
      </c>
      <c r="CH19" s="132">
        <v>12.1</v>
      </c>
      <c r="CI19" s="131">
        <v>4</v>
      </c>
      <c r="CJ19" s="131">
        <v>9</v>
      </c>
      <c r="CK19" s="131">
        <v>4</v>
      </c>
      <c r="CL19" s="131">
        <v>8</v>
      </c>
      <c r="CM19" s="131">
        <v>4</v>
      </c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2">
        <v>0.3</v>
      </c>
      <c r="DV19" s="132">
        <v>11.3</v>
      </c>
      <c r="DW19" s="131">
        <v>4</v>
      </c>
      <c r="DX19" s="132">
        <v>9.3000000000000007</v>
      </c>
      <c r="DY19" s="131">
        <v>4</v>
      </c>
      <c r="DZ19" s="132">
        <v>11.7</v>
      </c>
      <c r="EA19" s="131">
        <v>4</v>
      </c>
      <c r="EB19" s="132">
        <v>11</v>
      </c>
      <c r="EC19" s="131">
        <v>4</v>
      </c>
      <c r="ED19" s="132">
        <v>10.3</v>
      </c>
      <c r="EE19" s="131">
        <v>4</v>
      </c>
      <c r="EF19" s="132">
        <v>8.6999999999999993</v>
      </c>
      <c r="EG19" s="131">
        <v>4</v>
      </c>
      <c r="EH19" s="132">
        <v>10.8</v>
      </c>
      <c r="EI19" s="131">
        <v>4</v>
      </c>
      <c r="EJ19" s="132">
        <v>11</v>
      </c>
      <c r="EK19" s="131">
        <v>4</v>
      </c>
      <c r="EL19" s="132">
        <v>8</v>
      </c>
      <c r="EM19" s="131">
        <v>4</v>
      </c>
      <c r="EN19" s="132">
        <v>9.3000000000000007</v>
      </c>
      <c r="EO19" s="131">
        <v>4</v>
      </c>
      <c r="EP19" s="132">
        <v>10.3</v>
      </c>
      <c r="EQ19" s="131">
        <v>4</v>
      </c>
      <c r="ER19" s="132">
        <v>8.6999999999999993</v>
      </c>
      <c r="ES19" s="131">
        <v>4</v>
      </c>
      <c r="ET19" s="132">
        <v>11.7</v>
      </c>
      <c r="EU19" s="131">
        <v>4</v>
      </c>
      <c r="EV19" s="132">
        <v>9</v>
      </c>
      <c r="EW19" s="131">
        <v>4</v>
      </c>
      <c r="EX19" s="132">
        <v>9.3000000000000007</v>
      </c>
      <c r="EY19" s="131">
        <v>4</v>
      </c>
      <c r="EZ19" s="132">
        <v>10.3</v>
      </c>
      <c r="FA19" s="131">
        <v>4</v>
      </c>
      <c r="FB19" s="132">
        <v>10.8</v>
      </c>
      <c r="FC19" s="131">
        <v>4</v>
      </c>
      <c r="FD19" s="132">
        <v>11</v>
      </c>
      <c r="FE19" s="131">
        <v>4</v>
      </c>
      <c r="FF19" s="132">
        <v>10</v>
      </c>
      <c r="FG19" s="131">
        <v>4</v>
      </c>
      <c r="FH19" s="132">
        <v>7.7</v>
      </c>
      <c r="FI19" s="131">
        <v>4</v>
      </c>
      <c r="FJ19" s="132">
        <v>12.7</v>
      </c>
      <c r="FK19" s="131">
        <v>4</v>
      </c>
      <c r="FL19" s="132">
        <v>12</v>
      </c>
      <c r="FM19" s="131">
        <v>4</v>
      </c>
      <c r="FN19" s="132">
        <v>8.3000000000000007</v>
      </c>
      <c r="FO19" s="131">
        <v>4</v>
      </c>
      <c r="FP19" s="132">
        <v>7</v>
      </c>
      <c r="FQ19" s="131">
        <v>4</v>
      </c>
      <c r="FR19" s="132">
        <v>8</v>
      </c>
      <c r="FS19" s="131">
        <v>4</v>
      </c>
      <c r="FT19" s="132">
        <v>10.7</v>
      </c>
      <c r="FU19" s="131">
        <v>4</v>
      </c>
      <c r="FV19" s="132">
        <v>11.7</v>
      </c>
      <c r="FW19" s="131">
        <v>4</v>
      </c>
      <c r="FX19" s="132">
        <v>7.7</v>
      </c>
      <c r="FY19" s="131">
        <v>4</v>
      </c>
      <c r="FZ19" s="132">
        <v>10.7</v>
      </c>
      <c r="GA19" s="131">
        <v>4</v>
      </c>
      <c r="GB19" s="132">
        <v>8.3000000000000007</v>
      </c>
      <c r="GC19" s="131">
        <v>4</v>
      </c>
      <c r="GD19" s="132">
        <v>10.7</v>
      </c>
      <c r="GE19" s="131">
        <v>4</v>
      </c>
      <c r="GF19" s="132">
        <v>12.3</v>
      </c>
      <c r="GG19" s="131">
        <v>4</v>
      </c>
      <c r="GH19" s="132">
        <v>12.1</v>
      </c>
      <c r="GI19" s="131">
        <v>4</v>
      </c>
      <c r="GJ19" s="131">
        <v>9</v>
      </c>
      <c r="GK19" s="131">
        <v>4</v>
      </c>
      <c r="GL19" s="131">
        <v>8</v>
      </c>
      <c r="GM19" s="131">
        <v>4</v>
      </c>
      <c r="GN19" s="124"/>
      <c r="GO19" s="124"/>
      <c r="GP19" s="124"/>
      <c r="GQ19" s="124"/>
      <c r="GR19" s="124"/>
      <c r="GS19" s="124"/>
      <c r="GT19" s="124"/>
      <c r="GU19" s="124"/>
      <c r="GV19" s="124"/>
      <c r="GW19" s="124"/>
      <c r="GX19" s="124"/>
      <c r="GY19" s="124"/>
      <c r="GZ19" s="124"/>
      <c r="HA19" s="124"/>
      <c r="HB19" s="124"/>
      <c r="HC19" s="124"/>
      <c r="HD19" s="124"/>
      <c r="HE19" s="124"/>
      <c r="HF19" s="124"/>
      <c r="HG19" s="124"/>
      <c r="HH19" s="124"/>
      <c r="HI19" s="124"/>
      <c r="HJ19" s="124"/>
      <c r="HK19" s="124"/>
      <c r="HL19" s="124"/>
      <c r="HM19" s="124"/>
      <c r="HN19" s="124"/>
      <c r="HO19" s="124"/>
      <c r="HP19" s="124"/>
      <c r="HQ19" s="124"/>
    </row>
    <row r="20" spans="1:225" x14ac:dyDescent="0.2">
      <c r="A20" s="122" t="s">
        <v>629</v>
      </c>
      <c r="B20" s="123">
        <v>6</v>
      </c>
      <c r="C20" s="124" t="s">
        <v>172</v>
      </c>
      <c r="D20" s="123">
        <v>11</v>
      </c>
      <c r="E20" s="124" t="s">
        <v>161</v>
      </c>
      <c r="F20" s="123">
        <v>3</v>
      </c>
      <c r="G20" s="123"/>
      <c r="H20" s="124"/>
      <c r="I20" s="124"/>
      <c r="J20" s="124"/>
      <c r="K20" s="124"/>
      <c r="L20" s="124"/>
      <c r="M20" s="124"/>
      <c r="N20" s="124"/>
      <c r="O20" s="124" t="s">
        <v>78</v>
      </c>
      <c r="P20" s="124" t="s">
        <v>630</v>
      </c>
      <c r="Q20" s="129"/>
      <c r="R20" s="129"/>
      <c r="S20" s="124"/>
      <c r="T20" s="124"/>
      <c r="U20" s="122">
        <v>0.4</v>
      </c>
      <c r="V20" s="132">
        <v>12</v>
      </c>
      <c r="W20" s="131">
        <v>5</v>
      </c>
      <c r="X20" s="132">
        <v>10</v>
      </c>
      <c r="Y20" s="131">
        <v>5</v>
      </c>
      <c r="Z20" s="132">
        <v>12.3</v>
      </c>
      <c r="AA20" s="131">
        <v>5</v>
      </c>
      <c r="AB20" s="132">
        <v>11.7</v>
      </c>
      <c r="AC20" s="131">
        <v>5</v>
      </c>
      <c r="AD20" s="132">
        <v>11</v>
      </c>
      <c r="AE20" s="131">
        <v>5</v>
      </c>
      <c r="AF20" s="132">
        <v>9.3000000000000007</v>
      </c>
      <c r="AG20" s="131">
        <v>5</v>
      </c>
      <c r="AH20" s="132">
        <v>11.7</v>
      </c>
      <c r="AI20" s="131">
        <v>5</v>
      </c>
      <c r="AJ20" s="132">
        <v>11.7</v>
      </c>
      <c r="AK20" s="131">
        <v>5</v>
      </c>
      <c r="AL20" s="132">
        <v>8.6999999999999993</v>
      </c>
      <c r="AM20" s="131">
        <v>5</v>
      </c>
      <c r="AN20" s="132">
        <v>10</v>
      </c>
      <c r="AO20" s="131">
        <v>5</v>
      </c>
      <c r="AP20" s="132">
        <v>10.7</v>
      </c>
      <c r="AQ20" s="131">
        <v>5</v>
      </c>
      <c r="AR20" s="132">
        <v>9.6999999999999993</v>
      </c>
      <c r="AS20" s="131">
        <v>5</v>
      </c>
      <c r="AT20" s="132">
        <v>12.3</v>
      </c>
      <c r="AU20" s="131">
        <v>5</v>
      </c>
      <c r="AV20" s="132">
        <v>10</v>
      </c>
      <c r="AW20" s="131">
        <v>5</v>
      </c>
      <c r="AX20" s="132">
        <v>10</v>
      </c>
      <c r="AY20" s="131">
        <v>5</v>
      </c>
      <c r="AZ20" s="132">
        <v>11</v>
      </c>
      <c r="BA20" s="131">
        <v>5</v>
      </c>
      <c r="BB20" s="132">
        <v>11.6</v>
      </c>
      <c r="BC20" s="131">
        <v>5</v>
      </c>
      <c r="BD20" s="132">
        <v>11.8</v>
      </c>
      <c r="BE20" s="131">
        <v>5</v>
      </c>
      <c r="BF20" s="132">
        <v>10.6</v>
      </c>
      <c r="BG20" s="131">
        <v>5</v>
      </c>
      <c r="BH20" s="132">
        <v>8.6999999999999993</v>
      </c>
      <c r="BI20" s="131">
        <v>5</v>
      </c>
      <c r="BJ20" s="132">
        <v>13.3</v>
      </c>
      <c r="BK20" s="131">
        <v>5</v>
      </c>
      <c r="BL20" s="132">
        <v>13</v>
      </c>
      <c r="BM20" s="131">
        <v>5</v>
      </c>
      <c r="BN20" s="132">
        <v>9.3000000000000007</v>
      </c>
      <c r="BO20" s="131">
        <v>5</v>
      </c>
      <c r="BP20" s="132">
        <v>8</v>
      </c>
      <c r="BQ20" s="131">
        <v>5</v>
      </c>
      <c r="BR20" s="132">
        <v>9</v>
      </c>
      <c r="BS20" s="131">
        <v>5</v>
      </c>
      <c r="BT20" s="132">
        <v>11.3</v>
      </c>
      <c r="BU20" s="131">
        <v>5</v>
      </c>
      <c r="BV20" s="132">
        <v>12.3</v>
      </c>
      <c r="BW20" s="131">
        <v>5</v>
      </c>
      <c r="BX20" s="132">
        <v>8.3000000000000007</v>
      </c>
      <c r="BY20" s="131">
        <v>5</v>
      </c>
      <c r="BZ20" s="132">
        <v>11.3</v>
      </c>
      <c r="CA20" s="131">
        <v>5</v>
      </c>
      <c r="CB20" s="132">
        <v>9</v>
      </c>
      <c r="CC20" s="131">
        <v>5</v>
      </c>
      <c r="CD20" s="132">
        <v>11.3</v>
      </c>
      <c r="CE20" s="131">
        <v>5</v>
      </c>
      <c r="CF20" s="132">
        <v>13</v>
      </c>
      <c r="CG20" s="131">
        <v>5</v>
      </c>
      <c r="CH20" s="132">
        <v>13</v>
      </c>
      <c r="CI20" s="131">
        <v>5</v>
      </c>
      <c r="CJ20" s="131">
        <v>9</v>
      </c>
      <c r="CK20" s="131">
        <v>5</v>
      </c>
      <c r="CL20" s="131">
        <v>9</v>
      </c>
      <c r="CM20" s="131">
        <v>5</v>
      </c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2">
        <v>0.4</v>
      </c>
      <c r="DV20" s="132">
        <v>12</v>
      </c>
      <c r="DW20" s="131">
        <v>5</v>
      </c>
      <c r="DX20" s="132">
        <v>10</v>
      </c>
      <c r="DY20" s="131">
        <v>5</v>
      </c>
      <c r="DZ20" s="132">
        <v>12.3</v>
      </c>
      <c r="EA20" s="131">
        <v>5</v>
      </c>
      <c r="EB20" s="132">
        <v>11.7</v>
      </c>
      <c r="EC20" s="131">
        <v>5</v>
      </c>
      <c r="ED20" s="132">
        <v>11</v>
      </c>
      <c r="EE20" s="131">
        <v>5</v>
      </c>
      <c r="EF20" s="132">
        <v>9.3000000000000007</v>
      </c>
      <c r="EG20" s="131">
        <v>5</v>
      </c>
      <c r="EH20" s="132">
        <v>11.7</v>
      </c>
      <c r="EI20" s="131">
        <v>5</v>
      </c>
      <c r="EJ20" s="132">
        <v>11.7</v>
      </c>
      <c r="EK20" s="131">
        <v>5</v>
      </c>
      <c r="EL20" s="132">
        <v>8.6999999999999993</v>
      </c>
      <c r="EM20" s="131">
        <v>5</v>
      </c>
      <c r="EN20" s="132">
        <v>10</v>
      </c>
      <c r="EO20" s="131">
        <v>5</v>
      </c>
      <c r="EP20" s="132">
        <v>10.7</v>
      </c>
      <c r="EQ20" s="131">
        <v>5</v>
      </c>
      <c r="ER20" s="132">
        <v>9.6999999999999993</v>
      </c>
      <c r="ES20" s="131">
        <v>5</v>
      </c>
      <c r="ET20" s="132">
        <v>12.3</v>
      </c>
      <c r="EU20" s="131">
        <v>5</v>
      </c>
      <c r="EV20" s="132">
        <v>10</v>
      </c>
      <c r="EW20" s="131">
        <v>5</v>
      </c>
      <c r="EX20" s="132">
        <v>10</v>
      </c>
      <c r="EY20" s="131">
        <v>5</v>
      </c>
      <c r="EZ20" s="132">
        <v>11</v>
      </c>
      <c r="FA20" s="131">
        <v>5</v>
      </c>
      <c r="FB20" s="132">
        <v>11.6</v>
      </c>
      <c r="FC20" s="131">
        <v>5</v>
      </c>
      <c r="FD20" s="132">
        <v>11.8</v>
      </c>
      <c r="FE20" s="131">
        <v>5</v>
      </c>
      <c r="FF20" s="132">
        <v>10.6</v>
      </c>
      <c r="FG20" s="131">
        <v>5</v>
      </c>
      <c r="FH20" s="132">
        <v>8.6999999999999993</v>
      </c>
      <c r="FI20" s="131">
        <v>5</v>
      </c>
      <c r="FJ20" s="132">
        <v>13.3</v>
      </c>
      <c r="FK20" s="131">
        <v>5</v>
      </c>
      <c r="FL20" s="132">
        <v>13</v>
      </c>
      <c r="FM20" s="131">
        <v>5</v>
      </c>
      <c r="FN20" s="132">
        <v>9.3000000000000007</v>
      </c>
      <c r="FO20" s="131">
        <v>5</v>
      </c>
      <c r="FP20" s="132">
        <v>8</v>
      </c>
      <c r="FQ20" s="131">
        <v>5</v>
      </c>
      <c r="FR20" s="132">
        <v>9</v>
      </c>
      <c r="FS20" s="131">
        <v>5</v>
      </c>
      <c r="FT20" s="132">
        <v>11.3</v>
      </c>
      <c r="FU20" s="131">
        <v>5</v>
      </c>
      <c r="FV20" s="132">
        <v>12.3</v>
      </c>
      <c r="FW20" s="131">
        <v>5</v>
      </c>
      <c r="FX20" s="132">
        <v>8.3000000000000007</v>
      </c>
      <c r="FY20" s="131">
        <v>5</v>
      </c>
      <c r="FZ20" s="132">
        <v>11.3</v>
      </c>
      <c r="GA20" s="131">
        <v>5</v>
      </c>
      <c r="GB20" s="132">
        <v>9</v>
      </c>
      <c r="GC20" s="131">
        <v>5</v>
      </c>
      <c r="GD20" s="132">
        <v>11.3</v>
      </c>
      <c r="GE20" s="131">
        <v>5</v>
      </c>
      <c r="GF20" s="132">
        <v>13</v>
      </c>
      <c r="GG20" s="131">
        <v>5</v>
      </c>
      <c r="GH20" s="132">
        <v>13</v>
      </c>
      <c r="GI20" s="131">
        <v>5</v>
      </c>
      <c r="GJ20" s="131">
        <v>9</v>
      </c>
      <c r="GK20" s="131">
        <v>5</v>
      </c>
      <c r="GL20" s="131">
        <v>9</v>
      </c>
      <c r="GM20" s="131">
        <v>5</v>
      </c>
      <c r="GN20" s="124"/>
      <c r="GO20" s="124"/>
      <c r="GP20" s="124"/>
      <c r="GQ20" s="124"/>
      <c r="GR20" s="124"/>
      <c r="GS20" s="124"/>
      <c r="GT20" s="124"/>
      <c r="GU20" s="124"/>
      <c r="GV20" s="124"/>
      <c r="GW20" s="124"/>
      <c r="GX20" s="124"/>
      <c r="GY20" s="124"/>
      <c r="GZ20" s="124"/>
      <c r="HA20" s="124"/>
      <c r="HB20" s="124"/>
      <c r="HC20" s="124"/>
      <c r="HD20" s="124"/>
      <c r="HE20" s="124"/>
      <c r="HF20" s="124"/>
      <c r="HG20" s="124"/>
      <c r="HH20" s="124"/>
      <c r="HI20" s="124"/>
      <c r="HJ20" s="124"/>
      <c r="HK20" s="124"/>
      <c r="HL20" s="124"/>
      <c r="HM20" s="124"/>
      <c r="HN20" s="124"/>
      <c r="HO20" s="124"/>
      <c r="HP20" s="124"/>
      <c r="HQ20" s="124"/>
    </row>
    <row r="21" spans="1:225" x14ac:dyDescent="0.2">
      <c r="A21" s="122" t="s">
        <v>631</v>
      </c>
      <c r="B21" s="123">
        <v>6</v>
      </c>
      <c r="C21" s="124" t="s">
        <v>173</v>
      </c>
      <c r="D21" s="123">
        <v>12</v>
      </c>
      <c r="E21" s="124" t="s">
        <v>161</v>
      </c>
      <c r="F21" s="123">
        <v>4</v>
      </c>
      <c r="G21" s="123"/>
      <c r="H21" s="124"/>
      <c r="I21" s="124"/>
      <c r="J21" s="124"/>
      <c r="K21" s="124"/>
      <c r="L21" s="124"/>
      <c r="M21" s="124"/>
      <c r="N21" s="124"/>
      <c r="O21" s="124" t="s">
        <v>72</v>
      </c>
      <c r="P21" s="124" t="s">
        <v>632</v>
      </c>
      <c r="Q21" s="129"/>
      <c r="R21" s="129"/>
      <c r="S21" s="124"/>
      <c r="T21" s="124"/>
      <c r="U21" s="122">
        <v>0.5</v>
      </c>
      <c r="V21" s="132">
        <v>13</v>
      </c>
      <c r="W21" s="131">
        <v>6</v>
      </c>
      <c r="X21" s="132">
        <v>10.7</v>
      </c>
      <c r="Y21" s="131">
        <v>6</v>
      </c>
      <c r="Z21" s="132">
        <v>13</v>
      </c>
      <c r="AA21" s="131">
        <v>6</v>
      </c>
      <c r="AB21" s="132">
        <v>12.7</v>
      </c>
      <c r="AC21" s="131">
        <v>6</v>
      </c>
      <c r="AD21" s="132">
        <v>11.7</v>
      </c>
      <c r="AE21" s="131">
        <v>6</v>
      </c>
      <c r="AF21" s="132">
        <v>9.6999999999999993</v>
      </c>
      <c r="AG21" s="131">
        <v>6</v>
      </c>
      <c r="AH21" s="132">
        <v>12.7</v>
      </c>
      <c r="AI21" s="131">
        <v>6</v>
      </c>
      <c r="AJ21" s="132">
        <v>12.3</v>
      </c>
      <c r="AK21" s="131">
        <v>6</v>
      </c>
      <c r="AL21" s="132">
        <v>9.6999999999999993</v>
      </c>
      <c r="AM21" s="131">
        <v>6</v>
      </c>
      <c r="AN21" s="132">
        <v>10.7</v>
      </c>
      <c r="AO21" s="131">
        <v>6</v>
      </c>
      <c r="AP21" s="132">
        <v>11.3</v>
      </c>
      <c r="AQ21" s="131">
        <v>6</v>
      </c>
      <c r="AR21" s="132">
        <v>10.7</v>
      </c>
      <c r="AS21" s="131">
        <v>6</v>
      </c>
      <c r="AT21" s="132">
        <v>13</v>
      </c>
      <c r="AU21" s="131">
        <v>6</v>
      </c>
      <c r="AV21" s="132">
        <v>10.3</v>
      </c>
      <c r="AW21" s="131">
        <v>6</v>
      </c>
      <c r="AX21" s="132">
        <v>10.7</v>
      </c>
      <c r="AY21" s="131">
        <v>6</v>
      </c>
      <c r="AZ21" s="132">
        <v>11.7</v>
      </c>
      <c r="BA21" s="131">
        <v>6</v>
      </c>
      <c r="BB21" s="132">
        <v>12.3</v>
      </c>
      <c r="BC21" s="131">
        <v>6</v>
      </c>
      <c r="BD21" s="132">
        <v>12.5</v>
      </c>
      <c r="BE21" s="131">
        <v>6</v>
      </c>
      <c r="BF21" s="132">
        <v>11.3</v>
      </c>
      <c r="BG21" s="131">
        <v>6</v>
      </c>
      <c r="BH21" s="132">
        <v>9.3000000000000007</v>
      </c>
      <c r="BI21" s="131">
        <v>6</v>
      </c>
      <c r="BJ21" s="132">
        <v>14</v>
      </c>
      <c r="BK21" s="131">
        <v>6</v>
      </c>
      <c r="BL21" s="132">
        <v>13.7</v>
      </c>
      <c r="BM21" s="131">
        <v>6</v>
      </c>
      <c r="BN21" s="132">
        <v>10</v>
      </c>
      <c r="BO21" s="131">
        <v>6</v>
      </c>
      <c r="BP21" s="132">
        <v>8.6999999999999993</v>
      </c>
      <c r="BQ21" s="131">
        <v>6</v>
      </c>
      <c r="BR21" s="132">
        <v>9.6999999999999993</v>
      </c>
      <c r="BS21" s="131">
        <v>6</v>
      </c>
      <c r="BT21" s="132">
        <v>12</v>
      </c>
      <c r="BU21" s="131">
        <v>6</v>
      </c>
      <c r="BV21" s="132">
        <v>13</v>
      </c>
      <c r="BW21" s="131">
        <v>6</v>
      </c>
      <c r="BX21" s="132">
        <v>9.3000000000000007</v>
      </c>
      <c r="BY21" s="131">
        <v>6</v>
      </c>
      <c r="BZ21" s="132">
        <v>12.3</v>
      </c>
      <c r="CA21" s="131">
        <v>6</v>
      </c>
      <c r="CB21" s="132">
        <v>10</v>
      </c>
      <c r="CC21" s="131">
        <v>6</v>
      </c>
      <c r="CD21" s="132">
        <v>12</v>
      </c>
      <c r="CE21" s="131">
        <v>6</v>
      </c>
      <c r="CF21" s="132">
        <v>14</v>
      </c>
      <c r="CG21" s="131">
        <v>6</v>
      </c>
      <c r="CH21" s="132">
        <v>14</v>
      </c>
      <c r="CI21" s="131">
        <v>6</v>
      </c>
      <c r="CJ21" s="131">
        <v>10</v>
      </c>
      <c r="CK21" s="131">
        <v>6</v>
      </c>
      <c r="CL21" s="131">
        <v>10</v>
      </c>
      <c r="CM21" s="131">
        <v>6</v>
      </c>
      <c r="CN21" s="124"/>
      <c r="CO21" s="124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4"/>
      <c r="DA21" s="124"/>
      <c r="DB21" s="124"/>
      <c r="DC21" s="124"/>
      <c r="DD21" s="124"/>
      <c r="DE21" s="124"/>
      <c r="DF21" s="124"/>
      <c r="DG21" s="124"/>
      <c r="DH21" s="124"/>
      <c r="DI21" s="124"/>
      <c r="DJ21" s="124"/>
      <c r="DK21" s="124"/>
      <c r="DL21" s="124"/>
      <c r="DM21" s="124"/>
      <c r="DN21" s="124"/>
      <c r="DO21" s="124"/>
      <c r="DP21" s="124"/>
      <c r="DQ21" s="124"/>
      <c r="DR21" s="124"/>
      <c r="DS21" s="124"/>
      <c r="DT21" s="124"/>
      <c r="DU21" s="122">
        <v>0.5</v>
      </c>
      <c r="DV21" s="132">
        <v>13</v>
      </c>
      <c r="DW21" s="131">
        <v>6</v>
      </c>
      <c r="DX21" s="132">
        <v>10.7</v>
      </c>
      <c r="DY21" s="131">
        <v>6</v>
      </c>
      <c r="DZ21" s="132">
        <v>13</v>
      </c>
      <c r="EA21" s="131">
        <v>6</v>
      </c>
      <c r="EB21" s="132">
        <v>12.7</v>
      </c>
      <c r="EC21" s="131">
        <v>6</v>
      </c>
      <c r="ED21" s="132">
        <v>11.7</v>
      </c>
      <c r="EE21" s="131">
        <v>6</v>
      </c>
      <c r="EF21" s="132">
        <v>9.6999999999999993</v>
      </c>
      <c r="EG21" s="131">
        <v>6</v>
      </c>
      <c r="EH21" s="132">
        <v>12.7</v>
      </c>
      <c r="EI21" s="131">
        <v>6</v>
      </c>
      <c r="EJ21" s="132">
        <v>12.3</v>
      </c>
      <c r="EK21" s="131">
        <v>6</v>
      </c>
      <c r="EL21" s="132">
        <v>9.6999999999999993</v>
      </c>
      <c r="EM21" s="131">
        <v>6</v>
      </c>
      <c r="EN21" s="132">
        <v>10.7</v>
      </c>
      <c r="EO21" s="131">
        <v>6</v>
      </c>
      <c r="EP21" s="132">
        <v>11.3</v>
      </c>
      <c r="EQ21" s="131">
        <v>6</v>
      </c>
      <c r="ER21" s="132">
        <v>10.7</v>
      </c>
      <c r="ES21" s="131">
        <v>6</v>
      </c>
      <c r="ET21" s="132">
        <v>13</v>
      </c>
      <c r="EU21" s="131">
        <v>6</v>
      </c>
      <c r="EV21" s="132">
        <v>10.3</v>
      </c>
      <c r="EW21" s="131">
        <v>6</v>
      </c>
      <c r="EX21" s="132">
        <v>10.7</v>
      </c>
      <c r="EY21" s="131">
        <v>6</v>
      </c>
      <c r="EZ21" s="132">
        <v>11.7</v>
      </c>
      <c r="FA21" s="131">
        <v>6</v>
      </c>
      <c r="FB21" s="132">
        <v>12.3</v>
      </c>
      <c r="FC21" s="131">
        <v>6</v>
      </c>
      <c r="FD21" s="132">
        <v>12.5</v>
      </c>
      <c r="FE21" s="131">
        <v>6</v>
      </c>
      <c r="FF21" s="132">
        <v>11.3</v>
      </c>
      <c r="FG21" s="131">
        <v>6</v>
      </c>
      <c r="FH21" s="132">
        <v>9.3000000000000007</v>
      </c>
      <c r="FI21" s="131">
        <v>6</v>
      </c>
      <c r="FJ21" s="132">
        <v>14</v>
      </c>
      <c r="FK21" s="131">
        <v>6</v>
      </c>
      <c r="FL21" s="132">
        <v>13.7</v>
      </c>
      <c r="FM21" s="131">
        <v>6</v>
      </c>
      <c r="FN21" s="132">
        <v>10</v>
      </c>
      <c r="FO21" s="131">
        <v>6</v>
      </c>
      <c r="FP21" s="132">
        <v>8.6999999999999993</v>
      </c>
      <c r="FQ21" s="131">
        <v>6</v>
      </c>
      <c r="FR21" s="132">
        <v>9.6999999999999993</v>
      </c>
      <c r="FS21" s="131">
        <v>6</v>
      </c>
      <c r="FT21" s="132">
        <v>12</v>
      </c>
      <c r="FU21" s="131">
        <v>6</v>
      </c>
      <c r="FV21" s="132">
        <v>13</v>
      </c>
      <c r="FW21" s="131">
        <v>6</v>
      </c>
      <c r="FX21" s="132">
        <v>9.3000000000000007</v>
      </c>
      <c r="FY21" s="131">
        <v>6</v>
      </c>
      <c r="FZ21" s="132">
        <v>12.3</v>
      </c>
      <c r="GA21" s="131">
        <v>6</v>
      </c>
      <c r="GB21" s="132">
        <v>10</v>
      </c>
      <c r="GC21" s="131">
        <v>6</v>
      </c>
      <c r="GD21" s="132">
        <v>12</v>
      </c>
      <c r="GE21" s="131">
        <v>6</v>
      </c>
      <c r="GF21" s="132">
        <v>14</v>
      </c>
      <c r="GG21" s="131">
        <v>6</v>
      </c>
      <c r="GH21" s="132">
        <v>14</v>
      </c>
      <c r="GI21" s="131">
        <v>6</v>
      </c>
      <c r="GJ21" s="131">
        <v>10</v>
      </c>
      <c r="GK21" s="131">
        <v>6</v>
      </c>
      <c r="GL21" s="131">
        <v>10</v>
      </c>
      <c r="GM21" s="131">
        <v>6</v>
      </c>
      <c r="GN21" s="124"/>
      <c r="GO21" s="124"/>
      <c r="GP21" s="124"/>
      <c r="GQ21" s="124"/>
      <c r="GR21" s="124"/>
      <c r="GS21" s="124"/>
      <c r="GT21" s="124"/>
      <c r="GU21" s="124"/>
      <c r="GV21" s="124"/>
      <c r="GW21" s="124"/>
      <c r="GX21" s="124"/>
      <c r="GY21" s="124"/>
      <c r="GZ21" s="124"/>
      <c r="HA21" s="124"/>
      <c r="HB21" s="124"/>
      <c r="HC21" s="124"/>
      <c r="HD21" s="124"/>
      <c r="HE21" s="124"/>
      <c r="HF21" s="124"/>
      <c r="HG21" s="124"/>
      <c r="HH21" s="124"/>
      <c r="HI21" s="124"/>
      <c r="HJ21" s="124"/>
      <c r="HK21" s="124"/>
      <c r="HL21" s="124"/>
      <c r="HM21" s="124"/>
      <c r="HN21" s="124"/>
      <c r="HO21" s="124"/>
      <c r="HP21" s="124"/>
      <c r="HQ21" s="124"/>
    </row>
    <row r="22" spans="1:225" x14ac:dyDescent="0.2">
      <c r="A22" s="122" t="s">
        <v>633</v>
      </c>
      <c r="B22" s="123">
        <v>7</v>
      </c>
      <c r="C22" s="124" t="s">
        <v>174</v>
      </c>
      <c r="D22" s="123">
        <v>13</v>
      </c>
      <c r="E22" s="124" t="s">
        <v>161</v>
      </c>
      <c r="F22" s="123">
        <v>2</v>
      </c>
      <c r="G22" s="123"/>
      <c r="H22" s="124"/>
      <c r="I22" s="124"/>
      <c r="J22" s="124"/>
      <c r="K22" s="124"/>
      <c r="L22" s="124"/>
      <c r="M22" s="124"/>
      <c r="N22" s="124"/>
      <c r="O22" s="124" t="s">
        <v>69</v>
      </c>
      <c r="P22" s="124" t="s">
        <v>634</v>
      </c>
      <c r="Q22" s="129"/>
      <c r="R22" s="129"/>
      <c r="S22" s="124"/>
      <c r="T22" s="124"/>
      <c r="U22" s="122">
        <v>0.6</v>
      </c>
      <c r="V22" s="132">
        <v>13.7</v>
      </c>
      <c r="W22" s="131">
        <v>7</v>
      </c>
      <c r="X22" s="132">
        <v>11.7</v>
      </c>
      <c r="Y22" s="131">
        <v>7</v>
      </c>
      <c r="Z22" s="132">
        <v>13.9</v>
      </c>
      <c r="AA22" s="131">
        <v>7</v>
      </c>
      <c r="AB22" s="132">
        <v>13.3</v>
      </c>
      <c r="AC22" s="131">
        <v>7</v>
      </c>
      <c r="AD22" s="132">
        <v>12.3</v>
      </c>
      <c r="AE22" s="131">
        <v>7</v>
      </c>
      <c r="AF22" s="132">
        <v>10.3</v>
      </c>
      <c r="AG22" s="131">
        <v>7</v>
      </c>
      <c r="AH22" s="132">
        <v>13.3</v>
      </c>
      <c r="AI22" s="131">
        <v>7</v>
      </c>
      <c r="AJ22" s="132">
        <v>13.3</v>
      </c>
      <c r="AK22" s="131">
        <v>7</v>
      </c>
      <c r="AL22" s="132">
        <v>10.3</v>
      </c>
      <c r="AM22" s="131">
        <v>7</v>
      </c>
      <c r="AN22" s="132">
        <v>11.7</v>
      </c>
      <c r="AO22" s="131">
        <v>7</v>
      </c>
      <c r="AP22" s="132">
        <v>11.7</v>
      </c>
      <c r="AQ22" s="131">
        <v>7</v>
      </c>
      <c r="AR22" s="132">
        <v>11.3</v>
      </c>
      <c r="AS22" s="131">
        <v>7</v>
      </c>
      <c r="AT22" s="132">
        <v>13.7</v>
      </c>
      <c r="AU22" s="131">
        <v>7</v>
      </c>
      <c r="AV22" s="132">
        <v>11.3</v>
      </c>
      <c r="AW22" s="131">
        <v>7</v>
      </c>
      <c r="AX22" s="132">
        <v>11.3</v>
      </c>
      <c r="AY22" s="131">
        <v>7</v>
      </c>
      <c r="AZ22" s="132">
        <v>12.7</v>
      </c>
      <c r="BA22" s="131">
        <v>7</v>
      </c>
      <c r="BB22" s="132">
        <v>12.8</v>
      </c>
      <c r="BC22" s="131">
        <v>7</v>
      </c>
      <c r="BD22" s="132">
        <v>13.3</v>
      </c>
      <c r="BE22" s="131">
        <v>7</v>
      </c>
      <c r="BF22" s="132">
        <v>11.8</v>
      </c>
      <c r="BG22" s="131">
        <v>7</v>
      </c>
      <c r="BH22" s="132">
        <v>10</v>
      </c>
      <c r="BI22" s="131">
        <v>7</v>
      </c>
      <c r="BJ22" s="132">
        <v>15</v>
      </c>
      <c r="BK22" s="131">
        <v>7</v>
      </c>
      <c r="BL22" s="132">
        <v>14.3</v>
      </c>
      <c r="BM22" s="131">
        <v>7</v>
      </c>
      <c r="BN22" s="132">
        <v>10.9</v>
      </c>
      <c r="BO22" s="131">
        <v>7</v>
      </c>
      <c r="BP22" s="132">
        <v>10</v>
      </c>
      <c r="BQ22" s="131">
        <v>7</v>
      </c>
      <c r="BR22" s="132">
        <v>10.7</v>
      </c>
      <c r="BS22" s="131">
        <v>7</v>
      </c>
      <c r="BT22" s="132">
        <v>12.7</v>
      </c>
      <c r="BU22" s="131">
        <v>7</v>
      </c>
      <c r="BV22" s="132">
        <v>13.6</v>
      </c>
      <c r="BW22" s="131">
        <v>7</v>
      </c>
      <c r="BX22" s="132">
        <v>10</v>
      </c>
      <c r="BY22" s="131">
        <v>7</v>
      </c>
      <c r="BZ22" s="132">
        <v>13.3</v>
      </c>
      <c r="CA22" s="131">
        <v>7</v>
      </c>
      <c r="CB22" s="132">
        <v>10.7</v>
      </c>
      <c r="CC22" s="131">
        <v>7</v>
      </c>
      <c r="CD22" s="132">
        <v>12.7</v>
      </c>
      <c r="CE22" s="131">
        <v>7</v>
      </c>
      <c r="CF22" s="132">
        <v>14.7</v>
      </c>
      <c r="CG22" s="131">
        <v>7</v>
      </c>
      <c r="CH22" s="132">
        <v>15</v>
      </c>
      <c r="CI22" s="131">
        <v>7</v>
      </c>
      <c r="CJ22" s="131">
        <v>11</v>
      </c>
      <c r="CK22" s="131">
        <v>7</v>
      </c>
      <c r="CL22" s="131">
        <v>11</v>
      </c>
      <c r="CM22" s="131">
        <v>7</v>
      </c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2">
        <v>0.6</v>
      </c>
      <c r="DV22" s="132">
        <v>13.7</v>
      </c>
      <c r="DW22" s="131">
        <v>7</v>
      </c>
      <c r="DX22" s="132">
        <v>11.7</v>
      </c>
      <c r="DY22" s="131">
        <v>7</v>
      </c>
      <c r="DZ22" s="132">
        <v>13.9</v>
      </c>
      <c r="EA22" s="131">
        <v>7</v>
      </c>
      <c r="EB22" s="132">
        <v>13.3</v>
      </c>
      <c r="EC22" s="131">
        <v>7</v>
      </c>
      <c r="ED22" s="132">
        <v>12.3</v>
      </c>
      <c r="EE22" s="131">
        <v>7</v>
      </c>
      <c r="EF22" s="132">
        <v>10.3</v>
      </c>
      <c r="EG22" s="131">
        <v>7</v>
      </c>
      <c r="EH22" s="132">
        <v>13.3</v>
      </c>
      <c r="EI22" s="131">
        <v>7</v>
      </c>
      <c r="EJ22" s="132">
        <v>13.3</v>
      </c>
      <c r="EK22" s="131">
        <v>7</v>
      </c>
      <c r="EL22" s="132">
        <v>10.3</v>
      </c>
      <c r="EM22" s="131">
        <v>7</v>
      </c>
      <c r="EN22" s="132">
        <v>11.7</v>
      </c>
      <c r="EO22" s="131">
        <v>7</v>
      </c>
      <c r="EP22" s="132">
        <v>11.7</v>
      </c>
      <c r="EQ22" s="131">
        <v>7</v>
      </c>
      <c r="ER22" s="132">
        <v>11.3</v>
      </c>
      <c r="ES22" s="131">
        <v>7</v>
      </c>
      <c r="ET22" s="132">
        <v>13.7</v>
      </c>
      <c r="EU22" s="131">
        <v>7</v>
      </c>
      <c r="EV22" s="132">
        <v>11.3</v>
      </c>
      <c r="EW22" s="131">
        <v>7</v>
      </c>
      <c r="EX22" s="132">
        <v>11.3</v>
      </c>
      <c r="EY22" s="131">
        <v>7</v>
      </c>
      <c r="EZ22" s="132">
        <v>12.7</v>
      </c>
      <c r="FA22" s="131">
        <v>7</v>
      </c>
      <c r="FB22" s="132">
        <v>12.8</v>
      </c>
      <c r="FC22" s="131">
        <v>7</v>
      </c>
      <c r="FD22" s="132">
        <v>13.3</v>
      </c>
      <c r="FE22" s="131">
        <v>7</v>
      </c>
      <c r="FF22" s="132">
        <v>11.8</v>
      </c>
      <c r="FG22" s="131">
        <v>7</v>
      </c>
      <c r="FH22" s="132">
        <v>10</v>
      </c>
      <c r="FI22" s="131">
        <v>7</v>
      </c>
      <c r="FJ22" s="132">
        <v>15</v>
      </c>
      <c r="FK22" s="131">
        <v>7</v>
      </c>
      <c r="FL22" s="132">
        <v>14.3</v>
      </c>
      <c r="FM22" s="131">
        <v>7</v>
      </c>
      <c r="FN22" s="132">
        <v>10.9</v>
      </c>
      <c r="FO22" s="131">
        <v>7</v>
      </c>
      <c r="FP22" s="132">
        <v>10</v>
      </c>
      <c r="FQ22" s="131">
        <v>7</v>
      </c>
      <c r="FR22" s="132">
        <v>10.7</v>
      </c>
      <c r="FS22" s="131">
        <v>7</v>
      </c>
      <c r="FT22" s="132">
        <v>12.7</v>
      </c>
      <c r="FU22" s="131">
        <v>7</v>
      </c>
      <c r="FV22" s="132">
        <v>13.6</v>
      </c>
      <c r="FW22" s="131">
        <v>7</v>
      </c>
      <c r="FX22" s="132">
        <v>10</v>
      </c>
      <c r="FY22" s="131">
        <v>7</v>
      </c>
      <c r="FZ22" s="132">
        <v>13.3</v>
      </c>
      <c r="GA22" s="131">
        <v>7</v>
      </c>
      <c r="GB22" s="132">
        <v>10.7</v>
      </c>
      <c r="GC22" s="131">
        <v>7</v>
      </c>
      <c r="GD22" s="132">
        <v>12.7</v>
      </c>
      <c r="GE22" s="131">
        <v>7</v>
      </c>
      <c r="GF22" s="132">
        <v>14.7</v>
      </c>
      <c r="GG22" s="131">
        <v>7</v>
      </c>
      <c r="GH22" s="132">
        <v>15</v>
      </c>
      <c r="GI22" s="131">
        <v>7</v>
      </c>
      <c r="GJ22" s="131">
        <v>11</v>
      </c>
      <c r="GK22" s="131">
        <v>7</v>
      </c>
      <c r="GL22" s="131">
        <v>11</v>
      </c>
      <c r="GM22" s="131">
        <v>7</v>
      </c>
      <c r="GN22" s="124"/>
      <c r="GO22" s="124"/>
      <c r="GP22" s="124"/>
      <c r="GQ22" s="124"/>
      <c r="GR22" s="124"/>
      <c r="GS22" s="124"/>
      <c r="GT22" s="124"/>
      <c r="GU22" s="124"/>
      <c r="GV22" s="124"/>
      <c r="GW22" s="124"/>
      <c r="GX22" s="124"/>
      <c r="GY22" s="124"/>
      <c r="GZ22" s="124"/>
      <c r="HA22" s="124"/>
      <c r="HB22" s="124"/>
      <c r="HC22" s="124"/>
      <c r="HD22" s="124"/>
      <c r="HE22" s="124"/>
      <c r="HF22" s="124"/>
      <c r="HG22" s="124"/>
      <c r="HH22" s="124"/>
      <c r="HI22" s="124"/>
      <c r="HJ22" s="124"/>
      <c r="HK22" s="124"/>
      <c r="HL22" s="124"/>
      <c r="HM22" s="124"/>
      <c r="HN22" s="124"/>
      <c r="HO22" s="124"/>
      <c r="HP22" s="124"/>
      <c r="HQ22" s="124"/>
    </row>
    <row r="23" spans="1:225" x14ac:dyDescent="0.2">
      <c r="A23" s="122" t="s">
        <v>635</v>
      </c>
      <c r="B23" s="123">
        <v>7</v>
      </c>
      <c r="C23" s="124" t="s">
        <v>175</v>
      </c>
      <c r="D23" s="123">
        <v>14</v>
      </c>
      <c r="E23" s="124" t="s">
        <v>161</v>
      </c>
      <c r="F23" s="123">
        <v>3</v>
      </c>
      <c r="G23" s="123"/>
      <c r="H23" s="124"/>
      <c r="I23" s="124"/>
      <c r="J23" s="124"/>
      <c r="K23" s="124"/>
      <c r="L23" s="124"/>
      <c r="M23" s="124"/>
      <c r="N23" s="124"/>
      <c r="O23" s="124" t="s">
        <v>88</v>
      </c>
      <c r="P23" s="124" t="s">
        <v>636</v>
      </c>
      <c r="Q23" s="129"/>
      <c r="R23" s="129"/>
      <c r="S23" s="124"/>
      <c r="T23" s="124"/>
      <c r="U23" s="122">
        <v>0.7</v>
      </c>
      <c r="V23" s="132">
        <v>14.7</v>
      </c>
      <c r="W23" s="131">
        <v>8</v>
      </c>
      <c r="X23" s="132">
        <v>12</v>
      </c>
      <c r="Y23" s="131">
        <v>8</v>
      </c>
      <c r="Z23" s="132">
        <v>14.7</v>
      </c>
      <c r="AA23" s="131">
        <v>8</v>
      </c>
      <c r="AB23" s="132">
        <v>14</v>
      </c>
      <c r="AC23" s="131">
        <v>8</v>
      </c>
      <c r="AD23" s="132">
        <v>13</v>
      </c>
      <c r="AE23" s="131">
        <v>8</v>
      </c>
      <c r="AF23" s="132">
        <v>11.3</v>
      </c>
      <c r="AG23" s="131">
        <v>8</v>
      </c>
      <c r="AH23" s="132">
        <v>14</v>
      </c>
      <c r="AI23" s="131">
        <v>8</v>
      </c>
      <c r="AJ23" s="132">
        <v>13.7</v>
      </c>
      <c r="AK23" s="131">
        <v>8</v>
      </c>
      <c r="AL23" s="132">
        <v>11</v>
      </c>
      <c r="AM23" s="131">
        <v>8</v>
      </c>
      <c r="AN23" s="132">
        <v>12</v>
      </c>
      <c r="AO23" s="131">
        <v>8</v>
      </c>
      <c r="AP23" s="132">
        <v>12.7</v>
      </c>
      <c r="AQ23" s="131">
        <v>8</v>
      </c>
      <c r="AR23" s="132">
        <v>12.2</v>
      </c>
      <c r="AS23" s="131">
        <v>8</v>
      </c>
      <c r="AT23" s="132">
        <v>14.3</v>
      </c>
      <c r="AU23" s="131">
        <v>8</v>
      </c>
      <c r="AV23" s="132">
        <v>12.3</v>
      </c>
      <c r="AW23" s="131">
        <v>8</v>
      </c>
      <c r="AX23" s="132">
        <v>12</v>
      </c>
      <c r="AY23" s="131">
        <v>8</v>
      </c>
      <c r="AZ23" s="132">
        <v>13.3</v>
      </c>
      <c r="BA23" s="131">
        <v>8</v>
      </c>
      <c r="BB23" s="132">
        <v>13.5</v>
      </c>
      <c r="BC23" s="131">
        <v>8</v>
      </c>
      <c r="BD23" s="132">
        <v>14</v>
      </c>
      <c r="BE23" s="131">
        <v>8</v>
      </c>
      <c r="BF23" s="132">
        <v>12.5</v>
      </c>
      <c r="BG23" s="131">
        <v>8</v>
      </c>
      <c r="BH23" s="132">
        <v>11</v>
      </c>
      <c r="BI23" s="131">
        <v>8</v>
      </c>
      <c r="BJ23" s="132">
        <v>15.7</v>
      </c>
      <c r="BK23" s="131">
        <v>8</v>
      </c>
      <c r="BL23" s="132">
        <v>15.3</v>
      </c>
      <c r="BM23" s="131">
        <v>8</v>
      </c>
      <c r="BN23" s="132">
        <v>11.9</v>
      </c>
      <c r="BO23" s="131">
        <v>8</v>
      </c>
      <c r="BP23" s="132">
        <v>10.7</v>
      </c>
      <c r="BQ23" s="131">
        <v>8</v>
      </c>
      <c r="BR23" s="132">
        <v>11.3</v>
      </c>
      <c r="BS23" s="131">
        <v>8</v>
      </c>
      <c r="BT23" s="132">
        <v>13.7</v>
      </c>
      <c r="BU23" s="131">
        <v>8</v>
      </c>
      <c r="BV23" s="132">
        <v>14.3</v>
      </c>
      <c r="BW23" s="131">
        <v>8</v>
      </c>
      <c r="BX23" s="132">
        <v>10.7</v>
      </c>
      <c r="BY23" s="131">
        <v>8</v>
      </c>
      <c r="BZ23" s="132">
        <v>14</v>
      </c>
      <c r="CA23" s="131">
        <v>8</v>
      </c>
      <c r="CB23" s="132">
        <v>11.7</v>
      </c>
      <c r="CC23" s="131">
        <v>8</v>
      </c>
      <c r="CD23" s="132">
        <v>13.7</v>
      </c>
      <c r="CE23" s="131">
        <v>8</v>
      </c>
      <c r="CF23" s="132">
        <v>15</v>
      </c>
      <c r="CG23" s="131">
        <v>8</v>
      </c>
      <c r="CH23" s="132">
        <v>15.7</v>
      </c>
      <c r="CI23" s="131">
        <v>8</v>
      </c>
      <c r="CJ23" s="131">
        <v>12</v>
      </c>
      <c r="CK23" s="131">
        <v>8</v>
      </c>
      <c r="CL23" s="131">
        <v>12</v>
      </c>
      <c r="CM23" s="131">
        <v>8</v>
      </c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2">
        <v>0.7</v>
      </c>
      <c r="DV23" s="132">
        <v>14.7</v>
      </c>
      <c r="DW23" s="131">
        <v>8</v>
      </c>
      <c r="DX23" s="132">
        <v>12</v>
      </c>
      <c r="DY23" s="131">
        <v>8</v>
      </c>
      <c r="DZ23" s="132">
        <v>14.7</v>
      </c>
      <c r="EA23" s="131">
        <v>8</v>
      </c>
      <c r="EB23" s="132">
        <v>14</v>
      </c>
      <c r="EC23" s="131">
        <v>8</v>
      </c>
      <c r="ED23" s="132">
        <v>13</v>
      </c>
      <c r="EE23" s="131">
        <v>8</v>
      </c>
      <c r="EF23" s="132">
        <v>11.3</v>
      </c>
      <c r="EG23" s="131">
        <v>8</v>
      </c>
      <c r="EH23" s="132">
        <v>14</v>
      </c>
      <c r="EI23" s="131">
        <v>8</v>
      </c>
      <c r="EJ23" s="132">
        <v>13.7</v>
      </c>
      <c r="EK23" s="131">
        <v>8</v>
      </c>
      <c r="EL23" s="132">
        <v>11</v>
      </c>
      <c r="EM23" s="131">
        <v>8</v>
      </c>
      <c r="EN23" s="132">
        <v>12</v>
      </c>
      <c r="EO23" s="131">
        <v>8</v>
      </c>
      <c r="EP23" s="132">
        <v>12.7</v>
      </c>
      <c r="EQ23" s="131">
        <v>8</v>
      </c>
      <c r="ER23" s="132">
        <v>12.2</v>
      </c>
      <c r="ES23" s="131">
        <v>8</v>
      </c>
      <c r="ET23" s="132">
        <v>14.3</v>
      </c>
      <c r="EU23" s="131">
        <v>8</v>
      </c>
      <c r="EV23" s="132">
        <v>12.3</v>
      </c>
      <c r="EW23" s="131">
        <v>8</v>
      </c>
      <c r="EX23" s="132">
        <v>12</v>
      </c>
      <c r="EY23" s="131">
        <v>8</v>
      </c>
      <c r="EZ23" s="132">
        <v>13.3</v>
      </c>
      <c r="FA23" s="131">
        <v>8</v>
      </c>
      <c r="FB23" s="132">
        <v>13.5</v>
      </c>
      <c r="FC23" s="131">
        <v>8</v>
      </c>
      <c r="FD23" s="132">
        <v>14</v>
      </c>
      <c r="FE23" s="131">
        <v>8</v>
      </c>
      <c r="FF23" s="132">
        <v>12.5</v>
      </c>
      <c r="FG23" s="131">
        <v>8</v>
      </c>
      <c r="FH23" s="132">
        <v>11</v>
      </c>
      <c r="FI23" s="131">
        <v>8</v>
      </c>
      <c r="FJ23" s="132">
        <v>15.7</v>
      </c>
      <c r="FK23" s="131">
        <v>8</v>
      </c>
      <c r="FL23" s="132">
        <v>15.3</v>
      </c>
      <c r="FM23" s="131">
        <v>8</v>
      </c>
      <c r="FN23" s="132">
        <v>11.9</v>
      </c>
      <c r="FO23" s="131">
        <v>8</v>
      </c>
      <c r="FP23" s="132">
        <v>10.7</v>
      </c>
      <c r="FQ23" s="131">
        <v>8</v>
      </c>
      <c r="FR23" s="132">
        <v>11.3</v>
      </c>
      <c r="FS23" s="131">
        <v>8</v>
      </c>
      <c r="FT23" s="132">
        <v>13.7</v>
      </c>
      <c r="FU23" s="131">
        <v>8</v>
      </c>
      <c r="FV23" s="132">
        <v>14.3</v>
      </c>
      <c r="FW23" s="131">
        <v>8</v>
      </c>
      <c r="FX23" s="132">
        <v>10.7</v>
      </c>
      <c r="FY23" s="131">
        <v>8</v>
      </c>
      <c r="FZ23" s="132">
        <v>14</v>
      </c>
      <c r="GA23" s="131">
        <v>8</v>
      </c>
      <c r="GB23" s="132">
        <v>11.7</v>
      </c>
      <c r="GC23" s="131">
        <v>8</v>
      </c>
      <c r="GD23" s="132">
        <v>13.7</v>
      </c>
      <c r="GE23" s="131">
        <v>8</v>
      </c>
      <c r="GF23" s="132">
        <v>15</v>
      </c>
      <c r="GG23" s="131">
        <v>8</v>
      </c>
      <c r="GH23" s="132">
        <v>15.7</v>
      </c>
      <c r="GI23" s="131">
        <v>8</v>
      </c>
      <c r="GJ23" s="131">
        <v>12</v>
      </c>
      <c r="GK23" s="131">
        <v>8</v>
      </c>
      <c r="GL23" s="131">
        <v>12</v>
      </c>
      <c r="GM23" s="131">
        <v>8</v>
      </c>
      <c r="GN23" s="124"/>
      <c r="GO23" s="124"/>
      <c r="GP23" s="124"/>
      <c r="GQ23" s="124"/>
      <c r="GR23" s="124"/>
      <c r="GS23" s="124"/>
      <c r="GT23" s="124"/>
      <c r="GU23" s="124"/>
      <c r="GV23" s="124"/>
      <c r="GW23" s="124"/>
      <c r="GX23" s="124"/>
      <c r="GY23" s="124"/>
      <c r="GZ23" s="124"/>
      <c r="HA23" s="124"/>
      <c r="HB23" s="124"/>
      <c r="HC23" s="124"/>
      <c r="HD23" s="124"/>
      <c r="HE23" s="124"/>
      <c r="HF23" s="124"/>
      <c r="HG23" s="124"/>
      <c r="HH23" s="124"/>
      <c r="HI23" s="124"/>
      <c r="HJ23" s="124"/>
      <c r="HK23" s="124"/>
      <c r="HL23" s="124"/>
      <c r="HM23" s="124"/>
      <c r="HN23" s="124"/>
      <c r="HO23" s="124"/>
      <c r="HP23" s="124"/>
      <c r="HQ23" s="124"/>
    </row>
    <row r="24" spans="1:225" x14ac:dyDescent="0.2">
      <c r="A24" s="122" t="s">
        <v>637</v>
      </c>
      <c r="B24" s="123">
        <v>8</v>
      </c>
      <c r="C24" s="137" t="s">
        <v>176</v>
      </c>
      <c r="D24" s="123">
        <v>15</v>
      </c>
      <c r="E24" s="124" t="s">
        <v>161</v>
      </c>
      <c r="F24" s="123">
        <v>5</v>
      </c>
      <c r="G24" s="123"/>
      <c r="H24" s="124"/>
      <c r="I24" s="124"/>
      <c r="J24" s="124"/>
      <c r="K24" s="124"/>
      <c r="L24" s="124"/>
      <c r="M24" s="124"/>
      <c r="N24" s="124"/>
      <c r="O24" s="124" t="s">
        <v>94</v>
      </c>
      <c r="P24" s="124" t="s">
        <v>638</v>
      </c>
      <c r="Q24" s="129"/>
      <c r="R24" s="129"/>
      <c r="S24" s="124"/>
      <c r="T24" s="124"/>
      <c r="U24" s="122">
        <v>0.8</v>
      </c>
      <c r="V24" s="132">
        <v>15.7</v>
      </c>
      <c r="W24" s="131">
        <v>9</v>
      </c>
      <c r="X24" s="132">
        <v>13</v>
      </c>
      <c r="Y24" s="131">
        <v>9</v>
      </c>
      <c r="Z24" s="132">
        <v>15.3</v>
      </c>
      <c r="AA24" s="131">
        <v>9</v>
      </c>
      <c r="AB24" s="132">
        <v>14.7</v>
      </c>
      <c r="AC24" s="131">
        <v>9</v>
      </c>
      <c r="AD24" s="132">
        <v>14</v>
      </c>
      <c r="AE24" s="131">
        <v>9</v>
      </c>
      <c r="AF24" s="132">
        <v>12</v>
      </c>
      <c r="AG24" s="131">
        <v>9</v>
      </c>
      <c r="AH24" s="132">
        <v>15</v>
      </c>
      <c r="AI24" s="131">
        <v>9</v>
      </c>
      <c r="AJ24" s="132">
        <v>14.7</v>
      </c>
      <c r="AK24" s="131">
        <v>9</v>
      </c>
      <c r="AL24" s="132">
        <v>12</v>
      </c>
      <c r="AM24" s="131">
        <v>9</v>
      </c>
      <c r="AN24" s="132">
        <v>13</v>
      </c>
      <c r="AO24" s="131">
        <v>9</v>
      </c>
      <c r="AP24" s="132">
        <v>13.3</v>
      </c>
      <c r="AQ24" s="131">
        <v>9</v>
      </c>
      <c r="AR24" s="132">
        <v>13.3</v>
      </c>
      <c r="AS24" s="131">
        <v>9</v>
      </c>
      <c r="AT24" s="132">
        <v>15</v>
      </c>
      <c r="AU24" s="131">
        <v>9</v>
      </c>
      <c r="AV24" s="132">
        <v>13.3</v>
      </c>
      <c r="AW24" s="131">
        <v>9</v>
      </c>
      <c r="AX24" s="132">
        <v>13.1</v>
      </c>
      <c r="AY24" s="131">
        <v>9</v>
      </c>
      <c r="AZ24" s="132">
        <v>14.3</v>
      </c>
      <c r="BA24" s="131">
        <v>9</v>
      </c>
      <c r="BB24" s="132">
        <v>14.3</v>
      </c>
      <c r="BC24" s="131">
        <v>9</v>
      </c>
      <c r="BD24" s="132">
        <v>14.8</v>
      </c>
      <c r="BE24" s="131">
        <v>9</v>
      </c>
      <c r="BF24" s="132">
        <v>13.5</v>
      </c>
      <c r="BG24" s="131">
        <v>9</v>
      </c>
      <c r="BH24" s="132">
        <v>11.7</v>
      </c>
      <c r="BI24" s="131">
        <v>9</v>
      </c>
      <c r="BJ24" s="132">
        <v>16.7</v>
      </c>
      <c r="BK24" s="131">
        <v>9</v>
      </c>
      <c r="BL24" s="132">
        <v>16</v>
      </c>
      <c r="BM24" s="131">
        <v>9</v>
      </c>
      <c r="BN24" s="132">
        <v>13</v>
      </c>
      <c r="BO24" s="131">
        <v>9</v>
      </c>
      <c r="BP24" s="132">
        <v>12</v>
      </c>
      <c r="BQ24" s="131">
        <v>9</v>
      </c>
      <c r="BR24" s="132">
        <v>13</v>
      </c>
      <c r="BS24" s="131">
        <v>9</v>
      </c>
      <c r="BT24" s="132">
        <v>14.3</v>
      </c>
      <c r="BU24" s="131">
        <v>9</v>
      </c>
      <c r="BV24" s="132">
        <v>15</v>
      </c>
      <c r="BW24" s="131">
        <v>9</v>
      </c>
      <c r="BX24" s="132">
        <v>11.7</v>
      </c>
      <c r="BY24" s="131">
        <v>9</v>
      </c>
      <c r="BZ24" s="132">
        <v>15</v>
      </c>
      <c r="CA24" s="131">
        <v>9</v>
      </c>
      <c r="CB24" s="132">
        <v>12.7</v>
      </c>
      <c r="CC24" s="131">
        <v>9</v>
      </c>
      <c r="CD24" s="132">
        <v>14.7</v>
      </c>
      <c r="CE24" s="131">
        <v>9</v>
      </c>
      <c r="CF24" s="132">
        <v>15.7</v>
      </c>
      <c r="CG24" s="131">
        <v>9</v>
      </c>
      <c r="CH24" s="132">
        <v>16.3</v>
      </c>
      <c r="CI24" s="131">
        <v>9</v>
      </c>
      <c r="CJ24" s="131">
        <v>12</v>
      </c>
      <c r="CK24" s="131">
        <v>9</v>
      </c>
      <c r="CL24" s="131">
        <v>13</v>
      </c>
      <c r="CM24" s="131">
        <v>9</v>
      </c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2">
        <v>0.8</v>
      </c>
      <c r="DV24" s="132">
        <v>15.7</v>
      </c>
      <c r="DW24" s="131">
        <v>9</v>
      </c>
      <c r="DX24" s="132">
        <v>13</v>
      </c>
      <c r="DY24" s="131">
        <v>9</v>
      </c>
      <c r="DZ24" s="132">
        <v>15.3</v>
      </c>
      <c r="EA24" s="131">
        <v>9</v>
      </c>
      <c r="EB24" s="132">
        <v>14.7</v>
      </c>
      <c r="EC24" s="131">
        <v>9</v>
      </c>
      <c r="ED24" s="132">
        <v>14</v>
      </c>
      <c r="EE24" s="131">
        <v>9</v>
      </c>
      <c r="EF24" s="132">
        <v>12</v>
      </c>
      <c r="EG24" s="131">
        <v>9</v>
      </c>
      <c r="EH24" s="132">
        <v>15</v>
      </c>
      <c r="EI24" s="131">
        <v>9</v>
      </c>
      <c r="EJ24" s="132">
        <v>14.7</v>
      </c>
      <c r="EK24" s="131">
        <v>9</v>
      </c>
      <c r="EL24" s="132">
        <v>12</v>
      </c>
      <c r="EM24" s="131">
        <v>9</v>
      </c>
      <c r="EN24" s="132">
        <v>13</v>
      </c>
      <c r="EO24" s="131">
        <v>9</v>
      </c>
      <c r="EP24" s="132">
        <v>13.3</v>
      </c>
      <c r="EQ24" s="131">
        <v>9</v>
      </c>
      <c r="ER24" s="132">
        <v>13.3</v>
      </c>
      <c r="ES24" s="131">
        <v>9</v>
      </c>
      <c r="ET24" s="132">
        <v>15</v>
      </c>
      <c r="EU24" s="131">
        <v>9</v>
      </c>
      <c r="EV24" s="132">
        <v>13.3</v>
      </c>
      <c r="EW24" s="131">
        <v>9</v>
      </c>
      <c r="EX24" s="132">
        <v>13.1</v>
      </c>
      <c r="EY24" s="131">
        <v>9</v>
      </c>
      <c r="EZ24" s="132">
        <v>14.3</v>
      </c>
      <c r="FA24" s="131">
        <v>9</v>
      </c>
      <c r="FB24" s="132">
        <v>14.3</v>
      </c>
      <c r="FC24" s="131">
        <v>9</v>
      </c>
      <c r="FD24" s="132">
        <v>14.8</v>
      </c>
      <c r="FE24" s="131">
        <v>9</v>
      </c>
      <c r="FF24" s="132">
        <v>13.5</v>
      </c>
      <c r="FG24" s="131">
        <v>9</v>
      </c>
      <c r="FH24" s="132">
        <v>11.7</v>
      </c>
      <c r="FI24" s="131">
        <v>9</v>
      </c>
      <c r="FJ24" s="132">
        <v>16.7</v>
      </c>
      <c r="FK24" s="131">
        <v>9</v>
      </c>
      <c r="FL24" s="132">
        <v>16</v>
      </c>
      <c r="FM24" s="131">
        <v>9</v>
      </c>
      <c r="FN24" s="132">
        <v>13</v>
      </c>
      <c r="FO24" s="131">
        <v>9</v>
      </c>
      <c r="FP24" s="132">
        <v>12</v>
      </c>
      <c r="FQ24" s="131">
        <v>9</v>
      </c>
      <c r="FR24" s="132">
        <v>13</v>
      </c>
      <c r="FS24" s="131">
        <v>9</v>
      </c>
      <c r="FT24" s="132">
        <v>14.3</v>
      </c>
      <c r="FU24" s="131">
        <v>9</v>
      </c>
      <c r="FV24" s="132">
        <v>15</v>
      </c>
      <c r="FW24" s="131">
        <v>9</v>
      </c>
      <c r="FX24" s="132">
        <v>11.7</v>
      </c>
      <c r="FY24" s="131">
        <v>9</v>
      </c>
      <c r="FZ24" s="132">
        <v>15</v>
      </c>
      <c r="GA24" s="131">
        <v>9</v>
      </c>
      <c r="GB24" s="132">
        <v>12.7</v>
      </c>
      <c r="GC24" s="131">
        <v>9</v>
      </c>
      <c r="GD24" s="132">
        <v>14.7</v>
      </c>
      <c r="GE24" s="131">
        <v>9</v>
      </c>
      <c r="GF24" s="132">
        <v>15.7</v>
      </c>
      <c r="GG24" s="131">
        <v>9</v>
      </c>
      <c r="GH24" s="132">
        <v>16.3</v>
      </c>
      <c r="GI24" s="131">
        <v>9</v>
      </c>
      <c r="GJ24" s="131">
        <v>12</v>
      </c>
      <c r="GK24" s="131">
        <v>9</v>
      </c>
      <c r="GL24" s="131">
        <v>13</v>
      </c>
      <c r="GM24" s="131">
        <v>9</v>
      </c>
      <c r="GN24" s="124"/>
      <c r="GO24" s="124"/>
      <c r="GP24" s="124"/>
      <c r="GQ24" s="124"/>
      <c r="GR24" s="124"/>
      <c r="GS24" s="124"/>
      <c r="GT24" s="124"/>
      <c r="GU24" s="124"/>
      <c r="GV24" s="124"/>
      <c r="GW24" s="124"/>
      <c r="GX24" s="124"/>
      <c r="GY24" s="124"/>
      <c r="GZ24" s="124"/>
      <c r="HA24" s="124"/>
      <c r="HB24" s="124"/>
      <c r="HC24" s="124"/>
      <c r="HD24" s="124"/>
      <c r="HE24" s="124"/>
      <c r="HF24" s="124"/>
      <c r="HG24" s="124"/>
      <c r="HH24" s="124"/>
      <c r="HI24" s="124"/>
      <c r="HJ24" s="124"/>
      <c r="HK24" s="124"/>
      <c r="HL24" s="124"/>
      <c r="HM24" s="124"/>
      <c r="HN24" s="124"/>
      <c r="HO24" s="124"/>
      <c r="HP24" s="124"/>
      <c r="HQ24" s="124"/>
    </row>
    <row r="25" spans="1:225" x14ac:dyDescent="0.2">
      <c r="A25" s="122" t="s">
        <v>639</v>
      </c>
      <c r="B25" s="123">
        <v>8</v>
      </c>
      <c r="C25" s="124" t="s">
        <v>177</v>
      </c>
      <c r="D25" s="123">
        <v>16</v>
      </c>
      <c r="E25" s="124" t="s">
        <v>161</v>
      </c>
      <c r="F25" s="123">
        <v>5</v>
      </c>
      <c r="G25" s="123"/>
      <c r="H25" s="124"/>
      <c r="I25" s="124"/>
      <c r="J25" s="124"/>
      <c r="K25" s="124"/>
      <c r="L25" s="124"/>
      <c r="M25" s="124"/>
      <c r="N25" s="124"/>
      <c r="O25" s="124" t="s">
        <v>76</v>
      </c>
      <c r="P25" s="124" t="s">
        <v>640</v>
      </c>
      <c r="Q25" s="129"/>
      <c r="R25" s="129"/>
      <c r="S25" s="124"/>
      <c r="T25" s="124"/>
      <c r="U25" s="122">
        <v>0.9</v>
      </c>
      <c r="V25" s="132">
        <v>16.7</v>
      </c>
      <c r="W25" s="131">
        <v>10</v>
      </c>
      <c r="X25" s="132">
        <v>14.3</v>
      </c>
      <c r="Y25" s="131">
        <v>10</v>
      </c>
      <c r="Z25" s="132">
        <v>16.399999999999999</v>
      </c>
      <c r="AA25" s="131">
        <v>10</v>
      </c>
      <c r="AB25" s="132">
        <v>15.7</v>
      </c>
      <c r="AC25" s="131">
        <v>10</v>
      </c>
      <c r="AD25" s="132">
        <v>15.3</v>
      </c>
      <c r="AE25" s="131">
        <v>10</v>
      </c>
      <c r="AF25" s="132">
        <v>13</v>
      </c>
      <c r="AG25" s="131">
        <v>10</v>
      </c>
      <c r="AH25" s="132">
        <v>16</v>
      </c>
      <c r="AI25" s="131">
        <v>10</v>
      </c>
      <c r="AJ25" s="132">
        <v>16.100000000000001</v>
      </c>
      <c r="AK25" s="131">
        <v>10</v>
      </c>
      <c r="AL25" s="132">
        <v>13.7</v>
      </c>
      <c r="AM25" s="131">
        <v>10</v>
      </c>
      <c r="AN25" s="132">
        <v>14.3</v>
      </c>
      <c r="AO25" s="131">
        <v>10</v>
      </c>
      <c r="AP25" s="132">
        <v>14.7</v>
      </c>
      <c r="AQ25" s="131">
        <v>10</v>
      </c>
      <c r="AR25" s="132">
        <v>14</v>
      </c>
      <c r="AS25" s="131">
        <v>10</v>
      </c>
      <c r="AT25" s="132">
        <v>16.3</v>
      </c>
      <c r="AU25" s="131">
        <v>10</v>
      </c>
      <c r="AV25" s="132">
        <v>14.7</v>
      </c>
      <c r="AW25" s="131">
        <v>10</v>
      </c>
      <c r="AX25" s="132">
        <v>13.7</v>
      </c>
      <c r="AY25" s="131">
        <v>10</v>
      </c>
      <c r="AZ25" s="132">
        <v>15.3</v>
      </c>
      <c r="BA25" s="131">
        <v>10</v>
      </c>
      <c r="BB25" s="132">
        <v>15.3</v>
      </c>
      <c r="BC25" s="131">
        <v>10</v>
      </c>
      <c r="BD25" s="132">
        <v>15.8</v>
      </c>
      <c r="BE25" s="131">
        <v>10</v>
      </c>
      <c r="BF25" s="132">
        <v>15</v>
      </c>
      <c r="BG25" s="131">
        <v>10</v>
      </c>
      <c r="BH25" s="132">
        <v>12.7</v>
      </c>
      <c r="BI25" s="131">
        <v>10</v>
      </c>
      <c r="BJ25" s="132">
        <v>17.399999999999999</v>
      </c>
      <c r="BK25" s="131">
        <v>10</v>
      </c>
      <c r="BL25" s="132">
        <v>17.3</v>
      </c>
      <c r="BM25" s="131">
        <v>10</v>
      </c>
      <c r="BN25" s="132">
        <v>14.3</v>
      </c>
      <c r="BO25" s="131">
        <v>10</v>
      </c>
      <c r="BP25" s="132">
        <v>13.7</v>
      </c>
      <c r="BQ25" s="131">
        <v>10</v>
      </c>
      <c r="BR25" s="132">
        <v>14.3</v>
      </c>
      <c r="BS25" s="131">
        <v>10</v>
      </c>
      <c r="BT25" s="132">
        <v>15.3</v>
      </c>
      <c r="BU25" s="131">
        <v>10</v>
      </c>
      <c r="BV25" s="132">
        <v>16</v>
      </c>
      <c r="BW25" s="131">
        <v>10</v>
      </c>
      <c r="BX25" s="132">
        <v>12.7</v>
      </c>
      <c r="BY25" s="131">
        <v>10</v>
      </c>
      <c r="BZ25" s="132">
        <v>16.7</v>
      </c>
      <c r="CA25" s="131">
        <v>10</v>
      </c>
      <c r="CB25" s="132">
        <v>13.7</v>
      </c>
      <c r="CC25" s="131">
        <v>10</v>
      </c>
      <c r="CD25" s="132">
        <v>16</v>
      </c>
      <c r="CE25" s="131">
        <v>10</v>
      </c>
      <c r="CF25" s="132">
        <v>16.7</v>
      </c>
      <c r="CG25" s="131">
        <v>10</v>
      </c>
      <c r="CH25" s="132">
        <v>17.7</v>
      </c>
      <c r="CI25" s="131">
        <v>10</v>
      </c>
      <c r="CJ25" s="124">
        <v>13.6666667</v>
      </c>
      <c r="CK25" s="131">
        <v>18</v>
      </c>
      <c r="CL25" s="124">
        <v>14.5</v>
      </c>
      <c r="CM25" s="131">
        <v>18</v>
      </c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2">
        <v>0.9</v>
      </c>
      <c r="DV25" s="132">
        <v>16.7</v>
      </c>
      <c r="DW25" s="131">
        <v>10</v>
      </c>
      <c r="DX25" s="132">
        <v>14.3</v>
      </c>
      <c r="DY25" s="131">
        <v>10</v>
      </c>
      <c r="DZ25" s="132">
        <v>16.399999999999999</v>
      </c>
      <c r="EA25" s="131">
        <v>10</v>
      </c>
      <c r="EB25" s="132">
        <v>15.7</v>
      </c>
      <c r="EC25" s="131">
        <v>10</v>
      </c>
      <c r="ED25" s="132">
        <v>15.3</v>
      </c>
      <c r="EE25" s="131">
        <v>10</v>
      </c>
      <c r="EF25" s="132">
        <v>13</v>
      </c>
      <c r="EG25" s="131">
        <v>10</v>
      </c>
      <c r="EH25" s="132">
        <v>16</v>
      </c>
      <c r="EI25" s="131">
        <v>10</v>
      </c>
      <c r="EJ25" s="132">
        <v>16.100000000000001</v>
      </c>
      <c r="EK25" s="131">
        <v>10</v>
      </c>
      <c r="EL25" s="132">
        <v>13.7</v>
      </c>
      <c r="EM25" s="131">
        <v>10</v>
      </c>
      <c r="EN25" s="132">
        <v>14.3</v>
      </c>
      <c r="EO25" s="131">
        <v>10</v>
      </c>
      <c r="EP25" s="132">
        <v>14.7</v>
      </c>
      <c r="EQ25" s="131">
        <v>10</v>
      </c>
      <c r="ER25" s="132">
        <v>14</v>
      </c>
      <c r="ES25" s="131">
        <v>10</v>
      </c>
      <c r="ET25" s="132">
        <v>16.3</v>
      </c>
      <c r="EU25" s="131">
        <v>10</v>
      </c>
      <c r="EV25" s="132">
        <v>14.7</v>
      </c>
      <c r="EW25" s="131">
        <v>10</v>
      </c>
      <c r="EX25" s="132">
        <v>13.7</v>
      </c>
      <c r="EY25" s="131">
        <v>10</v>
      </c>
      <c r="EZ25" s="132">
        <v>15.3</v>
      </c>
      <c r="FA25" s="131">
        <v>10</v>
      </c>
      <c r="FB25" s="132">
        <v>15.3</v>
      </c>
      <c r="FC25" s="131">
        <v>10</v>
      </c>
      <c r="FD25" s="132">
        <v>15.8</v>
      </c>
      <c r="FE25" s="131">
        <v>10</v>
      </c>
      <c r="FF25" s="132">
        <v>15</v>
      </c>
      <c r="FG25" s="131">
        <v>10</v>
      </c>
      <c r="FH25" s="132">
        <v>12.7</v>
      </c>
      <c r="FI25" s="131">
        <v>10</v>
      </c>
      <c r="FJ25" s="132">
        <v>17.399999999999999</v>
      </c>
      <c r="FK25" s="131">
        <v>10</v>
      </c>
      <c r="FL25" s="132">
        <v>17.3</v>
      </c>
      <c r="FM25" s="131">
        <v>10</v>
      </c>
      <c r="FN25" s="132">
        <v>14.3</v>
      </c>
      <c r="FO25" s="131">
        <v>10</v>
      </c>
      <c r="FP25" s="132">
        <v>13.7</v>
      </c>
      <c r="FQ25" s="131">
        <v>10</v>
      </c>
      <c r="FR25" s="132">
        <v>14.3</v>
      </c>
      <c r="FS25" s="131">
        <v>10</v>
      </c>
      <c r="FT25" s="132">
        <v>15.3</v>
      </c>
      <c r="FU25" s="131">
        <v>10</v>
      </c>
      <c r="FV25" s="132">
        <v>16</v>
      </c>
      <c r="FW25" s="131">
        <v>10</v>
      </c>
      <c r="FX25" s="132">
        <v>12.7</v>
      </c>
      <c r="FY25" s="131">
        <v>10</v>
      </c>
      <c r="FZ25" s="132">
        <v>16.7</v>
      </c>
      <c r="GA25" s="131">
        <v>10</v>
      </c>
      <c r="GB25" s="132">
        <v>13.7</v>
      </c>
      <c r="GC25" s="131">
        <v>10</v>
      </c>
      <c r="GD25" s="132">
        <v>16</v>
      </c>
      <c r="GE25" s="131">
        <v>10</v>
      </c>
      <c r="GF25" s="132">
        <v>16.7</v>
      </c>
      <c r="GG25" s="131">
        <v>10</v>
      </c>
      <c r="GH25" s="132">
        <v>17.7</v>
      </c>
      <c r="GI25" s="131">
        <v>10</v>
      </c>
      <c r="GJ25" s="124">
        <v>13.6666667</v>
      </c>
      <c r="GK25" s="131">
        <v>18</v>
      </c>
      <c r="GL25" s="124">
        <v>14.5</v>
      </c>
      <c r="GM25" s="131">
        <v>18</v>
      </c>
      <c r="GN25" s="124"/>
      <c r="GO25" s="124"/>
      <c r="GP25" s="124"/>
      <c r="GQ25" s="124"/>
      <c r="GR25" s="124"/>
      <c r="GS25" s="124"/>
      <c r="GT25" s="124"/>
      <c r="GU25" s="124"/>
      <c r="GV25" s="124"/>
      <c r="GW25" s="124"/>
      <c r="GX25" s="124"/>
      <c r="GY25" s="124"/>
      <c r="GZ25" s="124"/>
      <c r="HA25" s="124"/>
      <c r="HB25" s="124"/>
      <c r="HC25" s="124"/>
      <c r="HD25" s="124"/>
      <c r="HE25" s="124"/>
      <c r="HF25" s="124"/>
      <c r="HG25" s="124"/>
      <c r="HH25" s="124"/>
      <c r="HI25" s="124"/>
      <c r="HJ25" s="124"/>
      <c r="HK25" s="124"/>
      <c r="HL25" s="124"/>
      <c r="HM25" s="124"/>
      <c r="HN25" s="124"/>
      <c r="HO25" s="124"/>
      <c r="HP25" s="124"/>
      <c r="HQ25" s="124"/>
    </row>
    <row r="26" spans="1:225" x14ac:dyDescent="0.2">
      <c r="A26" s="122" t="s">
        <v>641</v>
      </c>
      <c r="B26" s="123">
        <v>9</v>
      </c>
      <c r="C26" s="124" t="s">
        <v>178</v>
      </c>
      <c r="D26" s="123">
        <v>17</v>
      </c>
      <c r="E26" s="124" t="s">
        <v>161</v>
      </c>
      <c r="F26" s="123">
        <v>2</v>
      </c>
      <c r="G26" s="123"/>
      <c r="H26" s="124"/>
      <c r="I26" s="124"/>
      <c r="J26" s="124"/>
      <c r="K26" s="124"/>
      <c r="L26" s="124"/>
      <c r="M26" s="124"/>
      <c r="N26" s="124"/>
      <c r="O26" s="124" t="s">
        <v>91</v>
      </c>
      <c r="P26" s="124" t="s">
        <v>91</v>
      </c>
      <c r="Q26" s="129"/>
      <c r="R26" s="129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  <c r="GA26" s="124"/>
      <c r="GB26" s="124"/>
      <c r="GC26" s="124"/>
      <c r="GD26" s="124"/>
      <c r="GE26" s="124"/>
      <c r="GF26" s="124"/>
      <c r="GG26" s="124"/>
      <c r="GH26" s="124"/>
      <c r="GI26" s="124"/>
      <c r="GJ26" s="124"/>
      <c r="GK26" s="124"/>
      <c r="GL26" s="124"/>
      <c r="GM26" s="124"/>
      <c r="GN26" s="124"/>
      <c r="GO26" s="124"/>
      <c r="GP26" s="124"/>
      <c r="GQ26" s="124"/>
      <c r="GR26" s="124"/>
      <c r="GS26" s="124"/>
      <c r="GT26" s="124"/>
      <c r="GU26" s="124"/>
      <c r="GV26" s="124"/>
      <c r="GW26" s="124"/>
      <c r="GX26" s="124"/>
      <c r="GY26" s="124"/>
      <c r="GZ26" s="124"/>
      <c r="HA26" s="124"/>
      <c r="HB26" s="124"/>
      <c r="HC26" s="124"/>
      <c r="HD26" s="124"/>
      <c r="HE26" s="124"/>
      <c r="HF26" s="124"/>
      <c r="HG26" s="124"/>
      <c r="HH26" s="124"/>
      <c r="HI26" s="124"/>
      <c r="HJ26" s="124"/>
      <c r="HK26" s="124"/>
      <c r="HL26" s="124"/>
      <c r="HM26" s="124"/>
      <c r="HN26" s="124"/>
      <c r="HO26" s="124"/>
      <c r="HP26" s="124"/>
      <c r="HQ26" s="124"/>
    </row>
    <row r="27" spans="1:225" x14ac:dyDescent="0.2">
      <c r="A27" s="122" t="s">
        <v>642</v>
      </c>
      <c r="B27" s="133">
        <v>9</v>
      </c>
      <c r="C27" s="124" t="s">
        <v>179</v>
      </c>
      <c r="D27" s="123">
        <v>18</v>
      </c>
      <c r="E27" s="124" t="s">
        <v>161</v>
      </c>
      <c r="F27" s="123">
        <v>2</v>
      </c>
      <c r="G27" s="133"/>
      <c r="H27" s="122"/>
      <c r="I27" s="122"/>
      <c r="J27" s="122"/>
      <c r="K27" s="122"/>
      <c r="L27" s="122"/>
      <c r="M27" s="122"/>
      <c r="N27" s="122"/>
      <c r="O27" s="122" t="s">
        <v>110</v>
      </c>
      <c r="P27" s="122" t="s">
        <v>643</v>
      </c>
      <c r="Q27" s="134"/>
      <c r="R27" s="134"/>
      <c r="S27" s="122"/>
      <c r="T27" s="122"/>
      <c r="U27" s="122"/>
      <c r="V27" s="128" t="s">
        <v>124</v>
      </c>
      <c r="W27" s="122"/>
      <c r="X27" s="122" t="s">
        <v>68</v>
      </c>
      <c r="Y27" s="122"/>
      <c r="Z27" s="128" t="s">
        <v>125</v>
      </c>
      <c r="AA27" s="122"/>
      <c r="AB27" s="122" t="s">
        <v>567</v>
      </c>
      <c r="AC27" s="122"/>
      <c r="AD27" s="128" t="s">
        <v>127</v>
      </c>
      <c r="AE27" s="122"/>
      <c r="AF27" s="122" t="s">
        <v>568</v>
      </c>
      <c r="AG27" s="122"/>
      <c r="AH27" s="128" t="s">
        <v>71</v>
      </c>
      <c r="AI27" s="122"/>
      <c r="AJ27" s="122" t="s">
        <v>85</v>
      </c>
      <c r="AK27" s="122"/>
      <c r="AL27" s="122" t="s">
        <v>93</v>
      </c>
      <c r="AM27" s="122"/>
      <c r="AN27" s="122" t="s">
        <v>129</v>
      </c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4"/>
      <c r="DO27" s="124"/>
      <c r="DP27" s="122"/>
      <c r="DQ27" s="122"/>
      <c r="DR27" s="122"/>
      <c r="DS27" s="122"/>
      <c r="DT27" s="122"/>
      <c r="DU27" s="122"/>
      <c r="DV27" s="128" t="s">
        <v>124</v>
      </c>
      <c r="DW27" s="122"/>
      <c r="DX27" s="122" t="s">
        <v>68</v>
      </c>
      <c r="DY27" s="122"/>
      <c r="DZ27" s="128" t="s">
        <v>125</v>
      </c>
      <c r="EA27" s="122"/>
      <c r="EB27" s="122" t="s">
        <v>567</v>
      </c>
      <c r="EC27" s="122"/>
      <c r="ED27" s="128" t="s">
        <v>127</v>
      </c>
      <c r="EE27" s="122"/>
      <c r="EF27" s="122" t="s">
        <v>568</v>
      </c>
      <c r="EG27" s="122"/>
      <c r="EH27" s="128" t="s">
        <v>71</v>
      </c>
      <c r="EI27" s="122"/>
      <c r="EJ27" s="122" t="s">
        <v>85</v>
      </c>
      <c r="EK27" s="122"/>
      <c r="EL27" s="122" t="s">
        <v>93</v>
      </c>
      <c r="EM27" s="122"/>
      <c r="EN27" s="122" t="s">
        <v>129</v>
      </c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4"/>
      <c r="HO27" s="124"/>
      <c r="HP27" s="122"/>
      <c r="HQ27" s="122"/>
    </row>
    <row r="28" spans="1:225" x14ac:dyDescent="0.2">
      <c r="A28" s="122" t="s">
        <v>644</v>
      </c>
      <c r="B28" s="123">
        <v>10</v>
      </c>
      <c r="C28" s="124" t="s">
        <v>180</v>
      </c>
      <c r="D28" s="123">
        <v>19</v>
      </c>
      <c r="E28" s="124" t="s">
        <v>161</v>
      </c>
      <c r="F28" s="123">
        <v>5</v>
      </c>
      <c r="G28" s="123"/>
      <c r="H28" s="124"/>
      <c r="I28" s="124"/>
      <c r="J28" s="124"/>
      <c r="K28" s="124"/>
      <c r="L28" s="124"/>
      <c r="M28" s="124"/>
      <c r="N28" s="124"/>
      <c r="O28" s="124" t="s">
        <v>27</v>
      </c>
      <c r="P28" s="124" t="e">
        <v>#N/A</v>
      </c>
      <c r="Q28" s="129"/>
      <c r="R28" s="129"/>
      <c r="S28" s="124"/>
      <c r="T28" s="124"/>
      <c r="U28" s="122">
        <v>0</v>
      </c>
      <c r="V28" s="136">
        <v>0</v>
      </c>
      <c r="W28" s="131">
        <v>1</v>
      </c>
      <c r="X28" s="131">
        <v>0</v>
      </c>
      <c r="Y28" s="131">
        <v>1</v>
      </c>
      <c r="Z28" s="136">
        <v>0</v>
      </c>
      <c r="AA28" s="131">
        <v>1</v>
      </c>
      <c r="AB28" s="131">
        <v>0</v>
      </c>
      <c r="AC28" s="131">
        <v>1</v>
      </c>
      <c r="AD28" s="136">
        <v>0</v>
      </c>
      <c r="AE28" s="131">
        <v>1</v>
      </c>
      <c r="AF28" s="131">
        <v>0</v>
      </c>
      <c r="AG28" s="131">
        <v>1</v>
      </c>
      <c r="AH28" s="136">
        <v>0</v>
      </c>
      <c r="AI28" s="131">
        <v>1</v>
      </c>
      <c r="AJ28" s="131">
        <v>0</v>
      </c>
      <c r="AK28" s="131">
        <v>1</v>
      </c>
      <c r="AL28" s="131">
        <v>0</v>
      </c>
      <c r="AM28" s="131">
        <v>1</v>
      </c>
      <c r="AN28" s="131">
        <v>0</v>
      </c>
      <c r="AO28" s="131">
        <v>1</v>
      </c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  <c r="BN28" s="124"/>
      <c r="BO28" s="124"/>
      <c r="BP28" s="124"/>
      <c r="BQ28" s="124"/>
      <c r="BR28" s="124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2">
        <v>0</v>
      </c>
      <c r="DV28" s="136">
        <v>0</v>
      </c>
      <c r="DW28" s="131">
        <v>1</v>
      </c>
      <c r="DX28" s="131">
        <v>0</v>
      </c>
      <c r="DY28" s="131">
        <v>1</v>
      </c>
      <c r="DZ28" s="136">
        <v>0</v>
      </c>
      <c r="EA28" s="131">
        <v>1</v>
      </c>
      <c r="EB28" s="131">
        <v>0</v>
      </c>
      <c r="EC28" s="131">
        <v>1</v>
      </c>
      <c r="ED28" s="136">
        <v>0</v>
      </c>
      <c r="EE28" s="131">
        <v>1</v>
      </c>
      <c r="EF28" s="131">
        <v>0</v>
      </c>
      <c r="EG28" s="131">
        <v>1</v>
      </c>
      <c r="EH28" s="136">
        <v>0</v>
      </c>
      <c r="EI28" s="131">
        <v>1</v>
      </c>
      <c r="EJ28" s="131">
        <v>0</v>
      </c>
      <c r="EK28" s="131">
        <v>1</v>
      </c>
      <c r="EL28" s="131">
        <v>0</v>
      </c>
      <c r="EM28" s="131">
        <v>1</v>
      </c>
      <c r="EN28" s="131">
        <v>0</v>
      </c>
      <c r="EO28" s="131">
        <v>1</v>
      </c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  <c r="GA28" s="124"/>
      <c r="GB28" s="124"/>
      <c r="GC28" s="124"/>
      <c r="GD28" s="124"/>
      <c r="GE28" s="124"/>
      <c r="GF28" s="124"/>
      <c r="GG28" s="124"/>
      <c r="GH28" s="124"/>
      <c r="GI28" s="124"/>
      <c r="GJ28" s="124"/>
      <c r="GK28" s="124"/>
      <c r="GL28" s="124"/>
      <c r="GM28" s="124"/>
      <c r="GN28" s="124"/>
      <c r="GO28" s="124"/>
      <c r="GP28" s="124"/>
      <c r="GQ28" s="124"/>
      <c r="GR28" s="124"/>
      <c r="GS28" s="124"/>
      <c r="GT28" s="124"/>
      <c r="GU28" s="124"/>
      <c r="GV28" s="124"/>
      <c r="GW28" s="124"/>
      <c r="GX28" s="124"/>
      <c r="GY28" s="124"/>
      <c r="GZ28" s="124"/>
      <c r="HA28" s="124"/>
      <c r="HB28" s="124"/>
      <c r="HC28" s="124"/>
      <c r="HD28" s="124"/>
      <c r="HE28" s="124"/>
      <c r="HF28" s="124"/>
      <c r="HG28" s="124"/>
      <c r="HH28" s="124"/>
      <c r="HI28" s="124"/>
      <c r="HJ28" s="124"/>
      <c r="HK28" s="124"/>
      <c r="HL28" s="124"/>
      <c r="HM28" s="124"/>
      <c r="HN28" s="124"/>
      <c r="HO28" s="124"/>
      <c r="HP28" s="124"/>
      <c r="HQ28" s="124"/>
    </row>
    <row r="29" spans="1:225" x14ac:dyDescent="0.2">
      <c r="A29" s="122" t="s">
        <v>645</v>
      </c>
      <c r="B29" s="123">
        <v>10</v>
      </c>
      <c r="C29" s="124" t="s">
        <v>181</v>
      </c>
      <c r="D29" s="123">
        <v>20</v>
      </c>
      <c r="E29" s="124" t="s">
        <v>161</v>
      </c>
      <c r="F29" s="123">
        <v>5</v>
      </c>
      <c r="G29" s="123"/>
      <c r="H29" s="124"/>
      <c r="I29" s="124"/>
      <c r="J29" s="124"/>
      <c r="K29" s="124"/>
      <c r="L29" s="124"/>
      <c r="M29" s="124"/>
      <c r="N29" s="124"/>
      <c r="O29" s="124" t="s">
        <v>84</v>
      </c>
      <c r="P29" s="124" t="s">
        <v>646</v>
      </c>
      <c r="Q29" s="129"/>
      <c r="R29" s="129"/>
      <c r="S29" s="124"/>
      <c r="T29" s="124"/>
      <c r="U29" s="122">
        <v>0.1</v>
      </c>
      <c r="V29" s="136">
        <v>7.33</v>
      </c>
      <c r="W29" s="131">
        <v>2</v>
      </c>
      <c r="X29" s="131">
        <v>7</v>
      </c>
      <c r="Y29" s="131">
        <v>2</v>
      </c>
      <c r="Z29" s="136">
        <v>10.6</v>
      </c>
      <c r="AA29" s="131">
        <v>2</v>
      </c>
      <c r="AB29" s="131">
        <v>6</v>
      </c>
      <c r="AC29" s="131">
        <v>2</v>
      </c>
      <c r="AD29" s="136">
        <v>8.33</v>
      </c>
      <c r="AE29" s="131">
        <v>2</v>
      </c>
      <c r="AF29" s="131">
        <v>5</v>
      </c>
      <c r="AG29" s="131">
        <v>2</v>
      </c>
      <c r="AH29" s="136">
        <v>5.93</v>
      </c>
      <c r="AI29" s="131">
        <v>2</v>
      </c>
      <c r="AJ29" s="131">
        <v>8</v>
      </c>
      <c r="AK29" s="131">
        <v>2</v>
      </c>
      <c r="AL29" s="131">
        <v>10</v>
      </c>
      <c r="AM29" s="131">
        <v>2</v>
      </c>
      <c r="AN29" s="131">
        <v>8</v>
      </c>
      <c r="AO29" s="131">
        <v>2</v>
      </c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  <c r="BN29" s="124"/>
      <c r="BO29" s="124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4"/>
      <c r="CF29" s="124"/>
      <c r="CG29" s="124"/>
      <c r="CH29" s="124"/>
      <c r="CI29" s="124"/>
      <c r="CJ29" s="124"/>
      <c r="CK29" s="124"/>
      <c r="CL29" s="124"/>
      <c r="CM29" s="124"/>
      <c r="CN29" s="124"/>
      <c r="CO29" s="124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4"/>
      <c r="DA29" s="124"/>
      <c r="DB29" s="124"/>
      <c r="DC29" s="124"/>
      <c r="DD29" s="124"/>
      <c r="DE29" s="124"/>
      <c r="DF29" s="124"/>
      <c r="DG29" s="124"/>
      <c r="DH29" s="124"/>
      <c r="DI29" s="124"/>
      <c r="DJ29" s="124"/>
      <c r="DK29" s="124"/>
      <c r="DL29" s="124"/>
      <c r="DM29" s="124"/>
      <c r="DN29" s="124"/>
      <c r="DO29" s="124"/>
      <c r="DP29" s="124"/>
      <c r="DQ29" s="124"/>
      <c r="DR29" s="124"/>
      <c r="DS29" s="124"/>
      <c r="DT29" s="124"/>
      <c r="DU29" s="122">
        <v>0.1</v>
      </c>
      <c r="DV29" s="136">
        <v>7.33</v>
      </c>
      <c r="DW29" s="131">
        <v>2</v>
      </c>
      <c r="DX29" s="131">
        <v>7</v>
      </c>
      <c r="DY29" s="131">
        <v>2</v>
      </c>
      <c r="DZ29" s="136">
        <v>10.6</v>
      </c>
      <c r="EA29" s="131">
        <v>2</v>
      </c>
      <c r="EB29" s="131">
        <v>6</v>
      </c>
      <c r="EC29" s="131">
        <v>2</v>
      </c>
      <c r="ED29" s="136">
        <v>8.33</v>
      </c>
      <c r="EE29" s="131">
        <v>2</v>
      </c>
      <c r="EF29" s="131">
        <v>5</v>
      </c>
      <c r="EG29" s="131">
        <v>2</v>
      </c>
      <c r="EH29" s="136">
        <v>5.93</v>
      </c>
      <c r="EI29" s="131">
        <v>2</v>
      </c>
      <c r="EJ29" s="131">
        <v>8</v>
      </c>
      <c r="EK29" s="131">
        <v>2</v>
      </c>
      <c r="EL29" s="131">
        <v>10</v>
      </c>
      <c r="EM29" s="131">
        <v>2</v>
      </c>
      <c r="EN29" s="131">
        <v>8</v>
      </c>
      <c r="EO29" s="131">
        <v>2</v>
      </c>
      <c r="EP29" s="124"/>
      <c r="EQ29" s="124"/>
      <c r="ER29" s="124"/>
      <c r="ES29" s="124"/>
      <c r="ET29" s="124"/>
      <c r="EU29" s="124"/>
      <c r="EV29" s="124"/>
      <c r="EW29" s="124"/>
      <c r="EX29" s="124"/>
      <c r="EY29" s="124"/>
      <c r="EZ29" s="124"/>
      <c r="FA29" s="124"/>
      <c r="FB29" s="124"/>
      <c r="FC29" s="124"/>
      <c r="FD29" s="124"/>
      <c r="FE29" s="124"/>
      <c r="FF29" s="124"/>
      <c r="FG29" s="124"/>
      <c r="FH29" s="124"/>
      <c r="FI29" s="124"/>
      <c r="FJ29" s="124"/>
      <c r="FK29" s="124"/>
      <c r="FL29" s="124"/>
      <c r="FM29" s="124"/>
      <c r="FN29" s="124"/>
      <c r="FO29" s="124"/>
      <c r="FP29" s="124"/>
      <c r="FQ29" s="124"/>
      <c r="FR29" s="124"/>
      <c r="FS29" s="124"/>
      <c r="FT29" s="124"/>
      <c r="FU29" s="124"/>
      <c r="FV29" s="124"/>
      <c r="FW29" s="124"/>
      <c r="FX29" s="124"/>
      <c r="FY29" s="124"/>
      <c r="FZ29" s="124"/>
      <c r="GA29" s="124"/>
      <c r="GB29" s="124"/>
      <c r="GC29" s="124"/>
      <c r="GD29" s="124"/>
      <c r="GE29" s="124"/>
      <c r="GF29" s="124"/>
      <c r="GG29" s="124"/>
      <c r="GH29" s="124"/>
      <c r="GI29" s="124"/>
      <c r="GJ29" s="124"/>
      <c r="GK29" s="124"/>
      <c r="GL29" s="124"/>
      <c r="GM29" s="124"/>
      <c r="GN29" s="124"/>
      <c r="GO29" s="124"/>
      <c r="GP29" s="124"/>
      <c r="GQ29" s="124"/>
      <c r="GR29" s="124"/>
      <c r="GS29" s="124"/>
      <c r="GT29" s="124"/>
      <c r="GU29" s="124"/>
      <c r="GV29" s="124"/>
      <c r="GW29" s="124"/>
      <c r="GX29" s="124"/>
      <c r="GY29" s="124"/>
      <c r="GZ29" s="124"/>
      <c r="HA29" s="124"/>
      <c r="HB29" s="124"/>
      <c r="HC29" s="124"/>
      <c r="HD29" s="124"/>
      <c r="HE29" s="124"/>
      <c r="HF29" s="124"/>
      <c r="HG29" s="124"/>
      <c r="HH29" s="124"/>
      <c r="HI29" s="124"/>
      <c r="HJ29" s="124"/>
      <c r="HK29" s="124"/>
      <c r="HL29" s="124"/>
      <c r="HM29" s="124"/>
      <c r="HN29" s="124"/>
      <c r="HO29" s="124"/>
      <c r="HP29" s="124"/>
      <c r="HQ29" s="124"/>
    </row>
    <row r="30" spans="1:225" x14ac:dyDescent="0.2">
      <c r="A30" s="122" t="s">
        <v>647</v>
      </c>
      <c r="B30" s="123">
        <v>11</v>
      </c>
      <c r="C30" s="138" t="s">
        <v>182</v>
      </c>
      <c r="D30" s="123">
        <v>21</v>
      </c>
      <c r="E30" s="124" t="s">
        <v>161</v>
      </c>
      <c r="F30" s="123">
        <v>3</v>
      </c>
      <c r="G30" s="123"/>
      <c r="H30" s="124"/>
      <c r="I30" s="124"/>
      <c r="J30" s="124"/>
      <c r="K30" s="124"/>
      <c r="L30" s="124"/>
      <c r="M30" s="124"/>
      <c r="N30" s="124"/>
      <c r="O30" s="124" t="s">
        <v>101</v>
      </c>
      <c r="P30" s="124" t="s">
        <v>648</v>
      </c>
      <c r="Q30" s="129"/>
      <c r="R30" s="129"/>
      <c r="S30" s="124"/>
      <c r="T30" s="124"/>
      <c r="U30" s="122">
        <v>0.2</v>
      </c>
      <c r="V30" s="136">
        <v>8.33</v>
      </c>
      <c r="W30" s="131">
        <v>3</v>
      </c>
      <c r="X30" s="131">
        <v>8</v>
      </c>
      <c r="Y30" s="131">
        <v>3</v>
      </c>
      <c r="Z30" s="136">
        <v>11.67</v>
      </c>
      <c r="AA30" s="131">
        <v>3</v>
      </c>
      <c r="AB30" s="131">
        <v>7</v>
      </c>
      <c r="AC30" s="131">
        <v>3</v>
      </c>
      <c r="AD30" s="136">
        <v>10</v>
      </c>
      <c r="AE30" s="131">
        <v>3</v>
      </c>
      <c r="AF30" s="131">
        <v>6</v>
      </c>
      <c r="AG30" s="131">
        <v>3</v>
      </c>
      <c r="AH30" s="136">
        <v>7</v>
      </c>
      <c r="AI30" s="131">
        <v>3</v>
      </c>
      <c r="AJ30" s="131">
        <v>10</v>
      </c>
      <c r="AK30" s="131">
        <v>3</v>
      </c>
      <c r="AL30" s="131">
        <v>12</v>
      </c>
      <c r="AM30" s="131">
        <v>3</v>
      </c>
      <c r="AN30" s="131">
        <v>10</v>
      </c>
      <c r="AO30" s="131">
        <v>3</v>
      </c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2">
        <v>0.2</v>
      </c>
      <c r="DV30" s="136">
        <v>8.33</v>
      </c>
      <c r="DW30" s="131">
        <v>3</v>
      </c>
      <c r="DX30" s="131">
        <v>8</v>
      </c>
      <c r="DY30" s="131">
        <v>3</v>
      </c>
      <c r="DZ30" s="136">
        <v>11.67</v>
      </c>
      <c r="EA30" s="131">
        <v>3</v>
      </c>
      <c r="EB30" s="131">
        <v>7</v>
      </c>
      <c r="EC30" s="131">
        <v>3</v>
      </c>
      <c r="ED30" s="136">
        <v>10</v>
      </c>
      <c r="EE30" s="131">
        <v>3</v>
      </c>
      <c r="EF30" s="131">
        <v>6</v>
      </c>
      <c r="EG30" s="131">
        <v>3</v>
      </c>
      <c r="EH30" s="136">
        <v>7</v>
      </c>
      <c r="EI30" s="131">
        <v>3</v>
      </c>
      <c r="EJ30" s="131">
        <v>10</v>
      </c>
      <c r="EK30" s="131">
        <v>3</v>
      </c>
      <c r="EL30" s="131">
        <v>12</v>
      </c>
      <c r="EM30" s="131">
        <v>3</v>
      </c>
      <c r="EN30" s="131">
        <v>10</v>
      </c>
      <c r="EO30" s="131">
        <v>3</v>
      </c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  <c r="GA30" s="124"/>
      <c r="GB30" s="124"/>
      <c r="GC30" s="124"/>
      <c r="GD30" s="124"/>
      <c r="GE30" s="124"/>
      <c r="GF30" s="124"/>
      <c r="GG30" s="124"/>
      <c r="GH30" s="124"/>
      <c r="GI30" s="124"/>
      <c r="GJ30" s="124"/>
      <c r="GK30" s="124"/>
      <c r="GL30" s="124"/>
      <c r="GM30" s="124"/>
      <c r="GN30" s="124"/>
      <c r="GO30" s="124"/>
      <c r="GP30" s="124"/>
      <c r="GQ30" s="124"/>
      <c r="GR30" s="124"/>
      <c r="GS30" s="124"/>
      <c r="GT30" s="124"/>
      <c r="GU30" s="124"/>
      <c r="GV30" s="124"/>
      <c r="GW30" s="124"/>
      <c r="GX30" s="124"/>
      <c r="GY30" s="124"/>
      <c r="GZ30" s="124"/>
      <c r="HA30" s="124"/>
      <c r="HB30" s="124"/>
      <c r="HC30" s="124"/>
      <c r="HD30" s="124"/>
      <c r="HE30" s="124"/>
      <c r="HF30" s="124"/>
      <c r="HG30" s="124"/>
      <c r="HH30" s="124"/>
      <c r="HI30" s="124"/>
      <c r="HJ30" s="124"/>
      <c r="HK30" s="124"/>
      <c r="HL30" s="124"/>
      <c r="HM30" s="124"/>
      <c r="HN30" s="124"/>
      <c r="HO30" s="124"/>
      <c r="HP30" s="124"/>
      <c r="HQ30" s="124"/>
    </row>
    <row r="31" spans="1:225" x14ac:dyDescent="0.2">
      <c r="A31" s="122" t="s">
        <v>649</v>
      </c>
      <c r="B31" s="123">
        <v>11</v>
      </c>
      <c r="C31" s="124" t="s">
        <v>183</v>
      </c>
      <c r="D31" s="123">
        <v>22</v>
      </c>
      <c r="E31" s="124" t="s">
        <v>161</v>
      </c>
      <c r="F31" s="123">
        <v>5</v>
      </c>
      <c r="G31" s="123"/>
      <c r="H31" s="124"/>
      <c r="I31" s="124"/>
      <c r="J31" s="124"/>
      <c r="K31" s="124"/>
      <c r="L31" s="124"/>
      <c r="M31" s="124"/>
      <c r="N31" s="124"/>
      <c r="O31" s="124" t="s">
        <v>19</v>
      </c>
      <c r="P31" s="124" t="e">
        <v>#N/A</v>
      </c>
      <c r="Q31" s="124"/>
      <c r="R31" s="124"/>
      <c r="S31" s="124"/>
      <c r="T31" s="124"/>
      <c r="U31" s="122">
        <v>0.3</v>
      </c>
      <c r="V31" s="136">
        <v>9.33</v>
      </c>
      <c r="W31" s="131">
        <v>4</v>
      </c>
      <c r="X31" s="131">
        <v>9</v>
      </c>
      <c r="Y31" s="131">
        <v>4</v>
      </c>
      <c r="Z31" s="136">
        <v>12.67</v>
      </c>
      <c r="AA31" s="131">
        <v>4</v>
      </c>
      <c r="AB31" s="131">
        <v>8</v>
      </c>
      <c r="AC31" s="131">
        <v>4</v>
      </c>
      <c r="AD31" s="136">
        <v>11</v>
      </c>
      <c r="AE31" s="131">
        <v>4</v>
      </c>
      <c r="AF31" s="131">
        <v>7</v>
      </c>
      <c r="AG31" s="131">
        <v>4</v>
      </c>
      <c r="AH31" s="136">
        <v>8</v>
      </c>
      <c r="AI31" s="131">
        <v>4</v>
      </c>
      <c r="AJ31" s="131">
        <v>11</v>
      </c>
      <c r="AK31" s="131">
        <v>4</v>
      </c>
      <c r="AL31" s="131">
        <v>12</v>
      </c>
      <c r="AM31" s="131">
        <v>4</v>
      </c>
      <c r="AN31" s="131">
        <v>11</v>
      </c>
      <c r="AO31" s="131">
        <v>4</v>
      </c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  <c r="BO31" s="124"/>
      <c r="BP31" s="124"/>
      <c r="BQ31" s="124"/>
      <c r="BR31" s="124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2">
        <v>0.3</v>
      </c>
      <c r="DV31" s="136">
        <v>9.33</v>
      </c>
      <c r="DW31" s="131">
        <v>4</v>
      </c>
      <c r="DX31" s="131">
        <v>9</v>
      </c>
      <c r="DY31" s="131">
        <v>4</v>
      </c>
      <c r="DZ31" s="136">
        <v>12.67</v>
      </c>
      <c r="EA31" s="131">
        <v>4</v>
      </c>
      <c r="EB31" s="131">
        <v>8</v>
      </c>
      <c r="EC31" s="131">
        <v>4</v>
      </c>
      <c r="ED31" s="136">
        <v>11</v>
      </c>
      <c r="EE31" s="131">
        <v>4</v>
      </c>
      <c r="EF31" s="131">
        <v>7</v>
      </c>
      <c r="EG31" s="131">
        <v>4</v>
      </c>
      <c r="EH31" s="136">
        <v>8</v>
      </c>
      <c r="EI31" s="131">
        <v>4</v>
      </c>
      <c r="EJ31" s="131">
        <v>11</v>
      </c>
      <c r="EK31" s="131">
        <v>4</v>
      </c>
      <c r="EL31" s="131">
        <v>12</v>
      </c>
      <c r="EM31" s="131">
        <v>4</v>
      </c>
      <c r="EN31" s="131">
        <v>11</v>
      </c>
      <c r="EO31" s="131">
        <v>4</v>
      </c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  <c r="GA31" s="124"/>
      <c r="GB31" s="124"/>
      <c r="GC31" s="124"/>
      <c r="GD31" s="124"/>
      <c r="GE31" s="124"/>
      <c r="GF31" s="124"/>
      <c r="GG31" s="124"/>
      <c r="GH31" s="124"/>
      <c r="GI31" s="124"/>
      <c r="GJ31" s="124"/>
      <c r="GK31" s="124"/>
      <c r="GL31" s="124"/>
      <c r="GM31" s="124"/>
      <c r="GN31" s="124"/>
      <c r="GO31" s="124"/>
      <c r="GP31" s="124"/>
      <c r="GQ31" s="124"/>
      <c r="GR31" s="124"/>
      <c r="GS31" s="124"/>
      <c r="GT31" s="124"/>
      <c r="GU31" s="124"/>
      <c r="GV31" s="124"/>
      <c r="GW31" s="124"/>
      <c r="GX31" s="124"/>
      <c r="GY31" s="124"/>
      <c r="GZ31" s="124"/>
      <c r="HA31" s="124"/>
      <c r="HB31" s="124"/>
      <c r="HC31" s="124"/>
      <c r="HD31" s="124"/>
      <c r="HE31" s="124"/>
      <c r="HF31" s="124"/>
      <c r="HG31" s="124"/>
      <c r="HH31" s="124"/>
      <c r="HI31" s="124"/>
      <c r="HJ31" s="124"/>
      <c r="HK31" s="124"/>
      <c r="HL31" s="124"/>
      <c r="HM31" s="124"/>
      <c r="HN31" s="124"/>
      <c r="HO31" s="124"/>
      <c r="HP31" s="124"/>
      <c r="HQ31" s="124"/>
    </row>
    <row r="32" spans="1:225" x14ac:dyDescent="0.2">
      <c r="A32" s="122" t="s">
        <v>650</v>
      </c>
      <c r="B32" s="123">
        <v>12</v>
      </c>
      <c r="C32" s="124" t="s">
        <v>184</v>
      </c>
      <c r="D32" s="123">
        <v>23</v>
      </c>
      <c r="E32" s="124" t="s">
        <v>161</v>
      </c>
      <c r="F32" s="123">
        <v>3</v>
      </c>
      <c r="G32" s="123"/>
      <c r="H32" s="124"/>
      <c r="I32" s="124"/>
      <c r="J32" s="124"/>
      <c r="K32" s="124"/>
      <c r="L32" s="124"/>
      <c r="M32" s="124"/>
      <c r="N32" s="124"/>
      <c r="O32" s="124" t="s">
        <v>74</v>
      </c>
      <c r="P32" s="124" t="s">
        <v>651</v>
      </c>
      <c r="Q32" s="124"/>
      <c r="R32" s="124"/>
      <c r="S32" s="124"/>
      <c r="T32" s="124"/>
      <c r="U32" s="122">
        <v>0.4</v>
      </c>
      <c r="V32" s="136">
        <v>10</v>
      </c>
      <c r="W32" s="131">
        <v>5</v>
      </c>
      <c r="X32" s="131">
        <v>10</v>
      </c>
      <c r="Y32" s="131">
        <v>5</v>
      </c>
      <c r="Z32" s="136">
        <v>13.33</v>
      </c>
      <c r="AA32" s="131">
        <v>5</v>
      </c>
      <c r="AB32" s="131">
        <v>8</v>
      </c>
      <c r="AC32" s="131">
        <v>5</v>
      </c>
      <c r="AD32" s="136">
        <v>11.67</v>
      </c>
      <c r="AE32" s="131">
        <v>5</v>
      </c>
      <c r="AF32" s="131">
        <v>8</v>
      </c>
      <c r="AG32" s="131">
        <v>5</v>
      </c>
      <c r="AH32" s="136">
        <v>8.67</v>
      </c>
      <c r="AI32" s="131">
        <v>5</v>
      </c>
      <c r="AJ32" s="131">
        <v>12</v>
      </c>
      <c r="AK32" s="131">
        <v>5</v>
      </c>
      <c r="AL32" s="131">
        <v>13</v>
      </c>
      <c r="AM32" s="131">
        <v>5</v>
      </c>
      <c r="AN32" s="131">
        <v>11</v>
      </c>
      <c r="AO32" s="131">
        <v>5</v>
      </c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24"/>
      <c r="BG32" s="124"/>
      <c r="BH32" s="124"/>
      <c r="BI32" s="124"/>
      <c r="BJ32" s="124"/>
      <c r="BK32" s="124"/>
      <c r="BL32" s="124"/>
      <c r="BM32" s="124"/>
      <c r="BN32" s="124"/>
      <c r="BO32" s="124"/>
      <c r="BP32" s="124"/>
      <c r="BQ32" s="124"/>
      <c r="BR32" s="124"/>
      <c r="BS32" s="124"/>
      <c r="BT32" s="124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2">
        <v>0.4</v>
      </c>
      <c r="DV32" s="136">
        <v>10</v>
      </c>
      <c r="DW32" s="131">
        <v>5</v>
      </c>
      <c r="DX32" s="131">
        <v>10</v>
      </c>
      <c r="DY32" s="131">
        <v>5</v>
      </c>
      <c r="DZ32" s="136">
        <v>13.33</v>
      </c>
      <c r="EA32" s="131">
        <v>5</v>
      </c>
      <c r="EB32" s="131">
        <v>8</v>
      </c>
      <c r="EC32" s="131">
        <v>5</v>
      </c>
      <c r="ED32" s="136">
        <v>11.67</v>
      </c>
      <c r="EE32" s="131">
        <v>5</v>
      </c>
      <c r="EF32" s="131">
        <v>8</v>
      </c>
      <c r="EG32" s="131">
        <v>5</v>
      </c>
      <c r="EH32" s="136">
        <v>8.67</v>
      </c>
      <c r="EI32" s="131">
        <v>5</v>
      </c>
      <c r="EJ32" s="131">
        <v>12</v>
      </c>
      <c r="EK32" s="131">
        <v>5</v>
      </c>
      <c r="EL32" s="131">
        <v>13</v>
      </c>
      <c r="EM32" s="131">
        <v>5</v>
      </c>
      <c r="EN32" s="131">
        <v>11</v>
      </c>
      <c r="EO32" s="131">
        <v>5</v>
      </c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  <c r="GA32" s="124"/>
      <c r="GB32" s="124"/>
      <c r="GC32" s="124"/>
      <c r="GD32" s="124"/>
      <c r="GE32" s="124"/>
      <c r="GF32" s="124"/>
      <c r="GG32" s="124"/>
      <c r="GH32" s="124"/>
      <c r="GI32" s="124"/>
      <c r="GJ32" s="124"/>
      <c r="GK32" s="124"/>
      <c r="GL32" s="124"/>
      <c r="GM32" s="124"/>
      <c r="GN32" s="124"/>
      <c r="GO32" s="124"/>
      <c r="GP32" s="124"/>
      <c r="GQ32" s="124"/>
      <c r="GR32" s="124"/>
      <c r="GS32" s="124"/>
      <c r="GT32" s="124"/>
      <c r="GU32" s="124"/>
      <c r="GV32" s="124"/>
      <c r="GW32" s="124"/>
      <c r="GX32" s="124"/>
      <c r="GY32" s="124"/>
      <c r="GZ32" s="124"/>
      <c r="HA32" s="124"/>
      <c r="HB32" s="124"/>
      <c r="HC32" s="124"/>
      <c r="HD32" s="124"/>
      <c r="HE32" s="124"/>
      <c r="HF32" s="124"/>
      <c r="HG32" s="124"/>
      <c r="HH32" s="124"/>
      <c r="HI32" s="124"/>
      <c r="HJ32" s="124"/>
      <c r="HK32" s="124"/>
      <c r="HL32" s="124"/>
      <c r="HM32" s="124"/>
      <c r="HN32" s="124"/>
      <c r="HO32" s="124"/>
      <c r="HP32" s="124"/>
      <c r="HQ32" s="124"/>
    </row>
    <row r="33" spans="1:225" x14ac:dyDescent="0.2">
      <c r="A33" s="122" t="s">
        <v>652</v>
      </c>
      <c r="B33" s="123">
        <v>12</v>
      </c>
      <c r="C33" s="124" t="s">
        <v>185</v>
      </c>
      <c r="D33" s="123">
        <v>24</v>
      </c>
      <c r="E33" s="124" t="s">
        <v>161</v>
      </c>
      <c r="F33" s="123">
        <v>5</v>
      </c>
      <c r="G33" s="123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2">
        <v>0.5</v>
      </c>
      <c r="V33" s="136">
        <v>10.67</v>
      </c>
      <c r="W33" s="131">
        <v>6</v>
      </c>
      <c r="X33" s="131">
        <v>11</v>
      </c>
      <c r="Y33" s="131">
        <v>6</v>
      </c>
      <c r="Z33" s="136">
        <v>14</v>
      </c>
      <c r="AA33" s="131">
        <v>6</v>
      </c>
      <c r="AB33" s="131">
        <v>9</v>
      </c>
      <c r="AC33" s="131">
        <v>6</v>
      </c>
      <c r="AD33" s="136">
        <v>12.33</v>
      </c>
      <c r="AE33" s="131">
        <v>6</v>
      </c>
      <c r="AF33" s="131">
        <v>9</v>
      </c>
      <c r="AG33" s="131">
        <v>6</v>
      </c>
      <c r="AH33" s="136">
        <v>9.67</v>
      </c>
      <c r="AI33" s="131">
        <v>6</v>
      </c>
      <c r="AJ33" s="131">
        <v>13</v>
      </c>
      <c r="AK33" s="131">
        <v>6</v>
      </c>
      <c r="AL33" s="131">
        <v>14</v>
      </c>
      <c r="AM33" s="131">
        <v>6</v>
      </c>
      <c r="AN33" s="131">
        <v>12</v>
      </c>
      <c r="AO33" s="131">
        <v>6</v>
      </c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4"/>
      <c r="BK33" s="124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2">
        <v>0.5</v>
      </c>
      <c r="DV33" s="136">
        <v>10.67</v>
      </c>
      <c r="DW33" s="131">
        <v>6</v>
      </c>
      <c r="DX33" s="131">
        <v>11</v>
      </c>
      <c r="DY33" s="131">
        <v>6</v>
      </c>
      <c r="DZ33" s="136">
        <v>14</v>
      </c>
      <c r="EA33" s="131">
        <v>6</v>
      </c>
      <c r="EB33" s="131">
        <v>9</v>
      </c>
      <c r="EC33" s="131">
        <v>6</v>
      </c>
      <c r="ED33" s="136">
        <v>12.33</v>
      </c>
      <c r="EE33" s="131">
        <v>6</v>
      </c>
      <c r="EF33" s="131">
        <v>9</v>
      </c>
      <c r="EG33" s="131">
        <v>6</v>
      </c>
      <c r="EH33" s="136">
        <v>9.67</v>
      </c>
      <c r="EI33" s="131">
        <v>6</v>
      </c>
      <c r="EJ33" s="131">
        <v>13</v>
      </c>
      <c r="EK33" s="131">
        <v>6</v>
      </c>
      <c r="EL33" s="131">
        <v>14</v>
      </c>
      <c r="EM33" s="131">
        <v>6</v>
      </c>
      <c r="EN33" s="131">
        <v>12</v>
      </c>
      <c r="EO33" s="131">
        <v>6</v>
      </c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  <c r="GA33" s="124"/>
      <c r="GB33" s="124"/>
      <c r="GC33" s="124"/>
      <c r="GD33" s="124"/>
      <c r="GE33" s="124"/>
      <c r="GF33" s="124"/>
      <c r="GG33" s="124"/>
      <c r="GH33" s="124"/>
      <c r="GI33" s="124"/>
      <c r="GJ33" s="124"/>
      <c r="GK33" s="124"/>
      <c r="GL33" s="124"/>
      <c r="GM33" s="124"/>
      <c r="GN33" s="124"/>
      <c r="GO33" s="124"/>
      <c r="GP33" s="124"/>
      <c r="GQ33" s="124"/>
      <c r="GR33" s="124"/>
      <c r="GS33" s="124"/>
      <c r="GT33" s="124"/>
      <c r="GU33" s="124"/>
      <c r="GV33" s="124"/>
      <c r="GW33" s="124"/>
      <c r="GX33" s="124"/>
      <c r="GY33" s="124"/>
      <c r="GZ33" s="124"/>
      <c r="HA33" s="124"/>
      <c r="HB33" s="124"/>
      <c r="HC33" s="124"/>
      <c r="HD33" s="124"/>
      <c r="HE33" s="124"/>
      <c r="HF33" s="124"/>
      <c r="HG33" s="124"/>
      <c r="HH33" s="124"/>
      <c r="HI33" s="124"/>
      <c r="HJ33" s="124"/>
      <c r="HK33" s="124"/>
      <c r="HL33" s="124"/>
      <c r="HM33" s="124"/>
      <c r="HN33" s="124"/>
      <c r="HO33" s="124"/>
      <c r="HP33" s="124"/>
      <c r="HQ33" s="124"/>
    </row>
    <row r="34" spans="1:225" x14ac:dyDescent="0.2">
      <c r="A34" s="122" t="s">
        <v>653</v>
      </c>
      <c r="B34" s="123">
        <v>13</v>
      </c>
      <c r="C34" s="124" t="s">
        <v>186</v>
      </c>
      <c r="D34" s="123">
        <v>25</v>
      </c>
      <c r="E34" s="124" t="s">
        <v>161</v>
      </c>
      <c r="F34" s="123">
        <v>3</v>
      </c>
      <c r="G34" s="123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2">
        <v>0.6</v>
      </c>
      <c r="V34" s="136">
        <v>11.33</v>
      </c>
      <c r="W34" s="131">
        <v>7</v>
      </c>
      <c r="X34" s="131">
        <v>12</v>
      </c>
      <c r="Y34" s="131">
        <v>7</v>
      </c>
      <c r="Z34" s="136">
        <v>15</v>
      </c>
      <c r="AA34" s="131">
        <v>7</v>
      </c>
      <c r="AB34" s="131">
        <v>10</v>
      </c>
      <c r="AC34" s="131">
        <v>7</v>
      </c>
      <c r="AD34" s="136">
        <v>13.33</v>
      </c>
      <c r="AE34" s="131">
        <v>7</v>
      </c>
      <c r="AF34" s="131">
        <v>10</v>
      </c>
      <c r="AG34" s="131">
        <v>7</v>
      </c>
      <c r="AH34" s="136">
        <v>10.33</v>
      </c>
      <c r="AI34" s="131">
        <v>7</v>
      </c>
      <c r="AJ34" s="131">
        <v>13</v>
      </c>
      <c r="AK34" s="131">
        <v>7</v>
      </c>
      <c r="AL34" s="131">
        <v>15</v>
      </c>
      <c r="AM34" s="131">
        <v>7</v>
      </c>
      <c r="AN34" s="131">
        <v>13</v>
      </c>
      <c r="AO34" s="131">
        <v>7</v>
      </c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  <c r="CF34" s="124"/>
      <c r="CG34" s="124"/>
      <c r="CH34" s="124"/>
      <c r="CI34" s="124"/>
      <c r="CJ34" s="124"/>
      <c r="CK34" s="124"/>
      <c r="CL34" s="124"/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2">
        <v>0.6</v>
      </c>
      <c r="DV34" s="136">
        <v>11.33</v>
      </c>
      <c r="DW34" s="131">
        <v>7</v>
      </c>
      <c r="DX34" s="131">
        <v>12</v>
      </c>
      <c r="DY34" s="131">
        <v>7</v>
      </c>
      <c r="DZ34" s="136">
        <v>15</v>
      </c>
      <c r="EA34" s="131">
        <v>7</v>
      </c>
      <c r="EB34" s="131">
        <v>10</v>
      </c>
      <c r="EC34" s="131">
        <v>7</v>
      </c>
      <c r="ED34" s="136">
        <v>13.33</v>
      </c>
      <c r="EE34" s="131">
        <v>7</v>
      </c>
      <c r="EF34" s="131">
        <v>10</v>
      </c>
      <c r="EG34" s="131">
        <v>7</v>
      </c>
      <c r="EH34" s="136">
        <v>10.33</v>
      </c>
      <c r="EI34" s="131">
        <v>7</v>
      </c>
      <c r="EJ34" s="131">
        <v>13</v>
      </c>
      <c r="EK34" s="131">
        <v>7</v>
      </c>
      <c r="EL34" s="131">
        <v>15</v>
      </c>
      <c r="EM34" s="131">
        <v>7</v>
      </c>
      <c r="EN34" s="131">
        <v>13</v>
      </c>
      <c r="EO34" s="131">
        <v>7</v>
      </c>
      <c r="EP34" s="124"/>
      <c r="EQ34" s="124"/>
      <c r="ER34" s="124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4"/>
      <c r="FM34" s="124"/>
      <c r="FN34" s="124"/>
      <c r="FO34" s="124"/>
      <c r="FP34" s="124"/>
      <c r="FQ34" s="124"/>
      <c r="FR34" s="124"/>
      <c r="FS34" s="124"/>
      <c r="FT34" s="124"/>
      <c r="FU34" s="124"/>
      <c r="FV34" s="124"/>
      <c r="FW34" s="124"/>
      <c r="FX34" s="124"/>
      <c r="FY34" s="124"/>
      <c r="FZ34" s="124"/>
      <c r="GA34" s="124"/>
      <c r="GB34" s="124"/>
      <c r="GC34" s="124"/>
      <c r="GD34" s="124"/>
      <c r="GE34" s="124"/>
      <c r="GF34" s="124"/>
      <c r="GG34" s="124"/>
      <c r="GH34" s="124"/>
      <c r="GI34" s="124"/>
      <c r="GJ34" s="124"/>
      <c r="GK34" s="124"/>
      <c r="GL34" s="124"/>
      <c r="GM34" s="124"/>
      <c r="GN34" s="124"/>
      <c r="GO34" s="124"/>
      <c r="GP34" s="124"/>
      <c r="GQ34" s="124"/>
      <c r="GR34" s="124"/>
      <c r="GS34" s="124"/>
      <c r="GT34" s="124"/>
      <c r="GU34" s="124"/>
      <c r="GV34" s="124"/>
      <c r="GW34" s="124"/>
      <c r="GX34" s="124"/>
      <c r="GY34" s="124"/>
      <c r="GZ34" s="124"/>
      <c r="HA34" s="124"/>
      <c r="HB34" s="124"/>
      <c r="HC34" s="124"/>
      <c r="HD34" s="124"/>
      <c r="HE34" s="124"/>
      <c r="HF34" s="124"/>
      <c r="HG34" s="124"/>
      <c r="HH34" s="124"/>
      <c r="HI34" s="124"/>
      <c r="HJ34" s="124"/>
      <c r="HK34" s="124"/>
      <c r="HL34" s="124"/>
      <c r="HM34" s="124"/>
      <c r="HN34" s="124"/>
      <c r="HO34" s="124"/>
      <c r="HP34" s="124"/>
      <c r="HQ34" s="124"/>
    </row>
    <row r="35" spans="1:225" x14ac:dyDescent="0.2">
      <c r="A35" s="122" t="s">
        <v>654</v>
      </c>
      <c r="B35" s="123">
        <v>13</v>
      </c>
      <c r="C35" s="124" t="s">
        <v>187</v>
      </c>
      <c r="D35" s="123">
        <v>26</v>
      </c>
      <c r="E35" s="124" t="s">
        <v>161</v>
      </c>
      <c r="F35" s="123">
        <v>4</v>
      </c>
      <c r="G35" s="123"/>
      <c r="H35" s="124"/>
      <c r="I35" s="124"/>
      <c r="J35" s="124"/>
      <c r="K35" s="124"/>
      <c r="L35" s="124"/>
      <c r="M35" s="124"/>
      <c r="N35" s="124"/>
      <c r="O35" s="139" t="s">
        <v>655</v>
      </c>
      <c r="P35" s="124"/>
      <c r="Q35" s="124"/>
      <c r="R35" s="124"/>
      <c r="S35" s="124"/>
      <c r="T35" s="124"/>
      <c r="U35" s="122">
        <v>0.7</v>
      </c>
      <c r="V35" s="136">
        <v>12</v>
      </c>
      <c r="W35" s="131">
        <v>8</v>
      </c>
      <c r="X35" s="131">
        <v>12</v>
      </c>
      <c r="Y35" s="131">
        <v>8</v>
      </c>
      <c r="Z35" s="136">
        <v>15.67</v>
      </c>
      <c r="AA35" s="131">
        <v>8</v>
      </c>
      <c r="AB35" s="131">
        <v>11</v>
      </c>
      <c r="AC35" s="131">
        <v>8</v>
      </c>
      <c r="AD35" s="136">
        <v>13.67</v>
      </c>
      <c r="AE35" s="131">
        <v>8</v>
      </c>
      <c r="AF35" s="131">
        <v>11</v>
      </c>
      <c r="AG35" s="131">
        <v>8</v>
      </c>
      <c r="AH35" s="136">
        <v>11</v>
      </c>
      <c r="AI35" s="131">
        <v>8</v>
      </c>
      <c r="AJ35" s="131">
        <v>14</v>
      </c>
      <c r="AK35" s="131">
        <v>8</v>
      </c>
      <c r="AL35" s="131">
        <v>15</v>
      </c>
      <c r="AM35" s="131">
        <v>8</v>
      </c>
      <c r="AN35" s="131">
        <v>14</v>
      </c>
      <c r="AO35" s="131">
        <v>8</v>
      </c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  <c r="DN35" s="124"/>
      <c r="DO35" s="124"/>
      <c r="DP35" s="124"/>
      <c r="DQ35" s="124"/>
      <c r="DR35" s="124"/>
      <c r="DS35" s="124"/>
      <c r="DT35" s="124"/>
      <c r="DU35" s="122">
        <v>0.7</v>
      </c>
      <c r="DV35" s="136">
        <v>12</v>
      </c>
      <c r="DW35" s="131">
        <v>8</v>
      </c>
      <c r="DX35" s="131">
        <v>12</v>
      </c>
      <c r="DY35" s="131">
        <v>8</v>
      </c>
      <c r="DZ35" s="136">
        <v>15.67</v>
      </c>
      <c r="EA35" s="131">
        <v>8</v>
      </c>
      <c r="EB35" s="131">
        <v>11</v>
      </c>
      <c r="EC35" s="131">
        <v>8</v>
      </c>
      <c r="ED35" s="136">
        <v>13.67</v>
      </c>
      <c r="EE35" s="131">
        <v>8</v>
      </c>
      <c r="EF35" s="131">
        <v>11</v>
      </c>
      <c r="EG35" s="131">
        <v>8</v>
      </c>
      <c r="EH35" s="136">
        <v>11</v>
      </c>
      <c r="EI35" s="131">
        <v>8</v>
      </c>
      <c r="EJ35" s="131">
        <v>14</v>
      </c>
      <c r="EK35" s="131">
        <v>8</v>
      </c>
      <c r="EL35" s="131">
        <v>15</v>
      </c>
      <c r="EM35" s="131">
        <v>8</v>
      </c>
      <c r="EN35" s="131">
        <v>14</v>
      </c>
      <c r="EO35" s="131">
        <v>8</v>
      </c>
      <c r="EP35" s="124"/>
      <c r="EQ35" s="124"/>
      <c r="ER35" s="124"/>
      <c r="ES35" s="124"/>
      <c r="ET35" s="124"/>
      <c r="EU35" s="124"/>
      <c r="EV35" s="124"/>
      <c r="EW35" s="124"/>
      <c r="EX35" s="124"/>
      <c r="EY35" s="124"/>
      <c r="EZ35" s="124"/>
      <c r="FA35" s="124"/>
      <c r="FB35" s="124"/>
      <c r="FC35" s="124"/>
      <c r="FD35" s="124"/>
      <c r="FE35" s="124"/>
      <c r="FF35" s="124"/>
      <c r="FG35" s="124"/>
      <c r="FH35" s="124"/>
      <c r="FI35" s="124"/>
      <c r="FJ35" s="124"/>
      <c r="FK35" s="124"/>
      <c r="FL35" s="124"/>
      <c r="FM35" s="124"/>
      <c r="FN35" s="124"/>
      <c r="FO35" s="124"/>
      <c r="FP35" s="124"/>
      <c r="FQ35" s="124"/>
      <c r="FR35" s="124"/>
      <c r="FS35" s="124"/>
      <c r="FT35" s="124"/>
      <c r="FU35" s="124"/>
      <c r="FV35" s="124"/>
      <c r="FW35" s="124"/>
      <c r="FX35" s="124"/>
      <c r="FY35" s="124"/>
      <c r="FZ35" s="124"/>
      <c r="GA35" s="124"/>
      <c r="GB35" s="124"/>
      <c r="GC35" s="124"/>
      <c r="GD35" s="124"/>
      <c r="GE35" s="124"/>
      <c r="GF35" s="124"/>
      <c r="GG35" s="124"/>
      <c r="GH35" s="124"/>
      <c r="GI35" s="124"/>
      <c r="GJ35" s="124"/>
      <c r="GK35" s="124"/>
      <c r="GL35" s="124"/>
      <c r="GM35" s="124"/>
      <c r="GN35" s="124"/>
      <c r="GO35" s="124"/>
      <c r="GP35" s="124"/>
      <c r="GQ35" s="124"/>
      <c r="GR35" s="124"/>
      <c r="GS35" s="124"/>
      <c r="GT35" s="124"/>
      <c r="GU35" s="124"/>
      <c r="GV35" s="124"/>
      <c r="GW35" s="124"/>
      <c r="GX35" s="124"/>
      <c r="GY35" s="124"/>
      <c r="GZ35" s="124"/>
      <c r="HA35" s="124"/>
      <c r="HB35" s="124"/>
      <c r="HC35" s="124"/>
      <c r="HD35" s="124"/>
      <c r="HE35" s="124"/>
      <c r="HF35" s="124"/>
      <c r="HG35" s="124"/>
      <c r="HH35" s="124"/>
      <c r="HI35" s="124"/>
      <c r="HJ35" s="124"/>
      <c r="HK35" s="124"/>
      <c r="HL35" s="124"/>
      <c r="HM35" s="124"/>
      <c r="HN35" s="124"/>
      <c r="HO35" s="124"/>
      <c r="HP35" s="124"/>
      <c r="HQ35" s="124"/>
    </row>
    <row r="36" spans="1:225" x14ac:dyDescent="0.2">
      <c r="A36" s="122" t="s">
        <v>656</v>
      </c>
      <c r="B36" s="123">
        <v>14</v>
      </c>
      <c r="C36" s="124" t="s">
        <v>188</v>
      </c>
      <c r="D36" s="123">
        <v>27</v>
      </c>
      <c r="E36" s="124" t="s">
        <v>161</v>
      </c>
      <c r="F36" s="123">
        <v>4</v>
      </c>
      <c r="G36" s="123"/>
      <c r="H36" s="124"/>
      <c r="I36" s="124"/>
      <c r="J36" s="124"/>
      <c r="K36" s="124"/>
      <c r="L36" s="124"/>
      <c r="M36" s="124"/>
      <c r="N36" s="124"/>
      <c r="O36" s="139" t="s">
        <v>657</v>
      </c>
      <c r="P36" s="124"/>
      <c r="Q36" s="124"/>
      <c r="R36" s="124"/>
      <c r="S36" s="124"/>
      <c r="T36" s="124"/>
      <c r="U36" s="122">
        <v>0.8</v>
      </c>
      <c r="V36" s="136">
        <v>13.13</v>
      </c>
      <c r="W36" s="131">
        <v>9</v>
      </c>
      <c r="X36" s="131">
        <v>13</v>
      </c>
      <c r="Y36" s="131">
        <v>9</v>
      </c>
      <c r="Z36" s="136">
        <v>16.670000000000002</v>
      </c>
      <c r="AA36" s="131">
        <v>9</v>
      </c>
      <c r="AB36" s="131">
        <v>12</v>
      </c>
      <c r="AC36" s="131">
        <v>9</v>
      </c>
      <c r="AD36" s="136">
        <v>14.67</v>
      </c>
      <c r="AE36" s="131">
        <v>9</v>
      </c>
      <c r="AF36" s="131">
        <v>12</v>
      </c>
      <c r="AG36" s="131">
        <v>9</v>
      </c>
      <c r="AH36" s="136">
        <v>12</v>
      </c>
      <c r="AI36" s="131">
        <v>9</v>
      </c>
      <c r="AJ36" s="131">
        <v>15</v>
      </c>
      <c r="AK36" s="131">
        <v>9</v>
      </c>
      <c r="AL36" s="131">
        <v>16</v>
      </c>
      <c r="AM36" s="131">
        <v>9</v>
      </c>
      <c r="AN36" s="131">
        <v>14</v>
      </c>
      <c r="AO36" s="131">
        <v>9</v>
      </c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4"/>
      <c r="DN36" s="124"/>
      <c r="DO36" s="124"/>
      <c r="DP36" s="124"/>
      <c r="DQ36" s="124"/>
      <c r="DR36" s="124"/>
      <c r="DS36" s="124"/>
      <c r="DT36" s="124"/>
      <c r="DU36" s="122">
        <v>0.8</v>
      </c>
      <c r="DV36" s="136">
        <v>13.13</v>
      </c>
      <c r="DW36" s="131">
        <v>9</v>
      </c>
      <c r="DX36" s="131">
        <v>13</v>
      </c>
      <c r="DY36" s="131">
        <v>9</v>
      </c>
      <c r="DZ36" s="136">
        <v>16.670000000000002</v>
      </c>
      <c r="EA36" s="131">
        <v>9</v>
      </c>
      <c r="EB36" s="131">
        <v>12</v>
      </c>
      <c r="EC36" s="131">
        <v>9</v>
      </c>
      <c r="ED36" s="136">
        <v>14.67</v>
      </c>
      <c r="EE36" s="131">
        <v>9</v>
      </c>
      <c r="EF36" s="131">
        <v>12</v>
      </c>
      <c r="EG36" s="131">
        <v>9</v>
      </c>
      <c r="EH36" s="136">
        <v>12</v>
      </c>
      <c r="EI36" s="131">
        <v>9</v>
      </c>
      <c r="EJ36" s="131">
        <v>15</v>
      </c>
      <c r="EK36" s="131">
        <v>9</v>
      </c>
      <c r="EL36" s="131">
        <v>16</v>
      </c>
      <c r="EM36" s="131">
        <v>9</v>
      </c>
      <c r="EN36" s="131">
        <v>14</v>
      </c>
      <c r="EO36" s="131">
        <v>9</v>
      </c>
      <c r="EP36" s="124"/>
      <c r="EQ36" s="124"/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4"/>
      <c r="FL36" s="124"/>
      <c r="FM36" s="124"/>
      <c r="FN36" s="124"/>
      <c r="FO36" s="124"/>
      <c r="FP36" s="124"/>
      <c r="FQ36" s="124"/>
      <c r="FR36" s="124"/>
      <c r="FS36" s="124"/>
      <c r="FT36" s="124"/>
      <c r="FU36" s="124"/>
      <c r="FV36" s="124"/>
      <c r="FW36" s="124"/>
      <c r="FX36" s="124"/>
      <c r="FY36" s="124"/>
      <c r="FZ36" s="124"/>
      <c r="GA36" s="124"/>
      <c r="GB36" s="124"/>
      <c r="GC36" s="124"/>
      <c r="GD36" s="124"/>
      <c r="GE36" s="124"/>
      <c r="GF36" s="124"/>
      <c r="GG36" s="124"/>
      <c r="GH36" s="124"/>
      <c r="GI36" s="124"/>
      <c r="GJ36" s="124"/>
      <c r="GK36" s="124"/>
      <c r="GL36" s="124"/>
      <c r="GM36" s="124"/>
      <c r="GN36" s="124"/>
      <c r="GO36" s="124"/>
      <c r="GP36" s="124"/>
      <c r="GQ36" s="124"/>
      <c r="GR36" s="124"/>
      <c r="GS36" s="124"/>
      <c r="GT36" s="124"/>
      <c r="GU36" s="124"/>
      <c r="GV36" s="124"/>
      <c r="GW36" s="124"/>
      <c r="GX36" s="124"/>
      <c r="GY36" s="124"/>
      <c r="GZ36" s="124"/>
      <c r="HA36" s="124"/>
      <c r="HB36" s="124"/>
      <c r="HC36" s="124"/>
      <c r="HD36" s="124"/>
      <c r="HE36" s="124"/>
      <c r="HF36" s="124"/>
      <c r="HG36" s="124"/>
      <c r="HH36" s="124"/>
      <c r="HI36" s="124"/>
      <c r="HJ36" s="124"/>
      <c r="HK36" s="124"/>
      <c r="HL36" s="124"/>
      <c r="HM36" s="124"/>
      <c r="HN36" s="124"/>
      <c r="HO36" s="124"/>
      <c r="HP36" s="124"/>
      <c r="HQ36" s="124"/>
    </row>
    <row r="37" spans="1:225" x14ac:dyDescent="0.2">
      <c r="A37" s="122" t="s">
        <v>658</v>
      </c>
      <c r="B37" s="123">
        <v>14</v>
      </c>
      <c r="C37" s="124" t="s">
        <v>189</v>
      </c>
      <c r="D37" s="123">
        <v>28</v>
      </c>
      <c r="E37" s="124" t="s">
        <v>161</v>
      </c>
      <c r="F37" s="123">
        <v>3</v>
      </c>
      <c r="G37" s="123"/>
      <c r="H37" s="124"/>
      <c r="I37" s="124"/>
      <c r="J37" s="124"/>
      <c r="K37" s="124"/>
      <c r="L37" s="124"/>
      <c r="M37" s="124"/>
      <c r="N37" s="124"/>
      <c r="O37" s="139" t="s">
        <v>659</v>
      </c>
      <c r="P37" s="124"/>
      <c r="Q37" s="124"/>
      <c r="R37" s="124"/>
      <c r="S37" s="124"/>
      <c r="T37" s="124"/>
      <c r="U37" s="122">
        <v>0.9</v>
      </c>
      <c r="V37" s="136">
        <v>13.67</v>
      </c>
      <c r="W37" s="131">
        <v>10</v>
      </c>
      <c r="X37" s="131">
        <v>14</v>
      </c>
      <c r="Y37" s="131">
        <v>10</v>
      </c>
      <c r="Z37" s="136">
        <v>17.399999999999999</v>
      </c>
      <c r="AA37" s="131">
        <v>10</v>
      </c>
      <c r="AB37" s="131">
        <v>13</v>
      </c>
      <c r="AC37" s="131">
        <v>10</v>
      </c>
      <c r="AD37" s="136">
        <v>16.07</v>
      </c>
      <c r="AE37" s="131">
        <v>10</v>
      </c>
      <c r="AF37" s="131">
        <v>14</v>
      </c>
      <c r="AG37" s="131">
        <v>10</v>
      </c>
      <c r="AH37" s="136">
        <v>13.67</v>
      </c>
      <c r="AI37" s="131">
        <v>10</v>
      </c>
      <c r="AJ37" s="131">
        <v>16</v>
      </c>
      <c r="AK37" s="131">
        <v>10</v>
      </c>
      <c r="AL37" s="131">
        <v>17</v>
      </c>
      <c r="AM37" s="131">
        <v>10</v>
      </c>
      <c r="AN37" s="131">
        <v>15</v>
      </c>
      <c r="AO37" s="131">
        <v>10</v>
      </c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2">
        <v>0.9</v>
      </c>
      <c r="DV37" s="136">
        <v>13.67</v>
      </c>
      <c r="DW37" s="131">
        <v>10</v>
      </c>
      <c r="DX37" s="131">
        <v>14</v>
      </c>
      <c r="DY37" s="131">
        <v>10</v>
      </c>
      <c r="DZ37" s="136">
        <v>17.399999999999999</v>
      </c>
      <c r="EA37" s="131">
        <v>10</v>
      </c>
      <c r="EB37" s="131">
        <v>13</v>
      </c>
      <c r="EC37" s="131">
        <v>10</v>
      </c>
      <c r="ED37" s="136">
        <v>16.07</v>
      </c>
      <c r="EE37" s="131">
        <v>10</v>
      </c>
      <c r="EF37" s="131">
        <v>14</v>
      </c>
      <c r="EG37" s="131">
        <v>10</v>
      </c>
      <c r="EH37" s="136">
        <v>13.67</v>
      </c>
      <c r="EI37" s="131">
        <v>10</v>
      </c>
      <c r="EJ37" s="131">
        <v>16</v>
      </c>
      <c r="EK37" s="131">
        <v>10</v>
      </c>
      <c r="EL37" s="131">
        <v>17</v>
      </c>
      <c r="EM37" s="131">
        <v>10</v>
      </c>
      <c r="EN37" s="131">
        <v>15</v>
      </c>
      <c r="EO37" s="131">
        <v>10</v>
      </c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</row>
    <row r="38" spans="1:225" x14ac:dyDescent="0.2">
      <c r="A38" s="122" t="s">
        <v>660</v>
      </c>
      <c r="B38" s="123">
        <v>15</v>
      </c>
      <c r="C38" s="140" t="s">
        <v>190</v>
      </c>
      <c r="D38" s="123">
        <v>29</v>
      </c>
      <c r="E38" s="124" t="s">
        <v>161</v>
      </c>
      <c r="F38" s="123">
        <v>3</v>
      </c>
      <c r="G38" s="123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4"/>
      <c r="DN38" s="124"/>
      <c r="DO38" s="124"/>
      <c r="DP38" s="124"/>
      <c r="DQ38" s="124"/>
      <c r="DR38" s="124"/>
      <c r="DS38" s="124"/>
      <c r="DT38" s="124"/>
      <c r="DU38" s="124"/>
      <c r="DV38" s="124"/>
      <c r="DW38" s="124"/>
      <c r="DX38" s="124"/>
      <c r="DY38" s="124"/>
      <c r="DZ38" s="124"/>
      <c r="EA38" s="124"/>
      <c r="EB38" s="124"/>
      <c r="EC38" s="124"/>
      <c r="ED38" s="124"/>
      <c r="EE38" s="124"/>
      <c r="EF38" s="124"/>
      <c r="EG38" s="124"/>
      <c r="EH38" s="124"/>
      <c r="EI38" s="124"/>
      <c r="EJ38" s="124"/>
      <c r="EK38" s="124"/>
      <c r="EL38" s="124"/>
      <c r="EM38" s="124"/>
      <c r="EN38" s="124"/>
      <c r="EO38" s="124"/>
      <c r="EP38" s="124"/>
      <c r="EQ38" s="124"/>
      <c r="ER38" s="124"/>
      <c r="ES38" s="124"/>
      <c r="ET38" s="124"/>
      <c r="EU38" s="124"/>
      <c r="EV38" s="124"/>
      <c r="EW38" s="124"/>
      <c r="EX38" s="124"/>
      <c r="EY38" s="124"/>
      <c r="EZ38" s="124"/>
      <c r="FA38" s="124"/>
      <c r="FB38" s="124"/>
      <c r="FC38" s="124"/>
      <c r="FD38" s="124"/>
      <c r="FE38" s="124"/>
      <c r="FF38" s="124"/>
      <c r="FG38" s="124"/>
      <c r="FH38" s="124"/>
      <c r="FI38" s="124"/>
      <c r="FJ38" s="124"/>
      <c r="FK38" s="124"/>
      <c r="FL38" s="124"/>
      <c r="FM38" s="124"/>
      <c r="FN38" s="124"/>
      <c r="FO38" s="124"/>
      <c r="FP38" s="124"/>
      <c r="FQ38" s="124"/>
      <c r="FR38" s="124"/>
      <c r="FS38" s="124"/>
      <c r="FT38" s="124"/>
      <c r="FU38" s="124"/>
      <c r="FV38" s="124"/>
      <c r="FW38" s="124"/>
      <c r="FX38" s="124"/>
      <c r="FY38" s="124"/>
      <c r="FZ38" s="124"/>
      <c r="GA38" s="124"/>
      <c r="GB38" s="124"/>
      <c r="GC38" s="124"/>
      <c r="GD38" s="124"/>
      <c r="GE38" s="124"/>
      <c r="GF38" s="124"/>
      <c r="GG38" s="124"/>
      <c r="GH38" s="124"/>
      <c r="GI38" s="124"/>
      <c r="GJ38" s="124"/>
      <c r="GK38" s="124"/>
      <c r="GL38" s="124"/>
      <c r="GM38" s="124"/>
      <c r="GN38" s="124"/>
      <c r="GO38" s="124"/>
      <c r="GP38" s="124"/>
      <c r="GQ38" s="124"/>
      <c r="GR38" s="124"/>
      <c r="GS38" s="124"/>
      <c r="GT38" s="124"/>
      <c r="GU38" s="124"/>
      <c r="GV38" s="124"/>
      <c r="GW38" s="124"/>
      <c r="GX38" s="124"/>
      <c r="GY38" s="124"/>
      <c r="GZ38" s="124"/>
      <c r="HA38" s="124"/>
      <c r="HB38" s="124"/>
      <c r="HC38" s="124"/>
      <c r="HD38" s="124"/>
      <c r="HE38" s="124"/>
      <c r="HF38" s="124"/>
      <c r="HG38" s="124"/>
      <c r="HH38" s="124"/>
      <c r="HI38" s="124"/>
      <c r="HJ38" s="124"/>
      <c r="HK38" s="124"/>
      <c r="HL38" s="124"/>
      <c r="HM38" s="124"/>
      <c r="HN38" s="124"/>
      <c r="HO38" s="124"/>
      <c r="HP38" s="124"/>
      <c r="HQ38" s="124"/>
    </row>
    <row r="39" spans="1:225" x14ac:dyDescent="0.2">
      <c r="A39" s="122" t="s">
        <v>661</v>
      </c>
      <c r="B39" s="123">
        <v>15</v>
      </c>
      <c r="C39" s="124" t="s">
        <v>191</v>
      </c>
      <c r="D39" s="123">
        <v>30</v>
      </c>
      <c r="E39" s="124" t="s">
        <v>161</v>
      </c>
      <c r="F39" s="123">
        <v>3</v>
      </c>
      <c r="G39" s="123"/>
      <c r="H39" s="124"/>
      <c r="I39" s="124"/>
      <c r="J39" s="124"/>
      <c r="K39" s="124"/>
      <c r="L39" s="124"/>
      <c r="M39" s="124"/>
      <c r="N39" s="124"/>
      <c r="O39" s="124">
        <v>11202</v>
      </c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6" t="s">
        <v>662</v>
      </c>
      <c r="DU39" s="127" t="s">
        <v>574</v>
      </c>
      <c r="DV39" s="128"/>
      <c r="DW39" s="128"/>
      <c r="DX39" s="128"/>
      <c r="DY39" s="128"/>
      <c r="DZ39" s="128"/>
      <c r="EA39" s="128"/>
      <c r="EB39" s="128"/>
      <c r="EC39" s="128"/>
      <c r="ED39" s="128"/>
      <c r="EE39" s="128"/>
      <c r="EF39" s="128"/>
      <c r="EG39" s="128"/>
      <c r="EH39" s="128"/>
      <c r="EI39" s="128"/>
      <c r="EJ39" s="128"/>
      <c r="EK39" s="128"/>
      <c r="EL39" s="128"/>
      <c r="EM39" s="128"/>
      <c r="EN39" s="128"/>
      <c r="EO39" s="128"/>
      <c r="EP39" s="128"/>
      <c r="EQ39" s="128"/>
      <c r="ER39" s="128"/>
      <c r="ES39" s="128"/>
      <c r="ET39" s="128"/>
      <c r="EU39" s="128"/>
      <c r="EV39" s="128"/>
      <c r="EW39" s="128"/>
      <c r="EX39" s="128"/>
      <c r="EY39" s="128"/>
      <c r="EZ39" s="128"/>
      <c r="FA39" s="128"/>
      <c r="FB39" s="128"/>
      <c r="FC39" s="128"/>
      <c r="FD39" s="128"/>
      <c r="FE39" s="128"/>
      <c r="FF39" s="128"/>
      <c r="FG39" s="128"/>
      <c r="FH39" s="128"/>
      <c r="FI39" s="128"/>
      <c r="FJ39" s="128"/>
      <c r="FK39" s="128"/>
      <c r="FL39" s="128"/>
      <c r="FM39" s="128"/>
      <c r="FN39" s="128"/>
      <c r="FO39" s="128"/>
      <c r="FP39" s="128"/>
      <c r="FQ39" s="128"/>
      <c r="FR39" s="128"/>
      <c r="FS39" s="128"/>
      <c r="FT39" s="128"/>
      <c r="FU39" s="128"/>
      <c r="FV39" s="128"/>
      <c r="FW39" s="128"/>
      <c r="FX39" s="128"/>
      <c r="FY39" s="128"/>
      <c r="FZ39" s="128"/>
      <c r="GA39" s="128"/>
      <c r="GB39" s="128"/>
      <c r="GC39" s="128"/>
      <c r="GD39" s="128"/>
      <c r="GE39" s="128"/>
      <c r="GF39" s="128"/>
      <c r="GG39" s="128"/>
      <c r="GH39" s="128"/>
      <c r="GI39" s="128"/>
      <c r="GJ39" s="128"/>
      <c r="GK39" s="128"/>
      <c r="GL39" s="128"/>
      <c r="GM39" s="128"/>
      <c r="GN39" s="128"/>
      <c r="GO39" s="128"/>
      <c r="GP39" s="128"/>
      <c r="GQ39" s="128"/>
      <c r="GR39" s="128"/>
      <c r="GS39" s="128"/>
      <c r="GT39" s="128"/>
      <c r="GU39" s="128"/>
      <c r="GV39" s="128"/>
      <c r="GW39" s="128"/>
      <c r="GX39" s="128"/>
      <c r="GY39" s="128"/>
      <c r="GZ39" s="128"/>
      <c r="HA39" s="128"/>
      <c r="HB39" s="128"/>
      <c r="HC39" s="128"/>
      <c r="HD39" s="128"/>
      <c r="HE39" s="128"/>
      <c r="HF39" s="128"/>
      <c r="HG39" s="128"/>
      <c r="HH39" s="128"/>
      <c r="HI39" s="128"/>
      <c r="HJ39" s="128"/>
      <c r="HK39" s="128"/>
      <c r="HL39" s="128"/>
      <c r="HM39" s="128"/>
      <c r="HN39" s="124"/>
      <c r="HO39" s="124"/>
      <c r="HP39" s="124"/>
      <c r="HQ39" s="124"/>
    </row>
    <row r="40" spans="1:225" x14ac:dyDescent="0.2">
      <c r="A40" s="122" t="s">
        <v>663</v>
      </c>
      <c r="B40" s="123">
        <v>16</v>
      </c>
      <c r="C40" s="124" t="s">
        <v>192</v>
      </c>
      <c r="D40" s="123">
        <v>31</v>
      </c>
      <c r="E40" s="124" t="s">
        <v>161</v>
      </c>
      <c r="F40" s="123">
        <v>4</v>
      </c>
      <c r="G40" s="123"/>
      <c r="H40" s="124"/>
      <c r="I40" s="124"/>
      <c r="J40" s="124"/>
      <c r="K40" s="124"/>
      <c r="L40" s="124"/>
      <c r="M40" s="124"/>
      <c r="N40" s="124"/>
      <c r="O40" s="124">
        <v>11263</v>
      </c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30"/>
      <c r="DV40" s="128" t="s">
        <v>6</v>
      </c>
      <c r="DW40" s="128"/>
      <c r="DX40" s="128" t="s">
        <v>10</v>
      </c>
      <c r="DY40" s="128"/>
      <c r="DZ40" s="128" t="s">
        <v>12</v>
      </c>
      <c r="EA40" s="128"/>
      <c r="EB40" s="128" t="s">
        <v>15</v>
      </c>
      <c r="EC40" s="128"/>
      <c r="ED40" s="128" t="s">
        <v>18</v>
      </c>
      <c r="EE40" s="128"/>
      <c r="EF40" s="128" t="s">
        <v>20</v>
      </c>
      <c r="EG40" s="128"/>
      <c r="EH40" s="128" t="s">
        <v>48</v>
      </c>
      <c r="EI40" s="128"/>
      <c r="EJ40" s="128" t="s">
        <v>51</v>
      </c>
      <c r="EK40" s="128"/>
      <c r="EL40" s="128" t="s">
        <v>45</v>
      </c>
      <c r="EM40" s="128"/>
      <c r="EN40" s="128" t="s">
        <v>29</v>
      </c>
      <c r="EO40" s="128"/>
      <c r="EP40" s="128" t="s">
        <v>31</v>
      </c>
      <c r="EQ40" s="128"/>
      <c r="ER40" s="128" t="s">
        <v>33</v>
      </c>
      <c r="ES40" s="128"/>
      <c r="ET40" s="128" t="s">
        <v>39</v>
      </c>
      <c r="EU40" s="128"/>
      <c r="EV40" s="128" t="s">
        <v>36</v>
      </c>
      <c r="EW40" s="128"/>
      <c r="EX40" s="128" t="s">
        <v>196</v>
      </c>
      <c r="EY40" s="128"/>
      <c r="EZ40" s="128" t="s">
        <v>13</v>
      </c>
      <c r="FA40" s="128"/>
      <c r="FB40" s="128" t="s">
        <v>11</v>
      </c>
      <c r="FC40" s="128"/>
      <c r="FD40" s="128" t="s">
        <v>64</v>
      </c>
      <c r="FE40" s="128"/>
      <c r="FF40" s="128" t="s">
        <v>67</v>
      </c>
      <c r="FG40" s="128"/>
      <c r="FH40" s="128" t="s">
        <v>70</v>
      </c>
      <c r="FI40" s="128"/>
      <c r="FJ40" s="128" t="s">
        <v>17</v>
      </c>
      <c r="FK40" s="128"/>
      <c r="FL40" s="128" t="s">
        <v>98</v>
      </c>
      <c r="FM40" s="128"/>
      <c r="FN40" s="128" t="s">
        <v>100</v>
      </c>
      <c r="FO40" s="128"/>
      <c r="FP40" s="128" t="s">
        <v>102</v>
      </c>
      <c r="FQ40" s="128"/>
      <c r="FR40" s="128" t="s">
        <v>38</v>
      </c>
      <c r="FS40" s="128"/>
      <c r="FT40" s="128" t="s">
        <v>25</v>
      </c>
      <c r="FU40" s="128"/>
      <c r="FV40" s="128" t="s">
        <v>77</v>
      </c>
      <c r="FW40" s="128"/>
      <c r="FX40" s="128" t="s">
        <v>87</v>
      </c>
      <c r="FY40" s="128"/>
      <c r="FZ40" s="128" t="s">
        <v>103</v>
      </c>
      <c r="GA40" s="128"/>
      <c r="GB40" s="128" t="s">
        <v>23</v>
      </c>
      <c r="GC40" s="128"/>
      <c r="GD40" s="128" t="s">
        <v>509</v>
      </c>
      <c r="GE40" s="128"/>
      <c r="GF40" s="128" t="s">
        <v>223</v>
      </c>
      <c r="GG40" s="128"/>
      <c r="GH40" s="128" t="s">
        <v>214</v>
      </c>
      <c r="GI40" s="128"/>
      <c r="GJ40" s="128" t="s">
        <v>24</v>
      </c>
      <c r="GK40" s="128"/>
      <c r="GL40" s="128" t="s">
        <v>21</v>
      </c>
      <c r="GM40" s="128"/>
      <c r="GN40" s="128" t="s">
        <v>96</v>
      </c>
      <c r="GO40" s="128"/>
      <c r="GP40" s="128" t="s">
        <v>32</v>
      </c>
      <c r="GQ40" s="128"/>
      <c r="GR40" s="128" t="s">
        <v>44</v>
      </c>
      <c r="GS40" s="128"/>
      <c r="GT40" s="128" t="s">
        <v>40</v>
      </c>
      <c r="GU40" s="128"/>
      <c r="GV40" s="128" t="s">
        <v>116</v>
      </c>
      <c r="GW40" s="128"/>
      <c r="GX40" s="128" t="s">
        <v>52</v>
      </c>
      <c r="GY40" s="128"/>
      <c r="GZ40" s="128" t="s">
        <v>108</v>
      </c>
      <c r="HA40" s="128"/>
      <c r="HB40" s="128" t="s">
        <v>43</v>
      </c>
      <c r="HC40" s="128"/>
      <c r="HD40" s="128" t="s">
        <v>121</v>
      </c>
      <c r="HE40" s="128"/>
      <c r="HF40" s="128" t="s">
        <v>9</v>
      </c>
      <c r="HG40" s="128"/>
      <c r="HH40" s="128" t="s">
        <v>122</v>
      </c>
      <c r="HI40" s="128"/>
      <c r="HJ40" s="128" t="s">
        <v>30</v>
      </c>
      <c r="HK40" s="128"/>
      <c r="HL40" s="128" t="s">
        <v>34</v>
      </c>
      <c r="HM40" s="128"/>
      <c r="HN40" s="128" t="s">
        <v>49</v>
      </c>
      <c r="HO40" s="128"/>
      <c r="HP40" s="124"/>
      <c r="HQ40" s="124"/>
    </row>
    <row r="41" spans="1:225" x14ac:dyDescent="0.2">
      <c r="A41" s="122" t="s">
        <v>664</v>
      </c>
      <c r="B41" s="123">
        <v>16</v>
      </c>
      <c r="C41" s="124" t="s">
        <v>193</v>
      </c>
      <c r="D41" s="123">
        <v>32</v>
      </c>
      <c r="E41" s="124" t="s">
        <v>161</v>
      </c>
      <c r="F41" s="123">
        <v>3</v>
      </c>
      <c r="G41" s="123"/>
      <c r="H41" s="124"/>
      <c r="I41" s="124"/>
      <c r="J41" s="124"/>
      <c r="K41" s="124"/>
      <c r="L41" s="124"/>
      <c r="M41" s="124"/>
      <c r="N41" s="124"/>
      <c r="O41" s="124">
        <v>11293</v>
      </c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2">
        <v>0</v>
      </c>
      <c r="DV41" s="123">
        <v>0</v>
      </c>
      <c r="DW41" s="131">
        <v>1</v>
      </c>
      <c r="DX41" s="123">
        <v>0</v>
      </c>
      <c r="DY41" s="131">
        <v>1</v>
      </c>
      <c r="DZ41" s="123">
        <v>0</v>
      </c>
      <c r="EA41" s="131">
        <v>1</v>
      </c>
      <c r="EB41" s="123">
        <v>0</v>
      </c>
      <c r="EC41" s="131">
        <v>1</v>
      </c>
      <c r="ED41" s="123">
        <v>0</v>
      </c>
      <c r="EE41" s="131">
        <v>1</v>
      </c>
      <c r="EF41" s="123">
        <v>0</v>
      </c>
      <c r="EG41" s="131">
        <v>1</v>
      </c>
      <c r="EH41" s="123">
        <v>0</v>
      </c>
      <c r="EI41" s="131">
        <v>1</v>
      </c>
      <c r="EJ41" s="123">
        <v>0</v>
      </c>
      <c r="EK41" s="131">
        <v>1</v>
      </c>
      <c r="EL41" s="123">
        <v>0</v>
      </c>
      <c r="EM41" s="131">
        <v>1</v>
      </c>
      <c r="EN41" s="123">
        <v>0</v>
      </c>
      <c r="EO41" s="131">
        <v>1</v>
      </c>
      <c r="EP41" s="123">
        <v>0</v>
      </c>
      <c r="EQ41" s="131">
        <v>1</v>
      </c>
      <c r="ER41" s="123">
        <v>0</v>
      </c>
      <c r="ES41" s="131">
        <v>1</v>
      </c>
      <c r="ET41" s="123">
        <v>0</v>
      </c>
      <c r="EU41" s="131">
        <v>1</v>
      </c>
      <c r="EV41" s="123">
        <v>0</v>
      </c>
      <c r="EW41" s="131">
        <v>1</v>
      </c>
      <c r="EX41" s="123">
        <v>0</v>
      </c>
      <c r="EY41" s="131">
        <v>1</v>
      </c>
      <c r="EZ41" s="123">
        <v>0</v>
      </c>
      <c r="FA41" s="131">
        <v>1</v>
      </c>
      <c r="FB41" s="123">
        <v>0</v>
      </c>
      <c r="FC41" s="131">
        <v>1</v>
      </c>
      <c r="FD41" s="123">
        <v>0</v>
      </c>
      <c r="FE41" s="131">
        <v>1</v>
      </c>
      <c r="FF41" s="123">
        <v>0</v>
      </c>
      <c r="FG41" s="131">
        <v>1</v>
      </c>
      <c r="FH41" s="123">
        <v>0</v>
      </c>
      <c r="FI41" s="131">
        <v>1</v>
      </c>
      <c r="FJ41" s="123">
        <v>0</v>
      </c>
      <c r="FK41" s="131">
        <v>1</v>
      </c>
      <c r="FL41" s="123">
        <v>0</v>
      </c>
      <c r="FM41" s="131">
        <v>1</v>
      </c>
      <c r="FN41" s="123">
        <v>0</v>
      </c>
      <c r="FO41" s="131">
        <v>1</v>
      </c>
      <c r="FP41" s="123">
        <v>0</v>
      </c>
      <c r="FQ41" s="131">
        <v>1</v>
      </c>
      <c r="FR41" s="123">
        <v>0</v>
      </c>
      <c r="FS41" s="131">
        <v>1</v>
      </c>
      <c r="FT41" s="123">
        <v>0</v>
      </c>
      <c r="FU41" s="131">
        <v>1</v>
      </c>
      <c r="FV41" s="123">
        <v>0</v>
      </c>
      <c r="FW41" s="131">
        <v>1</v>
      </c>
      <c r="FX41" s="123">
        <v>0</v>
      </c>
      <c r="FY41" s="131">
        <v>1</v>
      </c>
      <c r="FZ41" s="123">
        <v>0</v>
      </c>
      <c r="GA41" s="131">
        <v>1</v>
      </c>
      <c r="GB41" s="123">
        <v>0</v>
      </c>
      <c r="GC41" s="131">
        <v>1</v>
      </c>
      <c r="GD41" s="123">
        <v>0</v>
      </c>
      <c r="GE41" s="131">
        <v>1</v>
      </c>
      <c r="GF41" s="123">
        <v>0</v>
      </c>
      <c r="GG41" s="131">
        <v>1</v>
      </c>
      <c r="GH41" s="123">
        <v>0</v>
      </c>
      <c r="GI41" s="131">
        <v>1</v>
      </c>
      <c r="GJ41" s="123">
        <v>0</v>
      </c>
      <c r="GK41" s="131">
        <v>1</v>
      </c>
      <c r="GL41" s="123">
        <v>0</v>
      </c>
      <c r="GM41" s="131">
        <v>1</v>
      </c>
      <c r="GN41" s="123">
        <v>0</v>
      </c>
      <c r="GO41" s="131">
        <v>1</v>
      </c>
      <c r="GP41" s="123">
        <v>0</v>
      </c>
      <c r="GQ41" s="131">
        <v>1</v>
      </c>
      <c r="GR41" s="123">
        <v>0</v>
      </c>
      <c r="GS41" s="131">
        <v>1</v>
      </c>
      <c r="GT41" s="123">
        <v>0</v>
      </c>
      <c r="GU41" s="131">
        <v>1</v>
      </c>
      <c r="GV41" s="123">
        <v>0</v>
      </c>
      <c r="GW41" s="131">
        <v>1</v>
      </c>
      <c r="GX41" s="123">
        <v>0</v>
      </c>
      <c r="GY41" s="131">
        <v>1</v>
      </c>
      <c r="GZ41" s="123">
        <v>0</v>
      </c>
      <c r="HA41" s="131">
        <v>1</v>
      </c>
      <c r="HB41" s="123">
        <v>0</v>
      </c>
      <c r="HC41" s="131">
        <v>1</v>
      </c>
      <c r="HD41" s="123">
        <v>0</v>
      </c>
      <c r="HE41" s="131">
        <v>1</v>
      </c>
      <c r="HF41" s="123">
        <v>0</v>
      </c>
      <c r="HG41" s="131">
        <v>1</v>
      </c>
      <c r="HH41" s="123">
        <v>0</v>
      </c>
      <c r="HI41" s="131">
        <v>1</v>
      </c>
      <c r="HJ41" s="123">
        <v>0</v>
      </c>
      <c r="HK41" s="131">
        <v>1</v>
      </c>
      <c r="HL41" s="123">
        <v>0</v>
      </c>
      <c r="HM41" s="131">
        <v>1</v>
      </c>
      <c r="HN41" s="123">
        <v>0</v>
      </c>
      <c r="HO41" s="131">
        <v>1</v>
      </c>
      <c r="HP41" s="124"/>
      <c r="HQ41" s="124"/>
    </row>
    <row r="42" spans="1:225" x14ac:dyDescent="0.2">
      <c r="A42" s="122" t="s">
        <v>665</v>
      </c>
      <c r="B42" s="123">
        <v>17</v>
      </c>
      <c r="C42" s="140" t="s">
        <v>194</v>
      </c>
      <c r="D42" s="123">
        <v>33</v>
      </c>
      <c r="E42" s="124" t="s">
        <v>161</v>
      </c>
      <c r="F42" s="123">
        <v>2</v>
      </c>
      <c r="G42" s="123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2">
        <v>0.1</v>
      </c>
      <c r="DV42" s="132">
        <v>6.8</v>
      </c>
      <c r="DW42" s="131">
        <v>2</v>
      </c>
      <c r="DX42" s="132">
        <v>3</v>
      </c>
      <c r="DY42" s="131">
        <v>2</v>
      </c>
      <c r="DZ42" s="132">
        <v>5</v>
      </c>
      <c r="EA42" s="131">
        <v>2</v>
      </c>
      <c r="EB42" s="132">
        <v>8</v>
      </c>
      <c r="EC42" s="131">
        <v>2</v>
      </c>
      <c r="ED42" s="132">
        <v>7</v>
      </c>
      <c r="EE42" s="131">
        <v>2</v>
      </c>
      <c r="EF42" s="132">
        <v>6</v>
      </c>
      <c r="EG42" s="131">
        <v>2</v>
      </c>
      <c r="EH42" s="132">
        <v>9</v>
      </c>
      <c r="EI42" s="131">
        <v>2</v>
      </c>
      <c r="EJ42" s="132">
        <v>7</v>
      </c>
      <c r="EK42" s="131">
        <v>2</v>
      </c>
      <c r="EL42" s="132">
        <v>8</v>
      </c>
      <c r="EM42" s="131">
        <v>2</v>
      </c>
      <c r="EN42" s="132">
        <v>5</v>
      </c>
      <c r="EO42" s="131">
        <v>2</v>
      </c>
      <c r="EP42" s="132">
        <v>4</v>
      </c>
      <c r="EQ42" s="131">
        <v>2</v>
      </c>
      <c r="ER42" s="132">
        <v>4</v>
      </c>
      <c r="ES42" s="131">
        <v>2</v>
      </c>
      <c r="ET42" s="132">
        <v>2</v>
      </c>
      <c r="EU42" s="131">
        <v>2</v>
      </c>
      <c r="EV42" s="132">
        <v>8</v>
      </c>
      <c r="EW42" s="131">
        <v>2</v>
      </c>
      <c r="EX42" s="132">
        <v>6</v>
      </c>
      <c r="EY42" s="131">
        <v>2</v>
      </c>
      <c r="EZ42" s="132">
        <v>8</v>
      </c>
      <c r="FA42" s="131">
        <v>2</v>
      </c>
      <c r="FB42" s="132">
        <v>7</v>
      </c>
      <c r="FC42" s="131">
        <v>2</v>
      </c>
      <c r="FD42" s="132">
        <v>3</v>
      </c>
      <c r="FE42" s="131">
        <v>2</v>
      </c>
      <c r="FF42" s="132">
        <v>5</v>
      </c>
      <c r="FG42" s="131">
        <v>2</v>
      </c>
      <c r="FH42" s="132">
        <v>10</v>
      </c>
      <c r="FI42" s="131">
        <v>2</v>
      </c>
      <c r="FJ42" s="132">
        <v>3</v>
      </c>
      <c r="FK42" s="131">
        <v>2</v>
      </c>
      <c r="FL42" s="132">
        <v>7</v>
      </c>
      <c r="FM42" s="131">
        <v>2</v>
      </c>
      <c r="FN42" s="132">
        <v>3</v>
      </c>
      <c r="FO42" s="131">
        <v>2</v>
      </c>
      <c r="FP42" s="132">
        <v>2</v>
      </c>
      <c r="FQ42" s="131">
        <v>2</v>
      </c>
      <c r="FR42" s="132">
        <v>7</v>
      </c>
      <c r="FS42" s="131">
        <v>2</v>
      </c>
      <c r="FT42" s="132">
        <v>9</v>
      </c>
      <c r="FU42" s="131">
        <v>2</v>
      </c>
      <c r="FV42" s="132">
        <v>8</v>
      </c>
      <c r="FW42" s="131">
        <v>2</v>
      </c>
      <c r="FX42" s="132">
        <v>2</v>
      </c>
      <c r="FY42" s="131">
        <v>2</v>
      </c>
      <c r="FZ42" s="132">
        <v>2</v>
      </c>
      <c r="GA42" s="131">
        <v>2</v>
      </c>
      <c r="GB42" s="132">
        <v>4</v>
      </c>
      <c r="GC42" s="131">
        <v>2</v>
      </c>
      <c r="GD42" s="132">
        <v>4</v>
      </c>
      <c r="GE42" s="131">
        <v>2</v>
      </c>
      <c r="GF42" s="132">
        <v>7</v>
      </c>
      <c r="GG42" s="131">
        <v>2</v>
      </c>
      <c r="GH42" s="132">
        <v>4</v>
      </c>
      <c r="GI42" s="131">
        <v>2</v>
      </c>
      <c r="GJ42" s="132">
        <v>8</v>
      </c>
      <c r="GK42" s="131">
        <v>2</v>
      </c>
      <c r="GL42" s="132">
        <v>7</v>
      </c>
      <c r="GM42" s="131">
        <v>2</v>
      </c>
      <c r="GN42" s="132">
        <v>7</v>
      </c>
      <c r="GO42" s="131">
        <v>2</v>
      </c>
      <c r="GP42" s="132">
        <v>8</v>
      </c>
      <c r="GQ42" s="131">
        <v>2</v>
      </c>
      <c r="GR42" s="132">
        <v>7</v>
      </c>
      <c r="GS42" s="131">
        <v>2</v>
      </c>
      <c r="GT42" s="132">
        <v>8</v>
      </c>
      <c r="GU42" s="131">
        <v>2</v>
      </c>
      <c r="GV42" s="132">
        <v>2.8</v>
      </c>
      <c r="GW42" s="131">
        <v>2</v>
      </c>
      <c r="GX42" s="132">
        <v>4</v>
      </c>
      <c r="GY42" s="131">
        <v>2</v>
      </c>
      <c r="GZ42" s="132">
        <v>3</v>
      </c>
      <c r="HA42" s="131">
        <v>2</v>
      </c>
      <c r="HB42" s="132">
        <v>4</v>
      </c>
      <c r="HC42" s="131">
        <v>2</v>
      </c>
      <c r="HD42" s="132">
        <v>3</v>
      </c>
      <c r="HE42" s="131">
        <v>2</v>
      </c>
      <c r="HF42" s="132">
        <v>6.8</v>
      </c>
      <c r="HG42" s="131">
        <v>2</v>
      </c>
      <c r="HH42" s="132">
        <v>2</v>
      </c>
      <c r="HI42" s="131">
        <v>2</v>
      </c>
      <c r="HJ42" s="132">
        <v>7</v>
      </c>
      <c r="HK42" s="131">
        <v>2</v>
      </c>
      <c r="HL42" s="132">
        <v>3</v>
      </c>
      <c r="HM42" s="131">
        <v>2</v>
      </c>
      <c r="HN42" s="132">
        <v>2.8</v>
      </c>
      <c r="HO42" s="131">
        <v>2</v>
      </c>
      <c r="HP42" s="124"/>
      <c r="HQ42" s="124"/>
    </row>
    <row r="43" spans="1:225" x14ac:dyDescent="0.2">
      <c r="A43" s="122" t="s">
        <v>666</v>
      </c>
      <c r="B43" s="123">
        <v>17</v>
      </c>
      <c r="C43" s="124" t="s">
        <v>195</v>
      </c>
      <c r="D43" s="123">
        <v>34</v>
      </c>
      <c r="E43" s="124" t="s">
        <v>161</v>
      </c>
      <c r="F43" s="123">
        <v>3</v>
      </c>
      <c r="G43" s="123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2">
        <v>0.2</v>
      </c>
      <c r="DV43" s="132">
        <v>8</v>
      </c>
      <c r="DW43" s="131">
        <v>3</v>
      </c>
      <c r="DX43" s="132">
        <v>4</v>
      </c>
      <c r="DY43" s="131">
        <v>3</v>
      </c>
      <c r="DZ43" s="132">
        <v>6</v>
      </c>
      <c r="EA43" s="131">
        <v>3</v>
      </c>
      <c r="EB43" s="132">
        <v>10</v>
      </c>
      <c r="EC43" s="131">
        <v>3</v>
      </c>
      <c r="ED43" s="132">
        <v>9</v>
      </c>
      <c r="EE43" s="131">
        <v>3</v>
      </c>
      <c r="EF43" s="132">
        <v>8</v>
      </c>
      <c r="EG43" s="131">
        <v>3</v>
      </c>
      <c r="EH43" s="132">
        <v>11</v>
      </c>
      <c r="EI43" s="131">
        <v>3</v>
      </c>
      <c r="EJ43" s="132">
        <v>7.6</v>
      </c>
      <c r="EK43" s="131">
        <v>3</v>
      </c>
      <c r="EL43" s="132">
        <v>10</v>
      </c>
      <c r="EM43" s="131">
        <v>3</v>
      </c>
      <c r="EN43" s="132">
        <v>6</v>
      </c>
      <c r="EO43" s="131">
        <v>3</v>
      </c>
      <c r="EP43" s="132">
        <v>6</v>
      </c>
      <c r="EQ43" s="131">
        <v>3</v>
      </c>
      <c r="ER43" s="132">
        <v>6</v>
      </c>
      <c r="ES43" s="131">
        <v>3</v>
      </c>
      <c r="ET43" s="132">
        <v>5</v>
      </c>
      <c r="EU43" s="131">
        <v>3</v>
      </c>
      <c r="EV43" s="132">
        <v>10.6</v>
      </c>
      <c r="EW43" s="131">
        <v>3</v>
      </c>
      <c r="EX43" s="132">
        <v>8</v>
      </c>
      <c r="EY43" s="131">
        <v>3</v>
      </c>
      <c r="EZ43" s="132">
        <v>10</v>
      </c>
      <c r="FA43" s="131">
        <v>3</v>
      </c>
      <c r="FB43" s="132">
        <v>10</v>
      </c>
      <c r="FC43" s="131">
        <v>3</v>
      </c>
      <c r="FD43" s="132">
        <v>5</v>
      </c>
      <c r="FE43" s="131">
        <v>3</v>
      </c>
      <c r="FF43" s="132">
        <v>7</v>
      </c>
      <c r="FG43" s="131">
        <v>3</v>
      </c>
      <c r="FH43" s="132">
        <v>12</v>
      </c>
      <c r="FI43" s="131">
        <v>3</v>
      </c>
      <c r="FJ43" s="132">
        <v>6</v>
      </c>
      <c r="FK43" s="131">
        <v>3</v>
      </c>
      <c r="FL43" s="132">
        <v>9</v>
      </c>
      <c r="FM43" s="131">
        <v>3</v>
      </c>
      <c r="FN43" s="132">
        <v>5</v>
      </c>
      <c r="FO43" s="131">
        <v>3</v>
      </c>
      <c r="FP43" s="132">
        <v>4</v>
      </c>
      <c r="FQ43" s="131">
        <v>3</v>
      </c>
      <c r="FR43" s="132">
        <v>9</v>
      </c>
      <c r="FS43" s="131">
        <v>3</v>
      </c>
      <c r="FT43" s="132">
        <v>11</v>
      </c>
      <c r="FU43" s="131">
        <v>3</v>
      </c>
      <c r="FV43" s="132">
        <v>10</v>
      </c>
      <c r="FW43" s="131">
        <v>3</v>
      </c>
      <c r="FX43" s="132">
        <v>5</v>
      </c>
      <c r="FY43" s="131">
        <v>3</v>
      </c>
      <c r="FZ43" s="132">
        <v>3</v>
      </c>
      <c r="GA43" s="131">
        <v>3</v>
      </c>
      <c r="GB43" s="132">
        <v>6</v>
      </c>
      <c r="GC43" s="131">
        <v>3</v>
      </c>
      <c r="GD43" s="132">
        <v>5</v>
      </c>
      <c r="GE43" s="131">
        <v>3</v>
      </c>
      <c r="GF43" s="132">
        <v>8</v>
      </c>
      <c r="GG43" s="131">
        <v>3</v>
      </c>
      <c r="GH43" s="132">
        <v>7</v>
      </c>
      <c r="GI43" s="131">
        <v>3</v>
      </c>
      <c r="GJ43" s="132">
        <v>10</v>
      </c>
      <c r="GK43" s="131">
        <v>3</v>
      </c>
      <c r="GL43" s="132">
        <v>8</v>
      </c>
      <c r="GM43" s="131">
        <v>3</v>
      </c>
      <c r="GN43" s="132">
        <v>9</v>
      </c>
      <c r="GO43" s="131">
        <v>3</v>
      </c>
      <c r="GP43" s="132">
        <v>10.6</v>
      </c>
      <c r="GQ43" s="131">
        <v>3</v>
      </c>
      <c r="GR43" s="132">
        <v>9.6</v>
      </c>
      <c r="GS43" s="131">
        <v>3</v>
      </c>
      <c r="GT43" s="132">
        <v>10</v>
      </c>
      <c r="GU43" s="131">
        <v>3</v>
      </c>
      <c r="GV43" s="132">
        <v>4</v>
      </c>
      <c r="GW43" s="131">
        <v>3</v>
      </c>
      <c r="GX43" s="132">
        <v>7</v>
      </c>
      <c r="GY43" s="131">
        <v>3</v>
      </c>
      <c r="GZ43" s="132">
        <v>5</v>
      </c>
      <c r="HA43" s="131">
        <v>3</v>
      </c>
      <c r="HB43" s="132">
        <v>6</v>
      </c>
      <c r="HC43" s="131">
        <v>3</v>
      </c>
      <c r="HD43" s="132">
        <v>4</v>
      </c>
      <c r="HE43" s="131">
        <v>3</v>
      </c>
      <c r="HF43" s="132">
        <v>9</v>
      </c>
      <c r="HG43" s="131">
        <v>3</v>
      </c>
      <c r="HH43" s="132">
        <v>5</v>
      </c>
      <c r="HI43" s="131">
        <v>3</v>
      </c>
      <c r="HJ43" s="132">
        <v>9.6</v>
      </c>
      <c r="HK43" s="131">
        <v>3</v>
      </c>
      <c r="HL43" s="132">
        <v>5</v>
      </c>
      <c r="HM43" s="131">
        <v>3</v>
      </c>
      <c r="HN43" s="132">
        <v>4</v>
      </c>
      <c r="HO43" s="131">
        <v>3</v>
      </c>
      <c r="HP43" s="124"/>
      <c r="HQ43" s="124"/>
    </row>
    <row r="44" spans="1:225" x14ac:dyDescent="0.2">
      <c r="A44" s="122" t="s">
        <v>667</v>
      </c>
      <c r="B44" s="123">
        <v>18</v>
      </c>
      <c r="C44" s="124" t="s">
        <v>197</v>
      </c>
      <c r="D44" s="123">
        <v>35</v>
      </c>
      <c r="E44" s="124" t="s">
        <v>161</v>
      </c>
      <c r="F44" s="123">
        <v>3</v>
      </c>
      <c r="G44" s="123"/>
      <c r="H44" s="124"/>
      <c r="I44" s="124"/>
      <c r="J44" s="124"/>
      <c r="K44" s="124"/>
      <c r="L44" s="124"/>
      <c r="M44" s="124"/>
      <c r="N44" s="124"/>
      <c r="O44" s="141" t="s">
        <v>668</v>
      </c>
      <c r="P44" s="142" t="s">
        <v>669</v>
      </c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2">
        <v>0.3</v>
      </c>
      <c r="DV44" s="132">
        <v>10</v>
      </c>
      <c r="DW44" s="131">
        <v>4</v>
      </c>
      <c r="DX44" s="132">
        <v>6</v>
      </c>
      <c r="DY44" s="131">
        <v>4</v>
      </c>
      <c r="DZ44" s="132">
        <v>8</v>
      </c>
      <c r="EA44" s="131">
        <v>4</v>
      </c>
      <c r="EB44" s="132">
        <v>12</v>
      </c>
      <c r="EC44" s="131">
        <v>4</v>
      </c>
      <c r="ED44" s="132">
        <v>9</v>
      </c>
      <c r="EE44" s="131">
        <v>4</v>
      </c>
      <c r="EF44" s="132">
        <v>9</v>
      </c>
      <c r="EG44" s="131">
        <v>4</v>
      </c>
      <c r="EH44" s="132">
        <v>13</v>
      </c>
      <c r="EI44" s="131">
        <v>4</v>
      </c>
      <c r="EJ44" s="132">
        <v>9</v>
      </c>
      <c r="EK44" s="131">
        <v>4</v>
      </c>
      <c r="EL44" s="132">
        <v>13</v>
      </c>
      <c r="EM44" s="131">
        <v>4</v>
      </c>
      <c r="EN44" s="132">
        <v>8</v>
      </c>
      <c r="EO44" s="131">
        <v>4</v>
      </c>
      <c r="EP44" s="132">
        <v>8</v>
      </c>
      <c r="EQ44" s="131">
        <v>4</v>
      </c>
      <c r="ER44" s="132">
        <v>8</v>
      </c>
      <c r="ES44" s="131">
        <v>4</v>
      </c>
      <c r="ET44" s="132">
        <v>6</v>
      </c>
      <c r="EU44" s="131">
        <v>4</v>
      </c>
      <c r="EV44" s="132">
        <v>12</v>
      </c>
      <c r="EW44" s="131">
        <v>4</v>
      </c>
      <c r="EX44" s="132">
        <v>9</v>
      </c>
      <c r="EY44" s="131">
        <v>4</v>
      </c>
      <c r="EZ44" s="132">
        <v>11</v>
      </c>
      <c r="FA44" s="131">
        <v>4</v>
      </c>
      <c r="FB44" s="132">
        <v>11</v>
      </c>
      <c r="FC44" s="131">
        <v>4</v>
      </c>
      <c r="FD44" s="132">
        <v>7</v>
      </c>
      <c r="FE44" s="131">
        <v>4</v>
      </c>
      <c r="FF44" s="132">
        <v>9</v>
      </c>
      <c r="FG44" s="131">
        <v>4</v>
      </c>
      <c r="FH44" s="132">
        <v>13</v>
      </c>
      <c r="FI44" s="131">
        <v>4</v>
      </c>
      <c r="FJ44" s="132">
        <v>7</v>
      </c>
      <c r="FK44" s="131">
        <v>4</v>
      </c>
      <c r="FL44" s="132">
        <v>10</v>
      </c>
      <c r="FM44" s="131">
        <v>4</v>
      </c>
      <c r="FN44" s="132">
        <v>6</v>
      </c>
      <c r="FO44" s="131">
        <v>4</v>
      </c>
      <c r="FP44" s="132">
        <v>6</v>
      </c>
      <c r="FQ44" s="131">
        <v>4</v>
      </c>
      <c r="FR44" s="132">
        <v>11</v>
      </c>
      <c r="FS44" s="131">
        <v>4</v>
      </c>
      <c r="FT44" s="132">
        <v>13</v>
      </c>
      <c r="FU44" s="131">
        <v>4</v>
      </c>
      <c r="FV44" s="132">
        <v>11</v>
      </c>
      <c r="FW44" s="131">
        <v>4</v>
      </c>
      <c r="FX44" s="132">
        <v>7</v>
      </c>
      <c r="FY44" s="131">
        <v>4</v>
      </c>
      <c r="FZ44" s="132">
        <v>4</v>
      </c>
      <c r="GA44" s="131">
        <v>4</v>
      </c>
      <c r="GB44" s="132">
        <v>7</v>
      </c>
      <c r="GC44" s="131">
        <v>4</v>
      </c>
      <c r="GD44" s="132">
        <v>7</v>
      </c>
      <c r="GE44" s="131">
        <v>4</v>
      </c>
      <c r="GF44" s="132">
        <v>10</v>
      </c>
      <c r="GG44" s="131">
        <v>4</v>
      </c>
      <c r="GH44" s="132">
        <v>9</v>
      </c>
      <c r="GI44" s="131">
        <v>4</v>
      </c>
      <c r="GJ44" s="132">
        <v>11</v>
      </c>
      <c r="GK44" s="131">
        <v>4</v>
      </c>
      <c r="GL44" s="132">
        <v>9</v>
      </c>
      <c r="GM44" s="131">
        <v>4</v>
      </c>
      <c r="GN44" s="132">
        <v>11</v>
      </c>
      <c r="GO44" s="131">
        <v>4</v>
      </c>
      <c r="GP44" s="132">
        <v>12</v>
      </c>
      <c r="GQ44" s="131">
        <v>4</v>
      </c>
      <c r="GR44" s="132">
        <v>11</v>
      </c>
      <c r="GS44" s="131">
        <v>4</v>
      </c>
      <c r="GT44" s="132">
        <v>12</v>
      </c>
      <c r="GU44" s="131">
        <v>4</v>
      </c>
      <c r="GV44" s="132">
        <v>6</v>
      </c>
      <c r="GW44" s="131">
        <v>4</v>
      </c>
      <c r="GX44" s="132">
        <v>8</v>
      </c>
      <c r="GY44" s="131">
        <v>4</v>
      </c>
      <c r="GZ44" s="132">
        <v>7</v>
      </c>
      <c r="HA44" s="131">
        <v>4</v>
      </c>
      <c r="HB44" s="132">
        <v>7</v>
      </c>
      <c r="HC44" s="131">
        <v>4</v>
      </c>
      <c r="HD44" s="132">
        <v>6</v>
      </c>
      <c r="HE44" s="131">
        <v>4</v>
      </c>
      <c r="HF44" s="132">
        <v>10</v>
      </c>
      <c r="HG44" s="131">
        <v>4</v>
      </c>
      <c r="HH44" s="132">
        <v>6</v>
      </c>
      <c r="HI44" s="131">
        <v>4</v>
      </c>
      <c r="HJ44" s="132">
        <v>11</v>
      </c>
      <c r="HK44" s="131">
        <v>4</v>
      </c>
      <c r="HL44" s="132">
        <v>6</v>
      </c>
      <c r="HM44" s="131">
        <v>4</v>
      </c>
      <c r="HN44" s="132">
        <v>6</v>
      </c>
      <c r="HO44" s="131">
        <v>4</v>
      </c>
      <c r="HP44" s="124"/>
      <c r="HQ44" s="124"/>
    </row>
    <row r="45" spans="1:225" x14ac:dyDescent="0.2">
      <c r="A45" s="122" t="s">
        <v>670</v>
      </c>
      <c r="B45" s="123">
        <v>18</v>
      </c>
      <c r="C45" s="138" t="s">
        <v>198</v>
      </c>
      <c r="D45" s="123">
        <v>36</v>
      </c>
      <c r="E45" s="124" t="s">
        <v>161</v>
      </c>
      <c r="F45" s="123">
        <v>2</v>
      </c>
      <c r="G45" s="123"/>
      <c r="H45" s="124"/>
      <c r="I45" s="124"/>
      <c r="J45" s="124"/>
      <c r="K45" s="124"/>
      <c r="L45" s="124"/>
      <c r="M45" s="124"/>
      <c r="N45" s="124"/>
      <c r="O45" s="141" t="s">
        <v>671</v>
      </c>
      <c r="P45" s="142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2">
        <v>0.4</v>
      </c>
      <c r="DV45" s="132">
        <v>12</v>
      </c>
      <c r="DW45" s="131">
        <v>5</v>
      </c>
      <c r="DX45" s="132">
        <v>7</v>
      </c>
      <c r="DY45" s="131">
        <v>5</v>
      </c>
      <c r="DZ45" s="132">
        <v>9</v>
      </c>
      <c r="EA45" s="131">
        <v>5</v>
      </c>
      <c r="EB45" s="132">
        <v>13</v>
      </c>
      <c r="EC45" s="131">
        <v>5</v>
      </c>
      <c r="ED45" s="132">
        <v>11</v>
      </c>
      <c r="EE45" s="131">
        <v>5</v>
      </c>
      <c r="EF45" s="132">
        <v>11</v>
      </c>
      <c r="EG45" s="131">
        <v>5</v>
      </c>
      <c r="EH45" s="132">
        <v>14</v>
      </c>
      <c r="EI45" s="131">
        <v>5</v>
      </c>
      <c r="EJ45" s="132">
        <v>10</v>
      </c>
      <c r="EK45" s="131">
        <v>5</v>
      </c>
      <c r="EL45" s="132">
        <v>14</v>
      </c>
      <c r="EM45" s="131">
        <v>5</v>
      </c>
      <c r="EN45" s="132">
        <v>9</v>
      </c>
      <c r="EO45" s="131">
        <v>5</v>
      </c>
      <c r="EP45" s="132">
        <v>9</v>
      </c>
      <c r="EQ45" s="131">
        <v>5</v>
      </c>
      <c r="ER45" s="132">
        <v>9</v>
      </c>
      <c r="ES45" s="131">
        <v>5</v>
      </c>
      <c r="ET45" s="132">
        <v>8</v>
      </c>
      <c r="EU45" s="131">
        <v>5</v>
      </c>
      <c r="EV45" s="132">
        <v>13</v>
      </c>
      <c r="EW45" s="131">
        <v>5</v>
      </c>
      <c r="EX45" s="132">
        <v>11</v>
      </c>
      <c r="EY45" s="131">
        <v>5</v>
      </c>
      <c r="EZ45" s="132">
        <v>13</v>
      </c>
      <c r="FA45" s="131">
        <v>5</v>
      </c>
      <c r="FB45" s="132">
        <v>13</v>
      </c>
      <c r="FC45" s="131">
        <v>5</v>
      </c>
      <c r="FD45" s="132">
        <v>8</v>
      </c>
      <c r="FE45" s="131">
        <v>5</v>
      </c>
      <c r="FF45" s="132">
        <v>11</v>
      </c>
      <c r="FG45" s="131">
        <v>5</v>
      </c>
      <c r="FH45" s="132">
        <v>14</v>
      </c>
      <c r="FI45" s="131">
        <v>5</v>
      </c>
      <c r="FJ45" s="132">
        <v>9</v>
      </c>
      <c r="FK45" s="131">
        <v>5</v>
      </c>
      <c r="FL45" s="132">
        <v>12</v>
      </c>
      <c r="FM45" s="131">
        <v>5</v>
      </c>
      <c r="FN45" s="132">
        <v>7</v>
      </c>
      <c r="FO45" s="131">
        <v>5</v>
      </c>
      <c r="FP45" s="132">
        <v>7</v>
      </c>
      <c r="FQ45" s="131">
        <v>5</v>
      </c>
      <c r="FR45" s="132">
        <v>12</v>
      </c>
      <c r="FS45" s="131">
        <v>5</v>
      </c>
      <c r="FT45" s="132">
        <v>14</v>
      </c>
      <c r="FU45" s="131">
        <v>5</v>
      </c>
      <c r="FV45" s="132">
        <v>12</v>
      </c>
      <c r="FW45" s="131">
        <v>5</v>
      </c>
      <c r="FX45" s="132">
        <v>8.1999999999999993</v>
      </c>
      <c r="FY45" s="131">
        <v>5</v>
      </c>
      <c r="FZ45" s="132">
        <v>6</v>
      </c>
      <c r="GA45" s="131">
        <v>5</v>
      </c>
      <c r="GB45" s="132">
        <v>8</v>
      </c>
      <c r="GC45" s="131">
        <v>5</v>
      </c>
      <c r="GD45" s="132">
        <v>9</v>
      </c>
      <c r="GE45" s="131">
        <v>5</v>
      </c>
      <c r="GF45" s="132">
        <v>11</v>
      </c>
      <c r="GG45" s="131">
        <v>5</v>
      </c>
      <c r="GH45" s="132">
        <v>10</v>
      </c>
      <c r="GI45" s="131">
        <v>5</v>
      </c>
      <c r="GJ45" s="132">
        <v>12</v>
      </c>
      <c r="GK45" s="131">
        <v>5</v>
      </c>
      <c r="GL45" s="132">
        <v>11</v>
      </c>
      <c r="GM45" s="131">
        <v>5</v>
      </c>
      <c r="GN45" s="132">
        <v>12</v>
      </c>
      <c r="GO45" s="131">
        <v>5</v>
      </c>
      <c r="GP45" s="132">
        <v>13</v>
      </c>
      <c r="GQ45" s="131">
        <v>5</v>
      </c>
      <c r="GR45" s="132">
        <v>13</v>
      </c>
      <c r="GS45" s="131">
        <v>5</v>
      </c>
      <c r="GT45" s="132">
        <v>13</v>
      </c>
      <c r="GU45" s="131">
        <v>5</v>
      </c>
      <c r="GV45" s="132">
        <v>8</v>
      </c>
      <c r="GW45" s="131">
        <v>5</v>
      </c>
      <c r="GX45" s="132">
        <v>9</v>
      </c>
      <c r="GY45" s="131">
        <v>5</v>
      </c>
      <c r="GZ45" s="132">
        <v>8</v>
      </c>
      <c r="HA45" s="131">
        <v>5</v>
      </c>
      <c r="HB45" s="132">
        <v>9</v>
      </c>
      <c r="HC45" s="131">
        <v>5</v>
      </c>
      <c r="HD45" s="132">
        <v>7</v>
      </c>
      <c r="HE45" s="131">
        <v>5</v>
      </c>
      <c r="HF45" s="132">
        <v>11</v>
      </c>
      <c r="HG45" s="131">
        <v>5</v>
      </c>
      <c r="HH45" s="132">
        <v>7</v>
      </c>
      <c r="HI45" s="131">
        <v>5</v>
      </c>
      <c r="HJ45" s="132">
        <v>12.2</v>
      </c>
      <c r="HK45" s="131">
        <v>5</v>
      </c>
      <c r="HL45" s="132">
        <v>7</v>
      </c>
      <c r="HM45" s="131">
        <v>5</v>
      </c>
      <c r="HN45" s="132">
        <v>8</v>
      </c>
      <c r="HO45" s="131">
        <v>5</v>
      </c>
      <c r="HP45" s="124"/>
      <c r="HQ45" s="124"/>
    </row>
    <row r="46" spans="1:225" x14ac:dyDescent="0.2">
      <c r="A46" s="122" t="s">
        <v>672</v>
      </c>
      <c r="B46" s="123">
        <v>19</v>
      </c>
      <c r="C46" s="124" t="s">
        <v>200</v>
      </c>
      <c r="D46" s="123">
        <v>37</v>
      </c>
      <c r="E46" s="124" t="s">
        <v>161</v>
      </c>
      <c r="F46" s="123">
        <v>4</v>
      </c>
      <c r="G46" s="123"/>
      <c r="H46" s="124"/>
      <c r="I46" s="124"/>
      <c r="J46" s="124"/>
      <c r="K46" s="124"/>
      <c r="L46" s="124"/>
      <c r="M46" s="124"/>
      <c r="N46" s="124"/>
      <c r="O46" s="141" t="s">
        <v>673</v>
      </c>
      <c r="P46" s="142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2">
        <v>0.5</v>
      </c>
      <c r="DV46" s="132">
        <v>12</v>
      </c>
      <c r="DW46" s="131">
        <v>6</v>
      </c>
      <c r="DX46" s="132">
        <v>8</v>
      </c>
      <c r="DY46" s="131">
        <v>6</v>
      </c>
      <c r="DZ46" s="132">
        <v>11</v>
      </c>
      <c r="EA46" s="131">
        <v>6</v>
      </c>
      <c r="EB46" s="132">
        <v>14</v>
      </c>
      <c r="EC46" s="131">
        <v>6</v>
      </c>
      <c r="ED46" s="132">
        <v>12</v>
      </c>
      <c r="EE46" s="131">
        <v>6</v>
      </c>
      <c r="EF46" s="132">
        <v>11</v>
      </c>
      <c r="EG46" s="131">
        <v>6</v>
      </c>
      <c r="EH46" s="132">
        <v>15</v>
      </c>
      <c r="EI46" s="131">
        <v>6</v>
      </c>
      <c r="EJ46" s="132">
        <v>11</v>
      </c>
      <c r="EK46" s="131">
        <v>6</v>
      </c>
      <c r="EL46" s="132">
        <v>16</v>
      </c>
      <c r="EM46" s="131">
        <v>6</v>
      </c>
      <c r="EN46" s="132">
        <v>10</v>
      </c>
      <c r="EO46" s="131">
        <v>6</v>
      </c>
      <c r="EP46" s="132">
        <v>11</v>
      </c>
      <c r="EQ46" s="131">
        <v>6</v>
      </c>
      <c r="ER46" s="132">
        <v>11</v>
      </c>
      <c r="ES46" s="131">
        <v>6</v>
      </c>
      <c r="ET46" s="132">
        <v>9</v>
      </c>
      <c r="EU46" s="131">
        <v>6</v>
      </c>
      <c r="EV46" s="132">
        <v>15</v>
      </c>
      <c r="EW46" s="131">
        <v>6</v>
      </c>
      <c r="EX46" s="132">
        <v>12</v>
      </c>
      <c r="EY46" s="131">
        <v>6</v>
      </c>
      <c r="EZ46" s="132">
        <v>14</v>
      </c>
      <c r="FA46" s="131">
        <v>6</v>
      </c>
      <c r="FB46" s="132">
        <v>14</v>
      </c>
      <c r="FC46" s="131">
        <v>6</v>
      </c>
      <c r="FD46" s="132">
        <v>9</v>
      </c>
      <c r="FE46" s="131">
        <v>6</v>
      </c>
      <c r="FF46" s="132">
        <v>11</v>
      </c>
      <c r="FG46" s="131">
        <v>6</v>
      </c>
      <c r="FH46" s="132">
        <v>16</v>
      </c>
      <c r="FI46" s="131">
        <v>6</v>
      </c>
      <c r="FJ46" s="132">
        <v>10</v>
      </c>
      <c r="FK46" s="131">
        <v>6</v>
      </c>
      <c r="FL46" s="132">
        <v>13</v>
      </c>
      <c r="FM46" s="131">
        <v>6</v>
      </c>
      <c r="FN46" s="132">
        <v>8</v>
      </c>
      <c r="FO46" s="131">
        <v>6</v>
      </c>
      <c r="FP46" s="132">
        <v>8</v>
      </c>
      <c r="FQ46" s="131">
        <v>6</v>
      </c>
      <c r="FR46" s="132">
        <v>14</v>
      </c>
      <c r="FS46" s="131">
        <v>6</v>
      </c>
      <c r="FT46" s="132">
        <v>16</v>
      </c>
      <c r="FU46" s="131">
        <v>6</v>
      </c>
      <c r="FV46" s="132">
        <v>14</v>
      </c>
      <c r="FW46" s="131">
        <v>6</v>
      </c>
      <c r="FX46" s="132">
        <v>10</v>
      </c>
      <c r="FY46" s="131">
        <v>6</v>
      </c>
      <c r="FZ46" s="132">
        <v>7</v>
      </c>
      <c r="GA46" s="131">
        <v>6</v>
      </c>
      <c r="GB46" s="132">
        <v>10</v>
      </c>
      <c r="GC46" s="131">
        <v>6</v>
      </c>
      <c r="GD46" s="132">
        <v>9</v>
      </c>
      <c r="GE46" s="131">
        <v>6</v>
      </c>
      <c r="GF46" s="132">
        <v>12</v>
      </c>
      <c r="GG46" s="131">
        <v>6</v>
      </c>
      <c r="GH46" s="132">
        <v>11</v>
      </c>
      <c r="GI46" s="131">
        <v>6</v>
      </c>
      <c r="GJ46" s="132">
        <v>14</v>
      </c>
      <c r="GK46" s="131">
        <v>6</v>
      </c>
      <c r="GL46" s="132">
        <v>12</v>
      </c>
      <c r="GM46" s="131">
        <v>6</v>
      </c>
      <c r="GN46" s="132">
        <v>14</v>
      </c>
      <c r="GO46" s="131">
        <v>6</v>
      </c>
      <c r="GP46" s="132">
        <v>14</v>
      </c>
      <c r="GQ46" s="131">
        <v>6</v>
      </c>
      <c r="GR46" s="132">
        <v>14</v>
      </c>
      <c r="GS46" s="131">
        <v>6</v>
      </c>
      <c r="GT46" s="132">
        <v>14</v>
      </c>
      <c r="GU46" s="131">
        <v>6</v>
      </c>
      <c r="GV46" s="132">
        <v>9</v>
      </c>
      <c r="GW46" s="131">
        <v>6</v>
      </c>
      <c r="GX46" s="132">
        <v>10</v>
      </c>
      <c r="GY46" s="131">
        <v>6</v>
      </c>
      <c r="GZ46" s="132">
        <v>9</v>
      </c>
      <c r="HA46" s="131">
        <v>6</v>
      </c>
      <c r="HB46" s="132">
        <v>11</v>
      </c>
      <c r="HC46" s="131">
        <v>6</v>
      </c>
      <c r="HD46" s="132">
        <v>9</v>
      </c>
      <c r="HE46" s="131">
        <v>6</v>
      </c>
      <c r="HF46" s="132">
        <v>12</v>
      </c>
      <c r="HG46" s="131">
        <v>6</v>
      </c>
      <c r="HH46" s="132">
        <v>9</v>
      </c>
      <c r="HI46" s="131">
        <v>6</v>
      </c>
      <c r="HJ46" s="132">
        <v>14</v>
      </c>
      <c r="HK46" s="131">
        <v>6</v>
      </c>
      <c r="HL46" s="132">
        <v>8</v>
      </c>
      <c r="HM46" s="131">
        <v>6</v>
      </c>
      <c r="HN46" s="132">
        <v>9</v>
      </c>
      <c r="HO46" s="131">
        <v>6</v>
      </c>
      <c r="HP46" s="124"/>
      <c r="HQ46" s="124"/>
    </row>
    <row r="47" spans="1:225" x14ac:dyDescent="0.2">
      <c r="A47" s="122" t="s">
        <v>674</v>
      </c>
      <c r="B47" s="123">
        <v>19</v>
      </c>
      <c r="C47" s="124" t="s">
        <v>201</v>
      </c>
      <c r="D47" s="123">
        <v>38</v>
      </c>
      <c r="E47" s="124" t="s">
        <v>161</v>
      </c>
      <c r="F47" s="123">
        <v>3</v>
      </c>
      <c r="G47" s="123"/>
      <c r="H47" s="124"/>
      <c r="I47" s="124"/>
      <c r="J47" s="124"/>
      <c r="K47" s="124"/>
      <c r="L47" s="124"/>
      <c r="M47" s="124"/>
      <c r="N47" s="124"/>
      <c r="O47" s="141" t="s">
        <v>675</v>
      </c>
      <c r="P47" s="142" t="s">
        <v>573</v>
      </c>
      <c r="Q47" s="124" t="s">
        <v>676</v>
      </c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2">
        <v>0.6</v>
      </c>
      <c r="DV47" s="132">
        <v>14</v>
      </c>
      <c r="DW47" s="131">
        <v>7</v>
      </c>
      <c r="DX47" s="132">
        <v>10</v>
      </c>
      <c r="DY47" s="131">
        <v>7</v>
      </c>
      <c r="DZ47" s="132">
        <v>12</v>
      </c>
      <c r="EA47" s="131">
        <v>7</v>
      </c>
      <c r="EB47" s="132">
        <v>16</v>
      </c>
      <c r="EC47" s="131">
        <v>7</v>
      </c>
      <c r="ED47" s="132">
        <v>13</v>
      </c>
      <c r="EE47" s="131">
        <v>7</v>
      </c>
      <c r="EF47" s="132">
        <v>13</v>
      </c>
      <c r="EG47" s="131">
        <v>7</v>
      </c>
      <c r="EH47" s="132">
        <v>16</v>
      </c>
      <c r="EI47" s="131">
        <v>7</v>
      </c>
      <c r="EJ47" s="132">
        <v>12</v>
      </c>
      <c r="EK47" s="131">
        <v>7</v>
      </c>
      <c r="EL47" s="132">
        <v>17</v>
      </c>
      <c r="EM47" s="131">
        <v>7</v>
      </c>
      <c r="EN47" s="132">
        <v>12</v>
      </c>
      <c r="EO47" s="131">
        <v>7</v>
      </c>
      <c r="EP47" s="132">
        <v>11</v>
      </c>
      <c r="EQ47" s="131">
        <v>7</v>
      </c>
      <c r="ER47" s="132">
        <v>12</v>
      </c>
      <c r="ES47" s="131">
        <v>7</v>
      </c>
      <c r="ET47" s="132">
        <v>10</v>
      </c>
      <c r="EU47" s="131">
        <v>7</v>
      </c>
      <c r="EV47" s="132">
        <v>17</v>
      </c>
      <c r="EW47" s="131">
        <v>7</v>
      </c>
      <c r="EX47" s="132">
        <v>14</v>
      </c>
      <c r="EY47" s="131">
        <v>7</v>
      </c>
      <c r="EZ47" s="132">
        <v>15</v>
      </c>
      <c r="FA47" s="131">
        <v>7</v>
      </c>
      <c r="FB47" s="132">
        <v>16</v>
      </c>
      <c r="FC47" s="131">
        <v>7</v>
      </c>
      <c r="FD47" s="132">
        <v>11</v>
      </c>
      <c r="FE47" s="131">
        <v>7</v>
      </c>
      <c r="FF47" s="132">
        <v>13</v>
      </c>
      <c r="FG47" s="131">
        <v>7</v>
      </c>
      <c r="FH47" s="132">
        <v>17</v>
      </c>
      <c r="FI47" s="131">
        <v>7</v>
      </c>
      <c r="FJ47" s="132">
        <v>11</v>
      </c>
      <c r="FK47" s="131">
        <v>7</v>
      </c>
      <c r="FL47" s="132">
        <v>13.8</v>
      </c>
      <c r="FM47" s="131">
        <v>7</v>
      </c>
      <c r="FN47" s="132">
        <v>9</v>
      </c>
      <c r="FO47" s="131">
        <v>7</v>
      </c>
      <c r="FP47" s="132">
        <v>9</v>
      </c>
      <c r="FQ47" s="131">
        <v>7</v>
      </c>
      <c r="FR47" s="132">
        <v>15</v>
      </c>
      <c r="FS47" s="131">
        <v>7</v>
      </c>
      <c r="FT47" s="132">
        <v>16.8</v>
      </c>
      <c r="FU47" s="131">
        <v>7</v>
      </c>
      <c r="FV47" s="132">
        <v>15</v>
      </c>
      <c r="FW47" s="131">
        <v>7</v>
      </c>
      <c r="FX47" s="132">
        <v>11</v>
      </c>
      <c r="FY47" s="131">
        <v>7</v>
      </c>
      <c r="FZ47" s="132">
        <v>8</v>
      </c>
      <c r="GA47" s="131">
        <v>7</v>
      </c>
      <c r="GB47" s="132">
        <v>11</v>
      </c>
      <c r="GC47" s="131">
        <v>7</v>
      </c>
      <c r="GD47" s="132">
        <v>11</v>
      </c>
      <c r="GE47" s="131">
        <v>7</v>
      </c>
      <c r="GF47" s="132">
        <v>14</v>
      </c>
      <c r="GG47" s="131">
        <v>7</v>
      </c>
      <c r="GH47" s="132">
        <v>12</v>
      </c>
      <c r="GI47" s="131">
        <v>7</v>
      </c>
      <c r="GJ47" s="132">
        <v>14</v>
      </c>
      <c r="GK47" s="131">
        <v>7</v>
      </c>
      <c r="GL47" s="132">
        <v>13</v>
      </c>
      <c r="GM47" s="131">
        <v>7</v>
      </c>
      <c r="GN47" s="132">
        <v>15</v>
      </c>
      <c r="GO47" s="131">
        <v>7</v>
      </c>
      <c r="GP47" s="132">
        <v>16</v>
      </c>
      <c r="GQ47" s="131">
        <v>7</v>
      </c>
      <c r="GR47" s="132">
        <v>16</v>
      </c>
      <c r="GS47" s="131">
        <v>7</v>
      </c>
      <c r="GT47" s="132">
        <v>15</v>
      </c>
      <c r="GU47" s="131">
        <v>7</v>
      </c>
      <c r="GV47" s="132">
        <v>10</v>
      </c>
      <c r="GW47" s="131">
        <v>7</v>
      </c>
      <c r="GX47" s="132">
        <v>12</v>
      </c>
      <c r="GY47" s="131">
        <v>7</v>
      </c>
      <c r="GZ47" s="132">
        <v>10</v>
      </c>
      <c r="HA47" s="131">
        <v>7</v>
      </c>
      <c r="HB47" s="132">
        <v>11</v>
      </c>
      <c r="HC47" s="131">
        <v>7</v>
      </c>
      <c r="HD47" s="132">
        <v>10</v>
      </c>
      <c r="HE47" s="131">
        <v>7</v>
      </c>
      <c r="HF47" s="132">
        <v>14</v>
      </c>
      <c r="HG47" s="131">
        <v>7</v>
      </c>
      <c r="HH47" s="132">
        <v>10</v>
      </c>
      <c r="HI47" s="131">
        <v>7</v>
      </c>
      <c r="HJ47" s="132">
        <v>15</v>
      </c>
      <c r="HK47" s="131">
        <v>7</v>
      </c>
      <c r="HL47" s="132">
        <v>10</v>
      </c>
      <c r="HM47" s="131">
        <v>7</v>
      </c>
      <c r="HN47" s="132">
        <v>10</v>
      </c>
      <c r="HO47" s="131">
        <v>7</v>
      </c>
      <c r="HP47" s="122"/>
      <c r="HQ47" s="122"/>
    </row>
    <row r="48" spans="1:225" x14ac:dyDescent="0.2">
      <c r="A48" s="122" t="s">
        <v>677</v>
      </c>
      <c r="B48" s="123">
        <v>20</v>
      </c>
      <c r="C48" s="124" t="s">
        <v>202</v>
      </c>
      <c r="D48" s="123">
        <v>39</v>
      </c>
      <c r="E48" s="124" t="s">
        <v>161</v>
      </c>
      <c r="F48" s="123">
        <v>3</v>
      </c>
      <c r="G48" s="123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2">
        <v>0.7</v>
      </c>
      <c r="DV48" s="132">
        <v>16</v>
      </c>
      <c r="DW48" s="131">
        <v>8</v>
      </c>
      <c r="DX48" s="132">
        <v>11</v>
      </c>
      <c r="DY48" s="131">
        <v>8</v>
      </c>
      <c r="DZ48" s="132">
        <v>13</v>
      </c>
      <c r="EA48" s="131">
        <v>8</v>
      </c>
      <c r="EB48" s="132">
        <v>17</v>
      </c>
      <c r="EC48" s="131">
        <v>8</v>
      </c>
      <c r="ED48" s="132">
        <v>14</v>
      </c>
      <c r="EE48" s="131">
        <v>8</v>
      </c>
      <c r="EF48" s="132">
        <v>13.6</v>
      </c>
      <c r="EG48" s="131">
        <v>8</v>
      </c>
      <c r="EH48" s="132">
        <v>17</v>
      </c>
      <c r="EI48" s="131">
        <v>8</v>
      </c>
      <c r="EJ48" s="132">
        <v>13</v>
      </c>
      <c r="EK48" s="131">
        <v>8</v>
      </c>
      <c r="EL48" s="132">
        <v>18</v>
      </c>
      <c r="EM48" s="131">
        <v>8</v>
      </c>
      <c r="EN48" s="132">
        <v>12</v>
      </c>
      <c r="EO48" s="131">
        <v>8</v>
      </c>
      <c r="EP48" s="132">
        <v>13</v>
      </c>
      <c r="EQ48" s="131">
        <v>8</v>
      </c>
      <c r="ER48" s="132">
        <v>14</v>
      </c>
      <c r="ES48" s="131">
        <v>8</v>
      </c>
      <c r="ET48" s="132">
        <v>12</v>
      </c>
      <c r="EU48" s="131">
        <v>8</v>
      </c>
      <c r="EV48" s="132">
        <v>18</v>
      </c>
      <c r="EW48" s="131">
        <v>8</v>
      </c>
      <c r="EX48" s="132">
        <v>15</v>
      </c>
      <c r="EY48" s="131">
        <v>8</v>
      </c>
      <c r="EZ48" s="132">
        <v>16</v>
      </c>
      <c r="FA48" s="131">
        <v>8</v>
      </c>
      <c r="FB48" s="132">
        <v>17</v>
      </c>
      <c r="FC48" s="131">
        <v>8</v>
      </c>
      <c r="FD48" s="132">
        <v>12</v>
      </c>
      <c r="FE48" s="131">
        <v>8</v>
      </c>
      <c r="FF48" s="132">
        <v>14</v>
      </c>
      <c r="FG48" s="131">
        <v>8</v>
      </c>
      <c r="FH48" s="132">
        <v>18</v>
      </c>
      <c r="FI48" s="131">
        <v>8</v>
      </c>
      <c r="FJ48" s="132">
        <v>12</v>
      </c>
      <c r="FK48" s="131">
        <v>8</v>
      </c>
      <c r="FL48" s="132">
        <v>15</v>
      </c>
      <c r="FM48" s="131">
        <v>8</v>
      </c>
      <c r="FN48" s="132">
        <v>11</v>
      </c>
      <c r="FO48" s="131">
        <v>8</v>
      </c>
      <c r="FP48" s="132">
        <v>11</v>
      </c>
      <c r="FQ48" s="131">
        <v>8</v>
      </c>
      <c r="FR48" s="132">
        <v>16</v>
      </c>
      <c r="FS48" s="131">
        <v>8</v>
      </c>
      <c r="FT48" s="132">
        <v>18</v>
      </c>
      <c r="FU48" s="131">
        <v>8</v>
      </c>
      <c r="FV48" s="132">
        <v>16</v>
      </c>
      <c r="FW48" s="131">
        <v>8</v>
      </c>
      <c r="FX48" s="132">
        <v>13</v>
      </c>
      <c r="FY48" s="131">
        <v>8</v>
      </c>
      <c r="FZ48" s="132">
        <v>10</v>
      </c>
      <c r="GA48" s="131">
        <v>8</v>
      </c>
      <c r="GB48" s="132">
        <v>13</v>
      </c>
      <c r="GC48" s="131">
        <v>8</v>
      </c>
      <c r="GD48" s="132">
        <v>12</v>
      </c>
      <c r="GE48" s="131">
        <v>8</v>
      </c>
      <c r="GF48" s="132">
        <v>14.6</v>
      </c>
      <c r="GG48" s="131">
        <v>8</v>
      </c>
      <c r="GH48" s="132">
        <v>13</v>
      </c>
      <c r="GI48" s="131">
        <v>8</v>
      </c>
      <c r="GJ48" s="132">
        <v>16</v>
      </c>
      <c r="GK48" s="131">
        <v>8</v>
      </c>
      <c r="GL48" s="132">
        <v>14</v>
      </c>
      <c r="GM48" s="131">
        <v>8</v>
      </c>
      <c r="GN48" s="132">
        <v>16</v>
      </c>
      <c r="GO48" s="131">
        <v>8</v>
      </c>
      <c r="GP48" s="132">
        <v>17</v>
      </c>
      <c r="GQ48" s="131">
        <v>8</v>
      </c>
      <c r="GR48" s="132">
        <v>17</v>
      </c>
      <c r="GS48" s="131">
        <v>8</v>
      </c>
      <c r="GT48" s="132">
        <v>16</v>
      </c>
      <c r="GU48" s="131">
        <v>8</v>
      </c>
      <c r="GV48" s="132">
        <v>12</v>
      </c>
      <c r="GW48" s="131">
        <v>8</v>
      </c>
      <c r="GX48" s="132">
        <v>13</v>
      </c>
      <c r="GY48" s="131">
        <v>8</v>
      </c>
      <c r="GZ48" s="132">
        <v>12</v>
      </c>
      <c r="HA48" s="131">
        <v>8</v>
      </c>
      <c r="HB48" s="132">
        <v>13</v>
      </c>
      <c r="HC48" s="131">
        <v>8</v>
      </c>
      <c r="HD48" s="132">
        <v>12</v>
      </c>
      <c r="HE48" s="131">
        <v>8</v>
      </c>
      <c r="HF48" s="132">
        <v>15</v>
      </c>
      <c r="HG48" s="131">
        <v>8</v>
      </c>
      <c r="HH48" s="132">
        <v>11</v>
      </c>
      <c r="HI48" s="131">
        <v>8</v>
      </c>
      <c r="HJ48" s="132">
        <v>16</v>
      </c>
      <c r="HK48" s="131">
        <v>8</v>
      </c>
      <c r="HL48" s="132">
        <v>11</v>
      </c>
      <c r="HM48" s="131">
        <v>8</v>
      </c>
      <c r="HN48" s="132">
        <v>12</v>
      </c>
      <c r="HO48" s="131">
        <v>8</v>
      </c>
      <c r="HP48" s="124"/>
      <c r="HQ48" s="124"/>
    </row>
    <row r="49" spans="1:225" x14ac:dyDescent="0.2">
      <c r="A49" s="122" t="s">
        <v>678</v>
      </c>
      <c r="B49" s="123">
        <v>20</v>
      </c>
      <c r="C49" s="124" t="s">
        <v>204</v>
      </c>
      <c r="D49" s="123">
        <v>40</v>
      </c>
      <c r="E49" s="124" t="s">
        <v>161</v>
      </c>
      <c r="F49" s="123">
        <v>4</v>
      </c>
      <c r="G49" s="123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2">
        <v>0.8</v>
      </c>
      <c r="DV49" s="132">
        <v>16</v>
      </c>
      <c r="DW49" s="131">
        <v>9</v>
      </c>
      <c r="DX49" s="132">
        <v>12</v>
      </c>
      <c r="DY49" s="131">
        <v>9</v>
      </c>
      <c r="DZ49" s="132">
        <v>15</v>
      </c>
      <c r="EA49" s="131">
        <v>9</v>
      </c>
      <c r="EB49" s="132">
        <v>18</v>
      </c>
      <c r="EC49" s="131">
        <v>9</v>
      </c>
      <c r="ED49" s="132">
        <v>16</v>
      </c>
      <c r="EE49" s="131">
        <v>9</v>
      </c>
      <c r="EF49" s="132">
        <v>15</v>
      </c>
      <c r="EG49" s="131">
        <v>9</v>
      </c>
      <c r="EH49" s="132">
        <v>18</v>
      </c>
      <c r="EI49" s="131">
        <v>9</v>
      </c>
      <c r="EJ49" s="132">
        <v>15.4</v>
      </c>
      <c r="EK49" s="131">
        <v>9</v>
      </c>
      <c r="EL49" s="132">
        <v>20</v>
      </c>
      <c r="EM49" s="131">
        <v>9</v>
      </c>
      <c r="EN49" s="132">
        <v>14</v>
      </c>
      <c r="EO49" s="131">
        <v>9</v>
      </c>
      <c r="EP49" s="132">
        <v>14</v>
      </c>
      <c r="EQ49" s="131">
        <v>9</v>
      </c>
      <c r="ER49" s="132">
        <v>16</v>
      </c>
      <c r="ES49" s="131">
        <v>9</v>
      </c>
      <c r="ET49" s="132">
        <v>14</v>
      </c>
      <c r="EU49" s="131">
        <v>9</v>
      </c>
      <c r="EV49" s="132">
        <v>20</v>
      </c>
      <c r="EW49" s="131">
        <v>9</v>
      </c>
      <c r="EX49" s="132">
        <v>16</v>
      </c>
      <c r="EY49" s="131">
        <v>9</v>
      </c>
      <c r="EZ49" s="132">
        <v>17</v>
      </c>
      <c r="FA49" s="131">
        <v>9</v>
      </c>
      <c r="FB49" s="132">
        <v>18</v>
      </c>
      <c r="FC49" s="131">
        <v>9</v>
      </c>
      <c r="FD49" s="132">
        <v>14</v>
      </c>
      <c r="FE49" s="131">
        <v>9</v>
      </c>
      <c r="FF49" s="132">
        <v>16</v>
      </c>
      <c r="FG49" s="131">
        <v>9</v>
      </c>
      <c r="FH49" s="132">
        <v>19</v>
      </c>
      <c r="FI49" s="131">
        <v>9</v>
      </c>
      <c r="FJ49" s="132">
        <v>15</v>
      </c>
      <c r="FK49" s="131">
        <v>9</v>
      </c>
      <c r="FL49" s="132">
        <v>17</v>
      </c>
      <c r="FM49" s="131">
        <v>9</v>
      </c>
      <c r="FN49" s="132">
        <v>13</v>
      </c>
      <c r="FO49" s="131">
        <v>9</v>
      </c>
      <c r="FP49" s="132">
        <v>13</v>
      </c>
      <c r="FQ49" s="131">
        <v>9</v>
      </c>
      <c r="FR49" s="132">
        <v>18</v>
      </c>
      <c r="FS49" s="131">
        <v>9</v>
      </c>
      <c r="FT49" s="132">
        <v>19</v>
      </c>
      <c r="FU49" s="131">
        <v>9</v>
      </c>
      <c r="FV49" s="132">
        <v>18</v>
      </c>
      <c r="FW49" s="131">
        <v>9</v>
      </c>
      <c r="FX49" s="132">
        <v>15.4</v>
      </c>
      <c r="FY49" s="131">
        <v>9</v>
      </c>
      <c r="FZ49" s="132">
        <v>11</v>
      </c>
      <c r="GA49" s="131">
        <v>9</v>
      </c>
      <c r="GB49" s="132">
        <v>14</v>
      </c>
      <c r="GC49" s="131">
        <v>9</v>
      </c>
      <c r="GD49" s="132">
        <v>14</v>
      </c>
      <c r="GE49" s="131">
        <v>9</v>
      </c>
      <c r="GF49" s="132">
        <v>16</v>
      </c>
      <c r="GG49" s="131">
        <v>9</v>
      </c>
      <c r="GH49" s="132">
        <v>14</v>
      </c>
      <c r="GI49" s="131">
        <v>9</v>
      </c>
      <c r="GJ49" s="132">
        <v>17</v>
      </c>
      <c r="GK49" s="131">
        <v>9</v>
      </c>
      <c r="GL49" s="132">
        <v>16</v>
      </c>
      <c r="GM49" s="131">
        <v>9</v>
      </c>
      <c r="GN49" s="132">
        <v>18</v>
      </c>
      <c r="GO49" s="131">
        <v>9</v>
      </c>
      <c r="GP49" s="132">
        <v>18</v>
      </c>
      <c r="GQ49" s="131">
        <v>9</v>
      </c>
      <c r="GR49" s="132">
        <v>18</v>
      </c>
      <c r="GS49" s="131">
        <v>9</v>
      </c>
      <c r="GT49" s="132">
        <v>18</v>
      </c>
      <c r="GU49" s="131">
        <v>9</v>
      </c>
      <c r="GV49" s="132">
        <v>14</v>
      </c>
      <c r="GW49" s="131">
        <v>9</v>
      </c>
      <c r="GX49" s="132">
        <v>15</v>
      </c>
      <c r="GY49" s="131">
        <v>9</v>
      </c>
      <c r="GZ49" s="132">
        <v>14</v>
      </c>
      <c r="HA49" s="131">
        <v>9</v>
      </c>
      <c r="HB49" s="132">
        <v>14</v>
      </c>
      <c r="HC49" s="131">
        <v>9</v>
      </c>
      <c r="HD49" s="132">
        <v>14</v>
      </c>
      <c r="HE49" s="131">
        <v>9</v>
      </c>
      <c r="HF49" s="132">
        <v>17</v>
      </c>
      <c r="HG49" s="131">
        <v>9</v>
      </c>
      <c r="HH49" s="132">
        <v>14</v>
      </c>
      <c r="HI49" s="131">
        <v>9</v>
      </c>
      <c r="HJ49" s="132">
        <v>17</v>
      </c>
      <c r="HK49" s="131">
        <v>9</v>
      </c>
      <c r="HL49" s="132">
        <v>12</v>
      </c>
      <c r="HM49" s="131">
        <v>9</v>
      </c>
      <c r="HN49" s="132">
        <v>14</v>
      </c>
      <c r="HO49" s="131">
        <v>9</v>
      </c>
      <c r="HP49" s="124"/>
      <c r="HQ49" s="124"/>
    </row>
    <row r="50" spans="1:225" x14ac:dyDescent="0.2">
      <c r="A50" s="122" t="s">
        <v>679</v>
      </c>
      <c r="B50" s="123">
        <v>21</v>
      </c>
      <c r="C50" s="124" t="s">
        <v>205</v>
      </c>
      <c r="D50" s="123">
        <v>41</v>
      </c>
      <c r="E50" s="124" t="s">
        <v>161</v>
      </c>
      <c r="F50" s="123">
        <v>5</v>
      </c>
      <c r="G50" s="123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2">
        <v>0.9</v>
      </c>
      <c r="DV50" s="132">
        <v>19</v>
      </c>
      <c r="DW50" s="131">
        <v>10</v>
      </c>
      <c r="DX50" s="132">
        <v>15</v>
      </c>
      <c r="DY50" s="131">
        <v>10</v>
      </c>
      <c r="DZ50" s="132">
        <v>17</v>
      </c>
      <c r="EA50" s="131">
        <v>10</v>
      </c>
      <c r="EB50" s="132">
        <v>21</v>
      </c>
      <c r="EC50" s="131">
        <v>10</v>
      </c>
      <c r="ED50" s="132">
        <v>17.2</v>
      </c>
      <c r="EE50" s="131">
        <v>10</v>
      </c>
      <c r="EF50" s="132">
        <v>17</v>
      </c>
      <c r="EG50" s="131">
        <v>10</v>
      </c>
      <c r="EH50" s="132">
        <v>19</v>
      </c>
      <c r="EI50" s="131">
        <v>10</v>
      </c>
      <c r="EJ50" s="132">
        <v>17</v>
      </c>
      <c r="EK50" s="131">
        <v>10</v>
      </c>
      <c r="EL50" s="132">
        <v>21</v>
      </c>
      <c r="EM50" s="131">
        <v>10</v>
      </c>
      <c r="EN50" s="132">
        <v>17</v>
      </c>
      <c r="EO50" s="131">
        <v>10</v>
      </c>
      <c r="EP50" s="132">
        <v>16.2</v>
      </c>
      <c r="EQ50" s="131">
        <v>10</v>
      </c>
      <c r="ER50" s="132">
        <v>18</v>
      </c>
      <c r="ES50" s="131">
        <v>10</v>
      </c>
      <c r="ET50" s="132">
        <v>17</v>
      </c>
      <c r="EU50" s="131">
        <v>10</v>
      </c>
      <c r="EV50" s="132">
        <v>22</v>
      </c>
      <c r="EW50" s="131">
        <v>10</v>
      </c>
      <c r="EX50" s="132">
        <v>19</v>
      </c>
      <c r="EY50" s="131">
        <v>10</v>
      </c>
      <c r="EZ50" s="132">
        <v>19</v>
      </c>
      <c r="FA50" s="131">
        <v>10</v>
      </c>
      <c r="FB50" s="132">
        <v>20</v>
      </c>
      <c r="FC50" s="131">
        <v>10</v>
      </c>
      <c r="FD50" s="132">
        <v>16</v>
      </c>
      <c r="FE50" s="131">
        <v>10</v>
      </c>
      <c r="FF50" s="132">
        <v>18</v>
      </c>
      <c r="FG50" s="131">
        <v>10</v>
      </c>
      <c r="FH50" s="132">
        <v>21</v>
      </c>
      <c r="FI50" s="131">
        <v>10</v>
      </c>
      <c r="FJ50" s="132">
        <v>17</v>
      </c>
      <c r="FK50" s="131">
        <v>10</v>
      </c>
      <c r="FL50" s="132">
        <v>18</v>
      </c>
      <c r="FM50" s="131">
        <v>10</v>
      </c>
      <c r="FN50" s="132">
        <v>14.2</v>
      </c>
      <c r="FO50" s="131">
        <v>10</v>
      </c>
      <c r="FP50" s="132">
        <v>15</v>
      </c>
      <c r="FQ50" s="131">
        <v>10</v>
      </c>
      <c r="FR50" s="132">
        <v>18</v>
      </c>
      <c r="FS50" s="131">
        <v>10</v>
      </c>
      <c r="FT50" s="132">
        <v>21</v>
      </c>
      <c r="FU50" s="131">
        <v>10</v>
      </c>
      <c r="FV50" s="132">
        <v>20</v>
      </c>
      <c r="FW50" s="131">
        <v>10</v>
      </c>
      <c r="FX50" s="132">
        <v>17</v>
      </c>
      <c r="FY50" s="131">
        <v>10</v>
      </c>
      <c r="FZ50" s="132">
        <v>14</v>
      </c>
      <c r="GA50" s="131">
        <v>10</v>
      </c>
      <c r="GB50" s="132">
        <v>16</v>
      </c>
      <c r="GC50" s="131">
        <v>10</v>
      </c>
      <c r="GD50" s="132">
        <v>15</v>
      </c>
      <c r="GE50" s="131">
        <v>10</v>
      </c>
      <c r="GF50" s="132">
        <v>18</v>
      </c>
      <c r="GG50" s="131">
        <v>10</v>
      </c>
      <c r="GH50" s="132">
        <v>16</v>
      </c>
      <c r="GI50" s="131">
        <v>10</v>
      </c>
      <c r="GJ50" s="132">
        <v>19</v>
      </c>
      <c r="GK50" s="131">
        <v>10</v>
      </c>
      <c r="GL50" s="132">
        <v>16</v>
      </c>
      <c r="GM50" s="131">
        <v>10</v>
      </c>
      <c r="GN50" s="132">
        <v>19</v>
      </c>
      <c r="GO50" s="131">
        <v>10</v>
      </c>
      <c r="GP50" s="132">
        <v>20</v>
      </c>
      <c r="GQ50" s="131">
        <v>10</v>
      </c>
      <c r="GR50" s="132">
        <v>20</v>
      </c>
      <c r="GS50" s="131">
        <v>10</v>
      </c>
      <c r="GT50" s="132">
        <v>19.2</v>
      </c>
      <c r="GU50" s="131">
        <v>10</v>
      </c>
      <c r="GV50" s="132">
        <v>17</v>
      </c>
      <c r="GW50" s="131">
        <v>10</v>
      </c>
      <c r="GX50" s="132">
        <v>17</v>
      </c>
      <c r="GY50" s="131">
        <v>10</v>
      </c>
      <c r="GZ50" s="132">
        <v>17</v>
      </c>
      <c r="HA50" s="131">
        <v>10</v>
      </c>
      <c r="HB50" s="132">
        <v>16</v>
      </c>
      <c r="HC50" s="131">
        <v>10</v>
      </c>
      <c r="HD50" s="132">
        <v>15.2</v>
      </c>
      <c r="HE50" s="131">
        <v>10</v>
      </c>
      <c r="HF50" s="132">
        <v>19</v>
      </c>
      <c r="HG50" s="131">
        <v>10</v>
      </c>
      <c r="HH50" s="132">
        <v>15</v>
      </c>
      <c r="HI50" s="131">
        <v>10</v>
      </c>
      <c r="HJ50" s="132">
        <v>18</v>
      </c>
      <c r="HK50" s="131">
        <v>10</v>
      </c>
      <c r="HL50" s="132">
        <v>14</v>
      </c>
      <c r="HM50" s="131">
        <v>10</v>
      </c>
      <c r="HN50" s="132">
        <v>17</v>
      </c>
      <c r="HO50" s="131">
        <v>10</v>
      </c>
      <c r="HP50" s="124"/>
      <c r="HQ50" s="124"/>
    </row>
    <row r="51" spans="1:225" x14ac:dyDescent="0.2">
      <c r="A51" s="122" t="s">
        <v>680</v>
      </c>
      <c r="B51" s="123">
        <v>21</v>
      </c>
      <c r="C51" s="124" t="s">
        <v>206</v>
      </c>
      <c r="D51" s="123">
        <v>42</v>
      </c>
      <c r="E51" s="124" t="s">
        <v>161</v>
      </c>
      <c r="F51" s="123">
        <v>5</v>
      </c>
      <c r="G51" s="123"/>
      <c r="H51" s="124"/>
      <c r="I51" s="124"/>
      <c r="J51" s="124"/>
      <c r="K51" s="124"/>
      <c r="L51" s="124"/>
      <c r="M51" s="124"/>
      <c r="N51" s="124"/>
      <c r="O51" s="143" t="s">
        <v>681</v>
      </c>
      <c r="P51" s="143"/>
      <c r="Q51" s="143"/>
      <c r="R51" s="143"/>
      <c r="S51" s="143"/>
      <c r="T51" s="143"/>
      <c r="U51" s="143"/>
      <c r="V51" s="143"/>
      <c r="W51" s="143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  <c r="GA51" s="124"/>
      <c r="GB51" s="124"/>
      <c r="GC51" s="124"/>
      <c r="GD51" s="124"/>
      <c r="GE51" s="124"/>
      <c r="GF51" s="124"/>
      <c r="GG51" s="124"/>
      <c r="GH51" s="124"/>
      <c r="GI51" s="124"/>
      <c r="GJ51" s="124"/>
      <c r="GK51" s="124"/>
      <c r="GL51" s="124"/>
      <c r="GM51" s="124"/>
      <c r="GN51" s="124"/>
      <c r="GO51" s="124"/>
      <c r="GP51" s="124"/>
      <c r="GQ51" s="124"/>
      <c r="GR51" s="124"/>
      <c r="GS51" s="124"/>
      <c r="GT51" s="124"/>
      <c r="GU51" s="124"/>
      <c r="GV51" s="124"/>
      <c r="GW51" s="124"/>
      <c r="GX51" s="124"/>
      <c r="GY51" s="124"/>
      <c r="GZ51" s="124"/>
      <c r="HA51" s="124"/>
      <c r="HB51" s="124"/>
      <c r="HC51" s="124"/>
      <c r="HD51" s="124"/>
      <c r="HE51" s="124"/>
      <c r="HF51" s="124"/>
      <c r="HG51" s="124"/>
      <c r="HH51" s="124"/>
      <c r="HI51" s="124"/>
      <c r="HJ51" s="124"/>
      <c r="HK51" s="124"/>
      <c r="HL51" s="124"/>
      <c r="HM51" s="124"/>
      <c r="HN51" s="124"/>
      <c r="HO51" s="124"/>
      <c r="HP51" s="124"/>
      <c r="HQ51" s="124"/>
    </row>
    <row r="52" spans="1:225" x14ac:dyDescent="0.2">
      <c r="A52" s="122" t="s">
        <v>682</v>
      </c>
      <c r="B52" s="123">
        <v>22</v>
      </c>
      <c r="C52" s="124" t="s">
        <v>207</v>
      </c>
      <c r="D52" s="123">
        <v>43</v>
      </c>
      <c r="E52" s="124" t="s">
        <v>161</v>
      </c>
      <c r="F52" s="123">
        <v>4</v>
      </c>
      <c r="G52" s="123"/>
      <c r="H52" s="124"/>
      <c r="I52" s="124"/>
      <c r="J52" s="124"/>
      <c r="K52" s="124"/>
      <c r="L52" s="124"/>
      <c r="M52" s="124"/>
      <c r="N52" s="124"/>
      <c r="O52" s="143" t="s">
        <v>681</v>
      </c>
      <c r="P52" s="143"/>
      <c r="Q52" s="143"/>
      <c r="R52" s="143"/>
      <c r="S52" s="143"/>
      <c r="T52" s="143"/>
      <c r="U52" s="143"/>
      <c r="V52" s="143"/>
      <c r="W52" s="143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8"/>
      <c r="DW52" s="130"/>
      <c r="DX52" s="128"/>
      <c r="DY52" s="130"/>
      <c r="DZ52" s="128"/>
      <c r="EA52" s="130"/>
      <c r="EB52" s="128"/>
      <c r="EC52" s="130"/>
      <c r="ED52" s="128"/>
      <c r="EE52" s="130"/>
      <c r="EF52" s="128"/>
      <c r="EG52" s="130"/>
      <c r="EH52" s="128"/>
      <c r="EI52" s="130"/>
      <c r="EJ52" s="128"/>
      <c r="EK52" s="130"/>
      <c r="EL52" s="128"/>
      <c r="EM52" s="130"/>
      <c r="EN52" s="128"/>
      <c r="EO52" s="130"/>
      <c r="EP52" s="128"/>
      <c r="EQ52" s="130"/>
      <c r="ER52" s="128"/>
      <c r="ES52" s="130"/>
      <c r="ET52" s="128"/>
      <c r="EU52" s="130"/>
      <c r="EV52" s="128"/>
      <c r="EW52" s="130"/>
      <c r="EX52" s="128"/>
      <c r="EY52" s="130"/>
      <c r="EZ52" s="128"/>
      <c r="FA52" s="128"/>
      <c r="FB52" s="128"/>
      <c r="FC52" s="130"/>
      <c r="FD52" s="128"/>
      <c r="FE52" s="130"/>
      <c r="FF52" s="128"/>
      <c r="FG52" s="130"/>
      <c r="FH52" s="128"/>
      <c r="FI52" s="128"/>
      <c r="FJ52" s="128"/>
      <c r="FK52" s="130"/>
      <c r="FL52" s="128"/>
      <c r="FM52" s="130"/>
      <c r="FN52" s="128"/>
      <c r="FO52" s="130"/>
      <c r="FP52" s="128"/>
      <c r="FQ52" s="130"/>
      <c r="FR52" s="128"/>
      <c r="FS52" s="130"/>
      <c r="FT52" s="128"/>
      <c r="FU52" s="130"/>
      <c r="FV52" s="128"/>
      <c r="FW52" s="130"/>
      <c r="FX52" s="128"/>
      <c r="FY52" s="130"/>
      <c r="FZ52" s="128"/>
      <c r="GA52" s="130"/>
      <c r="GB52" s="128"/>
      <c r="GC52" s="130"/>
      <c r="GD52" s="128"/>
      <c r="GE52" s="130"/>
      <c r="GF52" s="128"/>
      <c r="GG52" s="130"/>
      <c r="GH52" s="128"/>
      <c r="GI52" s="124"/>
      <c r="GJ52" s="124"/>
      <c r="GK52" s="124"/>
      <c r="GL52" s="124"/>
      <c r="GM52" s="124"/>
      <c r="GN52" s="124"/>
      <c r="GO52" s="124"/>
      <c r="GP52" s="124"/>
      <c r="GQ52" s="124"/>
      <c r="GR52" s="124"/>
      <c r="GS52" s="124"/>
      <c r="GT52" s="124"/>
      <c r="GU52" s="124"/>
      <c r="GV52" s="124"/>
      <c r="GW52" s="124"/>
      <c r="GX52" s="124"/>
      <c r="GY52" s="124"/>
      <c r="GZ52" s="124"/>
      <c r="HA52" s="124"/>
      <c r="HB52" s="124"/>
      <c r="HC52" s="124"/>
      <c r="HD52" s="124"/>
      <c r="HE52" s="124"/>
      <c r="HF52" s="124"/>
      <c r="HG52" s="124"/>
      <c r="HH52" s="124"/>
      <c r="HI52" s="124"/>
      <c r="HJ52" s="124"/>
      <c r="HK52" s="124"/>
      <c r="HL52" s="124"/>
      <c r="HM52" s="124"/>
      <c r="HN52" s="124"/>
      <c r="HO52" s="124"/>
      <c r="HP52" s="124"/>
      <c r="HQ52" s="124"/>
    </row>
    <row r="53" spans="1:225" x14ac:dyDescent="0.2">
      <c r="A53" s="122" t="s">
        <v>683</v>
      </c>
      <c r="B53" s="123">
        <v>22</v>
      </c>
      <c r="C53" s="124" t="s">
        <v>208</v>
      </c>
      <c r="D53" s="123">
        <v>44</v>
      </c>
      <c r="E53" s="124" t="s">
        <v>161</v>
      </c>
      <c r="F53" s="123">
        <v>2</v>
      </c>
      <c r="G53" s="123"/>
      <c r="H53" s="124"/>
      <c r="I53" s="124"/>
      <c r="J53" s="124"/>
      <c r="K53" s="124"/>
      <c r="L53" s="124"/>
      <c r="M53" s="124"/>
      <c r="N53" s="124"/>
      <c r="O53" s="143" t="s">
        <v>684</v>
      </c>
      <c r="P53" s="143"/>
      <c r="Q53" s="143"/>
      <c r="R53" s="143"/>
      <c r="S53" s="143"/>
      <c r="T53" s="143"/>
      <c r="U53" s="143"/>
      <c r="V53" s="143"/>
      <c r="W53" s="143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2"/>
      <c r="DV53" s="128" t="s">
        <v>76</v>
      </c>
      <c r="DW53" s="128"/>
      <c r="DX53" s="128" t="s">
        <v>78</v>
      </c>
      <c r="DY53" s="128"/>
      <c r="DZ53" s="128" t="s">
        <v>79</v>
      </c>
      <c r="EA53" s="128"/>
      <c r="EB53" s="128" t="s">
        <v>14</v>
      </c>
      <c r="EC53" s="128"/>
      <c r="ED53" s="128" t="s">
        <v>89</v>
      </c>
      <c r="EE53" s="128"/>
      <c r="EF53" s="128" t="s">
        <v>91</v>
      </c>
      <c r="EG53" s="128"/>
      <c r="EH53" s="128" t="s">
        <v>88</v>
      </c>
      <c r="EI53" s="128"/>
      <c r="EJ53" s="128" t="s">
        <v>66</v>
      </c>
      <c r="EK53" s="128"/>
      <c r="EL53" s="128" t="s">
        <v>515</v>
      </c>
      <c r="EM53" s="128"/>
      <c r="EN53" s="128" t="s">
        <v>508</v>
      </c>
      <c r="EO53" s="128"/>
      <c r="EP53" s="128" t="s">
        <v>83</v>
      </c>
      <c r="EQ53" s="128"/>
      <c r="ER53" s="128" t="s">
        <v>105</v>
      </c>
      <c r="ES53" s="128"/>
      <c r="ET53" s="128" t="s">
        <v>42</v>
      </c>
      <c r="EU53" s="128"/>
      <c r="EV53" s="128" t="s">
        <v>74</v>
      </c>
      <c r="EW53" s="128"/>
      <c r="EX53" s="128" t="s">
        <v>5</v>
      </c>
      <c r="EY53" s="128"/>
      <c r="EZ53" s="128" t="s">
        <v>22</v>
      </c>
      <c r="FA53" s="128"/>
      <c r="FB53" s="128" t="s">
        <v>27</v>
      </c>
      <c r="FC53" s="128"/>
      <c r="FD53" s="128" t="s">
        <v>523</v>
      </c>
      <c r="FE53" s="128"/>
      <c r="FF53" s="128" t="s">
        <v>19</v>
      </c>
      <c r="FG53" s="128"/>
      <c r="FH53" s="128" t="s">
        <v>82</v>
      </c>
      <c r="FI53" s="128"/>
      <c r="FJ53" s="128" t="s">
        <v>81</v>
      </c>
      <c r="FK53" s="128"/>
      <c r="FL53" s="128" t="s">
        <v>47</v>
      </c>
      <c r="FM53" s="128"/>
      <c r="FN53" s="128" t="s">
        <v>86</v>
      </c>
      <c r="FO53" s="128"/>
      <c r="FP53" s="128" t="s">
        <v>92</v>
      </c>
      <c r="FQ53" s="128"/>
      <c r="FR53" s="128" t="s">
        <v>59</v>
      </c>
      <c r="FS53" s="128"/>
      <c r="FT53" s="128" t="s">
        <v>84</v>
      </c>
      <c r="FU53" s="128"/>
      <c r="FV53" s="128" t="s">
        <v>97</v>
      </c>
      <c r="FW53" s="128"/>
      <c r="FX53" s="128" t="s">
        <v>101</v>
      </c>
      <c r="FY53" s="128"/>
      <c r="FZ53" s="128" t="s">
        <v>56</v>
      </c>
      <c r="GA53" s="128"/>
      <c r="GB53" s="128" t="s">
        <v>63</v>
      </c>
      <c r="GC53" s="128"/>
      <c r="GD53" s="128" t="s">
        <v>35</v>
      </c>
      <c r="GE53" s="128"/>
      <c r="GF53" s="128" t="s">
        <v>94</v>
      </c>
      <c r="GG53" s="128"/>
      <c r="GH53" s="128" t="s">
        <v>110</v>
      </c>
      <c r="GI53" s="122"/>
      <c r="GJ53" s="135" t="s">
        <v>511</v>
      </c>
      <c r="GK53" s="135"/>
      <c r="GL53" s="135" t="s">
        <v>46</v>
      </c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4"/>
      <c r="HO53" s="124"/>
      <c r="HP53" s="122"/>
      <c r="HQ53" s="122"/>
    </row>
    <row r="54" spans="1:225" x14ac:dyDescent="0.2">
      <c r="A54" s="122" t="s">
        <v>685</v>
      </c>
      <c r="B54" s="123">
        <v>23</v>
      </c>
      <c r="C54" s="124" t="s">
        <v>210</v>
      </c>
      <c r="D54" s="123">
        <v>45</v>
      </c>
      <c r="E54" s="124" t="s">
        <v>161</v>
      </c>
      <c r="F54" s="123">
        <v>3</v>
      </c>
      <c r="G54" s="123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2">
        <v>0</v>
      </c>
      <c r="DV54" s="136">
        <v>0</v>
      </c>
      <c r="DW54" s="131">
        <v>1</v>
      </c>
      <c r="DX54" s="123">
        <v>0</v>
      </c>
      <c r="DY54" s="131">
        <v>1</v>
      </c>
      <c r="DZ54" s="123">
        <v>0</v>
      </c>
      <c r="EA54" s="131">
        <v>1</v>
      </c>
      <c r="EB54" s="123">
        <v>0</v>
      </c>
      <c r="EC54" s="131">
        <v>1</v>
      </c>
      <c r="ED54" s="123">
        <v>0</v>
      </c>
      <c r="EE54" s="131">
        <v>1</v>
      </c>
      <c r="EF54" s="123">
        <v>0</v>
      </c>
      <c r="EG54" s="131">
        <v>1</v>
      </c>
      <c r="EH54" s="123">
        <v>0</v>
      </c>
      <c r="EI54" s="131">
        <v>1</v>
      </c>
      <c r="EJ54" s="123">
        <v>0</v>
      </c>
      <c r="EK54" s="131">
        <v>1</v>
      </c>
      <c r="EL54" s="123">
        <v>0</v>
      </c>
      <c r="EM54" s="131">
        <v>1</v>
      </c>
      <c r="EN54" s="123">
        <v>0</v>
      </c>
      <c r="EO54" s="131">
        <v>1</v>
      </c>
      <c r="EP54" s="123">
        <v>0</v>
      </c>
      <c r="EQ54" s="131">
        <v>1</v>
      </c>
      <c r="ER54" s="123">
        <v>0</v>
      </c>
      <c r="ES54" s="131">
        <v>1</v>
      </c>
      <c r="ET54" s="123">
        <v>0</v>
      </c>
      <c r="EU54" s="131">
        <v>1</v>
      </c>
      <c r="EV54" s="123">
        <v>0</v>
      </c>
      <c r="EW54" s="131">
        <v>1</v>
      </c>
      <c r="EX54" s="123">
        <v>0</v>
      </c>
      <c r="EY54" s="131">
        <v>1</v>
      </c>
      <c r="EZ54" s="123">
        <v>0</v>
      </c>
      <c r="FA54" s="131">
        <v>1</v>
      </c>
      <c r="FB54" s="123">
        <v>0</v>
      </c>
      <c r="FC54" s="131">
        <v>1</v>
      </c>
      <c r="FD54" s="123">
        <v>0</v>
      </c>
      <c r="FE54" s="131">
        <v>1</v>
      </c>
      <c r="FF54" s="123">
        <v>0</v>
      </c>
      <c r="FG54" s="131">
        <v>1</v>
      </c>
      <c r="FH54" s="123">
        <v>0</v>
      </c>
      <c r="FI54" s="131">
        <v>1</v>
      </c>
      <c r="FJ54" s="123">
        <v>0</v>
      </c>
      <c r="FK54" s="131">
        <v>1</v>
      </c>
      <c r="FL54" s="123">
        <v>0</v>
      </c>
      <c r="FM54" s="131">
        <v>1</v>
      </c>
      <c r="FN54" s="123">
        <v>0</v>
      </c>
      <c r="FO54" s="131">
        <v>1</v>
      </c>
      <c r="FP54" s="123">
        <v>0</v>
      </c>
      <c r="FQ54" s="131">
        <v>1</v>
      </c>
      <c r="FR54" s="123">
        <v>0</v>
      </c>
      <c r="FS54" s="131">
        <v>1</v>
      </c>
      <c r="FT54" s="123">
        <v>0</v>
      </c>
      <c r="FU54" s="131">
        <v>1</v>
      </c>
      <c r="FV54" s="123">
        <v>0</v>
      </c>
      <c r="FW54" s="131">
        <v>1</v>
      </c>
      <c r="FX54" s="123">
        <v>0</v>
      </c>
      <c r="FY54" s="131">
        <v>1</v>
      </c>
      <c r="FZ54" s="123">
        <v>0</v>
      </c>
      <c r="GA54" s="131">
        <v>1</v>
      </c>
      <c r="GB54" s="123">
        <v>0</v>
      </c>
      <c r="GC54" s="131">
        <v>1</v>
      </c>
      <c r="GD54" s="123">
        <v>0</v>
      </c>
      <c r="GE54" s="131">
        <v>1</v>
      </c>
      <c r="GF54" s="123">
        <v>0</v>
      </c>
      <c r="GG54" s="131">
        <v>1</v>
      </c>
      <c r="GH54" s="123">
        <v>0</v>
      </c>
      <c r="GI54" s="131">
        <v>1</v>
      </c>
      <c r="GJ54" s="131">
        <v>0</v>
      </c>
      <c r="GK54" s="131">
        <v>1</v>
      </c>
      <c r="GL54" s="131">
        <v>0</v>
      </c>
      <c r="GM54" s="131">
        <v>1</v>
      </c>
      <c r="GN54" s="124"/>
      <c r="GO54" s="124"/>
      <c r="GP54" s="124"/>
      <c r="GQ54" s="124"/>
      <c r="GR54" s="124"/>
      <c r="GS54" s="124"/>
      <c r="GT54" s="124"/>
      <c r="GU54" s="124"/>
      <c r="GV54" s="124"/>
      <c r="GW54" s="124"/>
      <c r="GX54" s="124"/>
      <c r="GY54" s="124"/>
      <c r="GZ54" s="124"/>
      <c r="HA54" s="124"/>
      <c r="HB54" s="124"/>
      <c r="HC54" s="124"/>
      <c r="HD54" s="124"/>
      <c r="HE54" s="124"/>
      <c r="HF54" s="124"/>
      <c r="HG54" s="124"/>
      <c r="HH54" s="124"/>
      <c r="HI54" s="124"/>
      <c r="HJ54" s="124"/>
      <c r="HK54" s="124"/>
      <c r="HL54" s="124"/>
      <c r="HM54" s="124"/>
      <c r="HN54" s="124"/>
      <c r="HO54" s="124"/>
      <c r="HP54" s="124"/>
      <c r="HQ54" s="124"/>
    </row>
    <row r="55" spans="1:225" x14ac:dyDescent="0.2">
      <c r="A55" s="122" t="s">
        <v>686</v>
      </c>
      <c r="B55" s="123">
        <v>23</v>
      </c>
      <c r="C55" s="124" t="s">
        <v>211</v>
      </c>
      <c r="D55" s="123">
        <v>46</v>
      </c>
      <c r="E55" s="124" t="s">
        <v>161</v>
      </c>
      <c r="F55" s="123">
        <v>2</v>
      </c>
      <c r="G55" s="123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24"/>
      <c r="BK55" s="124"/>
      <c r="BL55" s="124"/>
      <c r="BM55" s="124"/>
      <c r="BN55" s="124"/>
      <c r="BO55" s="124"/>
      <c r="BP55" s="124"/>
      <c r="BQ55" s="124"/>
      <c r="BR55" s="124"/>
      <c r="BS55" s="124"/>
      <c r="BT55" s="124"/>
      <c r="BU55" s="124"/>
      <c r="BV55" s="124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2">
        <v>0.1</v>
      </c>
      <c r="DV55" s="132">
        <v>9</v>
      </c>
      <c r="DW55" s="131">
        <v>2</v>
      </c>
      <c r="DX55" s="132">
        <v>7.3</v>
      </c>
      <c r="DY55" s="131">
        <v>2</v>
      </c>
      <c r="DZ55" s="132">
        <v>10</v>
      </c>
      <c r="EA55" s="131">
        <v>2</v>
      </c>
      <c r="EB55" s="132">
        <v>9.3000000000000007</v>
      </c>
      <c r="EC55" s="131">
        <v>2</v>
      </c>
      <c r="ED55" s="132">
        <v>8.6999999999999993</v>
      </c>
      <c r="EE55" s="131">
        <v>2</v>
      </c>
      <c r="EF55" s="132">
        <v>6.7</v>
      </c>
      <c r="EG55" s="131">
        <v>2</v>
      </c>
      <c r="EH55" s="132">
        <v>8.3000000000000007</v>
      </c>
      <c r="EI55" s="131">
        <v>2</v>
      </c>
      <c r="EJ55" s="132">
        <v>8.3000000000000007</v>
      </c>
      <c r="EK55" s="131">
        <v>2</v>
      </c>
      <c r="EL55" s="132">
        <v>5.9</v>
      </c>
      <c r="EM55" s="131">
        <v>2</v>
      </c>
      <c r="EN55" s="132">
        <v>7</v>
      </c>
      <c r="EO55" s="131">
        <v>2</v>
      </c>
      <c r="EP55" s="132">
        <v>8.3000000000000007</v>
      </c>
      <c r="EQ55" s="131">
        <v>2</v>
      </c>
      <c r="ER55" s="132">
        <v>6.7</v>
      </c>
      <c r="ES55" s="131">
        <v>2</v>
      </c>
      <c r="ET55" s="132">
        <v>9</v>
      </c>
      <c r="EU55" s="131">
        <v>2</v>
      </c>
      <c r="EV55" s="132">
        <v>6.7</v>
      </c>
      <c r="EW55" s="131">
        <v>2</v>
      </c>
      <c r="EX55" s="132">
        <v>7.3</v>
      </c>
      <c r="EY55" s="131">
        <v>2</v>
      </c>
      <c r="EZ55" s="132">
        <v>8.3000000000000007</v>
      </c>
      <c r="FA55" s="131">
        <v>2</v>
      </c>
      <c r="FB55" s="132">
        <v>9</v>
      </c>
      <c r="FC55" s="131">
        <v>2</v>
      </c>
      <c r="FD55" s="132">
        <v>9</v>
      </c>
      <c r="FE55" s="131">
        <v>2</v>
      </c>
      <c r="FF55" s="132">
        <v>8.3000000000000007</v>
      </c>
      <c r="FG55" s="131">
        <v>2</v>
      </c>
      <c r="FH55" s="132">
        <v>6</v>
      </c>
      <c r="FI55" s="131">
        <v>2</v>
      </c>
      <c r="FJ55" s="132">
        <v>10.6</v>
      </c>
      <c r="FK55" s="131">
        <v>2</v>
      </c>
      <c r="FL55" s="132">
        <v>10</v>
      </c>
      <c r="FM55" s="131">
        <v>2</v>
      </c>
      <c r="FN55" s="132">
        <v>6.3</v>
      </c>
      <c r="FO55" s="131">
        <v>2</v>
      </c>
      <c r="FP55" s="132">
        <v>5</v>
      </c>
      <c r="FQ55" s="131">
        <v>2</v>
      </c>
      <c r="FR55" s="132">
        <v>5.3</v>
      </c>
      <c r="FS55" s="131">
        <v>2</v>
      </c>
      <c r="FT55" s="132">
        <v>8.3000000000000007</v>
      </c>
      <c r="FU55" s="131">
        <v>2</v>
      </c>
      <c r="FV55" s="132">
        <v>9.3000000000000007</v>
      </c>
      <c r="FW55" s="131">
        <v>2</v>
      </c>
      <c r="FX55" s="132">
        <v>6</v>
      </c>
      <c r="FY55" s="131">
        <v>2</v>
      </c>
      <c r="FZ55" s="132">
        <v>8.3000000000000007</v>
      </c>
      <c r="GA55" s="131">
        <v>2</v>
      </c>
      <c r="GB55" s="132">
        <v>6</v>
      </c>
      <c r="GC55" s="131">
        <v>2</v>
      </c>
      <c r="GD55" s="132">
        <v>8.3000000000000007</v>
      </c>
      <c r="GE55" s="131">
        <v>2</v>
      </c>
      <c r="GF55" s="132">
        <v>10.3</v>
      </c>
      <c r="GG55" s="131">
        <v>2</v>
      </c>
      <c r="GH55" s="132">
        <v>10</v>
      </c>
      <c r="GI55" s="131">
        <v>2</v>
      </c>
      <c r="GJ55" s="131">
        <v>7</v>
      </c>
      <c r="GK55" s="131">
        <v>2</v>
      </c>
      <c r="GL55" s="131">
        <v>6</v>
      </c>
      <c r="GM55" s="131">
        <v>2</v>
      </c>
      <c r="GN55" s="124"/>
      <c r="GO55" s="124"/>
      <c r="GP55" s="124"/>
      <c r="GQ55" s="124"/>
      <c r="GR55" s="124"/>
      <c r="GS55" s="124"/>
      <c r="GT55" s="124"/>
      <c r="GU55" s="124"/>
      <c r="GV55" s="124"/>
      <c r="GW55" s="124"/>
      <c r="GX55" s="124"/>
      <c r="GY55" s="124"/>
      <c r="GZ55" s="124"/>
      <c r="HA55" s="124"/>
      <c r="HB55" s="124"/>
      <c r="HC55" s="124"/>
      <c r="HD55" s="124"/>
      <c r="HE55" s="124"/>
      <c r="HF55" s="124"/>
      <c r="HG55" s="124"/>
      <c r="HH55" s="124"/>
      <c r="HI55" s="124"/>
      <c r="HJ55" s="124"/>
      <c r="HK55" s="124"/>
      <c r="HL55" s="124"/>
      <c r="HM55" s="124"/>
      <c r="HN55" s="124"/>
      <c r="HO55" s="124"/>
      <c r="HP55" s="124"/>
      <c r="HQ55" s="124"/>
    </row>
    <row r="56" spans="1:225" x14ac:dyDescent="0.2">
      <c r="A56" s="122" t="s">
        <v>687</v>
      </c>
      <c r="B56" s="123">
        <v>24</v>
      </c>
      <c r="C56" s="124" t="s">
        <v>212</v>
      </c>
      <c r="D56" s="123">
        <v>47</v>
      </c>
      <c r="E56" s="124" t="s">
        <v>161</v>
      </c>
      <c r="F56" s="123">
        <v>4</v>
      </c>
      <c r="G56" s="123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124"/>
      <c r="BT56" s="124"/>
      <c r="BU56" s="124"/>
      <c r="BV56" s="124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2">
        <v>0.2</v>
      </c>
      <c r="DV56" s="132">
        <v>10</v>
      </c>
      <c r="DW56" s="131">
        <v>3</v>
      </c>
      <c r="DX56" s="132">
        <v>8.5</v>
      </c>
      <c r="DY56" s="131">
        <v>3</v>
      </c>
      <c r="DZ56" s="132">
        <v>11</v>
      </c>
      <c r="EA56" s="131">
        <v>3</v>
      </c>
      <c r="EB56" s="132">
        <v>10</v>
      </c>
      <c r="EC56" s="131">
        <v>3</v>
      </c>
      <c r="ED56" s="132">
        <v>9.6999999999999993</v>
      </c>
      <c r="EE56" s="131">
        <v>3</v>
      </c>
      <c r="EF56" s="132">
        <v>8</v>
      </c>
      <c r="EG56" s="131">
        <v>3</v>
      </c>
      <c r="EH56" s="132">
        <v>9.9</v>
      </c>
      <c r="EI56" s="131">
        <v>3</v>
      </c>
      <c r="EJ56" s="132">
        <v>10</v>
      </c>
      <c r="EK56" s="131">
        <v>3</v>
      </c>
      <c r="EL56" s="132">
        <v>7</v>
      </c>
      <c r="EM56" s="131">
        <v>3</v>
      </c>
      <c r="EN56" s="132">
        <v>8.3000000000000007</v>
      </c>
      <c r="EO56" s="131">
        <v>3</v>
      </c>
      <c r="EP56" s="132">
        <v>9.3000000000000007</v>
      </c>
      <c r="EQ56" s="131">
        <v>3</v>
      </c>
      <c r="ER56" s="132">
        <v>8</v>
      </c>
      <c r="ES56" s="131">
        <v>3</v>
      </c>
      <c r="ET56" s="132">
        <v>10.7</v>
      </c>
      <c r="EU56" s="131">
        <v>3</v>
      </c>
      <c r="EV56" s="132">
        <v>8</v>
      </c>
      <c r="EW56" s="131">
        <v>3</v>
      </c>
      <c r="EX56" s="132">
        <v>8.3000000000000007</v>
      </c>
      <c r="EY56" s="131">
        <v>3</v>
      </c>
      <c r="EZ56" s="132">
        <v>9.3000000000000007</v>
      </c>
      <c r="FA56" s="131">
        <v>3</v>
      </c>
      <c r="FB56" s="132">
        <v>10</v>
      </c>
      <c r="FC56" s="131">
        <v>3</v>
      </c>
      <c r="FD56" s="132">
        <v>10.3</v>
      </c>
      <c r="FE56" s="131">
        <v>3</v>
      </c>
      <c r="FF56" s="132">
        <v>9.3000000000000007</v>
      </c>
      <c r="FG56" s="131">
        <v>3</v>
      </c>
      <c r="FH56" s="132">
        <v>7</v>
      </c>
      <c r="FI56" s="131">
        <v>3</v>
      </c>
      <c r="FJ56" s="132">
        <v>11.7</v>
      </c>
      <c r="FK56" s="131">
        <v>3</v>
      </c>
      <c r="FL56" s="132">
        <v>11.3</v>
      </c>
      <c r="FM56" s="131">
        <v>3</v>
      </c>
      <c r="FN56" s="132">
        <v>7.3</v>
      </c>
      <c r="FO56" s="131">
        <v>3</v>
      </c>
      <c r="FP56" s="132">
        <v>6.3</v>
      </c>
      <c r="FQ56" s="131">
        <v>3</v>
      </c>
      <c r="FR56" s="132">
        <v>6.7</v>
      </c>
      <c r="FS56" s="131">
        <v>3</v>
      </c>
      <c r="FT56" s="132">
        <v>9.6999999999999993</v>
      </c>
      <c r="FU56" s="131">
        <v>3</v>
      </c>
      <c r="FV56" s="132">
        <v>11</v>
      </c>
      <c r="FW56" s="131">
        <v>3</v>
      </c>
      <c r="FX56" s="132">
        <v>7</v>
      </c>
      <c r="FY56" s="131">
        <v>3</v>
      </c>
      <c r="FZ56" s="132">
        <v>9.6999999999999993</v>
      </c>
      <c r="GA56" s="131">
        <v>3</v>
      </c>
      <c r="GB56" s="132">
        <v>7.3</v>
      </c>
      <c r="GC56" s="131">
        <v>3</v>
      </c>
      <c r="GD56" s="132">
        <v>9.6999999999999993</v>
      </c>
      <c r="GE56" s="131">
        <v>3</v>
      </c>
      <c r="GF56" s="132">
        <v>11.7</v>
      </c>
      <c r="GG56" s="131">
        <v>3</v>
      </c>
      <c r="GH56" s="132">
        <v>11.3</v>
      </c>
      <c r="GI56" s="131">
        <v>3</v>
      </c>
      <c r="GJ56" s="131">
        <v>8</v>
      </c>
      <c r="GK56" s="131">
        <v>3</v>
      </c>
      <c r="GL56" s="131">
        <v>7</v>
      </c>
      <c r="GM56" s="131">
        <v>3</v>
      </c>
      <c r="GN56" s="124"/>
      <c r="GO56" s="124"/>
      <c r="GP56" s="124"/>
      <c r="GQ56" s="124"/>
      <c r="GR56" s="124"/>
      <c r="GS56" s="124"/>
      <c r="GT56" s="124"/>
      <c r="GU56" s="124"/>
      <c r="GV56" s="124"/>
      <c r="GW56" s="124"/>
      <c r="GX56" s="124"/>
      <c r="GY56" s="124"/>
      <c r="GZ56" s="124"/>
      <c r="HA56" s="124"/>
      <c r="HB56" s="124"/>
      <c r="HC56" s="124"/>
      <c r="HD56" s="124"/>
      <c r="HE56" s="124"/>
      <c r="HF56" s="124"/>
      <c r="HG56" s="124"/>
      <c r="HH56" s="124"/>
      <c r="HI56" s="124"/>
      <c r="HJ56" s="124"/>
      <c r="HK56" s="124"/>
      <c r="HL56" s="124"/>
      <c r="HM56" s="124"/>
      <c r="HN56" s="124"/>
      <c r="HO56" s="124"/>
      <c r="HP56" s="124"/>
      <c r="HQ56" s="124"/>
    </row>
    <row r="57" spans="1:225" x14ac:dyDescent="0.2">
      <c r="A57" s="122" t="s">
        <v>688</v>
      </c>
      <c r="B57" s="123">
        <v>24</v>
      </c>
      <c r="C57" s="124" t="s">
        <v>213</v>
      </c>
      <c r="D57" s="123">
        <v>48</v>
      </c>
      <c r="E57" s="124" t="s">
        <v>161</v>
      </c>
      <c r="F57" s="123">
        <v>5</v>
      </c>
      <c r="G57" s="123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2">
        <v>0.3</v>
      </c>
      <c r="DV57" s="132">
        <v>11.3</v>
      </c>
      <c r="DW57" s="131">
        <v>4</v>
      </c>
      <c r="DX57" s="132">
        <v>9.3000000000000007</v>
      </c>
      <c r="DY57" s="131">
        <v>4</v>
      </c>
      <c r="DZ57" s="132">
        <v>11.7</v>
      </c>
      <c r="EA57" s="131">
        <v>4</v>
      </c>
      <c r="EB57" s="132">
        <v>11</v>
      </c>
      <c r="EC57" s="131">
        <v>4</v>
      </c>
      <c r="ED57" s="132">
        <v>10.3</v>
      </c>
      <c r="EE57" s="131">
        <v>4</v>
      </c>
      <c r="EF57" s="132">
        <v>8.6999999999999993</v>
      </c>
      <c r="EG57" s="131">
        <v>4</v>
      </c>
      <c r="EH57" s="132">
        <v>10.8</v>
      </c>
      <c r="EI57" s="131">
        <v>4</v>
      </c>
      <c r="EJ57" s="132">
        <v>11</v>
      </c>
      <c r="EK57" s="131">
        <v>4</v>
      </c>
      <c r="EL57" s="132">
        <v>8</v>
      </c>
      <c r="EM57" s="131">
        <v>4</v>
      </c>
      <c r="EN57" s="132">
        <v>9.3000000000000007</v>
      </c>
      <c r="EO57" s="131">
        <v>4</v>
      </c>
      <c r="EP57" s="132">
        <v>10.3</v>
      </c>
      <c r="EQ57" s="131">
        <v>4</v>
      </c>
      <c r="ER57" s="132">
        <v>8.6999999999999993</v>
      </c>
      <c r="ES57" s="131">
        <v>4</v>
      </c>
      <c r="ET57" s="132">
        <v>11.7</v>
      </c>
      <c r="EU57" s="131">
        <v>4</v>
      </c>
      <c r="EV57" s="132">
        <v>9</v>
      </c>
      <c r="EW57" s="131">
        <v>4</v>
      </c>
      <c r="EX57" s="132">
        <v>9.3000000000000007</v>
      </c>
      <c r="EY57" s="131">
        <v>4</v>
      </c>
      <c r="EZ57" s="132">
        <v>10.3</v>
      </c>
      <c r="FA57" s="131">
        <v>4</v>
      </c>
      <c r="FB57" s="132">
        <v>10.8</v>
      </c>
      <c r="FC57" s="131">
        <v>4</v>
      </c>
      <c r="FD57" s="132">
        <v>11</v>
      </c>
      <c r="FE57" s="131">
        <v>4</v>
      </c>
      <c r="FF57" s="132">
        <v>10</v>
      </c>
      <c r="FG57" s="131">
        <v>4</v>
      </c>
      <c r="FH57" s="132">
        <v>7.7</v>
      </c>
      <c r="FI57" s="131">
        <v>4</v>
      </c>
      <c r="FJ57" s="132">
        <v>12.7</v>
      </c>
      <c r="FK57" s="131">
        <v>4</v>
      </c>
      <c r="FL57" s="132">
        <v>12</v>
      </c>
      <c r="FM57" s="131">
        <v>4</v>
      </c>
      <c r="FN57" s="132">
        <v>8.3000000000000007</v>
      </c>
      <c r="FO57" s="131">
        <v>4</v>
      </c>
      <c r="FP57" s="132">
        <v>7</v>
      </c>
      <c r="FQ57" s="131">
        <v>4</v>
      </c>
      <c r="FR57" s="132">
        <v>8</v>
      </c>
      <c r="FS57" s="131">
        <v>4</v>
      </c>
      <c r="FT57" s="132">
        <v>10.7</v>
      </c>
      <c r="FU57" s="131">
        <v>4</v>
      </c>
      <c r="FV57" s="132">
        <v>11.7</v>
      </c>
      <c r="FW57" s="131">
        <v>4</v>
      </c>
      <c r="FX57" s="132">
        <v>7.7</v>
      </c>
      <c r="FY57" s="131">
        <v>4</v>
      </c>
      <c r="FZ57" s="132">
        <v>10.7</v>
      </c>
      <c r="GA57" s="131">
        <v>4</v>
      </c>
      <c r="GB57" s="132">
        <v>8.3000000000000007</v>
      </c>
      <c r="GC57" s="131">
        <v>4</v>
      </c>
      <c r="GD57" s="132">
        <v>10.7</v>
      </c>
      <c r="GE57" s="131">
        <v>4</v>
      </c>
      <c r="GF57" s="132">
        <v>12.3</v>
      </c>
      <c r="GG57" s="131">
        <v>4</v>
      </c>
      <c r="GH57" s="132">
        <v>12.1</v>
      </c>
      <c r="GI57" s="131">
        <v>4</v>
      </c>
      <c r="GJ57" s="131">
        <v>9</v>
      </c>
      <c r="GK57" s="131">
        <v>4</v>
      </c>
      <c r="GL57" s="131">
        <v>8</v>
      </c>
      <c r="GM57" s="131">
        <v>4</v>
      </c>
      <c r="GN57" s="124"/>
      <c r="GO57" s="124"/>
      <c r="GP57" s="124"/>
      <c r="GQ57" s="124"/>
      <c r="GR57" s="124"/>
      <c r="GS57" s="124"/>
      <c r="GT57" s="124"/>
      <c r="GU57" s="124"/>
      <c r="GV57" s="124"/>
      <c r="GW57" s="124"/>
      <c r="GX57" s="124"/>
      <c r="GY57" s="124"/>
      <c r="GZ57" s="124"/>
      <c r="HA57" s="124"/>
      <c r="HB57" s="124"/>
      <c r="HC57" s="124"/>
      <c r="HD57" s="124"/>
      <c r="HE57" s="124"/>
      <c r="HF57" s="124"/>
      <c r="HG57" s="124"/>
      <c r="HH57" s="124"/>
      <c r="HI57" s="124"/>
      <c r="HJ57" s="124"/>
      <c r="HK57" s="124"/>
      <c r="HL57" s="124"/>
      <c r="HM57" s="124"/>
      <c r="HN57" s="124"/>
      <c r="HO57" s="124"/>
      <c r="HP57" s="124"/>
      <c r="HQ57" s="124"/>
    </row>
    <row r="58" spans="1:225" x14ac:dyDescent="0.2">
      <c r="A58" s="122" t="s">
        <v>689</v>
      </c>
      <c r="B58" s="123">
        <v>25</v>
      </c>
      <c r="C58" s="124" t="s">
        <v>215</v>
      </c>
      <c r="D58" s="123">
        <v>49</v>
      </c>
      <c r="E58" s="124" t="s">
        <v>161</v>
      </c>
      <c r="F58" s="123">
        <v>5</v>
      </c>
      <c r="G58" s="123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4"/>
      <c r="BX58" s="124"/>
      <c r="BY58" s="124"/>
      <c r="BZ58" s="124"/>
      <c r="CA58" s="124"/>
      <c r="CB58" s="124"/>
      <c r="CC58" s="124"/>
      <c r="CD58" s="124"/>
      <c r="CE58" s="124"/>
      <c r="CF58" s="124"/>
      <c r="CG58" s="124"/>
      <c r="CH58" s="124"/>
      <c r="CI58" s="124"/>
      <c r="CJ58" s="124"/>
      <c r="CK58" s="124"/>
      <c r="CL58" s="124"/>
      <c r="CM58" s="124"/>
      <c r="CN58" s="124"/>
      <c r="CO58" s="124"/>
      <c r="CP58" s="124"/>
      <c r="CQ58" s="124"/>
      <c r="CR58" s="124"/>
      <c r="CS58" s="124"/>
      <c r="CT58" s="124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24"/>
      <c r="DN58" s="124"/>
      <c r="DO58" s="124"/>
      <c r="DP58" s="124"/>
      <c r="DQ58" s="124"/>
      <c r="DR58" s="124"/>
      <c r="DS58" s="124"/>
      <c r="DT58" s="124"/>
      <c r="DU58" s="122">
        <v>0.4</v>
      </c>
      <c r="DV58" s="132">
        <v>12</v>
      </c>
      <c r="DW58" s="131">
        <v>5</v>
      </c>
      <c r="DX58" s="132">
        <v>10</v>
      </c>
      <c r="DY58" s="131">
        <v>5</v>
      </c>
      <c r="DZ58" s="132">
        <v>12.3</v>
      </c>
      <c r="EA58" s="131">
        <v>5</v>
      </c>
      <c r="EB58" s="132">
        <v>11.7</v>
      </c>
      <c r="EC58" s="131">
        <v>5</v>
      </c>
      <c r="ED58" s="132">
        <v>11</v>
      </c>
      <c r="EE58" s="131">
        <v>5</v>
      </c>
      <c r="EF58" s="132">
        <v>9.3000000000000007</v>
      </c>
      <c r="EG58" s="131">
        <v>5</v>
      </c>
      <c r="EH58" s="132">
        <v>11.7</v>
      </c>
      <c r="EI58" s="131">
        <v>5</v>
      </c>
      <c r="EJ58" s="132">
        <v>11.7</v>
      </c>
      <c r="EK58" s="131">
        <v>5</v>
      </c>
      <c r="EL58" s="132">
        <v>8.6999999999999993</v>
      </c>
      <c r="EM58" s="131">
        <v>5</v>
      </c>
      <c r="EN58" s="132">
        <v>10</v>
      </c>
      <c r="EO58" s="131">
        <v>5</v>
      </c>
      <c r="EP58" s="132">
        <v>10.7</v>
      </c>
      <c r="EQ58" s="131">
        <v>5</v>
      </c>
      <c r="ER58" s="132">
        <v>9.6999999999999993</v>
      </c>
      <c r="ES58" s="131">
        <v>5</v>
      </c>
      <c r="ET58" s="132">
        <v>12.3</v>
      </c>
      <c r="EU58" s="131">
        <v>5</v>
      </c>
      <c r="EV58" s="132">
        <v>10</v>
      </c>
      <c r="EW58" s="131">
        <v>5</v>
      </c>
      <c r="EX58" s="132">
        <v>10</v>
      </c>
      <c r="EY58" s="131">
        <v>5</v>
      </c>
      <c r="EZ58" s="132">
        <v>11</v>
      </c>
      <c r="FA58" s="131">
        <v>5</v>
      </c>
      <c r="FB58" s="132">
        <v>11.6</v>
      </c>
      <c r="FC58" s="131">
        <v>5</v>
      </c>
      <c r="FD58" s="132">
        <v>11.8</v>
      </c>
      <c r="FE58" s="131">
        <v>5</v>
      </c>
      <c r="FF58" s="132">
        <v>10.6</v>
      </c>
      <c r="FG58" s="131">
        <v>5</v>
      </c>
      <c r="FH58" s="132">
        <v>8.6999999999999993</v>
      </c>
      <c r="FI58" s="131">
        <v>5</v>
      </c>
      <c r="FJ58" s="132">
        <v>13.3</v>
      </c>
      <c r="FK58" s="131">
        <v>5</v>
      </c>
      <c r="FL58" s="132">
        <v>13</v>
      </c>
      <c r="FM58" s="131">
        <v>5</v>
      </c>
      <c r="FN58" s="132">
        <v>9.3000000000000007</v>
      </c>
      <c r="FO58" s="131">
        <v>5</v>
      </c>
      <c r="FP58" s="132">
        <v>8</v>
      </c>
      <c r="FQ58" s="131">
        <v>5</v>
      </c>
      <c r="FR58" s="132">
        <v>9</v>
      </c>
      <c r="FS58" s="131">
        <v>5</v>
      </c>
      <c r="FT58" s="132">
        <v>11.3</v>
      </c>
      <c r="FU58" s="131">
        <v>5</v>
      </c>
      <c r="FV58" s="132">
        <v>12.3</v>
      </c>
      <c r="FW58" s="131">
        <v>5</v>
      </c>
      <c r="FX58" s="132">
        <v>8.3000000000000007</v>
      </c>
      <c r="FY58" s="131">
        <v>5</v>
      </c>
      <c r="FZ58" s="132">
        <v>11.3</v>
      </c>
      <c r="GA58" s="131">
        <v>5</v>
      </c>
      <c r="GB58" s="132">
        <v>9</v>
      </c>
      <c r="GC58" s="131">
        <v>5</v>
      </c>
      <c r="GD58" s="132">
        <v>11.3</v>
      </c>
      <c r="GE58" s="131">
        <v>5</v>
      </c>
      <c r="GF58" s="132">
        <v>13</v>
      </c>
      <c r="GG58" s="131">
        <v>5</v>
      </c>
      <c r="GH58" s="132">
        <v>13</v>
      </c>
      <c r="GI58" s="131">
        <v>5</v>
      </c>
      <c r="GJ58" s="131">
        <v>9</v>
      </c>
      <c r="GK58" s="131">
        <v>5</v>
      </c>
      <c r="GL58" s="131">
        <v>9</v>
      </c>
      <c r="GM58" s="131">
        <v>5</v>
      </c>
      <c r="GN58" s="124"/>
      <c r="GO58" s="124"/>
      <c r="GP58" s="124"/>
      <c r="GQ58" s="124"/>
      <c r="GR58" s="124"/>
      <c r="GS58" s="124"/>
      <c r="GT58" s="124"/>
      <c r="GU58" s="124"/>
      <c r="GV58" s="124"/>
      <c r="GW58" s="124"/>
      <c r="GX58" s="124"/>
      <c r="GY58" s="124"/>
      <c r="GZ58" s="124"/>
      <c r="HA58" s="124"/>
      <c r="HB58" s="124"/>
      <c r="HC58" s="124"/>
      <c r="HD58" s="124"/>
      <c r="HE58" s="124"/>
      <c r="HF58" s="124"/>
      <c r="HG58" s="124"/>
      <c r="HH58" s="124"/>
      <c r="HI58" s="124"/>
      <c r="HJ58" s="124"/>
      <c r="HK58" s="124"/>
      <c r="HL58" s="124"/>
      <c r="HM58" s="124"/>
      <c r="HN58" s="124"/>
      <c r="HO58" s="124"/>
      <c r="HP58" s="124"/>
      <c r="HQ58" s="124"/>
    </row>
    <row r="59" spans="1:225" x14ac:dyDescent="0.2">
      <c r="A59" s="122" t="s">
        <v>690</v>
      </c>
      <c r="B59" s="123">
        <v>25</v>
      </c>
      <c r="C59" s="124" t="s">
        <v>216</v>
      </c>
      <c r="D59" s="123">
        <v>50</v>
      </c>
      <c r="E59" s="124" t="s">
        <v>161</v>
      </c>
      <c r="F59" s="123">
        <v>4</v>
      </c>
      <c r="G59" s="123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2">
        <v>0.5</v>
      </c>
      <c r="DV59" s="132">
        <v>13</v>
      </c>
      <c r="DW59" s="131">
        <v>6</v>
      </c>
      <c r="DX59" s="132">
        <v>10.7</v>
      </c>
      <c r="DY59" s="131">
        <v>6</v>
      </c>
      <c r="DZ59" s="132">
        <v>13</v>
      </c>
      <c r="EA59" s="131">
        <v>6</v>
      </c>
      <c r="EB59" s="132">
        <v>12.7</v>
      </c>
      <c r="EC59" s="131">
        <v>6</v>
      </c>
      <c r="ED59" s="132">
        <v>11.7</v>
      </c>
      <c r="EE59" s="131">
        <v>6</v>
      </c>
      <c r="EF59" s="132">
        <v>9.6999999999999993</v>
      </c>
      <c r="EG59" s="131">
        <v>6</v>
      </c>
      <c r="EH59" s="132">
        <v>12.7</v>
      </c>
      <c r="EI59" s="131">
        <v>6</v>
      </c>
      <c r="EJ59" s="132">
        <v>12.3</v>
      </c>
      <c r="EK59" s="131">
        <v>6</v>
      </c>
      <c r="EL59" s="132">
        <v>9.6999999999999993</v>
      </c>
      <c r="EM59" s="131">
        <v>6</v>
      </c>
      <c r="EN59" s="132">
        <v>10.7</v>
      </c>
      <c r="EO59" s="131">
        <v>6</v>
      </c>
      <c r="EP59" s="132">
        <v>11.3</v>
      </c>
      <c r="EQ59" s="131">
        <v>6</v>
      </c>
      <c r="ER59" s="132">
        <v>10.7</v>
      </c>
      <c r="ES59" s="131">
        <v>6</v>
      </c>
      <c r="ET59" s="132">
        <v>13</v>
      </c>
      <c r="EU59" s="131">
        <v>6</v>
      </c>
      <c r="EV59" s="132">
        <v>10.3</v>
      </c>
      <c r="EW59" s="131">
        <v>6</v>
      </c>
      <c r="EX59" s="132">
        <v>10.7</v>
      </c>
      <c r="EY59" s="131">
        <v>6</v>
      </c>
      <c r="EZ59" s="132">
        <v>11.7</v>
      </c>
      <c r="FA59" s="131">
        <v>6</v>
      </c>
      <c r="FB59" s="132">
        <v>12.3</v>
      </c>
      <c r="FC59" s="131">
        <v>6</v>
      </c>
      <c r="FD59" s="132">
        <v>12.5</v>
      </c>
      <c r="FE59" s="131">
        <v>6</v>
      </c>
      <c r="FF59" s="132">
        <v>11.3</v>
      </c>
      <c r="FG59" s="131">
        <v>6</v>
      </c>
      <c r="FH59" s="132">
        <v>9.3000000000000007</v>
      </c>
      <c r="FI59" s="131">
        <v>6</v>
      </c>
      <c r="FJ59" s="132">
        <v>14</v>
      </c>
      <c r="FK59" s="131">
        <v>6</v>
      </c>
      <c r="FL59" s="132">
        <v>13.7</v>
      </c>
      <c r="FM59" s="131">
        <v>6</v>
      </c>
      <c r="FN59" s="132">
        <v>10</v>
      </c>
      <c r="FO59" s="131">
        <v>6</v>
      </c>
      <c r="FP59" s="132">
        <v>8.6999999999999993</v>
      </c>
      <c r="FQ59" s="131">
        <v>6</v>
      </c>
      <c r="FR59" s="132">
        <v>9.6999999999999993</v>
      </c>
      <c r="FS59" s="131">
        <v>6</v>
      </c>
      <c r="FT59" s="132">
        <v>12</v>
      </c>
      <c r="FU59" s="131">
        <v>6</v>
      </c>
      <c r="FV59" s="132">
        <v>13</v>
      </c>
      <c r="FW59" s="131">
        <v>6</v>
      </c>
      <c r="FX59" s="132">
        <v>9.3000000000000007</v>
      </c>
      <c r="FY59" s="131">
        <v>6</v>
      </c>
      <c r="FZ59" s="132">
        <v>12.3</v>
      </c>
      <c r="GA59" s="131">
        <v>6</v>
      </c>
      <c r="GB59" s="132">
        <v>10</v>
      </c>
      <c r="GC59" s="131">
        <v>6</v>
      </c>
      <c r="GD59" s="132">
        <v>12</v>
      </c>
      <c r="GE59" s="131">
        <v>6</v>
      </c>
      <c r="GF59" s="132">
        <v>14</v>
      </c>
      <c r="GG59" s="131">
        <v>6</v>
      </c>
      <c r="GH59" s="132">
        <v>14</v>
      </c>
      <c r="GI59" s="131">
        <v>6</v>
      </c>
      <c r="GJ59" s="131">
        <v>10</v>
      </c>
      <c r="GK59" s="131">
        <v>6</v>
      </c>
      <c r="GL59" s="131">
        <v>10</v>
      </c>
      <c r="GM59" s="131">
        <v>6</v>
      </c>
      <c r="GN59" s="124"/>
      <c r="GO59" s="124"/>
      <c r="GP59" s="124"/>
      <c r="GQ59" s="124"/>
      <c r="GR59" s="124"/>
      <c r="GS59" s="124"/>
      <c r="GT59" s="124"/>
      <c r="GU59" s="124"/>
      <c r="GV59" s="124"/>
      <c r="GW59" s="124"/>
      <c r="GX59" s="124"/>
      <c r="GY59" s="124"/>
      <c r="GZ59" s="124"/>
      <c r="HA59" s="124"/>
      <c r="HB59" s="124"/>
      <c r="HC59" s="124"/>
      <c r="HD59" s="124"/>
      <c r="HE59" s="124"/>
      <c r="HF59" s="124"/>
      <c r="HG59" s="124"/>
      <c r="HH59" s="124"/>
      <c r="HI59" s="124"/>
      <c r="HJ59" s="124"/>
      <c r="HK59" s="124"/>
      <c r="HL59" s="124"/>
      <c r="HM59" s="124"/>
      <c r="HN59" s="124"/>
      <c r="HO59" s="124"/>
      <c r="HP59" s="124"/>
      <c r="HQ59" s="124"/>
    </row>
    <row r="60" spans="1:225" x14ac:dyDescent="0.2">
      <c r="A60" s="122" t="s">
        <v>691</v>
      </c>
      <c r="B60" s="123">
        <v>26</v>
      </c>
      <c r="C60" s="124" t="s">
        <v>217</v>
      </c>
      <c r="D60" s="123">
        <v>51</v>
      </c>
      <c r="E60" s="124" t="s">
        <v>161</v>
      </c>
      <c r="F60" s="123">
        <v>4</v>
      </c>
      <c r="G60" s="123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2">
        <v>0.6</v>
      </c>
      <c r="DV60" s="132">
        <v>13.7</v>
      </c>
      <c r="DW60" s="131">
        <v>7</v>
      </c>
      <c r="DX60" s="132">
        <v>11.7</v>
      </c>
      <c r="DY60" s="131">
        <v>7</v>
      </c>
      <c r="DZ60" s="132">
        <v>13.9</v>
      </c>
      <c r="EA60" s="131">
        <v>7</v>
      </c>
      <c r="EB60" s="132">
        <v>13.3</v>
      </c>
      <c r="EC60" s="131">
        <v>7</v>
      </c>
      <c r="ED60" s="132">
        <v>12.3</v>
      </c>
      <c r="EE60" s="131">
        <v>7</v>
      </c>
      <c r="EF60" s="132">
        <v>10.3</v>
      </c>
      <c r="EG60" s="131">
        <v>7</v>
      </c>
      <c r="EH60" s="132">
        <v>13.3</v>
      </c>
      <c r="EI60" s="131">
        <v>7</v>
      </c>
      <c r="EJ60" s="132">
        <v>13.3</v>
      </c>
      <c r="EK60" s="131">
        <v>7</v>
      </c>
      <c r="EL60" s="132">
        <v>10.3</v>
      </c>
      <c r="EM60" s="131">
        <v>7</v>
      </c>
      <c r="EN60" s="132">
        <v>11.7</v>
      </c>
      <c r="EO60" s="131">
        <v>7</v>
      </c>
      <c r="EP60" s="132">
        <v>11.7</v>
      </c>
      <c r="EQ60" s="131">
        <v>7</v>
      </c>
      <c r="ER60" s="132">
        <v>11.3</v>
      </c>
      <c r="ES60" s="131">
        <v>7</v>
      </c>
      <c r="ET60" s="132">
        <v>13.7</v>
      </c>
      <c r="EU60" s="131">
        <v>7</v>
      </c>
      <c r="EV60" s="132">
        <v>11.3</v>
      </c>
      <c r="EW60" s="131">
        <v>7</v>
      </c>
      <c r="EX60" s="132">
        <v>11.3</v>
      </c>
      <c r="EY60" s="131">
        <v>7</v>
      </c>
      <c r="EZ60" s="132">
        <v>12.7</v>
      </c>
      <c r="FA60" s="131">
        <v>7</v>
      </c>
      <c r="FB60" s="132">
        <v>12.8</v>
      </c>
      <c r="FC60" s="131">
        <v>7</v>
      </c>
      <c r="FD60" s="132">
        <v>13.3</v>
      </c>
      <c r="FE60" s="131">
        <v>7</v>
      </c>
      <c r="FF60" s="132">
        <v>11.8</v>
      </c>
      <c r="FG60" s="131">
        <v>7</v>
      </c>
      <c r="FH60" s="132">
        <v>10</v>
      </c>
      <c r="FI60" s="131">
        <v>7</v>
      </c>
      <c r="FJ60" s="132">
        <v>15</v>
      </c>
      <c r="FK60" s="131">
        <v>7</v>
      </c>
      <c r="FL60" s="132">
        <v>14.3</v>
      </c>
      <c r="FM60" s="131">
        <v>7</v>
      </c>
      <c r="FN60" s="132">
        <v>10.9</v>
      </c>
      <c r="FO60" s="131">
        <v>7</v>
      </c>
      <c r="FP60" s="132">
        <v>10</v>
      </c>
      <c r="FQ60" s="131">
        <v>7</v>
      </c>
      <c r="FR60" s="132">
        <v>10.7</v>
      </c>
      <c r="FS60" s="131">
        <v>7</v>
      </c>
      <c r="FT60" s="132">
        <v>12.7</v>
      </c>
      <c r="FU60" s="131">
        <v>7</v>
      </c>
      <c r="FV60" s="132">
        <v>13.6</v>
      </c>
      <c r="FW60" s="131">
        <v>7</v>
      </c>
      <c r="FX60" s="132">
        <v>10</v>
      </c>
      <c r="FY60" s="131">
        <v>7</v>
      </c>
      <c r="FZ60" s="132">
        <v>13.3</v>
      </c>
      <c r="GA60" s="131">
        <v>7</v>
      </c>
      <c r="GB60" s="132">
        <v>10.7</v>
      </c>
      <c r="GC60" s="131">
        <v>7</v>
      </c>
      <c r="GD60" s="132">
        <v>12.7</v>
      </c>
      <c r="GE60" s="131">
        <v>7</v>
      </c>
      <c r="GF60" s="132">
        <v>14.7</v>
      </c>
      <c r="GG60" s="131">
        <v>7</v>
      </c>
      <c r="GH60" s="132">
        <v>15</v>
      </c>
      <c r="GI60" s="131">
        <v>7</v>
      </c>
      <c r="GJ60" s="131">
        <v>11</v>
      </c>
      <c r="GK60" s="131">
        <v>7</v>
      </c>
      <c r="GL60" s="131">
        <v>11</v>
      </c>
      <c r="GM60" s="131">
        <v>7</v>
      </c>
      <c r="GN60" s="124"/>
      <c r="GO60" s="124"/>
      <c r="GP60" s="124"/>
      <c r="GQ60" s="124"/>
      <c r="GR60" s="124"/>
      <c r="GS60" s="124"/>
      <c r="GT60" s="124"/>
      <c r="GU60" s="124"/>
      <c r="GV60" s="124"/>
      <c r="GW60" s="124"/>
      <c r="GX60" s="124"/>
      <c r="GY60" s="124"/>
      <c r="GZ60" s="124"/>
      <c r="HA60" s="124"/>
      <c r="HB60" s="124"/>
      <c r="HC60" s="124"/>
      <c r="HD60" s="124"/>
      <c r="HE60" s="124"/>
      <c r="HF60" s="124"/>
      <c r="HG60" s="124"/>
      <c r="HH60" s="124"/>
      <c r="HI60" s="124"/>
      <c r="HJ60" s="124"/>
      <c r="HK60" s="124"/>
      <c r="HL60" s="124"/>
      <c r="HM60" s="124"/>
      <c r="HN60" s="124"/>
      <c r="HO60" s="124"/>
      <c r="HP60" s="124"/>
      <c r="HQ60" s="124"/>
    </row>
    <row r="61" spans="1:225" x14ac:dyDescent="0.2">
      <c r="A61" s="122" t="s">
        <v>692</v>
      </c>
      <c r="B61" s="123">
        <v>26</v>
      </c>
      <c r="C61" s="124" t="s">
        <v>218</v>
      </c>
      <c r="D61" s="123">
        <v>52</v>
      </c>
      <c r="E61" s="124" t="s">
        <v>161</v>
      </c>
      <c r="F61" s="123">
        <v>5</v>
      </c>
      <c r="G61" s="123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2">
        <v>0.7</v>
      </c>
      <c r="DV61" s="132">
        <v>14.7</v>
      </c>
      <c r="DW61" s="131">
        <v>8</v>
      </c>
      <c r="DX61" s="132">
        <v>12</v>
      </c>
      <c r="DY61" s="131">
        <v>8</v>
      </c>
      <c r="DZ61" s="132">
        <v>14.7</v>
      </c>
      <c r="EA61" s="131">
        <v>8</v>
      </c>
      <c r="EB61" s="132">
        <v>14</v>
      </c>
      <c r="EC61" s="131">
        <v>8</v>
      </c>
      <c r="ED61" s="132">
        <v>13</v>
      </c>
      <c r="EE61" s="131">
        <v>8</v>
      </c>
      <c r="EF61" s="132">
        <v>11.3</v>
      </c>
      <c r="EG61" s="131">
        <v>8</v>
      </c>
      <c r="EH61" s="132">
        <v>14</v>
      </c>
      <c r="EI61" s="131">
        <v>8</v>
      </c>
      <c r="EJ61" s="132">
        <v>13.7</v>
      </c>
      <c r="EK61" s="131">
        <v>8</v>
      </c>
      <c r="EL61" s="132">
        <v>11</v>
      </c>
      <c r="EM61" s="131">
        <v>8</v>
      </c>
      <c r="EN61" s="132">
        <v>12</v>
      </c>
      <c r="EO61" s="131">
        <v>8</v>
      </c>
      <c r="EP61" s="132">
        <v>12.7</v>
      </c>
      <c r="EQ61" s="131">
        <v>8</v>
      </c>
      <c r="ER61" s="132">
        <v>12.2</v>
      </c>
      <c r="ES61" s="131">
        <v>8</v>
      </c>
      <c r="ET61" s="132">
        <v>14.3</v>
      </c>
      <c r="EU61" s="131">
        <v>8</v>
      </c>
      <c r="EV61" s="132">
        <v>12.3</v>
      </c>
      <c r="EW61" s="131">
        <v>8</v>
      </c>
      <c r="EX61" s="132">
        <v>12</v>
      </c>
      <c r="EY61" s="131">
        <v>8</v>
      </c>
      <c r="EZ61" s="132">
        <v>13.3</v>
      </c>
      <c r="FA61" s="131">
        <v>8</v>
      </c>
      <c r="FB61" s="132">
        <v>13.5</v>
      </c>
      <c r="FC61" s="131">
        <v>8</v>
      </c>
      <c r="FD61" s="132">
        <v>14</v>
      </c>
      <c r="FE61" s="131">
        <v>8</v>
      </c>
      <c r="FF61" s="132">
        <v>12.5</v>
      </c>
      <c r="FG61" s="131">
        <v>8</v>
      </c>
      <c r="FH61" s="132">
        <v>11</v>
      </c>
      <c r="FI61" s="131">
        <v>8</v>
      </c>
      <c r="FJ61" s="132">
        <v>15.7</v>
      </c>
      <c r="FK61" s="131">
        <v>8</v>
      </c>
      <c r="FL61" s="132">
        <v>15.3</v>
      </c>
      <c r="FM61" s="131">
        <v>8</v>
      </c>
      <c r="FN61" s="132">
        <v>11.9</v>
      </c>
      <c r="FO61" s="131">
        <v>8</v>
      </c>
      <c r="FP61" s="132">
        <v>10.7</v>
      </c>
      <c r="FQ61" s="131">
        <v>8</v>
      </c>
      <c r="FR61" s="132">
        <v>11.3</v>
      </c>
      <c r="FS61" s="131">
        <v>8</v>
      </c>
      <c r="FT61" s="132">
        <v>13.7</v>
      </c>
      <c r="FU61" s="131">
        <v>8</v>
      </c>
      <c r="FV61" s="132">
        <v>14.3</v>
      </c>
      <c r="FW61" s="131">
        <v>8</v>
      </c>
      <c r="FX61" s="132">
        <v>10.7</v>
      </c>
      <c r="FY61" s="131">
        <v>8</v>
      </c>
      <c r="FZ61" s="132">
        <v>14</v>
      </c>
      <c r="GA61" s="131">
        <v>8</v>
      </c>
      <c r="GB61" s="132">
        <v>11.7</v>
      </c>
      <c r="GC61" s="131">
        <v>8</v>
      </c>
      <c r="GD61" s="132">
        <v>13.7</v>
      </c>
      <c r="GE61" s="131">
        <v>8</v>
      </c>
      <c r="GF61" s="132">
        <v>15</v>
      </c>
      <c r="GG61" s="131">
        <v>8</v>
      </c>
      <c r="GH61" s="132">
        <v>15.7</v>
      </c>
      <c r="GI61" s="131">
        <v>8</v>
      </c>
      <c r="GJ61" s="131">
        <v>12</v>
      </c>
      <c r="GK61" s="131">
        <v>8</v>
      </c>
      <c r="GL61" s="131">
        <v>12</v>
      </c>
      <c r="GM61" s="131">
        <v>8</v>
      </c>
      <c r="GN61" s="124"/>
      <c r="GO61" s="124"/>
      <c r="GP61" s="124"/>
      <c r="GQ61" s="124"/>
      <c r="GR61" s="124"/>
      <c r="GS61" s="124"/>
      <c r="GT61" s="124"/>
      <c r="GU61" s="124"/>
      <c r="GV61" s="124"/>
      <c r="GW61" s="124"/>
      <c r="GX61" s="124"/>
      <c r="GY61" s="124"/>
      <c r="GZ61" s="124"/>
      <c r="HA61" s="124"/>
      <c r="HB61" s="124"/>
      <c r="HC61" s="124"/>
      <c r="HD61" s="124"/>
      <c r="HE61" s="124"/>
      <c r="HF61" s="124"/>
      <c r="HG61" s="124"/>
      <c r="HH61" s="124"/>
      <c r="HI61" s="124"/>
      <c r="HJ61" s="124"/>
      <c r="HK61" s="124"/>
      <c r="HL61" s="124"/>
      <c r="HM61" s="124"/>
      <c r="HN61" s="124"/>
      <c r="HO61" s="124"/>
      <c r="HP61" s="124"/>
      <c r="HQ61" s="124"/>
    </row>
    <row r="62" spans="1:225" x14ac:dyDescent="0.2">
      <c r="A62" s="122" t="s">
        <v>693</v>
      </c>
      <c r="B62" s="123">
        <v>27</v>
      </c>
      <c r="C62" s="124" t="s">
        <v>219</v>
      </c>
      <c r="D62" s="123">
        <v>53</v>
      </c>
      <c r="E62" s="124" t="s">
        <v>161</v>
      </c>
      <c r="F62" s="123">
        <v>3</v>
      </c>
      <c r="G62" s="123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4"/>
      <c r="BH62" s="124"/>
      <c r="BI62" s="124"/>
      <c r="BJ62" s="124"/>
      <c r="BK62" s="124"/>
      <c r="BL62" s="124"/>
      <c r="BM62" s="124"/>
      <c r="BN62" s="124"/>
      <c r="BO62" s="124"/>
      <c r="BP62" s="124"/>
      <c r="BQ62" s="124"/>
      <c r="BR62" s="124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2">
        <v>0.8</v>
      </c>
      <c r="DV62" s="132">
        <v>15.7</v>
      </c>
      <c r="DW62" s="131">
        <v>9</v>
      </c>
      <c r="DX62" s="132">
        <v>13</v>
      </c>
      <c r="DY62" s="131">
        <v>9</v>
      </c>
      <c r="DZ62" s="132">
        <v>15.3</v>
      </c>
      <c r="EA62" s="131">
        <v>9</v>
      </c>
      <c r="EB62" s="132">
        <v>14.7</v>
      </c>
      <c r="EC62" s="131">
        <v>9</v>
      </c>
      <c r="ED62" s="132">
        <v>14</v>
      </c>
      <c r="EE62" s="131">
        <v>9</v>
      </c>
      <c r="EF62" s="132">
        <v>12</v>
      </c>
      <c r="EG62" s="131">
        <v>9</v>
      </c>
      <c r="EH62" s="132">
        <v>15</v>
      </c>
      <c r="EI62" s="131">
        <v>9</v>
      </c>
      <c r="EJ62" s="132">
        <v>14.7</v>
      </c>
      <c r="EK62" s="131">
        <v>9</v>
      </c>
      <c r="EL62" s="132">
        <v>12</v>
      </c>
      <c r="EM62" s="131">
        <v>9</v>
      </c>
      <c r="EN62" s="132">
        <v>13</v>
      </c>
      <c r="EO62" s="131">
        <v>9</v>
      </c>
      <c r="EP62" s="132">
        <v>13.3</v>
      </c>
      <c r="EQ62" s="131">
        <v>9</v>
      </c>
      <c r="ER62" s="132">
        <v>13.3</v>
      </c>
      <c r="ES62" s="131">
        <v>9</v>
      </c>
      <c r="ET62" s="132">
        <v>15</v>
      </c>
      <c r="EU62" s="131">
        <v>9</v>
      </c>
      <c r="EV62" s="132">
        <v>13.3</v>
      </c>
      <c r="EW62" s="131">
        <v>9</v>
      </c>
      <c r="EX62" s="132">
        <v>13.1</v>
      </c>
      <c r="EY62" s="131">
        <v>9</v>
      </c>
      <c r="EZ62" s="132">
        <v>14.3</v>
      </c>
      <c r="FA62" s="131">
        <v>9</v>
      </c>
      <c r="FB62" s="132">
        <v>14.3</v>
      </c>
      <c r="FC62" s="131">
        <v>9</v>
      </c>
      <c r="FD62" s="132">
        <v>14.8</v>
      </c>
      <c r="FE62" s="131">
        <v>9</v>
      </c>
      <c r="FF62" s="132">
        <v>13.5</v>
      </c>
      <c r="FG62" s="131">
        <v>9</v>
      </c>
      <c r="FH62" s="132">
        <v>11.7</v>
      </c>
      <c r="FI62" s="131">
        <v>9</v>
      </c>
      <c r="FJ62" s="132">
        <v>16.7</v>
      </c>
      <c r="FK62" s="131">
        <v>9</v>
      </c>
      <c r="FL62" s="132">
        <v>16</v>
      </c>
      <c r="FM62" s="131">
        <v>9</v>
      </c>
      <c r="FN62" s="132">
        <v>13</v>
      </c>
      <c r="FO62" s="131">
        <v>9</v>
      </c>
      <c r="FP62" s="132">
        <v>12</v>
      </c>
      <c r="FQ62" s="131">
        <v>9</v>
      </c>
      <c r="FR62" s="132">
        <v>13</v>
      </c>
      <c r="FS62" s="131">
        <v>9</v>
      </c>
      <c r="FT62" s="132">
        <v>14.3</v>
      </c>
      <c r="FU62" s="131">
        <v>9</v>
      </c>
      <c r="FV62" s="132">
        <v>15</v>
      </c>
      <c r="FW62" s="131">
        <v>9</v>
      </c>
      <c r="FX62" s="132">
        <v>11.7</v>
      </c>
      <c r="FY62" s="131">
        <v>9</v>
      </c>
      <c r="FZ62" s="132">
        <v>15</v>
      </c>
      <c r="GA62" s="131">
        <v>9</v>
      </c>
      <c r="GB62" s="132">
        <v>12.7</v>
      </c>
      <c r="GC62" s="131">
        <v>9</v>
      </c>
      <c r="GD62" s="132">
        <v>14.7</v>
      </c>
      <c r="GE62" s="131">
        <v>9</v>
      </c>
      <c r="GF62" s="132">
        <v>15.7</v>
      </c>
      <c r="GG62" s="131">
        <v>9</v>
      </c>
      <c r="GH62" s="132">
        <v>16.3</v>
      </c>
      <c r="GI62" s="131">
        <v>9</v>
      </c>
      <c r="GJ62" s="131">
        <v>12</v>
      </c>
      <c r="GK62" s="131">
        <v>9</v>
      </c>
      <c r="GL62" s="131">
        <v>13</v>
      </c>
      <c r="GM62" s="131">
        <v>9</v>
      </c>
      <c r="GN62" s="124"/>
      <c r="GO62" s="124"/>
      <c r="GP62" s="124"/>
      <c r="GQ62" s="124"/>
      <c r="GR62" s="124"/>
      <c r="GS62" s="124"/>
      <c r="GT62" s="124"/>
      <c r="GU62" s="124"/>
      <c r="GV62" s="124"/>
      <c r="GW62" s="124"/>
      <c r="GX62" s="124"/>
      <c r="GY62" s="124"/>
      <c r="GZ62" s="124"/>
      <c r="HA62" s="124"/>
      <c r="HB62" s="124"/>
      <c r="HC62" s="124"/>
      <c r="HD62" s="124"/>
      <c r="HE62" s="124"/>
      <c r="HF62" s="124"/>
      <c r="HG62" s="124"/>
      <c r="HH62" s="124"/>
      <c r="HI62" s="124"/>
      <c r="HJ62" s="124"/>
      <c r="HK62" s="124"/>
      <c r="HL62" s="124"/>
      <c r="HM62" s="124"/>
      <c r="HN62" s="124"/>
      <c r="HO62" s="124"/>
      <c r="HP62" s="124"/>
      <c r="HQ62" s="124"/>
    </row>
    <row r="63" spans="1:225" x14ac:dyDescent="0.2">
      <c r="A63" s="122" t="s">
        <v>694</v>
      </c>
      <c r="B63" s="123">
        <v>27</v>
      </c>
      <c r="C63" s="124" t="s">
        <v>220</v>
      </c>
      <c r="D63" s="123">
        <v>54</v>
      </c>
      <c r="E63" s="124" t="s">
        <v>161</v>
      </c>
      <c r="F63" s="123">
        <v>3</v>
      </c>
      <c r="G63" s="123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2">
        <v>0.9</v>
      </c>
      <c r="DV63" s="132">
        <v>16.7</v>
      </c>
      <c r="DW63" s="131">
        <v>10</v>
      </c>
      <c r="DX63" s="132">
        <v>14.3</v>
      </c>
      <c r="DY63" s="131">
        <v>10</v>
      </c>
      <c r="DZ63" s="132">
        <v>16.399999999999999</v>
      </c>
      <c r="EA63" s="131">
        <v>10</v>
      </c>
      <c r="EB63" s="132">
        <v>15.7</v>
      </c>
      <c r="EC63" s="131">
        <v>10</v>
      </c>
      <c r="ED63" s="132">
        <v>15.3</v>
      </c>
      <c r="EE63" s="131">
        <v>10</v>
      </c>
      <c r="EF63" s="132">
        <v>13</v>
      </c>
      <c r="EG63" s="131">
        <v>10</v>
      </c>
      <c r="EH63" s="132">
        <v>16</v>
      </c>
      <c r="EI63" s="131">
        <v>10</v>
      </c>
      <c r="EJ63" s="132">
        <v>16.100000000000001</v>
      </c>
      <c r="EK63" s="131">
        <v>10</v>
      </c>
      <c r="EL63" s="132">
        <v>13.7</v>
      </c>
      <c r="EM63" s="131">
        <v>10</v>
      </c>
      <c r="EN63" s="132">
        <v>14.3</v>
      </c>
      <c r="EO63" s="131">
        <v>10</v>
      </c>
      <c r="EP63" s="132">
        <v>14.7</v>
      </c>
      <c r="EQ63" s="131">
        <v>10</v>
      </c>
      <c r="ER63" s="132">
        <v>14</v>
      </c>
      <c r="ES63" s="131">
        <v>10</v>
      </c>
      <c r="ET63" s="132">
        <v>16.3</v>
      </c>
      <c r="EU63" s="131">
        <v>10</v>
      </c>
      <c r="EV63" s="132">
        <v>14.7</v>
      </c>
      <c r="EW63" s="131">
        <v>10</v>
      </c>
      <c r="EX63" s="132">
        <v>13.7</v>
      </c>
      <c r="EY63" s="131">
        <v>10</v>
      </c>
      <c r="EZ63" s="132">
        <v>15.3</v>
      </c>
      <c r="FA63" s="131">
        <v>10</v>
      </c>
      <c r="FB63" s="132">
        <v>15.3</v>
      </c>
      <c r="FC63" s="131">
        <v>10</v>
      </c>
      <c r="FD63" s="132">
        <v>15.8</v>
      </c>
      <c r="FE63" s="131">
        <v>10</v>
      </c>
      <c r="FF63" s="132">
        <v>15</v>
      </c>
      <c r="FG63" s="131">
        <v>10</v>
      </c>
      <c r="FH63" s="132">
        <v>12.7</v>
      </c>
      <c r="FI63" s="131">
        <v>10</v>
      </c>
      <c r="FJ63" s="132">
        <v>17.399999999999999</v>
      </c>
      <c r="FK63" s="131">
        <v>10</v>
      </c>
      <c r="FL63" s="132">
        <v>17.3</v>
      </c>
      <c r="FM63" s="131">
        <v>10</v>
      </c>
      <c r="FN63" s="132">
        <v>14.3</v>
      </c>
      <c r="FO63" s="131">
        <v>10</v>
      </c>
      <c r="FP63" s="132">
        <v>13.7</v>
      </c>
      <c r="FQ63" s="131">
        <v>10</v>
      </c>
      <c r="FR63" s="132">
        <v>14.3</v>
      </c>
      <c r="FS63" s="131">
        <v>10</v>
      </c>
      <c r="FT63" s="132">
        <v>15.3</v>
      </c>
      <c r="FU63" s="131">
        <v>10</v>
      </c>
      <c r="FV63" s="132">
        <v>16</v>
      </c>
      <c r="FW63" s="131">
        <v>10</v>
      </c>
      <c r="FX63" s="132">
        <v>12.7</v>
      </c>
      <c r="FY63" s="131">
        <v>10</v>
      </c>
      <c r="FZ63" s="132">
        <v>16.7</v>
      </c>
      <c r="GA63" s="131">
        <v>10</v>
      </c>
      <c r="GB63" s="132">
        <v>13.7</v>
      </c>
      <c r="GC63" s="131">
        <v>10</v>
      </c>
      <c r="GD63" s="132">
        <v>16</v>
      </c>
      <c r="GE63" s="131">
        <v>10</v>
      </c>
      <c r="GF63" s="132">
        <v>16.7</v>
      </c>
      <c r="GG63" s="131">
        <v>10</v>
      </c>
      <c r="GH63" s="132">
        <v>17.7</v>
      </c>
      <c r="GI63" s="131">
        <v>10</v>
      </c>
      <c r="GJ63" s="124">
        <v>13.6666667</v>
      </c>
      <c r="GK63" s="131">
        <v>18</v>
      </c>
      <c r="GL63" s="124">
        <v>14.5</v>
      </c>
      <c r="GM63" s="131">
        <v>18</v>
      </c>
      <c r="GN63" s="124"/>
      <c r="GO63" s="124"/>
      <c r="GP63" s="124"/>
      <c r="GQ63" s="124"/>
      <c r="GR63" s="124"/>
      <c r="GS63" s="124"/>
      <c r="GT63" s="124"/>
      <c r="GU63" s="124"/>
      <c r="GV63" s="124"/>
      <c r="GW63" s="124"/>
      <c r="GX63" s="124"/>
      <c r="GY63" s="124"/>
      <c r="GZ63" s="124"/>
      <c r="HA63" s="124"/>
      <c r="HB63" s="124"/>
      <c r="HC63" s="124"/>
      <c r="HD63" s="124"/>
      <c r="HE63" s="124"/>
      <c r="HF63" s="124"/>
      <c r="HG63" s="124"/>
      <c r="HH63" s="124"/>
      <c r="HI63" s="124"/>
      <c r="HJ63" s="124"/>
      <c r="HK63" s="124"/>
      <c r="HL63" s="124"/>
      <c r="HM63" s="124"/>
      <c r="HN63" s="124"/>
      <c r="HO63" s="124"/>
      <c r="HP63" s="124"/>
      <c r="HQ63" s="124"/>
    </row>
    <row r="64" spans="1:225" x14ac:dyDescent="0.2">
      <c r="A64" s="122" t="s">
        <v>695</v>
      </c>
      <c r="B64" s="123">
        <v>28</v>
      </c>
      <c r="C64" s="124" t="s">
        <v>221</v>
      </c>
      <c r="D64" s="123">
        <v>55</v>
      </c>
      <c r="E64" s="124" t="s">
        <v>161</v>
      </c>
      <c r="F64" s="123">
        <v>5</v>
      </c>
      <c r="G64" s="123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4"/>
      <c r="BH64" s="124"/>
      <c r="BI64" s="124"/>
      <c r="BJ64" s="124"/>
      <c r="BK64" s="124"/>
      <c r="BL64" s="124"/>
      <c r="BM64" s="124"/>
      <c r="BN64" s="124"/>
      <c r="BO64" s="124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  <c r="CF64" s="124"/>
      <c r="CG64" s="124"/>
      <c r="CH64" s="124"/>
      <c r="CI64" s="124"/>
      <c r="CJ64" s="124"/>
      <c r="CK64" s="124"/>
      <c r="CL64" s="124"/>
      <c r="CM64" s="124"/>
      <c r="CN64" s="124"/>
      <c r="CO64" s="124"/>
      <c r="CP64" s="124"/>
      <c r="CQ64" s="124"/>
      <c r="CR64" s="124"/>
      <c r="CS64" s="124"/>
      <c r="CT64" s="124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124"/>
      <c r="DN64" s="124"/>
      <c r="DO64" s="124"/>
      <c r="DP64" s="124"/>
      <c r="DQ64" s="124"/>
      <c r="DR64" s="124"/>
      <c r="DS64" s="124"/>
      <c r="DT64" s="124"/>
      <c r="DU64" s="124"/>
      <c r="DV64" s="124"/>
      <c r="DW64" s="124"/>
      <c r="DX64" s="124"/>
      <c r="DY64" s="124"/>
      <c r="DZ64" s="124"/>
      <c r="EA64" s="124"/>
      <c r="EB64" s="124"/>
      <c r="EC64" s="124"/>
      <c r="ED64" s="124"/>
      <c r="EE64" s="124"/>
      <c r="EF64" s="124"/>
      <c r="EG64" s="124"/>
      <c r="EH64" s="124"/>
      <c r="EI64" s="124"/>
      <c r="EJ64" s="124"/>
      <c r="EK64" s="124"/>
      <c r="EL64" s="124"/>
      <c r="EM64" s="124"/>
      <c r="EN64" s="124"/>
      <c r="EO64" s="124"/>
      <c r="EP64" s="124"/>
      <c r="EQ64" s="124"/>
      <c r="ER64" s="124"/>
      <c r="ES64" s="124"/>
      <c r="ET64" s="124"/>
      <c r="EU64" s="124"/>
      <c r="EV64" s="124"/>
      <c r="EW64" s="124"/>
      <c r="EX64" s="124"/>
      <c r="EY64" s="124"/>
      <c r="EZ64" s="124"/>
      <c r="FA64" s="124"/>
      <c r="FB64" s="124"/>
      <c r="FC64" s="124"/>
      <c r="FD64" s="124"/>
      <c r="FE64" s="124"/>
      <c r="FF64" s="124"/>
      <c r="FG64" s="124"/>
      <c r="FH64" s="124"/>
      <c r="FI64" s="124"/>
      <c r="FJ64" s="124"/>
      <c r="FK64" s="124"/>
      <c r="FL64" s="124"/>
      <c r="FM64" s="124"/>
      <c r="FN64" s="124"/>
      <c r="FO64" s="124"/>
      <c r="FP64" s="124"/>
      <c r="FQ64" s="124"/>
      <c r="FR64" s="124"/>
      <c r="FS64" s="124"/>
      <c r="FT64" s="124"/>
      <c r="FU64" s="124"/>
      <c r="FV64" s="124"/>
      <c r="FW64" s="124"/>
      <c r="FX64" s="124"/>
      <c r="FY64" s="124"/>
      <c r="FZ64" s="124"/>
      <c r="GA64" s="124"/>
      <c r="GB64" s="124"/>
      <c r="GC64" s="124"/>
      <c r="GD64" s="124"/>
      <c r="GE64" s="124"/>
      <c r="GF64" s="124"/>
      <c r="GG64" s="124"/>
      <c r="GH64" s="124"/>
      <c r="GI64" s="124"/>
      <c r="GJ64" s="124"/>
      <c r="GK64" s="124"/>
      <c r="GL64" s="124"/>
      <c r="GM64" s="124"/>
      <c r="GN64" s="124"/>
      <c r="GO64" s="124"/>
      <c r="GP64" s="124"/>
      <c r="GQ64" s="124"/>
      <c r="GR64" s="124"/>
      <c r="GS64" s="124"/>
      <c r="GT64" s="124"/>
      <c r="GU64" s="124"/>
      <c r="GV64" s="124"/>
      <c r="GW64" s="124"/>
      <c r="GX64" s="124"/>
      <c r="GY64" s="124"/>
      <c r="GZ64" s="124"/>
      <c r="HA64" s="124"/>
      <c r="HB64" s="124"/>
      <c r="HC64" s="124"/>
      <c r="HD64" s="124"/>
      <c r="HE64" s="124"/>
      <c r="HF64" s="124"/>
      <c r="HG64" s="124"/>
      <c r="HH64" s="124"/>
      <c r="HI64" s="124"/>
      <c r="HJ64" s="124"/>
      <c r="HK64" s="124"/>
      <c r="HL64" s="124"/>
      <c r="HM64" s="124"/>
      <c r="HN64" s="124"/>
      <c r="HO64" s="124"/>
      <c r="HP64" s="124"/>
      <c r="HQ64" s="124"/>
    </row>
    <row r="65" spans="1:225" x14ac:dyDescent="0.2">
      <c r="A65" s="122" t="s">
        <v>696</v>
      </c>
      <c r="B65" s="123">
        <v>28</v>
      </c>
      <c r="C65" s="124" t="s">
        <v>222</v>
      </c>
      <c r="D65" s="123">
        <v>56</v>
      </c>
      <c r="E65" s="124" t="s">
        <v>161</v>
      </c>
      <c r="F65" s="123">
        <v>5</v>
      </c>
      <c r="G65" s="123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4"/>
      <c r="BJ65" s="124"/>
      <c r="BK65" s="124"/>
      <c r="BL65" s="124"/>
      <c r="BM65" s="124"/>
      <c r="BN65" s="124"/>
      <c r="BO65" s="124"/>
      <c r="BP65" s="124"/>
      <c r="BQ65" s="124"/>
      <c r="BR65" s="124"/>
      <c r="BS65" s="124"/>
      <c r="BT65" s="124"/>
      <c r="BU65" s="124"/>
      <c r="BV65" s="124"/>
      <c r="BW65" s="124"/>
      <c r="BX65" s="124"/>
      <c r="BY65" s="124"/>
      <c r="BZ65" s="124"/>
      <c r="CA65" s="124"/>
      <c r="CB65" s="124"/>
      <c r="CC65" s="124"/>
      <c r="CD65" s="124"/>
      <c r="CE65" s="124"/>
      <c r="CF65" s="124"/>
      <c r="CG65" s="124"/>
      <c r="CH65" s="124"/>
      <c r="CI65" s="124"/>
      <c r="CJ65" s="124"/>
      <c r="CK65" s="124"/>
      <c r="CL65" s="124"/>
      <c r="CM65" s="124"/>
      <c r="CN65" s="124"/>
      <c r="CO65" s="124"/>
      <c r="CP65" s="124"/>
      <c r="CQ65" s="124"/>
      <c r="CR65" s="124"/>
      <c r="CS65" s="124"/>
      <c r="CT65" s="124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124"/>
      <c r="DN65" s="124"/>
      <c r="DO65" s="124"/>
      <c r="DP65" s="124"/>
      <c r="DQ65" s="124"/>
      <c r="DR65" s="124"/>
      <c r="DS65" s="124"/>
      <c r="DT65" s="124"/>
      <c r="DU65" s="122"/>
      <c r="DV65" s="128" t="s">
        <v>124</v>
      </c>
      <c r="DW65" s="122"/>
      <c r="DX65" s="122" t="s">
        <v>68</v>
      </c>
      <c r="DY65" s="122"/>
      <c r="DZ65" s="128" t="s">
        <v>125</v>
      </c>
      <c r="EA65" s="122"/>
      <c r="EB65" s="122" t="s">
        <v>567</v>
      </c>
      <c r="EC65" s="122"/>
      <c r="ED65" s="128" t="s">
        <v>127</v>
      </c>
      <c r="EE65" s="122"/>
      <c r="EF65" s="122" t="s">
        <v>568</v>
      </c>
      <c r="EG65" s="122"/>
      <c r="EH65" s="128" t="s">
        <v>71</v>
      </c>
      <c r="EI65" s="122"/>
      <c r="EJ65" s="122" t="s">
        <v>85</v>
      </c>
      <c r="EK65" s="122"/>
      <c r="EL65" s="122" t="s">
        <v>93</v>
      </c>
      <c r="EM65" s="122"/>
      <c r="EN65" s="122" t="s">
        <v>129</v>
      </c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4"/>
      <c r="HO65" s="124"/>
      <c r="HP65" s="122"/>
      <c r="HQ65" s="122"/>
    </row>
    <row r="66" spans="1:225" x14ac:dyDescent="0.2">
      <c r="A66" s="122" t="s">
        <v>697</v>
      </c>
      <c r="B66" s="123">
        <v>29</v>
      </c>
      <c r="C66" s="124" t="s">
        <v>224</v>
      </c>
      <c r="D66" s="123">
        <v>57</v>
      </c>
      <c r="E66" s="124" t="s">
        <v>161</v>
      </c>
      <c r="F66" s="123">
        <v>3</v>
      </c>
      <c r="G66" s="123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  <c r="BV66" s="124"/>
      <c r="BW66" s="124"/>
      <c r="BX66" s="124"/>
      <c r="BY66" s="124"/>
      <c r="BZ66" s="124"/>
      <c r="CA66" s="124"/>
      <c r="CB66" s="124"/>
      <c r="CC66" s="124"/>
      <c r="CD66" s="124"/>
      <c r="CE66" s="124"/>
      <c r="CF66" s="124"/>
      <c r="CG66" s="124"/>
      <c r="CH66" s="124"/>
      <c r="CI66" s="124"/>
      <c r="CJ66" s="124"/>
      <c r="CK66" s="124"/>
      <c r="CL66" s="124"/>
      <c r="CM66" s="124"/>
      <c r="CN66" s="124"/>
      <c r="CO66" s="124"/>
      <c r="CP66" s="124"/>
      <c r="CQ66" s="124"/>
      <c r="CR66" s="124"/>
      <c r="CS66" s="124"/>
      <c r="CT66" s="124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124"/>
      <c r="DN66" s="124"/>
      <c r="DO66" s="124"/>
      <c r="DP66" s="124"/>
      <c r="DQ66" s="124"/>
      <c r="DR66" s="124"/>
      <c r="DS66" s="124"/>
      <c r="DT66" s="124"/>
      <c r="DU66" s="122">
        <v>0</v>
      </c>
      <c r="DV66" s="136">
        <v>0</v>
      </c>
      <c r="DW66" s="131">
        <v>1</v>
      </c>
      <c r="DX66" s="131">
        <v>0</v>
      </c>
      <c r="DY66" s="131">
        <v>1</v>
      </c>
      <c r="DZ66" s="136">
        <v>0</v>
      </c>
      <c r="EA66" s="131">
        <v>1</v>
      </c>
      <c r="EB66" s="131">
        <v>0</v>
      </c>
      <c r="EC66" s="131">
        <v>1</v>
      </c>
      <c r="ED66" s="136">
        <v>0</v>
      </c>
      <c r="EE66" s="131">
        <v>1</v>
      </c>
      <c r="EF66" s="131">
        <v>0</v>
      </c>
      <c r="EG66" s="131">
        <v>1</v>
      </c>
      <c r="EH66" s="136">
        <v>0</v>
      </c>
      <c r="EI66" s="131">
        <v>1</v>
      </c>
      <c r="EJ66" s="131">
        <v>0</v>
      </c>
      <c r="EK66" s="131">
        <v>1</v>
      </c>
      <c r="EL66" s="131">
        <v>0</v>
      </c>
      <c r="EM66" s="131">
        <v>1</v>
      </c>
      <c r="EN66" s="131">
        <v>0</v>
      </c>
      <c r="EO66" s="131">
        <v>1</v>
      </c>
      <c r="EP66" s="124"/>
      <c r="EQ66" s="124"/>
      <c r="ER66" s="124"/>
      <c r="ES66" s="124"/>
      <c r="ET66" s="124"/>
      <c r="EU66" s="124"/>
      <c r="EV66" s="124"/>
      <c r="EW66" s="124"/>
      <c r="EX66" s="124"/>
      <c r="EY66" s="124"/>
      <c r="EZ66" s="124"/>
      <c r="FA66" s="124"/>
      <c r="FB66" s="124"/>
      <c r="FC66" s="124"/>
      <c r="FD66" s="124"/>
      <c r="FE66" s="124"/>
      <c r="FF66" s="124"/>
      <c r="FG66" s="124"/>
      <c r="FH66" s="124"/>
      <c r="FI66" s="124"/>
      <c r="FJ66" s="124"/>
      <c r="FK66" s="124"/>
      <c r="FL66" s="124"/>
      <c r="FM66" s="124"/>
      <c r="FN66" s="124"/>
      <c r="FO66" s="124"/>
      <c r="FP66" s="124"/>
      <c r="FQ66" s="124"/>
      <c r="FR66" s="124"/>
      <c r="FS66" s="124"/>
      <c r="FT66" s="124"/>
      <c r="FU66" s="124"/>
      <c r="FV66" s="124"/>
      <c r="FW66" s="124"/>
      <c r="FX66" s="124"/>
      <c r="FY66" s="124"/>
      <c r="FZ66" s="124"/>
      <c r="GA66" s="124"/>
      <c r="GB66" s="124"/>
      <c r="GC66" s="124"/>
      <c r="GD66" s="124"/>
      <c r="GE66" s="124"/>
      <c r="GF66" s="124"/>
      <c r="GG66" s="124"/>
      <c r="GH66" s="124"/>
      <c r="GI66" s="124"/>
      <c r="GJ66" s="124"/>
      <c r="GK66" s="124"/>
      <c r="GL66" s="124"/>
      <c r="GM66" s="124"/>
      <c r="GN66" s="124"/>
      <c r="GO66" s="124"/>
      <c r="GP66" s="124"/>
      <c r="GQ66" s="124"/>
      <c r="GR66" s="124"/>
      <c r="GS66" s="124"/>
      <c r="GT66" s="124"/>
      <c r="GU66" s="124"/>
      <c r="GV66" s="124"/>
      <c r="GW66" s="124"/>
      <c r="GX66" s="124"/>
      <c r="GY66" s="124"/>
      <c r="GZ66" s="124"/>
      <c r="HA66" s="124"/>
      <c r="HB66" s="124"/>
      <c r="HC66" s="124"/>
      <c r="HD66" s="124"/>
      <c r="HE66" s="124"/>
      <c r="HF66" s="124"/>
      <c r="HG66" s="124"/>
      <c r="HH66" s="124"/>
      <c r="HI66" s="124"/>
      <c r="HJ66" s="124"/>
      <c r="HK66" s="124"/>
      <c r="HL66" s="124"/>
      <c r="HM66" s="124"/>
      <c r="HN66" s="124"/>
      <c r="HO66" s="124"/>
      <c r="HP66" s="124"/>
      <c r="HQ66" s="124"/>
    </row>
    <row r="67" spans="1:225" x14ac:dyDescent="0.2">
      <c r="A67" s="122" t="s">
        <v>698</v>
      </c>
      <c r="B67" s="123">
        <v>29</v>
      </c>
      <c r="C67" s="140" t="s">
        <v>225</v>
      </c>
      <c r="D67" s="123">
        <v>58</v>
      </c>
      <c r="E67" s="124" t="s">
        <v>161</v>
      </c>
      <c r="F67" s="123">
        <v>2</v>
      </c>
      <c r="G67" s="123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4"/>
      <c r="CD67" s="124"/>
      <c r="CE67" s="124"/>
      <c r="CF67" s="124"/>
      <c r="CG67" s="124"/>
      <c r="CH67" s="124"/>
      <c r="CI67" s="124"/>
      <c r="CJ67" s="124"/>
      <c r="CK67" s="124"/>
      <c r="CL67" s="124"/>
      <c r="CM67" s="124"/>
      <c r="CN67" s="124"/>
      <c r="CO67" s="124"/>
      <c r="CP67" s="124"/>
      <c r="CQ67" s="124"/>
      <c r="CR67" s="124"/>
      <c r="CS67" s="124"/>
      <c r="CT67" s="124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124"/>
      <c r="DN67" s="124"/>
      <c r="DO67" s="124"/>
      <c r="DP67" s="124"/>
      <c r="DQ67" s="124"/>
      <c r="DR67" s="124"/>
      <c r="DS67" s="124"/>
      <c r="DT67" s="124"/>
      <c r="DU67" s="122">
        <v>0.1</v>
      </c>
      <c r="DV67" s="136">
        <v>7.33</v>
      </c>
      <c r="DW67" s="131">
        <v>2</v>
      </c>
      <c r="DX67" s="131">
        <v>7</v>
      </c>
      <c r="DY67" s="131">
        <v>2</v>
      </c>
      <c r="DZ67" s="136">
        <v>10.6</v>
      </c>
      <c r="EA67" s="131">
        <v>2</v>
      </c>
      <c r="EB67" s="131">
        <v>6</v>
      </c>
      <c r="EC67" s="131">
        <v>2</v>
      </c>
      <c r="ED67" s="136">
        <v>8.33</v>
      </c>
      <c r="EE67" s="131">
        <v>2</v>
      </c>
      <c r="EF67" s="131">
        <v>5</v>
      </c>
      <c r="EG67" s="131">
        <v>2</v>
      </c>
      <c r="EH67" s="136">
        <v>5.93</v>
      </c>
      <c r="EI67" s="131">
        <v>2</v>
      </c>
      <c r="EJ67" s="131">
        <v>8</v>
      </c>
      <c r="EK67" s="131">
        <v>2</v>
      </c>
      <c r="EL67" s="131">
        <v>10</v>
      </c>
      <c r="EM67" s="131">
        <v>2</v>
      </c>
      <c r="EN67" s="131">
        <v>8</v>
      </c>
      <c r="EO67" s="131">
        <v>2</v>
      </c>
      <c r="EP67" s="124"/>
      <c r="EQ67" s="124"/>
      <c r="ER67" s="124"/>
      <c r="ES67" s="124"/>
      <c r="ET67" s="124"/>
      <c r="EU67" s="124"/>
      <c r="EV67" s="124"/>
      <c r="EW67" s="124"/>
      <c r="EX67" s="124"/>
      <c r="EY67" s="124"/>
      <c r="EZ67" s="124"/>
      <c r="FA67" s="124"/>
      <c r="FB67" s="124"/>
      <c r="FC67" s="124"/>
      <c r="FD67" s="124"/>
      <c r="FE67" s="124"/>
      <c r="FF67" s="124"/>
      <c r="FG67" s="124"/>
      <c r="FH67" s="124"/>
      <c r="FI67" s="124"/>
      <c r="FJ67" s="124"/>
      <c r="FK67" s="124"/>
      <c r="FL67" s="124"/>
      <c r="FM67" s="124"/>
      <c r="FN67" s="124"/>
      <c r="FO67" s="124"/>
      <c r="FP67" s="124"/>
      <c r="FQ67" s="124"/>
      <c r="FR67" s="124"/>
      <c r="FS67" s="124"/>
      <c r="FT67" s="124"/>
      <c r="FU67" s="124"/>
      <c r="FV67" s="124"/>
      <c r="FW67" s="124"/>
      <c r="FX67" s="124"/>
      <c r="FY67" s="124"/>
      <c r="FZ67" s="124"/>
      <c r="GA67" s="124"/>
      <c r="GB67" s="124"/>
      <c r="GC67" s="124"/>
      <c r="GD67" s="124"/>
      <c r="GE67" s="124"/>
      <c r="GF67" s="124"/>
      <c r="GG67" s="124"/>
      <c r="GH67" s="124"/>
      <c r="GI67" s="124"/>
      <c r="GJ67" s="124"/>
      <c r="GK67" s="124"/>
      <c r="GL67" s="124"/>
      <c r="GM67" s="124"/>
      <c r="GN67" s="124"/>
      <c r="GO67" s="124"/>
      <c r="GP67" s="124"/>
      <c r="GQ67" s="124"/>
      <c r="GR67" s="124"/>
      <c r="GS67" s="124"/>
      <c r="GT67" s="124"/>
      <c r="GU67" s="124"/>
      <c r="GV67" s="124"/>
      <c r="GW67" s="124"/>
      <c r="GX67" s="124"/>
      <c r="GY67" s="124"/>
      <c r="GZ67" s="124"/>
      <c r="HA67" s="124"/>
      <c r="HB67" s="124"/>
      <c r="HC67" s="124"/>
      <c r="HD67" s="124"/>
      <c r="HE67" s="124"/>
      <c r="HF67" s="124"/>
      <c r="HG67" s="124"/>
      <c r="HH67" s="124"/>
      <c r="HI67" s="124"/>
      <c r="HJ67" s="124"/>
      <c r="HK67" s="124"/>
      <c r="HL67" s="124"/>
      <c r="HM67" s="124"/>
      <c r="HN67" s="124"/>
      <c r="HO67" s="124"/>
      <c r="HP67" s="124"/>
      <c r="HQ67" s="124"/>
    </row>
    <row r="68" spans="1:225" x14ac:dyDescent="0.2">
      <c r="A68" s="122" t="s">
        <v>699</v>
      </c>
      <c r="B68" s="123">
        <v>30</v>
      </c>
      <c r="C68" s="124" t="s">
        <v>226</v>
      </c>
      <c r="D68" s="123">
        <v>59</v>
      </c>
      <c r="E68" s="124" t="s">
        <v>161</v>
      </c>
      <c r="F68" s="123">
        <v>2</v>
      </c>
      <c r="G68" s="123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4"/>
      <c r="CD68" s="124"/>
      <c r="CE68" s="124"/>
      <c r="CF68" s="124"/>
      <c r="CG68" s="124"/>
      <c r="CH68" s="124"/>
      <c r="CI68" s="124"/>
      <c r="CJ68" s="124"/>
      <c r="CK68" s="124"/>
      <c r="CL68" s="124"/>
      <c r="CM68" s="124"/>
      <c r="CN68" s="124"/>
      <c r="CO68" s="124"/>
      <c r="CP68" s="124"/>
      <c r="CQ68" s="124"/>
      <c r="CR68" s="124"/>
      <c r="CS68" s="124"/>
      <c r="CT68" s="124"/>
      <c r="CU68" s="124"/>
      <c r="CV68" s="124"/>
      <c r="CW68" s="124"/>
      <c r="CX68" s="124"/>
      <c r="CY68" s="124"/>
      <c r="CZ68" s="124"/>
      <c r="DA68" s="124"/>
      <c r="DB68" s="124"/>
      <c r="DC68" s="124"/>
      <c r="DD68" s="124"/>
      <c r="DE68" s="124"/>
      <c r="DF68" s="124"/>
      <c r="DG68" s="124"/>
      <c r="DH68" s="124"/>
      <c r="DI68" s="124"/>
      <c r="DJ68" s="124"/>
      <c r="DK68" s="124"/>
      <c r="DL68" s="124"/>
      <c r="DM68" s="124"/>
      <c r="DN68" s="124"/>
      <c r="DO68" s="124"/>
      <c r="DP68" s="124"/>
      <c r="DQ68" s="124"/>
      <c r="DR68" s="124"/>
      <c r="DS68" s="124"/>
      <c r="DT68" s="124"/>
      <c r="DU68" s="122">
        <v>0.2</v>
      </c>
      <c r="DV68" s="136">
        <v>8.33</v>
      </c>
      <c r="DW68" s="131">
        <v>3</v>
      </c>
      <c r="DX68" s="131">
        <v>8</v>
      </c>
      <c r="DY68" s="131">
        <v>3</v>
      </c>
      <c r="DZ68" s="136">
        <v>11.67</v>
      </c>
      <c r="EA68" s="131">
        <v>3</v>
      </c>
      <c r="EB68" s="131">
        <v>7</v>
      </c>
      <c r="EC68" s="131">
        <v>3</v>
      </c>
      <c r="ED68" s="136">
        <v>10</v>
      </c>
      <c r="EE68" s="131">
        <v>3</v>
      </c>
      <c r="EF68" s="131">
        <v>6</v>
      </c>
      <c r="EG68" s="131">
        <v>3</v>
      </c>
      <c r="EH68" s="136">
        <v>7</v>
      </c>
      <c r="EI68" s="131">
        <v>3</v>
      </c>
      <c r="EJ68" s="131">
        <v>10</v>
      </c>
      <c r="EK68" s="131">
        <v>3</v>
      </c>
      <c r="EL68" s="131">
        <v>12</v>
      </c>
      <c r="EM68" s="131">
        <v>3</v>
      </c>
      <c r="EN68" s="131">
        <v>10</v>
      </c>
      <c r="EO68" s="131">
        <v>3</v>
      </c>
      <c r="EP68" s="124"/>
      <c r="EQ68" s="124"/>
      <c r="ER68" s="124"/>
      <c r="ES68" s="124"/>
      <c r="ET68" s="124"/>
      <c r="EU68" s="124"/>
      <c r="EV68" s="124"/>
      <c r="EW68" s="124"/>
      <c r="EX68" s="124"/>
      <c r="EY68" s="124"/>
      <c r="EZ68" s="124"/>
      <c r="FA68" s="124"/>
      <c r="FB68" s="124"/>
      <c r="FC68" s="124"/>
      <c r="FD68" s="124"/>
      <c r="FE68" s="124"/>
      <c r="FF68" s="124"/>
      <c r="FG68" s="124"/>
      <c r="FH68" s="124"/>
      <c r="FI68" s="124"/>
      <c r="FJ68" s="124"/>
      <c r="FK68" s="124"/>
      <c r="FL68" s="124"/>
      <c r="FM68" s="124"/>
      <c r="FN68" s="124"/>
      <c r="FO68" s="124"/>
      <c r="FP68" s="124"/>
      <c r="FQ68" s="124"/>
      <c r="FR68" s="124"/>
      <c r="FS68" s="124"/>
      <c r="FT68" s="124"/>
      <c r="FU68" s="124"/>
      <c r="FV68" s="124"/>
      <c r="FW68" s="124"/>
      <c r="FX68" s="124"/>
      <c r="FY68" s="124"/>
      <c r="FZ68" s="124"/>
      <c r="GA68" s="124"/>
      <c r="GB68" s="124"/>
      <c r="GC68" s="124"/>
      <c r="GD68" s="124"/>
      <c r="GE68" s="124"/>
      <c r="GF68" s="124"/>
      <c r="GG68" s="124"/>
      <c r="GH68" s="124"/>
      <c r="GI68" s="124"/>
      <c r="GJ68" s="124"/>
      <c r="GK68" s="124"/>
      <c r="GL68" s="124"/>
      <c r="GM68" s="124"/>
      <c r="GN68" s="124"/>
      <c r="GO68" s="124"/>
      <c r="GP68" s="124"/>
      <c r="GQ68" s="124"/>
      <c r="GR68" s="124"/>
      <c r="GS68" s="124"/>
      <c r="GT68" s="124"/>
      <c r="GU68" s="124"/>
      <c r="GV68" s="124"/>
      <c r="GW68" s="124"/>
      <c r="GX68" s="124"/>
      <c r="GY68" s="124"/>
      <c r="GZ68" s="124"/>
      <c r="HA68" s="124"/>
      <c r="HB68" s="124"/>
      <c r="HC68" s="124"/>
      <c r="HD68" s="124"/>
      <c r="HE68" s="124"/>
      <c r="HF68" s="124"/>
      <c r="HG68" s="124"/>
      <c r="HH68" s="124"/>
      <c r="HI68" s="124"/>
      <c r="HJ68" s="124"/>
      <c r="HK68" s="124"/>
      <c r="HL68" s="124"/>
      <c r="HM68" s="124"/>
      <c r="HN68" s="124"/>
      <c r="HO68" s="124"/>
      <c r="HP68" s="124"/>
      <c r="HQ68" s="124"/>
    </row>
    <row r="69" spans="1:225" x14ac:dyDescent="0.2">
      <c r="A69" s="122" t="s">
        <v>700</v>
      </c>
      <c r="B69" s="123">
        <v>30</v>
      </c>
      <c r="C69" s="124" t="s">
        <v>227</v>
      </c>
      <c r="D69" s="123">
        <v>60</v>
      </c>
      <c r="E69" s="124" t="s">
        <v>161</v>
      </c>
      <c r="F69" s="123">
        <v>2</v>
      </c>
      <c r="G69" s="123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24"/>
      <c r="BK69" s="124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  <c r="BV69" s="124"/>
      <c r="BW69" s="124"/>
      <c r="BX69" s="124"/>
      <c r="BY69" s="124"/>
      <c r="BZ69" s="124"/>
      <c r="CA69" s="124"/>
      <c r="CB69" s="124"/>
      <c r="CC69" s="124"/>
      <c r="CD69" s="124"/>
      <c r="CE69" s="124"/>
      <c r="CF69" s="124"/>
      <c r="CG69" s="124"/>
      <c r="CH69" s="124"/>
      <c r="CI69" s="124"/>
      <c r="CJ69" s="124"/>
      <c r="CK69" s="124"/>
      <c r="CL69" s="124"/>
      <c r="CM69" s="124"/>
      <c r="CN69" s="124"/>
      <c r="CO69" s="124"/>
      <c r="CP69" s="124"/>
      <c r="CQ69" s="124"/>
      <c r="CR69" s="124"/>
      <c r="CS69" s="124"/>
      <c r="CT69" s="124"/>
      <c r="CU69" s="124"/>
      <c r="CV69" s="124"/>
      <c r="CW69" s="124"/>
      <c r="CX69" s="124"/>
      <c r="CY69" s="124"/>
      <c r="CZ69" s="124"/>
      <c r="DA69" s="124"/>
      <c r="DB69" s="124"/>
      <c r="DC69" s="124"/>
      <c r="DD69" s="124"/>
      <c r="DE69" s="124"/>
      <c r="DF69" s="124"/>
      <c r="DG69" s="124"/>
      <c r="DH69" s="124"/>
      <c r="DI69" s="124"/>
      <c r="DJ69" s="124"/>
      <c r="DK69" s="124"/>
      <c r="DL69" s="124"/>
      <c r="DM69" s="124"/>
      <c r="DN69" s="124"/>
      <c r="DO69" s="124"/>
      <c r="DP69" s="124"/>
      <c r="DQ69" s="124"/>
      <c r="DR69" s="124"/>
      <c r="DS69" s="124"/>
      <c r="DT69" s="124"/>
      <c r="DU69" s="122">
        <v>0.3</v>
      </c>
      <c r="DV69" s="136">
        <v>9.33</v>
      </c>
      <c r="DW69" s="131">
        <v>4</v>
      </c>
      <c r="DX69" s="131">
        <v>9</v>
      </c>
      <c r="DY69" s="131">
        <v>4</v>
      </c>
      <c r="DZ69" s="136">
        <v>12.67</v>
      </c>
      <c r="EA69" s="131">
        <v>4</v>
      </c>
      <c r="EB69" s="131">
        <v>8</v>
      </c>
      <c r="EC69" s="131">
        <v>4</v>
      </c>
      <c r="ED69" s="136">
        <v>11</v>
      </c>
      <c r="EE69" s="131">
        <v>4</v>
      </c>
      <c r="EF69" s="131">
        <v>7</v>
      </c>
      <c r="EG69" s="131">
        <v>4</v>
      </c>
      <c r="EH69" s="136">
        <v>8</v>
      </c>
      <c r="EI69" s="131">
        <v>4</v>
      </c>
      <c r="EJ69" s="131">
        <v>11</v>
      </c>
      <c r="EK69" s="131">
        <v>4</v>
      </c>
      <c r="EL69" s="131">
        <v>12</v>
      </c>
      <c r="EM69" s="131">
        <v>4</v>
      </c>
      <c r="EN69" s="131">
        <v>11</v>
      </c>
      <c r="EO69" s="131">
        <v>4</v>
      </c>
      <c r="EP69" s="124"/>
      <c r="EQ69" s="124"/>
      <c r="ER69" s="124"/>
      <c r="ES69" s="124"/>
      <c r="ET69" s="124"/>
      <c r="EU69" s="124"/>
      <c r="EV69" s="124"/>
      <c r="EW69" s="124"/>
      <c r="EX69" s="124"/>
      <c r="EY69" s="124"/>
      <c r="EZ69" s="124"/>
      <c r="FA69" s="124"/>
      <c r="FB69" s="124"/>
      <c r="FC69" s="124"/>
      <c r="FD69" s="124"/>
      <c r="FE69" s="124"/>
      <c r="FF69" s="124"/>
      <c r="FG69" s="124"/>
      <c r="FH69" s="124"/>
      <c r="FI69" s="124"/>
      <c r="FJ69" s="124"/>
      <c r="FK69" s="124"/>
      <c r="FL69" s="124"/>
      <c r="FM69" s="124"/>
      <c r="FN69" s="124"/>
      <c r="FO69" s="124"/>
      <c r="FP69" s="124"/>
      <c r="FQ69" s="124"/>
      <c r="FR69" s="124"/>
      <c r="FS69" s="124"/>
      <c r="FT69" s="124"/>
      <c r="FU69" s="124"/>
      <c r="FV69" s="124"/>
      <c r="FW69" s="124"/>
      <c r="FX69" s="124"/>
      <c r="FY69" s="124"/>
      <c r="FZ69" s="124"/>
      <c r="GA69" s="124"/>
      <c r="GB69" s="124"/>
      <c r="GC69" s="124"/>
      <c r="GD69" s="124"/>
      <c r="GE69" s="124"/>
      <c r="GF69" s="124"/>
      <c r="GG69" s="124"/>
      <c r="GH69" s="124"/>
      <c r="GI69" s="124"/>
      <c r="GJ69" s="124"/>
      <c r="GK69" s="124"/>
      <c r="GL69" s="124"/>
      <c r="GM69" s="124"/>
      <c r="GN69" s="124"/>
      <c r="GO69" s="124"/>
      <c r="GP69" s="124"/>
      <c r="GQ69" s="124"/>
      <c r="GR69" s="124"/>
      <c r="GS69" s="124"/>
      <c r="GT69" s="124"/>
      <c r="GU69" s="124"/>
      <c r="GV69" s="124"/>
      <c r="GW69" s="124"/>
      <c r="GX69" s="124"/>
      <c r="GY69" s="124"/>
      <c r="GZ69" s="124"/>
      <c r="HA69" s="124"/>
      <c r="HB69" s="124"/>
      <c r="HC69" s="124"/>
      <c r="HD69" s="124"/>
      <c r="HE69" s="124"/>
      <c r="HF69" s="124"/>
      <c r="HG69" s="124"/>
      <c r="HH69" s="124"/>
      <c r="HI69" s="124"/>
      <c r="HJ69" s="124"/>
      <c r="HK69" s="124"/>
      <c r="HL69" s="124"/>
      <c r="HM69" s="124"/>
      <c r="HN69" s="124"/>
      <c r="HO69" s="124"/>
      <c r="HP69" s="124"/>
      <c r="HQ69" s="124"/>
    </row>
    <row r="70" spans="1:225" x14ac:dyDescent="0.2">
      <c r="A70" s="122" t="s">
        <v>701</v>
      </c>
      <c r="B70" s="123">
        <v>31</v>
      </c>
      <c r="C70" s="124" t="s">
        <v>228</v>
      </c>
      <c r="D70" s="123">
        <v>61</v>
      </c>
      <c r="E70" s="124" t="s">
        <v>161</v>
      </c>
      <c r="F70" s="123">
        <v>3</v>
      </c>
      <c r="G70" s="123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4"/>
      <c r="CD70" s="124"/>
      <c r="CE70" s="124"/>
      <c r="CF70" s="124"/>
      <c r="CG70" s="124"/>
      <c r="CH70" s="124"/>
      <c r="CI70" s="124"/>
      <c r="CJ70" s="124"/>
      <c r="CK70" s="124"/>
      <c r="CL70" s="124"/>
      <c r="CM70" s="124"/>
      <c r="CN70" s="124"/>
      <c r="CO70" s="124"/>
      <c r="CP70" s="124"/>
      <c r="CQ70" s="124"/>
      <c r="CR70" s="124"/>
      <c r="CS70" s="124"/>
      <c r="CT70" s="124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4"/>
      <c r="DN70" s="124"/>
      <c r="DO70" s="124"/>
      <c r="DP70" s="124"/>
      <c r="DQ70" s="124"/>
      <c r="DR70" s="124"/>
      <c r="DS70" s="124"/>
      <c r="DT70" s="124"/>
      <c r="DU70" s="122">
        <v>0.4</v>
      </c>
      <c r="DV70" s="136">
        <v>10</v>
      </c>
      <c r="DW70" s="131">
        <v>5</v>
      </c>
      <c r="DX70" s="131">
        <v>10</v>
      </c>
      <c r="DY70" s="131">
        <v>5</v>
      </c>
      <c r="DZ70" s="136">
        <v>13.33</v>
      </c>
      <c r="EA70" s="131">
        <v>5</v>
      </c>
      <c r="EB70" s="131">
        <v>8</v>
      </c>
      <c r="EC70" s="131">
        <v>5</v>
      </c>
      <c r="ED70" s="136">
        <v>11.67</v>
      </c>
      <c r="EE70" s="131">
        <v>5</v>
      </c>
      <c r="EF70" s="131">
        <v>8</v>
      </c>
      <c r="EG70" s="131">
        <v>5</v>
      </c>
      <c r="EH70" s="136">
        <v>8.67</v>
      </c>
      <c r="EI70" s="131">
        <v>5</v>
      </c>
      <c r="EJ70" s="131">
        <v>12</v>
      </c>
      <c r="EK70" s="131">
        <v>5</v>
      </c>
      <c r="EL70" s="131">
        <v>13</v>
      </c>
      <c r="EM70" s="131">
        <v>5</v>
      </c>
      <c r="EN70" s="131">
        <v>11</v>
      </c>
      <c r="EO70" s="131">
        <v>5</v>
      </c>
      <c r="EP70" s="124"/>
      <c r="EQ70" s="124"/>
      <c r="ER70" s="124"/>
      <c r="ES70" s="124"/>
      <c r="ET70" s="124"/>
      <c r="EU70" s="124"/>
      <c r="EV70" s="124"/>
      <c r="EW70" s="124"/>
      <c r="EX70" s="124"/>
      <c r="EY70" s="124"/>
      <c r="EZ70" s="124"/>
      <c r="FA70" s="124"/>
      <c r="FB70" s="124"/>
      <c r="FC70" s="124"/>
      <c r="FD70" s="124"/>
      <c r="FE70" s="124"/>
      <c r="FF70" s="124"/>
      <c r="FG70" s="124"/>
      <c r="FH70" s="124"/>
      <c r="FI70" s="124"/>
      <c r="FJ70" s="124"/>
      <c r="FK70" s="124"/>
      <c r="FL70" s="124"/>
      <c r="FM70" s="124"/>
      <c r="FN70" s="124"/>
      <c r="FO70" s="124"/>
      <c r="FP70" s="124"/>
      <c r="FQ70" s="124"/>
      <c r="FR70" s="124"/>
      <c r="FS70" s="124"/>
      <c r="FT70" s="124"/>
      <c r="FU70" s="124"/>
      <c r="FV70" s="124"/>
      <c r="FW70" s="124"/>
      <c r="FX70" s="124"/>
      <c r="FY70" s="124"/>
      <c r="FZ70" s="124"/>
      <c r="GA70" s="124"/>
      <c r="GB70" s="124"/>
      <c r="GC70" s="124"/>
      <c r="GD70" s="124"/>
      <c r="GE70" s="124"/>
      <c r="GF70" s="124"/>
      <c r="GG70" s="124"/>
      <c r="GH70" s="124"/>
      <c r="GI70" s="124"/>
      <c r="GJ70" s="124"/>
      <c r="GK70" s="124"/>
      <c r="GL70" s="124"/>
      <c r="GM70" s="124"/>
      <c r="GN70" s="124"/>
      <c r="GO70" s="124"/>
      <c r="GP70" s="124"/>
      <c r="GQ70" s="124"/>
      <c r="GR70" s="124"/>
      <c r="GS70" s="124"/>
      <c r="GT70" s="124"/>
      <c r="GU70" s="124"/>
      <c r="GV70" s="124"/>
      <c r="GW70" s="124"/>
      <c r="GX70" s="124"/>
      <c r="GY70" s="124"/>
      <c r="GZ70" s="124"/>
      <c r="HA70" s="124"/>
      <c r="HB70" s="124"/>
      <c r="HC70" s="124"/>
      <c r="HD70" s="124"/>
      <c r="HE70" s="124"/>
      <c r="HF70" s="124"/>
      <c r="HG70" s="124"/>
      <c r="HH70" s="124"/>
      <c r="HI70" s="124"/>
      <c r="HJ70" s="124"/>
      <c r="HK70" s="124"/>
      <c r="HL70" s="124"/>
      <c r="HM70" s="124"/>
      <c r="HN70" s="124"/>
      <c r="HO70" s="124"/>
      <c r="HP70" s="124"/>
      <c r="HQ70" s="124"/>
    </row>
    <row r="71" spans="1:225" x14ac:dyDescent="0.2">
      <c r="A71" s="122" t="s">
        <v>702</v>
      </c>
      <c r="B71" s="123">
        <v>31</v>
      </c>
      <c r="C71" s="124" t="s">
        <v>229</v>
      </c>
      <c r="D71" s="123">
        <v>62</v>
      </c>
      <c r="E71" s="124" t="s">
        <v>161</v>
      </c>
      <c r="F71" s="123">
        <v>2</v>
      </c>
      <c r="G71" s="123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4"/>
      <c r="BU71" s="124"/>
      <c r="BV71" s="124"/>
      <c r="BW71" s="124"/>
      <c r="BX71" s="124"/>
      <c r="BY71" s="124"/>
      <c r="BZ71" s="124"/>
      <c r="CA71" s="124"/>
      <c r="CB71" s="124"/>
      <c r="CC71" s="124"/>
      <c r="CD71" s="124"/>
      <c r="CE71" s="124"/>
      <c r="CF71" s="124"/>
      <c r="CG71" s="124"/>
      <c r="CH71" s="124"/>
      <c r="CI71" s="124"/>
      <c r="CJ71" s="124"/>
      <c r="CK71" s="124"/>
      <c r="CL71" s="124"/>
      <c r="CM71" s="124"/>
      <c r="CN71" s="124"/>
      <c r="CO71" s="124"/>
      <c r="CP71" s="124"/>
      <c r="CQ71" s="124"/>
      <c r="CR71" s="124"/>
      <c r="CS71" s="124"/>
      <c r="CT71" s="124"/>
      <c r="CU71" s="124"/>
      <c r="CV71" s="124"/>
      <c r="CW71" s="124"/>
      <c r="CX71" s="124"/>
      <c r="CY71" s="124"/>
      <c r="CZ71" s="124"/>
      <c r="DA71" s="124"/>
      <c r="DB71" s="124"/>
      <c r="DC71" s="124"/>
      <c r="DD71" s="124"/>
      <c r="DE71" s="124"/>
      <c r="DF71" s="124"/>
      <c r="DG71" s="124"/>
      <c r="DH71" s="124"/>
      <c r="DI71" s="124"/>
      <c r="DJ71" s="124"/>
      <c r="DK71" s="124"/>
      <c r="DL71" s="124"/>
      <c r="DM71" s="124"/>
      <c r="DN71" s="124"/>
      <c r="DO71" s="124"/>
      <c r="DP71" s="124"/>
      <c r="DQ71" s="124"/>
      <c r="DR71" s="124"/>
      <c r="DS71" s="124"/>
      <c r="DT71" s="124"/>
      <c r="DU71" s="122">
        <v>0.5</v>
      </c>
      <c r="DV71" s="136">
        <v>10.67</v>
      </c>
      <c r="DW71" s="131">
        <v>6</v>
      </c>
      <c r="DX71" s="131">
        <v>11</v>
      </c>
      <c r="DY71" s="131">
        <v>6</v>
      </c>
      <c r="DZ71" s="136">
        <v>14</v>
      </c>
      <c r="EA71" s="131">
        <v>6</v>
      </c>
      <c r="EB71" s="131">
        <v>9</v>
      </c>
      <c r="EC71" s="131">
        <v>6</v>
      </c>
      <c r="ED71" s="136">
        <v>12.33</v>
      </c>
      <c r="EE71" s="131">
        <v>6</v>
      </c>
      <c r="EF71" s="131">
        <v>9</v>
      </c>
      <c r="EG71" s="131">
        <v>6</v>
      </c>
      <c r="EH71" s="136">
        <v>9.67</v>
      </c>
      <c r="EI71" s="131">
        <v>6</v>
      </c>
      <c r="EJ71" s="131">
        <v>13</v>
      </c>
      <c r="EK71" s="131">
        <v>6</v>
      </c>
      <c r="EL71" s="131">
        <v>14</v>
      </c>
      <c r="EM71" s="131">
        <v>6</v>
      </c>
      <c r="EN71" s="131">
        <v>12</v>
      </c>
      <c r="EO71" s="131">
        <v>6</v>
      </c>
      <c r="EP71" s="124"/>
      <c r="EQ71" s="124"/>
      <c r="ER71" s="124"/>
      <c r="ES71" s="124"/>
      <c r="ET71" s="124"/>
      <c r="EU71" s="124"/>
      <c r="EV71" s="124"/>
      <c r="EW71" s="124"/>
      <c r="EX71" s="124"/>
      <c r="EY71" s="124"/>
      <c r="EZ71" s="124"/>
      <c r="FA71" s="124"/>
      <c r="FB71" s="124"/>
      <c r="FC71" s="124"/>
      <c r="FD71" s="124"/>
      <c r="FE71" s="124"/>
      <c r="FF71" s="124"/>
      <c r="FG71" s="124"/>
      <c r="FH71" s="124"/>
      <c r="FI71" s="124"/>
      <c r="FJ71" s="124"/>
      <c r="FK71" s="124"/>
      <c r="FL71" s="124"/>
      <c r="FM71" s="124"/>
      <c r="FN71" s="124"/>
      <c r="FO71" s="124"/>
      <c r="FP71" s="124"/>
      <c r="FQ71" s="124"/>
      <c r="FR71" s="124"/>
      <c r="FS71" s="124"/>
      <c r="FT71" s="124"/>
      <c r="FU71" s="124"/>
      <c r="FV71" s="124"/>
      <c r="FW71" s="124"/>
      <c r="FX71" s="124"/>
      <c r="FY71" s="124"/>
      <c r="FZ71" s="124"/>
      <c r="GA71" s="124"/>
      <c r="GB71" s="124"/>
      <c r="GC71" s="124"/>
      <c r="GD71" s="124"/>
      <c r="GE71" s="124"/>
      <c r="GF71" s="124"/>
      <c r="GG71" s="124"/>
      <c r="GH71" s="124"/>
      <c r="GI71" s="124"/>
      <c r="GJ71" s="124"/>
      <c r="GK71" s="124"/>
      <c r="GL71" s="124"/>
      <c r="GM71" s="124"/>
      <c r="GN71" s="124"/>
      <c r="GO71" s="124"/>
      <c r="GP71" s="124"/>
      <c r="GQ71" s="124"/>
      <c r="GR71" s="124"/>
      <c r="GS71" s="124"/>
      <c r="GT71" s="124"/>
      <c r="GU71" s="124"/>
      <c r="GV71" s="124"/>
      <c r="GW71" s="124"/>
      <c r="GX71" s="124"/>
      <c r="GY71" s="124"/>
      <c r="GZ71" s="124"/>
      <c r="HA71" s="124"/>
      <c r="HB71" s="124"/>
      <c r="HC71" s="124"/>
      <c r="HD71" s="124"/>
      <c r="HE71" s="124"/>
      <c r="HF71" s="124"/>
      <c r="HG71" s="124"/>
      <c r="HH71" s="124"/>
      <c r="HI71" s="124"/>
      <c r="HJ71" s="124"/>
      <c r="HK71" s="124"/>
      <c r="HL71" s="124"/>
      <c r="HM71" s="124"/>
      <c r="HN71" s="124"/>
      <c r="HO71" s="124"/>
      <c r="HP71" s="124"/>
      <c r="HQ71" s="124"/>
    </row>
    <row r="72" spans="1:225" x14ac:dyDescent="0.2">
      <c r="A72" s="122" t="s">
        <v>703</v>
      </c>
      <c r="B72" s="123">
        <v>32</v>
      </c>
      <c r="C72" s="124" t="s">
        <v>230</v>
      </c>
      <c r="D72" s="123">
        <v>63</v>
      </c>
      <c r="E72" s="124" t="s">
        <v>161</v>
      </c>
      <c r="F72" s="123">
        <v>3</v>
      </c>
      <c r="G72" s="123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4"/>
      <c r="BU72" s="124"/>
      <c r="BV72" s="124"/>
      <c r="BW72" s="124"/>
      <c r="BX72" s="124"/>
      <c r="BY72" s="124"/>
      <c r="BZ72" s="124"/>
      <c r="CA72" s="124"/>
      <c r="CB72" s="124"/>
      <c r="CC72" s="124"/>
      <c r="CD72" s="124"/>
      <c r="CE72" s="124"/>
      <c r="CF72" s="124"/>
      <c r="CG72" s="124"/>
      <c r="CH72" s="124"/>
      <c r="CI72" s="124"/>
      <c r="CJ72" s="124"/>
      <c r="CK72" s="124"/>
      <c r="CL72" s="124"/>
      <c r="CM72" s="124"/>
      <c r="CN72" s="124"/>
      <c r="CO72" s="124"/>
      <c r="CP72" s="124"/>
      <c r="CQ72" s="124"/>
      <c r="CR72" s="124"/>
      <c r="CS72" s="124"/>
      <c r="CT72" s="124"/>
      <c r="CU72" s="124"/>
      <c r="CV72" s="124"/>
      <c r="CW72" s="124"/>
      <c r="CX72" s="124"/>
      <c r="CY72" s="124"/>
      <c r="CZ72" s="124"/>
      <c r="DA72" s="124"/>
      <c r="DB72" s="124"/>
      <c r="DC72" s="124"/>
      <c r="DD72" s="124"/>
      <c r="DE72" s="124"/>
      <c r="DF72" s="124"/>
      <c r="DG72" s="124"/>
      <c r="DH72" s="124"/>
      <c r="DI72" s="124"/>
      <c r="DJ72" s="124"/>
      <c r="DK72" s="124"/>
      <c r="DL72" s="124"/>
      <c r="DM72" s="124"/>
      <c r="DN72" s="124"/>
      <c r="DO72" s="124"/>
      <c r="DP72" s="124"/>
      <c r="DQ72" s="124"/>
      <c r="DR72" s="124"/>
      <c r="DS72" s="124"/>
      <c r="DT72" s="124"/>
      <c r="DU72" s="122">
        <v>0.6</v>
      </c>
      <c r="DV72" s="136">
        <v>11.33</v>
      </c>
      <c r="DW72" s="131">
        <v>7</v>
      </c>
      <c r="DX72" s="131">
        <v>12</v>
      </c>
      <c r="DY72" s="131">
        <v>7</v>
      </c>
      <c r="DZ72" s="136">
        <v>15</v>
      </c>
      <c r="EA72" s="131">
        <v>7</v>
      </c>
      <c r="EB72" s="131">
        <v>10</v>
      </c>
      <c r="EC72" s="131">
        <v>7</v>
      </c>
      <c r="ED72" s="136">
        <v>13.33</v>
      </c>
      <c r="EE72" s="131">
        <v>7</v>
      </c>
      <c r="EF72" s="131">
        <v>10</v>
      </c>
      <c r="EG72" s="131">
        <v>7</v>
      </c>
      <c r="EH72" s="136">
        <v>10.33</v>
      </c>
      <c r="EI72" s="131">
        <v>7</v>
      </c>
      <c r="EJ72" s="131">
        <v>13</v>
      </c>
      <c r="EK72" s="131">
        <v>7</v>
      </c>
      <c r="EL72" s="131">
        <v>15</v>
      </c>
      <c r="EM72" s="131">
        <v>7</v>
      </c>
      <c r="EN72" s="131">
        <v>13</v>
      </c>
      <c r="EO72" s="131">
        <v>7</v>
      </c>
      <c r="EP72" s="124"/>
      <c r="EQ72" s="124"/>
      <c r="ER72" s="124"/>
      <c r="ES72" s="124"/>
      <c r="ET72" s="124"/>
      <c r="EU72" s="124"/>
      <c r="EV72" s="124"/>
      <c r="EW72" s="124"/>
      <c r="EX72" s="124"/>
      <c r="EY72" s="124"/>
      <c r="EZ72" s="124"/>
      <c r="FA72" s="124"/>
      <c r="FB72" s="124"/>
      <c r="FC72" s="124"/>
      <c r="FD72" s="124"/>
      <c r="FE72" s="124"/>
      <c r="FF72" s="124"/>
      <c r="FG72" s="124"/>
      <c r="FH72" s="124"/>
      <c r="FI72" s="124"/>
      <c r="FJ72" s="124"/>
      <c r="FK72" s="124"/>
      <c r="FL72" s="124"/>
      <c r="FM72" s="124"/>
      <c r="FN72" s="124"/>
      <c r="FO72" s="124"/>
      <c r="FP72" s="124"/>
      <c r="FQ72" s="124"/>
      <c r="FR72" s="124"/>
      <c r="FS72" s="124"/>
      <c r="FT72" s="124"/>
      <c r="FU72" s="124"/>
      <c r="FV72" s="124"/>
      <c r="FW72" s="124"/>
      <c r="FX72" s="124"/>
      <c r="FY72" s="124"/>
      <c r="FZ72" s="124"/>
      <c r="GA72" s="124"/>
      <c r="GB72" s="124"/>
      <c r="GC72" s="124"/>
      <c r="GD72" s="124"/>
      <c r="GE72" s="124"/>
      <c r="GF72" s="124"/>
      <c r="GG72" s="124"/>
      <c r="GH72" s="124"/>
      <c r="GI72" s="124"/>
      <c r="GJ72" s="124"/>
      <c r="GK72" s="124"/>
      <c r="GL72" s="124"/>
      <c r="GM72" s="124"/>
      <c r="GN72" s="124"/>
      <c r="GO72" s="124"/>
      <c r="GP72" s="124"/>
      <c r="GQ72" s="124"/>
      <c r="GR72" s="124"/>
      <c r="GS72" s="124"/>
      <c r="GT72" s="124"/>
      <c r="GU72" s="124"/>
      <c r="GV72" s="124"/>
      <c r="GW72" s="124"/>
      <c r="GX72" s="124"/>
      <c r="GY72" s="124"/>
      <c r="GZ72" s="124"/>
      <c r="HA72" s="124"/>
      <c r="HB72" s="124"/>
      <c r="HC72" s="124"/>
      <c r="HD72" s="124"/>
      <c r="HE72" s="124"/>
      <c r="HF72" s="124"/>
      <c r="HG72" s="124"/>
      <c r="HH72" s="124"/>
      <c r="HI72" s="124"/>
      <c r="HJ72" s="124"/>
      <c r="HK72" s="124"/>
      <c r="HL72" s="124"/>
      <c r="HM72" s="124"/>
      <c r="HN72" s="124"/>
      <c r="HO72" s="124"/>
      <c r="HP72" s="124"/>
      <c r="HQ72" s="124"/>
    </row>
    <row r="73" spans="1:225" x14ac:dyDescent="0.2">
      <c r="A73" s="122" t="s">
        <v>704</v>
      </c>
      <c r="B73" s="123">
        <v>32</v>
      </c>
      <c r="C73" s="124" t="s">
        <v>231</v>
      </c>
      <c r="D73" s="123">
        <v>64</v>
      </c>
      <c r="E73" s="124" t="s">
        <v>161</v>
      </c>
      <c r="F73" s="123">
        <v>2</v>
      </c>
      <c r="G73" s="123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4"/>
      <c r="BU73" s="124"/>
      <c r="BV73" s="124"/>
      <c r="BW73" s="124"/>
      <c r="BX73" s="124"/>
      <c r="BY73" s="124"/>
      <c r="BZ73" s="124"/>
      <c r="CA73" s="124"/>
      <c r="CB73" s="124"/>
      <c r="CC73" s="124"/>
      <c r="CD73" s="124"/>
      <c r="CE73" s="124"/>
      <c r="CF73" s="124"/>
      <c r="CG73" s="124"/>
      <c r="CH73" s="124"/>
      <c r="CI73" s="124"/>
      <c r="CJ73" s="124"/>
      <c r="CK73" s="124"/>
      <c r="CL73" s="124"/>
      <c r="CM73" s="124"/>
      <c r="CN73" s="124"/>
      <c r="CO73" s="124"/>
      <c r="CP73" s="124"/>
      <c r="CQ73" s="124"/>
      <c r="CR73" s="124"/>
      <c r="CS73" s="124"/>
      <c r="CT73" s="124"/>
      <c r="CU73" s="124"/>
      <c r="CV73" s="124"/>
      <c r="CW73" s="124"/>
      <c r="CX73" s="124"/>
      <c r="CY73" s="124"/>
      <c r="CZ73" s="124"/>
      <c r="DA73" s="124"/>
      <c r="DB73" s="124"/>
      <c r="DC73" s="124"/>
      <c r="DD73" s="124"/>
      <c r="DE73" s="124"/>
      <c r="DF73" s="124"/>
      <c r="DG73" s="124"/>
      <c r="DH73" s="124"/>
      <c r="DI73" s="124"/>
      <c r="DJ73" s="124"/>
      <c r="DK73" s="124"/>
      <c r="DL73" s="124"/>
      <c r="DM73" s="124"/>
      <c r="DN73" s="124"/>
      <c r="DO73" s="124"/>
      <c r="DP73" s="124"/>
      <c r="DQ73" s="124"/>
      <c r="DR73" s="124"/>
      <c r="DS73" s="124"/>
      <c r="DT73" s="124"/>
      <c r="DU73" s="122">
        <v>0.7</v>
      </c>
      <c r="DV73" s="136">
        <v>12</v>
      </c>
      <c r="DW73" s="131">
        <v>8</v>
      </c>
      <c r="DX73" s="131">
        <v>12</v>
      </c>
      <c r="DY73" s="131">
        <v>8</v>
      </c>
      <c r="DZ73" s="136">
        <v>15.67</v>
      </c>
      <c r="EA73" s="131">
        <v>8</v>
      </c>
      <c r="EB73" s="131">
        <v>11</v>
      </c>
      <c r="EC73" s="131">
        <v>8</v>
      </c>
      <c r="ED73" s="136">
        <v>13.67</v>
      </c>
      <c r="EE73" s="131">
        <v>8</v>
      </c>
      <c r="EF73" s="131">
        <v>11</v>
      </c>
      <c r="EG73" s="131">
        <v>8</v>
      </c>
      <c r="EH73" s="136">
        <v>11</v>
      </c>
      <c r="EI73" s="131">
        <v>8</v>
      </c>
      <c r="EJ73" s="131">
        <v>14</v>
      </c>
      <c r="EK73" s="131">
        <v>8</v>
      </c>
      <c r="EL73" s="131">
        <v>15</v>
      </c>
      <c r="EM73" s="131">
        <v>8</v>
      </c>
      <c r="EN73" s="131">
        <v>14</v>
      </c>
      <c r="EO73" s="131">
        <v>8</v>
      </c>
      <c r="EP73" s="124"/>
      <c r="EQ73" s="124"/>
      <c r="ER73" s="124"/>
      <c r="ES73" s="124"/>
      <c r="ET73" s="124"/>
      <c r="EU73" s="124"/>
      <c r="EV73" s="124"/>
      <c r="EW73" s="124"/>
      <c r="EX73" s="124"/>
      <c r="EY73" s="124"/>
      <c r="EZ73" s="124"/>
      <c r="FA73" s="124"/>
      <c r="FB73" s="124"/>
      <c r="FC73" s="124"/>
      <c r="FD73" s="124"/>
      <c r="FE73" s="124"/>
      <c r="FF73" s="124"/>
      <c r="FG73" s="124"/>
      <c r="FH73" s="124"/>
      <c r="FI73" s="124"/>
      <c r="FJ73" s="124"/>
      <c r="FK73" s="124"/>
      <c r="FL73" s="124"/>
      <c r="FM73" s="124"/>
      <c r="FN73" s="124"/>
      <c r="FO73" s="124"/>
      <c r="FP73" s="124"/>
      <c r="FQ73" s="124"/>
      <c r="FR73" s="124"/>
      <c r="FS73" s="124"/>
      <c r="FT73" s="124"/>
      <c r="FU73" s="124"/>
      <c r="FV73" s="124"/>
      <c r="FW73" s="124"/>
      <c r="FX73" s="124"/>
      <c r="FY73" s="124"/>
      <c r="FZ73" s="124"/>
      <c r="GA73" s="124"/>
      <c r="GB73" s="124"/>
      <c r="GC73" s="124"/>
      <c r="GD73" s="124"/>
      <c r="GE73" s="124"/>
      <c r="GF73" s="124"/>
      <c r="GG73" s="124"/>
      <c r="GH73" s="124"/>
      <c r="GI73" s="124"/>
      <c r="GJ73" s="124"/>
      <c r="GK73" s="124"/>
      <c r="GL73" s="124"/>
      <c r="GM73" s="124"/>
      <c r="GN73" s="124"/>
      <c r="GO73" s="124"/>
      <c r="GP73" s="124"/>
      <c r="GQ73" s="124"/>
      <c r="GR73" s="124"/>
      <c r="GS73" s="124"/>
      <c r="GT73" s="124"/>
      <c r="GU73" s="124"/>
      <c r="GV73" s="124"/>
      <c r="GW73" s="124"/>
      <c r="GX73" s="124"/>
      <c r="GY73" s="124"/>
      <c r="GZ73" s="124"/>
      <c r="HA73" s="124"/>
      <c r="HB73" s="124"/>
      <c r="HC73" s="124"/>
      <c r="HD73" s="124"/>
      <c r="HE73" s="124"/>
      <c r="HF73" s="124"/>
      <c r="HG73" s="124"/>
      <c r="HH73" s="124"/>
      <c r="HI73" s="124"/>
      <c r="HJ73" s="124"/>
      <c r="HK73" s="124"/>
      <c r="HL73" s="124"/>
      <c r="HM73" s="124"/>
      <c r="HN73" s="124"/>
      <c r="HO73" s="124"/>
      <c r="HP73" s="124"/>
      <c r="HQ73" s="124"/>
    </row>
    <row r="74" spans="1:225" x14ac:dyDescent="0.2">
      <c r="A74" s="122" t="s">
        <v>705</v>
      </c>
      <c r="B74" s="123">
        <v>33</v>
      </c>
      <c r="C74" s="124" t="s">
        <v>232</v>
      </c>
      <c r="D74" s="123">
        <v>65</v>
      </c>
      <c r="E74" s="124" t="s">
        <v>161</v>
      </c>
      <c r="F74" s="123">
        <v>3</v>
      </c>
      <c r="G74" s="123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4"/>
      <c r="CD74" s="124"/>
      <c r="CE74" s="124"/>
      <c r="CF74" s="124"/>
      <c r="CG74" s="124"/>
      <c r="CH74" s="124"/>
      <c r="CI74" s="124"/>
      <c r="CJ74" s="124"/>
      <c r="CK74" s="124"/>
      <c r="CL74" s="124"/>
      <c r="CM74" s="124"/>
      <c r="CN74" s="124"/>
      <c r="CO74" s="124"/>
      <c r="CP74" s="124"/>
      <c r="CQ74" s="124"/>
      <c r="CR74" s="124"/>
      <c r="CS74" s="124"/>
      <c r="CT74" s="124"/>
      <c r="CU74" s="124"/>
      <c r="CV74" s="124"/>
      <c r="CW74" s="124"/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4"/>
      <c r="DJ74" s="124"/>
      <c r="DK74" s="124"/>
      <c r="DL74" s="124"/>
      <c r="DM74" s="124"/>
      <c r="DN74" s="124"/>
      <c r="DO74" s="124"/>
      <c r="DP74" s="124"/>
      <c r="DQ74" s="124"/>
      <c r="DR74" s="124"/>
      <c r="DS74" s="124"/>
      <c r="DT74" s="124"/>
      <c r="DU74" s="122">
        <v>0.8</v>
      </c>
      <c r="DV74" s="136">
        <v>13.13</v>
      </c>
      <c r="DW74" s="131">
        <v>9</v>
      </c>
      <c r="DX74" s="131">
        <v>13</v>
      </c>
      <c r="DY74" s="131">
        <v>9</v>
      </c>
      <c r="DZ74" s="136">
        <v>16.670000000000002</v>
      </c>
      <c r="EA74" s="131">
        <v>9</v>
      </c>
      <c r="EB74" s="131">
        <v>12</v>
      </c>
      <c r="EC74" s="131">
        <v>9</v>
      </c>
      <c r="ED74" s="136">
        <v>14.67</v>
      </c>
      <c r="EE74" s="131">
        <v>9</v>
      </c>
      <c r="EF74" s="131">
        <v>12</v>
      </c>
      <c r="EG74" s="131">
        <v>9</v>
      </c>
      <c r="EH74" s="136">
        <v>12</v>
      </c>
      <c r="EI74" s="131">
        <v>9</v>
      </c>
      <c r="EJ74" s="131">
        <v>15</v>
      </c>
      <c r="EK74" s="131">
        <v>9</v>
      </c>
      <c r="EL74" s="131">
        <v>16</v>
      </c>
      <c r="EM74" s="131">
        <v>9</v>
      </c>
      <c r="EN74" s="131">
        <v>14</v>
      </c>
      <c r="EO74" s="131">
        <v>9</v>
      </c>
      <c r="EP74" s="124"/>
      <c r="EQ74" s="124"/>
      <c r="ER74" s="124"/>
      <c r="ES74" s="124"/>
      <c r="ET74" s="124"/>
      <c r="EU74" s="124"/>
      <c r="EV74" s="124"/>
      <c r="EW74" s="124"/>
      <c r="EX74" s="124"/>
      <c r="EY74" s="124"/>
      <c r="EZ74" s="124"/>
      <c r="FA74" s="124"/>
      <c r="FB74" s="124"/>
      <c r="FC74" s="124"/>
      <c r="FD74" s="124"/>
      <c r="FE74" s="124"/>
      <c r="FF74" s="124"/>
      <c r="FG74" s="124"/>
      <c r="FH74" s="124"/>
      <c r="FI74" s="124"/>
      <c r="FJ74" s="124"/>
      <c r="FK74" s="124"/>
      <c r="FL74" s="124"/>
      <c r="FM74" s="124"/>
      <c r="FN74" s="124"/>
      <c r="FO74" s="124"/>
      <c r="FP74" s="124"/>
      <c r="FQ74" s="124"/>
      <c r="FR74" s="124"/>
      <c r="FS74" s="124"/>
      <c r="FT74" s="124"/>
      <c r="FU74" s="124"/>
      <c r="FV74" s="124"/>
      <c r="FW74" s="124"/>
      <c r="FX74" s="124"/>
      <c r="FY74" s="124"/>
      <c r="FZ74" s="124"/>
      <c r="GA74" s="124"/>
      <c r="GB74" s="124"/>
      <c r="GC74" s="124"/>
      <c r="GD74" s="124"/>
      <c r="GE74" s="124"/>
      <c r="GF74" s="124"/>
      <c r="GG74" s="124"/>
      <c r="GH74" s="124"/>
      <c r="GI74" s="124"/>
      <c r="GJ74" s="124"/>
      <c r="GK74" s="124"/>
      <c r="GL74" s="124"/>
      <c r="GM74" s="124"/>
      <c r="GN74" s="124"/>
      <c r="GO74" s="124"/>
      <c r="GP74" s="124"/>
      <c r="GQ74" s="124"/>
      <c r="GR74" s="124"/>
      <c r="GS74" s="124"/>
      <c r="GT74" s="124"/>
      <c r="GU74" s="124"/>
      <c r="GV74" s="124"/>
      <c r="GW74" s="124"/>
      <c r="GX74" s="124"/>
      <c r="GY74" s="124"/>
      <c r="GZ74" s="124"/>
      <c r="HA74" s="124"/>
      <c r="HB74" s="124"/>
      <c r="HC74" s="124"/>
      <c r="HD74" s="124"/>
      <c r="HE74" s="124"/>
      <c r="HF74" s="124"/>
      <c r="HG74" s="124"/>
      <c r="HH74" s="124"/>
      <c r="HI74" s="124"/>
      <c r="HJ74" s="124"/>
      <c r="HK74" s="124"/>
      <c r="HL74" s="124"/>
      <c r="HM74" s="124"/>
      <c r="HN74" s="124"/>
      <c r="HO74" s="124"/>
      <c r="HP74" s="124"/>
      <c r="HQ74" s="124"/>
    </row>
    <row r="75" spans="1:225" x14ac:dyDescent="0.2">
      <c r="A75" s="122" t="s">
        <v>706</v>
      </c>
      <c r="B75" s="123">
        <v>33</v>
      </c>
      <c r="C75" s="124" t="s">
        <v>233</v>
      </c>
      <c r="D75" s="123">
        <v>66</v>
      </c>
      <c r="E75" s="124" t="s">
        <v>161</v>
      </c>
      <c r="F75" s="123">
        <v>3</v>
      </c>
      <c r="G75" s="123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  <c r="BJ75" s="124"/>
      <c r="BK75" s="124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  <c r="BV75" s="124"/>
      <c r="BW75" s="124"/>
      <c r="BX75" s="124"/>
      <c r="BY75" s="124"/>
      <c r="BZ75" s="124"/>
      <c r="CA75" s="124"/>
      <c r="CB75" s="124"/>
      <c r="CC75" s="124"/>
      <c r="CD75" s="124"/>
      <c r="CE75" s="124"/>
      <c r="CF75" s="124"/>
      <c r="CG75" s="124"/>
      <c r="CH75" s="124"/>
      <c r="CI75" s="124"/>
      <c r="CJ75" s="124"/>
      <c r="CK75" s="124"/>
      <c r="CL75" s="124"/>
      <c r="CM75" s="124"/>
      <c r="CN75" s="124"/>
      <c r="CO75" s="124"/>
      <c r="CP75" s="124"/>
      <c r="CQ75" s="124"/>
      <c r="CR75" s="124"/>
      <c r="CS75" s="124"/>
      <c r="CT75" s="124"/>
      <c r="CU75" s="124"/>
      <c r="CV75" s="124"/>
      <c r="CW75" s="124"/>
      <c r="CX75" s="124"/>
      <c r="CY75" s="124"/>
      <c r="CZ75" s="124"/>
      <c r="DA75" s="124"/>
      <c r="DB75" s="124"/>
      <c r="DC75" s="124"/>
      <c r="DD75" s="124"/>
      <c r="DE75" s="124"/>
      <c r="DF75" s="124"/>
      <c r="DG75" s="124"/>
      <c r="DH75" s="124"/>
      <c r="DI75" s="124"/>
      <c r="DJ75" s="124"/>
      <c r="DK75" s="124"/>
      <c r="DL75" s="124"/>
      <c r="DM75" s="124"/>
      <c r="DN75" s="124"/>
      <c r="DO75" s="124"/>
      <c r="DP75" s="124"/>
      <c r="DQ75" s="124"/>
      <c r="DR75" s="124"/>
      <c r="DS75" s="124"/>
      <c r="DT75" s="124"/>
      <c r="DU75" s="122">
        <v>0.9</v>
      </c>
      <c r="DV75" s="136">
        <v>13.67</v>
      </c>
      <c r="DW75" s="131">
        <v>10</v>
      </c>
      <c r="DX75" s="131">
        <v>14</v>
      </c>
      <c r="DY75" s="131">
        <v>10</v>
      </c>
      <c r="DZ75" s="136">
        <v>17.399999999999999</v>
      </c>
      <c r="EA75" s="131">
        <v>10</v>
      </c>
      <c r="EB75" s="131">
        <v>13</v>
      </c>
      <c r="EC75" s="131">
        <v>10</v>
      </c>
      <c r="ED75" s="136">
        <v>16.07</v>
      </c>
      <c r="EE75" s="131">
        <v>10</v>
      </c>
      <c r="EF75" s="131">
        <v>14</v>
      </c>
      <c r="EG75" s="131">
        <v>10</v>
      </c>
      <c r="EH75" s="136">
        <v>13.67</v>
      </c>
      <c r="EI75" s="131">
        <v>10</v>
      </c>
      <c r="EJ75" s="131">
        <v>16</v>
      </c>
      <c r="EK75" s="131">
        <v>10</v>
      </c>
      <c r="EL75" s="131">
        <v>17</v>
      </c>
      <c r="EM75" s="131">
        <v>10</v>
      </c>
      <c r="EN75" s="131">
        <v>15</v>
      </c>
      <c r="EO75" s="131">
        <v>10</v>
      </c>
      <c r="EP75" s="124"/>
      <c r="EQ75" s="124"/>
      <c r="ER75" s="124"/>
      <c r="ES75" s="124"/>
      <c r="ET75" s="124"/>
      <c r="EU75" s="124"/>
      <c r="EV75" s="124"/>
      <c r="EW75" s="124"/>
      <c r="EX75" s="124"/>
      <c r="EY75" s="124"/>
      <c r="EZ75" s="124"/>
      <c r="FA75" s="124"/>
      <c r="FB75" s="124"/>
      <c r="FC75" s="124"/>
      <c r="FD75" s="124"/>
      <c r="FE75" s="124"/>
      <c r="FF75" s="124"/>
      <c r="FG75" s="124"/>
      <c r="FH75" s="124"/>
      <c r="FI75" s="124"/>
      <c r="FJ75" s="124"/>
      <c r="FK75" s="124"/>
      <c r="FL75" s="124"/>
      <c r="FM75" s="124"/>
      <c r="FN75" s="124"/>
      <c r="FO75" s="124"/>
      <c r="FP75" s="124"/>
      <c r="FQ75" s="124"/>
      <c r="FR75" s="124"/>
      <c r="FS75" s="124"/>
      <c r="FT75" s="124"/>
      <c r="FU75" s="124"/>
      <c r="FV75" s="124"/>
      <c r="FW75" s="124"/>
      <c r="FX75" s="124"/>
      <c r="FY75" s="124"/>
      <c r="FZ75" s="124"/>
      <c r="GA75" s="124"/>
      <c r="GB75" s="124"/>
      <c r="GC75" s="124"/>
      <c r="GD75" s="124"/>
      <c r="GE75" s="124"/>
      <c r="GF75" s="124"/>
      <c r="GG75" s="124"/>
      <c r="GH75" s="124"/>
      <c r="GI75" s="124"/>
      <c r="GJ75" s="124"/>
      <c r="GK75" s="124"/>
      <c r="GL75" s="124"/>
      <c r="GM75" s="124"/>
      <c r="GN75" s="124"/>
      <c r="GO75" s="124"/>
      <c r="GP75" s="124"/>
      <c r="GQ75" s="124"/>
      <c r="GR75" s="124"/>
      <c r="GS75" s="124"/>
      <c r="GT75" s="124"/>
      <c r="GU75" s="124"/>
      <c r="GV75" s="124"/>
      <c r="GW75" s="124"/>
      <c r="GX75" s="124"/>
      <c r="GY75" s="124"/>
      <c r="GZ75" s="124"/>
      <c r="HA75" s="124"/>
      <c r="HB75" s="124"/>
      <c r="HC75" s="124"/>
      <c r="HD75" s="124"/>
      <c r="HE75" s="124"/>
      <c r="HF75" s="124"/>
      <c r="HG75" s="124"/>
      <c r="HH75" s="124"/>
      <c r="HI75" s="124"/>
      <c r="HJ75" s="124"/>
      <c r="HK75" s="124"/>
      <c r="HL75" s="124"/>
      <c r="HM75" s="124"/>
      <c r="HN75" s="124"/>
      <c r="HO75" s="124"/>
      <c r="HP75" s="124"/>
      <c r="HQ75" s="124"/>
    </row>
    <row r="76" spans="1:225" x14ac:dyDescent="0.2">
      <c r="A76" s="122" t="s">
        <v>707</v>
      </c>
      <c r="B76" s="123">
        <v>34</v>
      </c>
      <c r="C76" s="124" t="s">
        <v>234</v>
      </c>
      <c r="D76" s="123">
        <v>67</v>
      </c>
      <c r="E76" s="124" t="s">
        <v>161</v>
      </c>
      <c r="F76" s="123">
        <v>4</v>
      </c>
      <c r="G76" s="123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4"/>
      <c r="CD76" s="124"/>
      <c r="CE76" s="124"/>
      <c r="CF76" s="124"/>
      <c r="CG76" s="124"/>
      <c r="CH76" s="124"/>
      <c r="CI76" s="124"/>
      <c r="CJ76" s="124"/>
      <c r="CK76" s="124"/>
      <c r="CL76" s="124"/>
      <c r="CM76" s="124"/>
      <c r="CN76" s="124"/>
      <c r="CO76" s="124"/>
      <c r="CP76" s="124"/>
      <c r="CQ76" s="124"/>
      <c r="CR76" s="124"/>
      <c r="CS76" s="124"/>
      <c r="CT76" s="124"/>
      <c r="CU76" s="124"/>
      <c r="CV76" s="124"/>
      <c r="CW76" s="124"/>
      <c r="CX76" s="124"/>
      <c r="CY76" s="124"/>
      <c r="CZ76" s="124"/>
      <c r="DA76" s="124"/>
      <c r="DB76" s="124"/>
      <c r="DC76" s="124"/>
      <c r="DD76" s="124"/>
      <c r="DE76" s="124"/>
      <c r="DF76" s="124"/>
      <c r="DG76" s="124"/>
      <c r="DH76" s="124"/>
      <c r="DI76" s="124"/>
      <c r="DJ76" s="124"/>
      <c r="DK76" s="124"/>
      <c r="DL76" s="124"/>
      <c r="DM76" s="124"/>
      <c r="DN76" s="124"/>
      <c r="DO76" s="124"/>
      <c r="DP76" s="124"/>
      <c r="DQ76" s="124"/>
      <c r="DR76" s="124"/>
      <c r="DS76" s="124"/>
      <c r="DT76" s="124"/>
      <c r="DU76" s="124"/>
      <c r="DV76" s="124"/>
      <c r="DW76" s="124"/>
      <c r="DX76" s="124"/>
      <c r="DY76" s="124"/>
      <c r="DZ76" s="124"/>
      <c r="EA76" s="124"/>
      <c r="EB76" s="124"/>
      <c r="EC76" s="124"/>
      <c r="ED76" s="124"/>
      <c r="EE76" s="124"/>
      <c r="EF76" s="124"/>
      <c r="EG76" s="124"/>
      <c r="EH76" s="124"/>
      <c r="EI76" s="124"/>
      <c r="EJ76" s="124"/>
      <c r="EK76" s="124"/>
      <c r="EL76" s="124"/>
      <c r="EM76" s="124"/>
      <c r="EN76" s="124"/>
      <c r="EO76" s="124"/>
      <c r="EP76" s="124"/>
      <c r="EQ76" s="124"/>
      <c r="ER76" s="124"/>
      <c r="ES76" s="124"/>
      <c r="ET76" s="124"/>
      <c r="EU76" s="124"/>
      <c r="EV76" s="124"/>
      <c r="EW76" s="124"/>
      <c r="EX76" s="124"/>
      <c r="EY76" s="124"/>
      <c r="EZ76" s="124"/>
      <c r="FA76" s="124"/>
      <c r="FB76" s="124"/>
      <c r="FC76" s="124"/>
      <c r="FD76" s="124"/>
      <c r="FE76" s="124"/>
      <c r="FF76" s="124"/>
      <c r="FG76" s="124"/>
      <c r="FH76" s="124"/>
      <c r="FI76" s="124"/>
      <c r="FJ76" s="124"/>
      <c r="FK76" s="124"/>
      <c r="FL76" s="124"/>
      <c r="FM76" s="124"/>
      <c r="FN76" s="124"/>
      <c r="FO76" s="124"/>
      <c r="FP76" s="124"/>
      <c r="FQ76" s="124"/>
      <c r="FR76" s="124"/>
      <c r="FS76" s="124"/>
      <c r="FT76" s="124"/>
      <c r="FU76" s="124"/>
      <c r="FV76" s="124"/>
      <c r="FW76" s="124"/>
      <c r="FX76" s="124"/>
      <c r="FY76" s="124"/>
      <c r="FZ76" s="124"/>
      <c r="GA76" s="124"/>
      <c r="GB76" s="124"/>
      <c r="GC76" s="124"/>
      <c r="GD76" s="124"/>
      <c r="GE76" s="124"/>
      <c r="GF76" s="124"/>
      <c r="GG76" s="124"/>
      <c r="GH76" s="124"/>
      <c r="GI76" s="124"/>
      <c r="GJ76" s="124"/>
      <c r="GK76" s="124"/>
      <c r="GL76" s="124"/>
      <c r="GM76" s="124"/>
      <c r="GN76" s="124"/>
      <c r="GO76" s="124"/>
      <c r="GP76" s="124"/>
      <c r="GQ76" s="124"/>
      <c r="GR76" s="124"/>
      <c r="GS76" s="124"/>
      <c r="GT76" s="124"/>
      <c r="GU76" s="124"/>
      <c r="GV76" s="124"/>
      <c r="GW76" s="124"/>
      <c r="GX76" s="124"/>
      <c r="GY76" s="124"/>
      <c r="GZ76" s="124"/>
      <c r="HA76" s="124"/>
      <c r="HB76" s="124"/>
      <c r="HC76" s="124"/>
      <c r="HD76" s="124"/>
      <c r="HE76" s="124"/>
      <c r="HF76" s="124"/>
      <c r="HG76" s="124"/>
      <c r="HH76" s="124"/>
      <c r="HI76" s="124"/>
      <c r="HJ76" s="124"/>
      <c r="HK76" s="124"/>
      <c r="HL76" s="124"/>
      <c r="HM76" s="124"/>
      <c r="HN76" s="124"/>
      <c r="HO76" s="124"/>
      <c r="HP76" s="124"/>
      <c r="HQ76" s="124"/>
    </row>
    <row r="77" spans="1:225" x14ac:dyDescent="0.2">
      <c r="A77" s="122" t="s">
        <v>708</v>
      </c>
      <c r="B77" s="123">
        <v>34</v>
      </c>
      <c r="C77" s="124" t="s">
        <v>235</v>
      </c>
      <c r="D77" s="123">
        <v>68</v>
      </c>
      <c r="E77" s="124" t="s">
        <v>161</v>
      </c>
      <c r="F77" s="123">
        <v>4</v>
      </c>
      <c r="G77" s="123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4"/>
      <c r="DN77" s="124"/>
      <c r="DO77" s="124"/>
      <c r="DP77" s="124"/>
      <c r="DQ77" s="124"/>
      <c r="DR77" s="124"/>
      <c r="DS77" s="124"/>
      <c r="DT77" s="126" t="s">
        <v>573</v>
      </c>
      <c r="DU77" s="127" t="s">
        <v>574</v>
      </c>
      <c r="DV77" s="128"/>
      <c r="DW77" s="128"/>
      <c r="DX77" s="128"/>
      <c r="DY77" s="128"/>
      <c r="DZ77" s="128"/>
      <c r="EA77" s="128"/>
      <c r="EB77" s="128"/>
      <c r="EC77" s="128"/>
      <c r="ED77" s="128"/>
      <c r="EE77" s="128"/>
      <c r="EF77" s="128"/>
      <c r="EG77" s="128"/>
      <c r="EH77" s="128"/>
      <c r="EI77" s="128"/>
      <c r="EJ77" s="128"/>
      <c r="EK77" s="128"/>
      <c r="EL77" s="128"/>
      <c r="EM77" s="128"/>
      <c r="EN77" s="128"/>
      <c r="EO77" s="128"/>
      <c r="EP77" s="128"/>
      <c r="EQ77" s="128"/>
      <c r="ER77" s="128"/>
      <c r="ES77" s="128"/>
      <c r="ET77" s="128"/>
      <c r="EU77" s="128"/>
      <c r="EV77" s="128"/>
      <c r="EW77" s="128"/>
      <c r="EX77" s="128"/>
      <c r="EY77" s="128"/>
      <c r="EZ77" s="128"/>
      <c r="FA77" s="128"/>
      <c r="FB77" s="128"/>
      <c r="FC77" s="128"/>
      <c r="FD77" s="128"/>
      <c r="FE77" s="128"/>
      <c r="FF77" s="128"/>
      <c r="FG77" s="128"/>
      <c r="FH77" s="128"/>
      <c r="FI77" s="128"/>
      <c r="FJ77" s="128"/>
      <c r="FK77" s="128"/>
      <c r="FL77" s="128"/>
      <c r="FM77" s="128"/>
      <c r="FN77" s="128"/>
      <c r="FO77" s="128"/>
      <c r="FP77" s="128"/>
      <c r="FQ77" s="128"/>
      <c r="FR77" s="128"/>
      <c r="FS77" s="128"/>
      <c r="FT77" s="128"/>
      <c r="FU77" s="128"/>
      <c r="FV77" s="128"/>
      <c r="FW77" s="128"/>
      <c r="FX77" s="128"/>
      <c r="FY77" s="128"/>
      <c r="FZ77" s="128"/>
      <c r="GA77" s="128"/>
      <c r="GB77" s="128"/>
      <c r="GC77" s="128"/>
      <c r="GD77" s="128"/>
      <c r="GE77" s="128"/>
      <c r="GF77" s="128"/>
      <c r="GG77" s="128"/>
      <c r="GH77" s="128"/>
      <c r="GI77" s="128"/>
      <c r="GJ77" s="128"/>
      <c r="GK77" s="128"/>
      <c r="GL77" s="128"/>
      <c r="GM77" s="128"/>
      <c r="GN77" s="128"/>
      <c r="GO77" s="128"/>
      <c r="GP77" s="128"/>
      <c r="GQ77" s="128"/>
      <c r="GR77" s="128"/>
      <c r="GS77" s="128"/>
      <c r="GT77" s="128"/>
      <c r="GU77" s="128"/>
      <c r="GV77" s="128"/>
      <c r="GW77" s="128"/>
      <c r="GX77" s="128"/>
      <c r="GY77" s="128"/>
      <c r="GZ77" s="128"/>
      <c r="HA77" s="128"/>
      <c r="HB77" s="128"/>
      <c r="HC77" s="128"/>
      <c r="HD77" s="128"/>
      <c r="HE77" s="128"/>
      <c r="HF77" s="128"/>
      <c r="HG77" s="128"/>
      <c r="HH77" s="128"/>
      <c r="HI77" s="128"/>
      <c r="HJ77" s="128"/>
      <c r="HK77" s="128"/>
      <c r="HL77" s="128"/>
      <c r="HM77" s="128"/>
      <c r="HN77" s="124"/>
      <c r="HO77" s="124"/>
      <c r="HP77" s="124"/>
      <c r="HQ77" s="124"/>
    </row>
    <row r="78" spans="1:225" x14ac:dyDescent="0.2">
      <c r="A78" s="122" t="s">
        <v>709</v>
      </c>
      <c r="B78" s="123">
        <v>35</v>
      </c>
      <c r="C78" s="124" t="s">
        <v>236</v>
      </c>
      <c r="D78" s="123">
        <v>69</v>
      </c>
      <c r="E78" s="124" t="s">
        <v>161</v>
      </c>
      <c r="F78" s="123">
        <v>5</v>
      </c>
      <c r="G78" s="123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24"/>
      <c r="BK78" s="124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  <c r="BV78" s="124"/>
      <c r="BW78" s="124"/>
      <c r="BX78" s="124"/>
      <c r="BY78" s="124"/>
      <c r="BZ78" s="124"/>
      <c r="CA78" s="124"/>
      <c r="CB78" s="124"/>
      <c r="CC78" s="124"/>
      <c r="CD78" s="124"/>
      <c r="CE78" s="124"/>
      <c r="CF78" s="124"/>
      <c r="CG78" s="124"/>
      <c r="CH78" s="124"/>
      <c r="CI78" s="124"/>
      <c r="CJ78" s="124"/>
      <c r="CK78" s="124"/>
      <c r="CL78" s="124"/>
      <c r="CM78" s="124"/>
      <c r="CN78" s="124"/>
      <c r="CO78" s="124"/>
      <c r="CP78" s="124"/>
      <c r="CQ78" s="124"/>
      <c r="CR78" s="124"/>
      <c r="CS78" s="124"/>
      <c r="CT78" s="124"/>
      <c r="CU78" s="124"/>
      <c r="CV78" s="124"/>
      <c r="CW78" s="124"/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4"/>
      <c r="DJ78" s="124"/>
      <c r="DK78" s="124"/>
      <c r="DL78" s="124"/>
      <c r="DM78" s="124"/>
      <c r="DN78" s="124"/>
      <c r="DO78" s="124"/>
      <c r="DP78" s="124"/>
      <c r="DQ78" s="124"/>
      <c r="DR78" s="124"/>
      <c r="DS78" s="124"/>
      <c r="DT78" s="124"/>
      <c r="DU78" s="130"/>
      <c r="DV78" s="128" t="s">
        <v>6</v>
      </c>
      <c r="DW78" s="128"/>
      <c r="DX78" s="128" t="s">
        <v>10</v>
      </c>
      <c r="DY78" s="128"/>
      <c r="DZ78" s="128" t="s">
        <v>12</v>
      </c>
      <c r="EA78" s="128"/>
      <c r="EB78" s="128" t="s">
        <v>15</v>
      </c>
      <c r="EC78" s="128"/>
      <c r="ED78" s="128" t="s">
        <v>18</v>
      </c>
      <c r="EE78" s="128"/>
      <c r="EF78" s="128" t="s">
        <v>20</v>
      </c>
      <c r="EG78" s="128"/>
      <c r="EH78" s="128" t="s">
        <v>48</v>
      </c>
      <c r="EI78" s="128"/>
      <c r="EJ78" s="128" t="s">
        <v>51</v>
      </c>
      <c r="EK78" s="128"/>
      <c r="EL78" s="128" t="s">
        <v>45</v>
      </c>
      <c r="EM78" s="128"/>
      <c r="EN78" s="128" t="s">
        <v>29</v>
      </c>
      <c r="EO78" s="128"/>
      <c r="EP78" s="128" t="s">
        <v>31</v>
      </c>
      <c r="EQ78" s="128"/>
      <c r="ER78" s="128" t="s">
        <v>33</v>
      </c>
      <c r="ES78" s="128"/>
      <c r="ET78" s="128" t="s">
        <v>39</v>
      </c>
      <c r="EU78" s="128"/>
      <c r="EV78" s="128" t="s">
        <v>36</v>
      </c>
      <c r="EW78" s="128"/>
      <c r="EX78" s="128" t="s">
        <v>196</v>
      </c>
      <c r="EY78" s="128"/>
      <c r="EZ78" s="128" t="s">
        <v>13</v>
      </c>
      <c r="FA78" s="128"/>
      <c r="FB78" s="128" t="s">
        <v>11</v>
      </c>
      <c r="FC78" s="128"/>
      <c r="FD78" s="128" t="s">
        <v>64</v>
      </c>
      <c r="FE78" s="128"/>
      <c r="FF78" s="128" t="s">
        <v>67</v>
      </c>
      <c r="FG78" s="128"/>
      <c r="FH78" s="128" t="s">
        <v>70</v>
      </c>
      <c r="FI78" s="128"/>
      <c r="FJ78" s="128" t="s">
        <v>17</v>
      </c>
      <c r="FK78" s="128"/>
      <c r="FL78" s="128" t="s">
        <v>98</v>
      </c>
      <c r="FM78" s="128"/>
      <c r="FN78" s="128" t="s">
        <v>100</v>
      </c>
      <c r="FO78" s="128"/>
      <c r="FP78" s="128" t="s">
        <v>102</v>
      </c>
      <c r="FQ78" s="128"/>
      <c r="FR78" s="128" t="s">
        <v>38</v>
      </c>
      <c r="FS78" s="128"/>
      <c r="FT78" s="128" t="s">
        <v>25</v>
      </c>
      <c r="FU78" s="128"/>
      <c r="FV78" s="128" t="s">
        <v>77</v>
      </c>
      <c r="FW78" s="128"/>
      <c r="FX78" s="128" t="s">
        <v>87</v>
      </c>
      <c r="FY78" s="128"/>
      <c r="FZ78" s="128" t="s">
        <v>103</v>
      </c>
      <c r="GA78" s="128"/>
      <c r="GB78" s="128" t="s">
        <v>23</v>
      </c>
      <c r="GC78" s="128"/>
      <c r="GD78" s="128" t="s">
        <v>509</v>
      </c>
      <c r="GE78" s="128"/>
      <c r="GF78" s="128" t="s">
        <v>223</v>
      </c>
      <c r="GG78" s="128"/>
      <c r="GH78" s="128" t="s">
        <v>214</v>
      </c>
      <c r="GI78" s="128"/>
      <c r="GJ78" s="128" t="s">
        <v>24</v>
      </c>
      <c r="GK78" s="128"/>
      <c r="GL78" s="128" t="s">
        <v>21</v>
      </c>
      <c r="GM78" s="128"/>
      <c r="GN78" s="128" t="s">
        <v>96</v>
      </c>
      <c r="GO78" s="128"/>
      <c r="GP78" s="128" t="s">
        <v>32</v>
      </c>
      <c r="GQ78" s="128"/>
      <c r="GR78" s="128" t="s">
        <v>44</v>
      </c>
      <c r="GS78" s="128"/>
      <c r="GT78" s="128" t="s">
        <v>40</v>
      </c>
      <c r="GU78" s="128"/>
      <c r="GV78" s="128" t="s">
        <v>116</v>
      </c>
      <c r="GW78" s="128"/>
      <c r="GX78" s="128" t="s">
        <v>52</v>
      </c>
      <c r="GY78" s="128"/>
      <c r="GZ78" s="128" t="s">
        <v>108</v>
      </c>
      <c r="HA78" s="128"/>
      <c r="HB78" s="128" t="s">
        <v>43</v>
      </c>
      <c r="HC78" s="128"/>
      <c r="HD78" s="128" t="s">
        <v>121</v>
      </c>
      <c r="HE78" s="128"/>
      <c r="HF78" s="128" t="s">
        <v>9</v>
      </c>
      <c r="HG78" s="128"/>
      <c r="HH78" s="128" t="s">
        <v>122</v>
      </c>
      <c r="HI78" s="128"/>
      <c r="HJ78" s="128" t="s">
        <v>30</v>
      </c>
      <c r="HK78" s="128"/>
      <c r="HL78" s="128" t="s">
        <v>34</v>
      </c>
      <c r="HM78" s="128"/>
      <c r="HN78" s="128" t="s">
        <v>49</v>
      </c>
      <c r="HO78" s="128"/>
      <c r="HP78" s="124"/>
      <c r="HQ78" s="124"/>
    </row>
    <row r="79" spans="1:225" x14ac:dyDescent="0.2">
      <c r="A79" s="122" t="s">
        <v>710</v>
      </c>
      <c r="B79" s="123">
        <v>35</v>
      </c>
      <c r="C79" s="124" t="s">
        <v>237</v>
      </c>
      <c r="D79" s="123">
        <v>70</v>
      </c>
      <c r="E79" s="124" t="s">
        <v>161</v>
      </c>
      <c r="F79" s="123">
        <v>5</v>
      </c>
      <c r="G79" s="123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  <c r="BJ79" s="124"/>
      <c r="BK79" s="124"/>
      <c r="BL79" s="124"/>
      <c r="BM79" s="124"/>
      <c r="BN79" s="124"/>
      <c r="BO79" s="124"/>
      <c r="BP79" s="124"/>
      <c r="BQ79" s="124"/>
      <c r="BR79" s="124"/>
      <c r="BS79" s="124"/>
      <c r="BT79" s="124"/>
      <c r="BU79" s="124"/>
      <c r="BV79" s="124"/>
      <c r="BW79" s="124"/>
      <c r="BX79" s="124"/>
      <c r="BY79" s="124"/>
      <c r="BZ79" s="124"/>
      <c r="CA79" s="124"/>
      <c r="CB79" s="124"/>
      <c r="CC79" s="124"/>
      <c r="CD79" s="124"/>
      <c r="CE79" s="124"/>
      <c r="CF79" s="124"/>
      <c r="CG79" s="124"/>
      <c r="CH79" s="124"/>
      <c r="CI79" s="124"/>
      <c r="CJ79" s="124"/>
      <c r="CK79" s="124"/>
      <c r="CL79" s="124"/>
      <c r="CM79" s="124"/>
      <c r="CN79" s="124"/>
      <c r="CO79" s="124"/>
      <c r="CP79" s="124"/>
      <c r="CQ79" s="124"/>
      <c r="CR79" s="124"/>
      <c r="CS79" s="124"/>
      <c r="CT79" s="124"/>
      <c r="CU79" s="124"/>
      <c r="CV79" s="124"/>
      <c r="CW79" s="124"/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4"/>
      <c r="DI79" s="124"/>
      <c r="DJ79" s="124"/>
      <c r="DK79" s="124"/>
      <c r="DL79" s="124"/>
      <c r="DM79" s="124"/>
      <c r="DN79" s="124"/>
      <c r="DO79" s="124"/>
      <c r="DP79" s="124"/>
      <c r="DQ79" s="124"/>
      <c r="DR79" s="124"/>
      <c r="DS79" s="124"/>
      <c r="DT79" s="124"/>
      <c r="DU79" s="122">
        <v>0</v>
      </c>
      <c r="DV79" s="123">
        <v>0</v>
      </c>
      <c r="DW79" s="131">
        <v>1</v>
      </c>
      <c r="DX79" s="123">
        <v>0</v>
      </c>
      <c r="DY79" s="131">
        <v>1</v>
      </c>
      <c r="DZ79" s="123">
        <v>0</v>
      </c>
      <c r="EA79" s="131">
        <v>1</v>
      </c>
      <c r="EB79" s="123">
        <v>0</v>
      </c>
      <c r="EC79" s="131">
        <v>1</v>
      </c>
      <c r="ED79" s="123">
        <v>0</v>
      </c>
      <c r="EE79" s="131">
        <v>1</v>
      </c>
      <c r="EF79" s="123">
        <v>0</v>
      </c>
      <c r="EG79" s="131">
        <v>1</v>
      </c>
      <c r="EH79" s="123">
        <v>0</v>
      </c>
      <c r="EI79" s="131">
        <v>1</v>
      </c>
      <c r="EJ79" s="123">
        <v>0</v>
      </c>
      <c r="EK79" s="131">
        <v>1</v>
      </c>
      <c r="EL79" s="123">
        <v>0</v>
      </c>
      <c r="EM79" s="131">
        <v>1</v>
      </c>
      <c r="EN79" s="123">
        <v>0</v>
      </c>
      <c r="EO79" s="131">
        <v>1</v>
      </c>
      <c r="EP79" s="123">
        <v>0</v>
      </c>
      <c r="EQ79" s="131">
        <v>1</v>
      </c>
      <c r="ER79" s="123">
        <v>0</v>
      </c>
      <c r="ES79" s="131">
        <v>1</v>
      </c>
      <c r="ET79" s="123">
        <v>0</v>
      </c>
      <c r="EU79" s="131">
        <v>1</v>
      </c>
      <c r="EV79" s="123">
        <v>0</v>
      </c>
      <c r="EW79" s="131">
        <v>1</v>
      </c>
      <c r="EX79" s="123">
        <v>0</v>
      </c>
      <c r="EY79" s="131">
        <v>1</v>
      </c>
      <c r="EZ79" s="123">
        <v>0</v>
      </c>
      <c r="FA79" s="131">
        <v>1</v>
      </c>
      <c r="FB79" s="123">
        <v>0</v>
      </c>
      <c r="FC79" s="131">
        <v>1</v>
      </c>
      <c r="FD79" s="123">
        <v>0</v>
      </c>
      <c r="FE79" s="131">
        <v>1</v>
      </c>
      <c r="FF79" s="123">
        <v>0</v>
      </c>
      <c r="FG79" s="131">
        <v>1</v>
      </c>
      <c r="FH79" s="123">
        <v>0</v>
      </c>
      <c r="FI79" s="131">
        <v>1</v>
      </c>
      <c r="FJ79" s="123">
        <v>0</v>
      </c>
      <c r="FK79" s="131">
        <v>1</v>
      </c>
      <c r="FL79" s="123">
        <v>0</v>
      </c>
      <c r="FM79" s="131">
        <v>1</v>
      </c>
      <c r="FN79" s="123">
        <v>0</v>
      </c>
      <c r="FO79" s="131">
        <v>1</v>
      </c>
      <c r="FP79" s="123">
        <v>0</v>
      </c>
      <c r="FQ79" s="131">
        <v>1</v>
      </c>
      <c r="FR79" s="123">
        <v>0</v>
      </c>
      <c r="FS79" s="131">
        <v>1</v>
      </c>
      <c r="FT79" s="123">
        <v>0</v>
      </c>
      <c r="FU79" s="131">
        <v>1</v>
      </c>
      <c r="FV79" s="123">
        <v>0</v>
      </c>
      <c r="FW79" s="131">
        <v>1</v>
      </c>
      <c r="FX79" s="123">
        <v>0</v>
      </c>
      <c r="FY79" s="131">
        <v>1</v>
      </c>
      <c r="FZ79" s="123">
        <v>0</v>
      </c>
      <c r="GA79" s="131">
        <v>1</v>
      </c>
      <c r="GB79" s="123">
        <v>0</v>
      </c>
      <c r="GC79" s="131">
        <v>1</v>
      </c>
      <c r="GD79" s="123">
        <v>0</v>
      </c>
      <c r="GE79" s="131">
        <v>1</v>
      </c>
      <c r="GF79" s="123">
        <v>0</v>
      </c>
      <c r="GG79" s="131">
        <v>1</v>
      </c>
      <c r="GH79" s="123">
        <v>0</v>
      </c>
      <c r="GI79" s="131">
        <v>1</v>
      </c>
      <c r="GJ79" s="123">
        <v>0</v>
      </c>
      <c r="GK79" s="131">
        <v>1</v>
      </c>
      <c r="GL79" s="123">
        <v>0</v>
      </c>
      <c r="GM79" s="131">
        <v>1</v>
      </c>
      <c r="GN79" s="123">
        <v>0</v>
      </c>
      <c r="GO79" s="131">
        <v>1</v>
      </c>
      <c r="GP79" s="123">
        <v>0</v>
      </c>
      <c r="GQ79" s="131">
        <v>1</v>
      </c>
      <c r="GR79" s="123">
        <v>0</v>
      </c>
      <c r="GS79" s="131">
        <v>1</v>
      </c>
      <c r="GT79" s="123">
        <v>0</v>
      </c>
      <c r="GU79" s="131">
        <v>1</v>
      </c>
      <c r="GV79" s="123">
        <v>0</v>
      </c>
      <c r="GW79" s="131">
        <v>1</v>
      </c>
      <c r="GX79" s="123">
        <v>0</v>
      </c>
      <c r="GY79" s="131">
        <v>1</v>
      </c>
      <c r="GZ79" s="123">
        <v>0</v>
      </c>
      <c r="HA79" s="131">
        <v>1</v>
      </c>
      <c r="HB79" s="123">
        <v>0</v>
      </c>
      <c r="HC79" s="131">
        <v>1</v>
      </c>
      <c r="HD79" s="123">
        <v>0</v>
      </c>
      <c r="HE79" s="131">
        <v>1</v>
      </c>
      <c r="HF79" s="123">
        <v>0</v>
      </c>
      <c r="HG79" s="131">
        <v>1</v>
      </c>
      <c r="HH79" s="123">
        <v>0</v>
      </c>
      <c r="HI79" s="131">
        <v>1</v>
      </c>
      <c r="HJ79" s="123">
        <v>0</v>
      </c>
      <c r="HK79" s="131">
        <v>1</v>
      </c>
      <c r="HL79" s="123">
        <v>0</v>
      </c>
      <c r="HM79" s="131">
        <v>1</v>
      </c>
      <c r="HN79" s="123">
        <v>0</v>
      </c>
      <c r="HO79" s="131">
        <v>1</v>
      </c>
      <c r="HP79" s="124"/>
      <c r="HQ79" s="124"/>
    </row>
    <row r="80" spans="1:225" x14ac:dyDescent="0.2">
      <c r="A80" s="122" t="s">
        <v>711</v>
      </c>
      <c r="B80" s="123">
        <v>36</v>
      </c>
      <c r="C80" s="124" t="s">
        <v>238</v>
      </c>
      <c r="D80" s="123">
        <v>71</v>
      </c>
      <c r="E80" s="124" t="s">
        <v>161</v>
      </c>
      <c r="F80" s="123">
        <v>5</v>
      </c>
      <c r="G80" s="123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  <c r="BJ80" s="124"/>
      <c r="BK80" s="124"/>
      <c r="BL80" s="124"/>
      <c r="BM80" s="124"/>
      <c r="BN80" s="124"/>
      <c r="BO80" s="124"/>
      <c r="BP80" s="124"/>
      <c r="BQ80" s="124"/>
      <c r="BR80" s="124"/>
      <c r="BS80" s="124"/>
      <c r="BT80" s="124"/>
      <c r="BU80" s="124"/>
      <c r="BV80" s="124"/>
      <c r="BW80" s="124"/>
      <c r="BX80" s="124"/>
      <c r="BY80" s="124"/>
      <c r="BZ80" s="124"/>
      <c r="CA80" s="124"/>
      <c r="CB80" s="124"/>
      <c r="CC80" s="124"/>
      <c r="CD80" s="124"/>
      <c r="CE80" s="124"/>
      <c r="CF80" s="124"/>
      <c r="CG80" s="124"/>
      <c r="CH80" s="124"/>
      <c r="CI80" s="124"/>
      <c r="CJ80" s="124"/>
      <c r="CK80" s="124"/>
      <c r="CL80" s="124"/>
      <c r="CM80" s="124"/>
      <c r="CN80" s="124"/>
      <c r="CO80" s="124"/>
      <c r="CP80" s="124"/>
      <c r="CQ80" s="124"/>
      <c r="CR80" s="124"/>
      <c r="CS80" s="124"/>
      <c r="CT80" s="124"/>
      <c r="CU80" s="124"/>
      <c r="CV80" s="124"/>
      <c r="CW80" s="124"/>
      <c r="CX80" s="124"/>
      <c r="CY80" s="124"/>
      <c r="CZ80" s="124"/>
      <c r="DA80" s="124"/>
      <c r="DB80" s="124"/>
      <c r="DC80" s="124"/>
      <c r="DD80" s="124"/>
      <c r="DE80" s="124"/>
      <c r="DF80" s="124"/>
      <c r="DG80" s="124"/>
      <c r="DH80" s="124"/>
      <c r="DI80" s="124"/>
      <c r="DJ80" s="124"/>
      <c r="DK80" s="124"/>
      <c r="DL80" s="124"/>
      <c r="DM80" s="124"/>
      <c r="DN80" s="124"/>
      <c r="DO80" s="124"/>
      <c r="DP80" s="124"/>
      <c r="DQ80" s="124"/>
      <c r="DR80" s="124"/>
      <c r="DS80" s="124"/>
      <c r="DT80" s="124"/>
      <c r="DU80" s="122">
        <v>0.1</v>
      </c>
      <c r="DV80" s="132">
        <v>6.8</v>
      </c>
      <c r="DW80" s="131">
        <v>2</v>
      </c>
      <c r="DX80" s="132">
        <v>3</v>
      </c>
      <c r="DY80" s="131">
        <v>2</v>
      </c>
      <c r="DZ80" s="132">
        <v>5</v>
      </c>
      <c r="EA80" s="131">
        <v>2</v>
      </c>
      <c r="EB80" s="132">
        <v>8</v>
      </c>
      <c r="EC80" s="131">
        <v>2</v>
      </c>
      <c r="ED80" s="132">
        <v>7</v>
      </c>
      <c r="EE80" s="131">
        <v>2</v>
      </c>
      <c r="EF80" s="132">
        <v>6</v>
      </c>
      <c r="EG80" s="131">
        <v>2</v>
      </c>
      <c r="EH80" s="132">
        <v>9</v>
      </c>
      <c r="EI80" s="131">
        <v>2</v>
      </c>
      <c r="EJ80" s="132">
        <v>7</v>
      </c>
      <c r="EK80" s="131">
        <v>2</v>
      </c>
      <c r="EL80" s="132">
        <v>8</v>
      </c>
      <c r="EM80" s="131">
        <v>2</v>
      </c>
      <c r="EN80" s="132">
        <v>5</v>
      </c>
      <c r="EO80" s="131">
        <v>2</v>
      </c>
      <c r="EP80" s="132">
        <v>4</v>
      </c>
      <c r="EQ80" s="131">
        <v>2</v>
      </c>
      <c r="ER80" s="132">
        <v>4</v>
      </c>
      <c r="ES80" s="131">
        <v>2</v>
      </c>
      <c r="ET80" s="132">
        <v>2</v>
      </c>
      <c r="EU80" s="131">
        <v>2</v>
      </c>
      <c r="EV80" s="132">
        <v>8</v>
      </c>
      <c r="EW80" s="131">
        <v>2</v>
      </c>
      <c r="EX80" s="132">
        <v>6</v>
      </c>
      <c r="EY80" s="131">
        <v>2</v>
      </c>
      <c r="EZ80" s="132">
        <v>8</v>
      </c>
      <c r="FA80" s="131">
        <v>2</v>
      </c>
      <c r="FB80" s="132">
        <v>7</v>
      </c>
      <c r="FC80" s="131">
        <v>2</v>
      </c>
      <c r="FD80" s="132">
        <v>3</v>
      </c>
      <c r="FE80" s="131">
        <v>2</v>
      </c>
      <c r="FF80" s="132">
        <v>5</v>
      </c>
      <c r="FG80" s="131">
        <v>2</v>
      </c>
      <c r="FH80" s="132">
        <v>10</v>
      </c>
      <c r="FI80" s="131">
        <v>2</v>
      </c>
      <c r="FJ80" s="132">
        <v>3</v>
      </c>
      <c r="FK80" s="131">
        <v>2</v>
      </c>
      <c r="FL80" s="132">
        <v>7</v>
      </c>
      <c r="FM80" s="131">
        <v>2</v>
      </c>
      <c r="FN80" s="132">
        <v>3</v>
      </c>
      <c r="FO80" s="131">
        <v>2</v>
      </c>
      <c r="FP80" s="132">
        <v>2</v>
      </c>
      <c r="FQ80" s="131">
        <v>2</v>
      </c>
      <c r="FR80" s="132">
        <v>7</v>
      </c>
      <c r="FS80" s="131">
        <v>2</v>
      </c>
      <c r="FT80" s="132">
        <v>9</v>
      </c>
      <c r="FU80" s="131">
        <v>2</v>
      </c>
      <c r="FV80" s="132">
        <v>8</v>
      </c>
      <c r="FW80" s="131">
        <v>2</v>
      </c>
      <c r="FX80" s="132">
        <v>2</v>
      </c>
      <c r="FY80" s="131">
        <v>2</v>
      </c>
      <c r="FZ80" s="132">
        <v>2</v>
      </c>
      <c r="GA80" s="131">
        <v>2</v>
      </c>
      <c r="GB80" s="132">
        <v>4</v>
      </c>
      <c r="GC80" s="131">
        <v>2</v>
      </c>
      <c r="GD80" s="132">
        <v>4</v>
      </c>
      <c r="GE80" s="131">
        <v>2</v>
      </c>
      <c r="GF80" s="132">
        <v>7</v>
      </c>
      <c r="GG80" s="131">
        <v>2</v>
      </c>
      <c r="GH80" s="132">
        <v>4</v>
      </c>
      <c r="GI80" s="131">
        <v>2</v>
      </c>
      <c r="GJ80" s="132">
        <v>8</v>
      </c>
      <c r="GK80" s="131">
        <v>2</v>
      </c>
      <c r="GL80" s="132">
        <v>7</v>
      </c>
      <c r="GM80" s="131">
        <v>2</v>
      </c>
      <c r="GN80" s="132">
        <v>7</v>
      </c>
      <c r="GO80" s="131">
        <v>2</v>
      </c>
      <c r="GP80" s="132">
        <v>8</v>
      </c>
      <c r="GQ80" s="131">
        <v>2</v>
      </c>
      <c r="GR80" s="132">
        <v>7</v>
      </c>
      <c r="GS80" s="131">
        <v>2</v>
      </c>
      <c r="GT80" s="132">
        <v>8</v>
      </c>
      <c r="GU80" s="131">
        <v>2</v>
      </c>
      <c r="GV80" s="132">
        <v>2.8</v>
      </c>
      <c r="GW80" s="131">
        <v>2</v>
      </c>
      <c r="GX80" s="132">
        <v>4</v>
      </c>
      <c r="GY80" s="131">
        <v>2</v>
      </c>
      <c r="GZ80" s="132">
        <v>3</v>
      </c>
      <c r="HA80" s="131">
        <v>2</v>
      </c>
      <c r="HB80" s="132">
        <v>4</v>
      </c>
      <c r="HC80" s="131">
        <v>2</v>
      </c>
      <c r="HD80" s="132">
        <v>3</v>
      </c>
      <c r="HE80" s="131">
        <v>2</v>
      </c>
      <c r="HF80" s="132">
        <v>6.8</v>
      </c>
      <c r="HG80" s="131">
        <v>2</v>
      </c>
      <c r="HH80" s="132">
        <v>2</v>
      </c>
      <c r="HI80" s="131">
        <v>2</v>
      </c>
      <c r="HJ80" s="132">
        <v>7</v>
      </c>
      <c r="HK80" s="131">
        <v>2</v>
      </c>
      <c r="HL80" s="132">
        <v>3</v>
      </c>
      <c r="HM80" s="131">
        <v>2</v>
      </c>
      <c r="HN80" s="132">
        <v>2.8</v>
      </c>
      <c r="HO80" s="131">
        <v>2</v>
      </c>
      <c r="HP80" s="124"/>
      <c r="HQ80" s="124"/>
    </row>
    <row r="81" spans="1:225" x14ac:dyDescent="0.2">
      <c r="A81" s="122" t="s">
        <v>712</v>
      </c>
      <c r="B81" s="123">
        <v>36</v>
      </c>
      <c r="C81" s="124" t="s">
        <v>239</v>
      </c>
      <c r="D81" s="123">
        <v>72</v>
      </c>
      <c r="E81" s="124" t="s">
        <v>161</v>
      </c>
      <c r="F81" s="123">
        <v>5</v>
      </c>
      <c r="G81" s="123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24"/>
      <c r="BK81" s="124"/>
      <c r="BL81" s="124"/>
      <c r="BM81" s="124"/>
      <c r="BN81" s="124"/>
      <c r="BO81" s="124"/>
      <c r="BP81" s="124"/>
      <c r="BQ81" s="124"/>
      <c r="BR81" s="124"/>
      <c r="BS81" s="124"/>
      <c r="BT81" s="124"/>
      <c r="BU81" s="124"/>
      <c r="BV81" s="124"/>
      <c r="BW81" s="124"/>
      <c r="BX81" s="124"/>
      <c r="BY81" s="124"/>
      <c r="BZ81" s="124"/>
      <c r="CA81" s="124"/>
      <c r="CB81" s="124"/>
      <c r="CC81" s="124"/>
      <c r="CD81" s="124"/>
      <c r="CE81" s="124"/>
      <c r="CF81" s="124"/>
      <c r="CG81" s="124"/>
      <c r="CH81" s="124"/>
      <c r="CI81" s="124"/>
      <c r="CJ81" s="124"/>
      <c r="CK81" s="124"/>
      <c r="CL81" s="124"/>
      <c r="CM81" s="124"/>
      <c r="CN81" s="124"/>
      <c r="CO81" s="124"/>
      <c r="CP81" s="124"/>
      <c r="CQ81" s="124"/>
      <c r="CR81" s="124"/>
      <c r="CS81" s="124"/>
      <c r="CT81" s="124"/>
      <c r="CU81" s="124"/>
      <c r="CV81" s="124"/>
      <c r="CW81" s="124"/>
      <c r="CX81" s="124"/>
      <c r="CY81" s="124"/>
      <c r="CZ81" s="124"/>
      <c r="DA81" s="124"/>
      <c r="DB81" s="124"/>
      <c r="DC81" s="124"/>
      <c r="DD81" s="124"/>
      <c r="DE81" s="124"/>
      <c r="DF81" s="124"/>
      <c r="DG81" s="124"/>
      <c r="DH81" s="124"/>
      <c r="DI81" s="124"/>
      <c r="DJ81" s="124"/>
      <c r="DK81" s="124"/>
      <c r="DL81" s="124"/>
      <c r="DM81" s="124"/>
      <c r="DN81" s="124"/>
      <c r="DO81" s="124"/>
      <c r="DP81" s="124"/>
      <c r="DQ81" s="124"/>
      <c r="DR81" s="124"/>
      <c r="DS81" s="124"/>
      <c r="DT81" s="124"/>
      <c r="DU81" s="122">
        <v>0.2</v>
      </c>
      <c r="DV81" s="132">
        <v>8</v>
      </c>
      <c r="DW81" s="131">
        <v>3</v>
      </c>
      <c r="DX81" s="132">
        <v>4</v>
      </c>
      <c r="DY81" s="131">
        <v>3</v>
      </c>
      <c r="DZ81" s="132">
        <v>6</v>
      </c>
      <c r="EA81" s="131">
        <v>3</v>
      </c>
      <c r="EB81" s="132">
        <v>10</v>
      </c>
      <c r="EC81" s="131">
        <v>3</v>
      </c>
      <c r="ED81" s="132">
        <v>9</v>
      </c>
      <c r="EE81" s="131">
        <v>3</v>
      </c>
      <c r="EF81" s="132">
        <v>8</v>
      </c>
      <c r="EG81" s="131">
        <v>3</v>
      </c>
      <c r="EH81" s="132">
        <v>11</v>
      </c>
      <c r="EI81" s="131">
        <v>3</v>
      </c>
      <c r="EJ81" s="132">
        <v>7.6</v>
      </c>
      <c r="EK81" s="131">
        <v>3</v>
      </c>
      <c r="EL81" s="132">
        <v>10</v>
      </c>
      <c r="EM81" s="131">
        <v>3</v>
      </c>
      <c r="EN81" s="132">
        <v>6</v>
      </c>
      <c r="EO81" s="131">
        <v>3</v>
      </c>
      <c r="EP81" s="132">
        <v>6</v>
      </c>
      <c r="EQ81" s="131">
        <v>3</v>
      </c>
      <c r="ER81" s="132">
        <v>6</v>
      </c>
      <c r="ES81" s="131">
        <v>3</v>
      </c>
      <c r="ET81" s="132">
        <v>5</v>
      </c>
      <c r="EU81" s="131">
        <v>3</v>
      </c>
      <c r="EV81" s="132">
        <v>10.6</v>
      </c>
      <c r="EW81" s="131">
        <v>3</v>
      </c>
      <c r="EX81" s="132">
        <v>8</v>
      </c>
      <c r="EY81" s="131">
        <v>3</v>
      </c>
      <c r="EZ81" s="132">
        <v>10</v>
      </c>
      <c r="FA81" s="131">
        <v>3</v>
      </c>
      <c r="FB81" s="132">
        <v>10</v>
      </c>
      <c r="FC81" s="131">
        <v>3</v>
      </c>
      <c r="FD81" s="132">
        <v>5</v>
      </c>
      <c r="FE81" s="131">
        <v>3</v>
      </c>
      <c r="FF81" s="132">
        <v>7</v>
      </c>
      <c r="FG81" s="131">
        <v>3</v>
      </c>
      <c r="FH81" s="132">
        <v>12</v>
      </c>
      <c r="FI81" s="131">
        <v>3</v>
      </c>
      <c r="FJ81" s="132">
        <v>6</v>
      </c>
      <c r="FK81" s="131">
        <v>3</v>
      </c>
      <c r="FL81" s="132">
        <v>9</v>
      </c>
      <c r="FM81" s="131">
        <v>3</v>
      </c>
      <c r="FN81" s="132">
        <v>5</v>
      </c>
      <c r="FO81" s="131">
        <v>3</v>
      </c>
      <c r="FP81" s="132">
        <v>4</v>
      </c>
      <c r="FQ81" s="131">
        <v>3</v>
      </c>
      <c r="FR81" s="132">
        <v>9</v>
      </c>
      <c r="FS81" s="131">
        <v>3</v>
      </c>
      <c r="FT81" s="132">
        <v>11</v>
      </c>
      <c r="FU81" s="131">
        <v>3</v>
      </c>
      <c r="FV81" s="132">
        <v>10</v>
      </c>
      <c r="FW81" s="131">
        <v>3</v>
      </c>
      <c r="FX81" s="132">
        <v>5</v>
      </c>
      <c r="FY81" s="131">
        <v>3</v>
      </c>
      <c r="FZ81" s="132">
        <v>3</v>
      </c>
      <c r="GA81" s="131">
        <v>3</v>
      </c>
      <c r="GB81" s="132">
        <v>6</v>
      </c>
      <c r="GC81" s="131">
        <v>3</v>
      </c>
      <c r="GD81" s="132">
        <v>5</v>
      </c>
      <c r="GE81" s="131">
        <v>3</v>
      </c>
      <c r="GF81" s="132">
        <v>8</v>
      </c>
      <c r="GG81" s="131">
        <v>3</v>
      </c>
      <c r="GH81" s="132">
        <v>7</v>
      </c>
      <c r="GI81" s="131">
        <v>3</v>
      </c>
      <c r="GJ81" s="132">
        <v>10</v>
      </c>
      <c r="GK81" s="131">
        <v>3</v>
      </c>
      <c r="GL81" s="132">
        <v>8</v>
      </c>
      <c r="GM81" s="131">
        <v>3</v>
      </c>
      <c r="GN81" s="132">
        <v>9</v>
      </c>
      <c r="GO81" s="131">
        <v>3</v>
      </c>
      <c r="GP81" s="132">
        <v>10.6</v>
      </c>
      <c r="GQ81" s="131">
        <v>3</v>
      </c>
      <c r="GR81" s="132">
        <v>9.6</v>
      </c>
      <c r="GS81" s="131">
        <v>3</v>
      </c>
      <c r="GT81" s="132">
        <v>10</v>
      </c>
      <c r="GU81" s="131">
        <v>3</v>
      </c>
      <c r="GV81" s="132">
        <v>4</v>
      </c>
      <c r="GW81" s="131">
        <v>3</v>
      </c>
      <c r="GX81" s="132">
        <v>7</v>
      </c>
      <c r="GY81" s="131">
        <v>3</v>
      </c>
      <c r="GZ81" s="132">
        <v>5</v>
      </c>
      <c r="HA81" s="131">
        <v>3</v>
      </c>
      <c r="HB81" s="132">
        <v>6</v>
      </c>
      <c r="HC81" s="131">
        <v>3</v>
      </c>
      <c r="HD81" s="132">
        <v>4</v>
      </c>
      <c r="HE81" s="131">
        <v>3</v>
      </c>
      <c r="HF81" s="132">
        <v>9</v>
      </c>
      <c r="HG81" s="131">
        <v>3</v>
      </c>
      <c r="HH81" s="132">
        <v>5</v>
      </c>
      <c r="HI81" s="131">
        <v>3</v>
      </c>
      <c r="HJ81" s="132">
        <v>9.6</v>
      </c>
      <c r="HK81" s="131">
        <v>3</v>
      </c>
      <c r="HL81" s="132">
        <v>5</v>
      </c>
      <c r="HM81" s="131">
        <v>3</v>
      </c>
      <c r="HN81" s="132">
        <v>4</v>
      </c>
      <c r="HO81" s="131">
        <v>3</v>
      </c>
      <c r="HP81" s="124"/>
      <c r="HQ81" s="124"/>
    </row>
    <row r="82" spans="1:225" x14ac:dyDescent="0.2">
      <c r="A82" s="122" t="s">
        <v>713</v>
      </c>
      <c r="B82" s="123">
        <v>37</v>
      </c>
      <c r="C82" s="124" t="s">
        <v>240</v>
      </c>
      <c r="D82" s="123">
        <v>73</v>
      </c>
      <c r="E82" s="124" t="s">
        <v>161</v>
      </c>
      <c r="F82" s="123">
        <v>4</v>
      </c>
      <c r="G82" s="123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  <c r="BJ82" s="124"/>
      <c r="BK82" s="124"/>
      <c r="BL82" s="124"/>
      <c r="BM82" s="124"/>
      <c r="BN82" s="124"/>
      <c r="BO82" s="124"/>
      <c r="BP82" s="124"/>
      <c r="BQ82" s="124"/>
      <c r="BR82" s="124"/>
      <c r="BS82" s="124"/>
      <c r="BT82" s="124"/>
      <c r="BU82" s="124"/>
      <c r="BV82" s="124"/>
      <c r="BW82" s="124"/>
      <c r="BX82" s="124"/>
      <c r="BY82" s="124"/>
      <c r="BZ82" s="124"/>
      <c r="CA82" s="124"/>
      <c r="CB82" s="124"/>
      <c r="CC82" s="124"/>
      <c r="CD82" s="124"/>
      <c r="CE82" s="124"/>
      <c r="CF82" s="124"/>
      <c r="CG82" s="124"/>
      <c r="CH82" s="124"/>
      <c r="CI82" s="124"/>
      <c r="CJ82" s="124"/>
      <c r="CK82" s="124"/>
      <c r="CL82" s="124"/>
      <c r="CM82" s="124"/>
      <c r="CN82" s="124"/>
      <c r="CO82" s="124"/>
      <c r="CP82" s="124"/>
      <c r="CQ82" s="124"/>
      <c r="CR82" s="124"/>
      <c r="CS82" s="124"/>
      <c r="CT82" s="124"/>
      <c r="CU82" s="124"/>
      <c r="CV82" s="124"/>
      <c r="CW82" s="124"/>
      <c r="CX82" s="124"/>
      <c r="CY82" s="124"/>
      <c r="CZ82" s="124"/>
      <c r="DA82" s="124"/>
      <c r="DB82" s="124"/>
      <c r="DC82" s="124"/>
      <c r="DD82" s="124"/>
      <c r="DE82" s="124"/>
      <c r="DF82" s="124"/>
      <c r="DG82" s="124"/>
      <c r="DH82" s="124"/>
      <c r="DI82" s="124"/>
      <c r="DJ82" s="124"/>
      <c r="DK82" s="124"/>
      <c r="DL82" s="124"/>
      <c r="DM82" s="124"/>
      <c r="DN82" s="124"/>
      <c r="DO82" s="124"/>
      <c r="DP82" s="124"/>
      <c r="DQ82" s="124"/>
      <c r="DR82" s="124"/>
      <c r="DS82" s="124"/>
      <c r="DT82" s="124"/>
      <c r="DU82" s="122">
        <v>0.3</v>
      </c>
      <c r="DV82" s="132">
        <v>10</v>
      </c>
      <c r="DW82" s="131">
        <v>4</v>
      </c>
      <c r="DX82" s="132">
        <v>6</v>
      </c>
      <c r="DY82" s="131">
        <v>4</v>
      </c>
      <c r="DZ82" s="132">
        <v>8</v>
      </c>
      <c r="EA82" s="131">
        <v>4</v>
      </c>
      <c r="EB82" s="132">
        <v>12</v>
      </c>
      <c r="EC82" s="131">
        <v>4</v>
      </c>
      <c r="ED82" s="132">
        <v>9</v>
      </c>
      <c r="EE82" s="131">
        <v>4</v>
      </c>
      <c r="EF82" s="132">
        <v>9</v>
      </c>
      <c r="EG82" s="131">
        <v>4</v>
      </c>
      <c r="EH82" s="132">
        <v>13</v>
      </c>
      <c r="EI82" s="131">
        <v>4</v>
      </c>
      <c r="EJ82" s="132">
        <v>9</v>
      </c>
      <c r="EK82" s="131">
        <v>4</v>
      </c>
      <c r="EL82" s="132">
        <v>13</v>
      </c>
      <c r="EM82" s="131">
        <v>4</v>
      </c>
      <c r="EN82" s="132">
        <v>8</v>
      </c>
      <c r="EO82" s="131">
        <v>4</v>
      </c>
      <c r="EP82" s="132">
        <v>8</v>
      </c>
      <c r="EQ82" s="131">
        <v>4</v>
      </c>
      <c r="ER82" s="132">
        <v>8</v>
      </c>
      <c r="ES82" s="131">
        <v>4</v>
      </c>
      <c r="ET82" s="132">
        <v>6</v>
      </c>
      <c r="EU82" s="131">
        <v>4</v>
      </c>
      <c r="EV82" s="132">
        <v>12</v>
      </c>
      <c r="EW82" s="131">
        <v>4</v>
      </c>
      <c r="EX82" s="132">
        <v>9</v>
      </c>
      <c r="EY82" s="131">
        <v>4</v>
      </c>
      <c r="EZ82" s="132">
        <v>11</v>
      </c>
      <c r="FA82" s="131">
        <v>4</v>
      </c>
      <c r="FB82" s="132">
        <v>11</v>
      </c>
      <c r="FC82" s="131">
        <v>4</v>
      </c>
      <c r="FD82" s="132">
        <v>7</v>
      </c>
      <c r="FE82" s="131">
        <v>4</v>
      </c>
      <c r="FF82" s="132">
        <v>9</v>
      </c>
      <c r="FG82" s="131">
        <v>4</v>
      </c>
      <c r="FH82" s="132">
        <v>13</v>
      </c>
      <c r="FI82" s="131">
        <v>4</v>
      </c>
      <c r="FJ82" s="132">
        <v>7</v>
      </c>
      <c r="FK82" s="131">
        <v>4</v>
      </c>
      <c r="FL82" s="132">
        <v>10</v>
      </c>
      <c r="FM82" s="131">
        <v>4</v>
      </c>
      <c r="FN82" s="132">
        <v>6</v>
      </c>
      <c r="FO82" s="131">
        <v>4</v>
      </c>
      <c r="FP82" s="132">
        <v>6</v>
      </c>
      <c r="FQ82" s="131">
        <v>4</v>
      </c>
      <c r="FR82" s="132">
        <v>11</v>
      </c>
      <c r="FS82" s="131">
        <v>4</v>
      </c>
      <c r="FT82" s="132">
        <v>13</v>
      </c>
      <c r="FU82" s="131">
        <v>4</v>
      </c>
      <c r="FV82" s="132">
        <v>11</v>
      </c>
      <c r="FW82" s="131">
        <v>4</v>
      </c>
      <c r="FX82" s="132">
        <v>7</v>
      </c>
      <c r="FY82" s="131">
        <v>4</v>
      </c>
      <c r="FZ82" s="132">
        <v>4</v>
      </c>
      <c r="GA82" s="131">
        <v>4</v>
      </c>
      <c r="GB82" s="132">
        <v>7</v>
      </c>
      <c r="GC82" s="131">
        <v>4</v>
      </c>
      <c r="GD82" s="132">
        <v>7</v>
      </c>
      <c r="GE82" s="131">
        <v>4</v>
      </c>
      <c r="GF82" s="132">
        <v>10</v>
      </c>
      <c r="GG82" s="131">
        <v>4</v>
      </c>
      <c r="GH82" s="132">
        <v>9</v>
      </c>
      <c r="GI82" s="131">
        <v>4</v>
      </c>
      <c r="GJ82" s="132">
        <v>11</v>
      </c>
      <c r="GK82" s="131">
        <v>4</v>
      </c>
      <c r="GL82" s="132">
        <v>9</v>
      </c>
      <c r="GM82" s="131">
        <v>4</v>
      </c>
      <c r="GN82" s="132">
        <v>11</v>
      </c>
      <c r="GO82" s="131">
        <v>4</v>
      </c>
      <c r="GP82" s="132">
        <v>12</v>
      </c>
      <c r="GQ82" s="131">
        <v>4</v>
      </c>
      <c r="GR82" s="132">
        <v>11</v>
      </c>
      <c r="GS82" s="131">
        <v>4</v>
      </c>
      <c r="GT82" s="132">
        <v>12</v>
      </c>
      <c r="GU82" s="131">
        <v>4</v>
      </c>
      <c r="GV82" s="132">
        <v>6</v>
      </c>
      <c r="GW82" s="131">
        <v>4</v>
      </c>
      <c r="GX82" s="132">
        <v>8</v>
      </c>
      <c r="GY82" s="131">
        <v>4</v>
      </c>
      <c r="GZ82" s="132">
        <v>7</v>
      </c>
      <c r="HA82" s="131">
        <v>4</v>
      </c>
      <c r="HB82" s="132">
        <v>7</v>
      </c>
      <c r="HC82" s="131">
        <v>4</v>
      </c>
      <c r="HD82" s="132">
        <v>6</v>
      </c>
      <c r="HE82" s="131">
        <v>4</v>
      </c>
      <c r="HF82" s="132">
        <v>10</v>
      </c>
      <c r="HG82" s="131">
        <v>4</v>
      </c>
      <c r="HH82" s="132">
        <v>6</v>
      </c>
      <c r="HI82" s="131">
        <v>4</v>
      </c>
      <c r="HJ82" s="132">
        <v>11</v>
      </c>
      <c r="HK82" s="131">
        <v>4</v>
      </c>
      <c r="HL82" s="132">
        <v>6</v>
      </c>
      <c r="HM82" s="131">
        <v>4</v>
      </c>
      <c r="HN82" s="132">
        <v>6</v>
      </c>
      <c r="HO82" s="131">
        <v>4</v>
      </c>
      <c r="HP82" s="124"/>
      <c r="HQ82" s="124"/>
    </row>
    <row r="83" spans="1:225" x14ac:dyDescent="0.2">
      <c r="A83" s="122" t="s">
        <v>714</v>
      </c>
      <c r="B83" s="123">
        <v>37</v>
      </c>
      <c r="C83" s="124" t="s">
        <v>241</v>
      </c>
      <c r="D83" s="123">
        <v>74</v>
      </c>
      <c r="E83" s="124" t="s">
        <v>161</v>
      </c>
      <c r="F83" s="123">
        <v>4</v>
      </c>
      <c r="G83" s="123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  <c r="BJ83" s="124"/>
      <c r="BK83" s="124"/>
      <c r="BL83" s="124"/>
      <c r="BM83" s="124"/>
      <c r="BN83" s="124"/>
      <c r="BO83" s="124"/>
      <c r="BP83" s="124"/>
      <c r="BQ83" s="124"/>
      <c r="BR83" s="124"/>
      <c r="BS83" s="124"/>
      <c r="BT83" s="124"/>
      <c r="BU83" s="124"/>
      <c r="BV83" s="124"/>
      <c r="BW83" s="124"/>
      <c r="BX83" s="124"/>
      <c r="BY83" s="124"/>
      <c r="BZ83" s="124"/>
      <c r="CA83" s="124"/>
      <c r="CB83" s="124"/>
      <c r="CC83" s="124"/>
      <c r="CD83" s="124"/>
      <c r="CE83" s="124"/>
      <c r="CF83" s="124"/>
      <c r="CG83" s="124"/>
      <c r="CH83" s="124"/>
      <c r="CI83" s="124"/>
      <c r="CJ83" s="124"/>
      <c r="CK83" s="124"/>
      <c r="CL83" s="124"/>
      <c r="CM83" s="124"/>
      <c r="CN83" s="124"/>
      <c r="CO83" s="124"/>
      <c r="CP83" s="124"/>
      <c r="CQ83" s="124"/>
      <c r="CR83" s="124"/>
      <c r="CS83" s="124"/>
      <c r="CT83" s="124"/>
      <c r="CU83" s="124"/>
      <c r="CV83" s="124"/>
      <c r="CW83" s="124"/>
      <c r="CX83" s="124"/>
      <c r="CY83" s="124"/>
      <c r="CZ83" s="124"/>
      <c r="DA83" s="124"/>
      <c r="DB83" s="124"/>
      <c r="DC83" s="124"/>
      <c r="DD83" s="124"/>
      <c r="DE83" s="124"/>
      <c r="DF83" s="124"/>
      <c r="DG83" s="124"/>
      <c r="DH83" s="124"/>
      <c r="DI83" s="124"/>
      <c r="DJ83" s="124"/>
      <c r="DK83" s="124"/>
      <c r="DL83" s="124"/>
      <c r="DM83" s="124"/>
      <c r="DN83" s="124"/>
      <c r="DO83" s="124"/>
      <c r="DP83" s="124"/>
      <c r="DQ83" s="124"/>
      <c r="DR83" s="124"/>
      <c r="DS83" s="124"/>
      <c r="DT83" s="124"/>
      <c r="DU83" s="122">
        <v>0.4</v>
      </c>
      <c r="DV83" s="132">
        <v>12</v>
      </c>
      <c r="DW83" s="131">
        <v>5</v>
      </c>
      <c r="DX83" s="132">
        <v>7</v>
      </c>
      <c r="DY83" s="131">
        <v>5</v>
      </c>
      <c r="DZ83" s="132">
        <v>9</v>
      </c>
      <c r="EA83" s="131">
        <v>5</v>
      </c>
      <c r="EB83" s="132">
        <v>13</v>
      </c>
      <c r="EC83" s="131">
        <v>5</v>
      </c>
      <c r="ED83" s="132">
        <v>11</v>
      </c>
      <c r="EE83" s="131">
        <v>5</v>
      </c>
      <c r="EF83" s="132">
        <v>11</v>
      </c>
      <c r="EG83" s="131">
        <v>5</v>
      </c>
      <c r="EH83" s="132">
        <v>14</v>
      </c>
      <c r="EI83" s="131">
        <v>5</v>
      </c>
      <c r="EJ83" s="132">
        <v>10</v>
      </c>
      <c r="EK83" s="131">
        <v>5</v>
      </c>
      <c r="EL83" s="132">
        <v>14</v>
      </c>
      <c r="EM83" s="131">
        <v>5</v>
      </c>
      <c r="EN83" s="132">
        <v>9</v>
      </c>
      <c r="EO83" s="131">
        <v>5</v>
      </c>
      <c r="EP83" s="132">
        <v>9</v>
      </c>
      <c r="EQ83" s="131">
        <v>5</v>
      </c>
      <c r="ER83" s="132">
        <v>9</v>
      </c>
      <c r="ES83" s="131">
        <v>5</v>
      </c>
      <c r="ET83" s="132">
        <v>8</v>
      </c>
      <c r="EU83" s="131">
        <v>5</v>
      </c>
      <c r="EV83" s="132">
        <v>13</v>
      </c>
      <c r="EW83" s="131">
        <v>5</v>
      </c>
      <c r="EX83" s="132">
        <v>11</v>
      </c>
      <c r="EY83" s="131">
        <v>5</v>
      </c>
      <c r="EZ83" s="132">
        <v>13</v>
      </c>
      <c r="FA83" s="131">
        <v>5</v>
      </c>
      <c r="FB83" s="132">
        <v>13</v>
      </c>
      <c r="FC83" s="131">
        <v>5</v>
      </c>
      <c r="FD83" s="132">
        <v>8</v>
      </c>
      <c r="FE83" s="131">
        <v>5</v>
      </c>
      <c r="FF83" s="132">
        <v>11</v>
      </c>
      <c r="FG83" s="131">
        <v>5</v>
      </c>
      <c r="FH83" s="132">
        <v>14</v>
      </c>
      <c r="FI83" s="131">
        <v>5</v>
      </c>
      <c r="FJ83" s="132">
        <v>9</v>
      </c>
      <c r="FK83" s="131">
        <v>5</v>
      </c>
      <c r="FL83" s="132">
        <v>12</v>
      </c>
      <c r="FM83" s="131">
        <v>5</v>
      </c>
      <c r="FN83" s="132">
        <v>7</v>
      </c>
      <c r="FO83" s="131">
        <v>5</v>
      </c>
      <c r="FP83" s="132">
        <v>7</v>
      </c>
      <c r="FQ83" s="131">
        <v>5</v>
      </c>
      <c r="FR83" s="132">
        <v>12</v>
      </c>
      <c r="FS83" s="131">
        <v>5</v>
      </c>
      <c r="FT83" s="132">
        <v>14</v>
      </c>
      <c r="FU83" s="131">
        <v>5</v>
      </c>
      <c r="FV83" s="132">
        <v>12</v>
      </c>
      <c r="FW83" s="131">
        <v>5</v>
      </c>
      <c r="FX83" s="132">
        <v>8.1999999999999993</v>
      </c>
      <c r="FY83" s="131">
        <v>5</v>
      </c>
      <c r="FZ83" s="132">
        <v>6</v>
      </c>
      <c r="GA83" s="131">
        <v>5</v>
      </c>
      <c r="GB83" s="132">
        <v>8</v>
      </c>
      <c r="GC83" s="131">
        <v>5</v>
      </c>
      <c r="GD83" s="132">
        <v>9</v>
      </c>
      <c r="GE83" s="131">
        <v>5</v>
      </c>
      <c r="GF83" s="132">
        <v>11</v>
      </c>
      <c r="GG83" s="131">
        <v>5</v>
      </c>
      <c r="GH83" s="132">
        <v>10</v>
      </c>
      <c r="GI83" s="131">
        <v>5</v>
      </c>
      <c r="GJ83" s="132">
        <v>12</v>
      </c>
      <c r="GK83" s="131">
        <v>5</v>
      </c>
      <c r="GL83" s="132">
        <v>11</v>
      </c>
      <c r="GM83" s="131">
        <v>5</v>
      </c>
      <c r="GN83" s="132">
        <v>12</v>
      </c>
      <c r="GO83" s="131">
        <v>5</v>
      </c>
      <c r="GP83" s="132">
        <v>13</v>
      </c>
      <c r="GQ83" s="131">
        <v>5</v>
      </c>
      <c r="GR83" s="132">
        <v>13</v>
      </c>
      <c r="GS83" s="131">
        <v>5</v>
      </c>
      <c r="GT83" s="132">
        <v>13</v>
      </c>
      <c r="GU83" s="131">
        <v>5</v>
      </c>
      <c r="GV83" s="132">
        <v>8</v>
      </c>
      <c r="GW83" s="131">
        <v>5</v>
      </c>
      <c r="GX83" s="132">
        <v>9</v>
      </c>
      <c r="GY83" s="131">
        <v>5</v>
      </c>
      <c r="GZ83" s="132">
        <v>8</v>
      </c>
      <c r="HA83" s="131">
        <v>5</v>
      </c>
      <c r="HB83" s="132">
        <v>9</v>
      </c>
      <c r="HC83" s="131">
        <v>5</v>
      </c>
      <c r="HD83" s="132">
        <v>7</v>
      </c>
      <c r="HE83" s="131">
        <v>5</v>
      </c>
      <c r="HF83" s="132">
        <v>11</v>
      </c>
      <c r="HG83" s="131">
        <v>5</v>
      </c>
      <c r="HH83" s="132">
        <v>7</v>
      </c>
      <c r="HI83" s="131">
        <v>5</v>
      </c>
      <c r="HJ83" s="132">
        <v>12.2</v>
      </c>
      <c r="HK83" s="131">
        <v>5</v>
      </c>
      <c r="HL83" s="132">
        <v>7</v>
      </c>
      <c r="HM83" s="131">
        <v>5</v>
      </c>
      <c r="HN83" s="132">
        <v>8</v>
      </c>
      <c r="HO83" s="131">
        <v>5</v>
      </c>
      <c r="HP83" s="124"/>
      <c r="HQ83" s="124"/>
    </row>
    <row r="84" spans="1:225" x14ac:dyDescent="0.2">
      <c r="A84" s="122" t="s">
        <v>715</v>
      </c>
      <c r="B84" s="123">
        <v>38</v>
      </c>
      <c r="C84" s="124" t="s">
        <v>242</v>
      </c>
      <c r="D84" s="123">
        <v>75</v>
      </c>
      <c r="E84" s="124" t="s">
        <v>161</v>
      </c>
      <c r="F84" s="123">
        <v>3</v>
      </c>
      <c r="G84" s="123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  <c r="BJ84" s="124"/>
      <c r="BK84" s="124"/>
      <c r="BL84" s="124"/>
      <c r="BM84" s="124"/>
      <c r="BN84" s="124"/>
      <c r="BO84" s="124"/>
      <c r="BP84" s="124"/>
      <c r="BQ84" s="124"/>
      <c r="BR84" s="124"/>
      <c r="BS84" s="124"/>
      <c r="BT84" s="124"/>
      <c r="BU84" s="124"/>
      <c r="BV84" s="124"/>
      <c r="BW84" s="124"/>
      <c r="BX84" s="124"/>
      <c r="BY84" s="124"/>
      <c r="BZ84" s="124"/>
      <c r="CA84" s="124"/>
      <c r="CB84" s="124"/>
      <c r="CC84" s="124"/>
      <c r="CD84" s="124"/>
      <c r="CE84" s="124"/>
      <c r="CF84" s="124"/>
      <c r="CG84" s="124"/>
      <c r="CH84" s="124"/>
      <c r="CI84" s="124"/>
      <c r="CJ84" s="124"/>
      <c r="CK84" s="124"/>
      <c r="CL84" s="124"/>
      <c r="CM84" s="124"/>
      <c r="CN84" s="124"/>
      <c r="CO84" s="124"/>
      <c r="CP84" s="124"/>
      <c r="CQ84" s="124"/>
      <c r="CR84" s="124"/>
      <c r="CS84" s="124"/>
      <c r="CT84" s="124"/>
      <c r="CU84" s="124"/>
      <c r="CV84" s="124"/>
      <c r="CW84" s="124"/>
      <c r="CX84" s="124"/>
      <c r="CY84" s="124"/>
      <c r="CZ84" s="124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4"/>
      <c r="DL84" s="124"/>
      <c r="DM84" s="124"/>
      <c r="DN84" s="124"/>
      <c r="DO84" s="124"/>
      <c r="DP84" s="124"/>
      <c r="DQ84" s="124"/>
      <c r="DR84" s="124"/>
      <c r="DS84" s="124"/>
      <c r="DT84" s="124"/>
      <c r="DU84" s="122">
        <v>0.5</v>
      </c>
      <c r="DV84" s="132">
        <v>12</v>
      </c>
      <c r="DW84" s="131">
        <v>6</v>
      </c>
      <c r="DX84" s="132">
        <v>8</v>
      </c>
      <c r="DY84" s="131">
        <v>6</v>
      </c>
      <c r="DZ84" s="132">
        <v>11</v>
      </c>
      <c r="EA84" s="131">
        <v>6</v>
      </c>
      <c r="EB84" s="132">
        <v>14</v>
      </c>
      <c r="EC84" s="131">
        <v>6</v>
      </c>
      <c r="ED84" s="132">
        <v>12</v>
      </c>
      <c r="EE84" s="131">
        <v>6</v>
      </c>
      <c r="EF84" s="132">
        <v>11</v>
      </c>
      <c r="EG84" s="131">
        <v>6</v>
      </c>
      <c r="EH84" s="132">
        <v>15</v>
      </c>
      <c r="EI84" s="131">
        <v>6</v>
      </c>
      <c r="EJ84" s="132">
        <v>11</v>
      </c>
      <c r="EK84" s="131">
        <v>6</v>
      </c>
      <c r="EL84" s="132">
        <v>16</v>
      </c>
      <c r="EM84" s="131">
        <v>6</v>
      </c>
      <c r="EN84" s="132">
        <v>10</v>
      </c>
      <c r="EO84" s="131">
        <v>6</v>
      </c>
      <c r="EP84" s="132">
        <v>11</v>
      </c>
      <c r="EQ84" s="131">
        <v>6</v>
      </c>
      <c r="ER84" s="132">
        <v>11</v>
      </c>
      <c r="ES84" s="131">
        <v>6</v>
      </c>
      <c r="ET84" s="132">
        <v>9</v>
      </c>
      <c r="EU84" s="131">
        <v>6</v>
      </c>
      <c r="EV84" s="132">
        <v>15</v>
      </c>
      <c r="EW84" s="131">
        <v>6</v>
      </c>
      <c r="EX84" s="132">
        <v>12</v>
      </c>
      <c r="EY84" s="131">
        <v>6</v>
      </c>
      <c r="EZ84" s="132">
        <v>14</v>
      </c>
      <c r="FA84" s="131">
        <v>6</v>
      </c>
      <c r="FB84" s="132">
        <v>14</v>
      </c>
      <c r="FC84" s="131">
        <v>6</v>
      </c>
      <c r="FD84" s="132">
        <v>9</v>
      </c>
      <c r="FE84" s="131">
        <v>6</v>
      </c>
      <c r="FF84" s="132">
        <v>11</v>
      </c>
      <c r="FG84" s="131">
        <v>6</v>
      </c>
      <c r="FH84" s="132">
        <v>16</v>
      </c>
      <c r="FI84" s="131">
        <v>6</v>
      </c>
      <c r="FJ84" s="132">
        <v>10</v>
      </c>
      <c r="FK84" s="131">
        <v>6</v>
      </c>
      <c r="FL84" s="132">
        <v>13</v>
      </c>
      <c r="FM84" s="131">
        <v>6</v>
      </c>
      <c r="FN84" s="132">
        <v>8</v>
      </c>
      <c r="FO84" s="131">
        <v>6</v>
      </c>
      <c r="FP84" s="132">
        <v>8</v>
      </c>
      <c r="FQ84" s="131">
        <v>6</v>
      </c>
      <c r="FR84" s="132">
        <v>14</v>
      </c>
      <c r="FS84" s="131">
        <v>6</v>
      </c>
      <c r="FT84" s="132">
        <v>16</v>
      </c>
      <c r="FU84" s="131">
        <v>6</v>
      </c>
      <c r="FV84" s="132">
        <v>14</v>
      </c>
      <c r="FW84" s="131">
        <v>6</v>
      </c>
      <c r="FX84" s="132">
        <v>10</v>
      </c>
      <c r="FY84" s="131">
        <v>6</v>
      </c>
      <c r="FZ84" s="132">
        <v>7</v>
      </c>
      <c r="GA84" s="131">
        <v>6</v>
      </c>
      <c r="GB84" s="132">
        <v>10</v>
      </c>
      <c r="GC84" s="131">
        <v>6</v>
      </c>
      <c r="GD84" s="132">
        <v>9</v>
      </c>
      <c r="GE84" s="131">
        <v>6</v>
      </c>
      <c r="GF84" s="132">
        <v>12</v>
      </c>
      <c r="GG84" s="131">
        <v>6</v>
      </c>
      <c r="GH84" s="132">
        <v>11</v>
      </c>
      <c r="GI84" s="131">
        <v>6</v>
      </c>
      <c r="GJ84" s="132">
        <v>14</v>
      </c>
      <c r="GK84" s="131">
        <v>6</v>
      </c>
      <c r="GL84" s="132">
        <v>12</v>
      </c>
      <c r="GM84" s="131">
        <v>6</v>
      </c>
      <c r="GN84" s="132">
        <v>14</v>
      </c>
      <c r="GO84" s="131">
        <v>6</v>
      </c>
      <c r="GP84" s="132">
        <v>14</v>
      </c>
      <c r="GQ84" s="131">
        <v>6</v>
      </c>
      <c r="GR84" s="132">
        <v>14</v>
      </c>
      <c r="GS84" s="131">
        <v>6</v>
      </c>
      <c r="GT84" s="132">
        <v>14</v>
      </c>
      <c r="GU84" s="131">
        <v>6</v>
      </c>
      <c r="GV84" s="132">
        <v>9</v>
      </c>
      <c r="GW84" s="131">
        <v>6</v>
      </c>
      <c r="GX84" s="132">
        <v>10</v>
      </c>
      <c r="GY84" s="131">
        <v>6</v>
      </c>
      <c r="GZ84" s="132">
        <v>9</v>
      </c>
      <c r="HA84" s="131">
        <v>6</v>
      </c>
      <c r="HB84" s="132">
        <v>11</v>
      </c>
      <c r="HC84" s="131">
        <v>6</v>
      </c>
      <c r="HD84" s="132">
        <v>9</v>
      </c>
      <c r="HE84" s="131">
        <v>6</v>
      </c>
      <c r="HF84" s="132">
        <v>12</v>
      </c>
      <c r="HG84" s="131">
        <v>6</v>
      </c>
      <c r="HH84" s="132">
        <v>9</v>
      </c>
      <c r="HI84" s="131">
        <v>6</v>
      </c>
      <c r="HJ84" s="132">
        <v>14</v>
      </c>
      <c r="HK84" s="131">
        <v>6</v>
      </c>
      <c r="HL84" s="132">
        <v>8</v>
      </c>
      <c r="HM84" s="131">
        <v>6</v>
      </c>
      <c r="HN84" s="132">
        <v>9</v>
      </c>
      <c r="HO84" s="131">
        <v>6</v>
      </c>
      <c r="HP84" s="124"/>
      <c r="HQ84" s="124"/>
    </row>
    <row r="85" spans="1:225" x14ac:dyDescent="0.2">
      <c r="A85" s="122" t="s">
        <v>716</v>
      </c>
      <c r="B85" s="123">
        <v>38</v>
      </c>
      <c r="C85" s="138" t="s">
        <v>243</v>
      </c>
      <c r="D85" s="123">
        <v>76</v>
      </c>
      <c r="E85" s="124" t="s">
        <v>161</v>
      </c>
      <c r="F85" s="123">
        <v>2</v>
      </c>
      <c r="G85" s="123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  <c r="BJ85" s="124"/>
      <c r="BK85" s="124"/>
      <c r="BL85" s="124"/>
      <c r="BM85" s="124"/>
      <c r="BN85" s="124"/>
      <c r="BO85" s="124"/>
      <c r="BP85" s="124"/>
      <c r="BQ85" s="124"/>
      <c r="BR85" s="124"/>
      <c r="BS85" s="124"/>
      <c r="BT85" s="124"/>
      <c r="BU85" s="124"/>
      <c r="BV85" s="124"/>
      <c r="BW85" s="124"/>
      <c r="BX85" s="124"/>
      <c r="BY85" s="124"/>
      <c r="BZ85" s="124"/>
      <c r="CA85" s="124"/>
      <c r="CB85" s="124"/>
      <c r="CC85" s="124"/>
      <c r="CD85" s="124"/>
      <c r="CE85" s="124"/>
      <c r="CF85" s="124"/>
      <c r="CG85" s="124"/>
      <c r="CH85" s="124"/>
      <c r="CI85" s="124"/>
      <c r="CJ85" s="124"/>
      <c r="CK85" s="124"/>
      <c r="CL85" s="124"/>
      <c r="CM85" s="124"/>
      <c r="CN85" s="124"/>
      <c r="CO85" s="124"/>
      <c r="CP85" s="124"/>
      <c r="CQ85" s="124"/>
      <c r="CR85" s="124"/>
      <c r="CS85" s="124"/>
      <c r="CT85" s="124"/>
      <c r="CU85" s="124"/>
      <c r="CV85" s="124"/>
      <c r="CW85" s="124"/>
      <c r="CX85" s="124"/>
      <c r="CY85" s="124"/>
      <c r="CZ85" s="124"/>
      <c r="DA85" s="124"/>
      <c r="DB85" s="124"/>
      <c r="DC85" s="124"/>
      <c r="DD85" s="124"/>
      <c r="DE85" s="124"/>
      <c r="DF85" s="124"/>
      <c r="DG85" s="124"/>
      <c r="DH85" s="124"/>
      <c r="DI85" s="124"/>
      <c r="DJ85" s="124"/>
      <c r="DK85" s="124"/>
      <c r="DL85" s="124"/>
      <c r="DM85" s="124"/>
      <c r="DN85" s="124"/>
      <c r="DO85" s="124"/>
      <c r="DP85" s="124"/>
      <c r="DQ85" s="124"/>
      <c r="DR85" s="124"/>
      <c r="DS85" s="124"/>
      <c r="DT85" s="124"/>
      <c r="DU85" s="122">
        <v>0.6</v>
      </c>
      <c r="DV85" s="132">
        <v>14</v>
      </c>
      <c r="DW85" s="131">
        <v>7</v>
      </c>
      <c r="DX85" s="132">
        <v>10</v>
      </c>
      <c r="DY85" s="131">
        <v>7</v>
      </c>
      <c r="DZ85" s="132">
        <v>12</v>
      </c>
      <c r="EA85" s="131">
        <v>7</v>
      </c>
      <c r="EB85" s="132">
        <v>16</v>
      </c>
      <c r="EC85" s="131">
        <v>7</v>
      </c>
      <c r="ED85" s="132">
        <v>13</v>
      </c>
      <c r="EE85" s="131">
        <v>7</v>
      </c>
      <c r="EF85" s="132">
        <v>13</v>
      </c>
      <c r="EG85" s="131">
        <v>7</v>
      </c>
      <c r="EH85" s="132">
        <v>16</v>
      </c>
      <c r="EI85" s="131">
        <v>7</v>
      </c>
      <c r="EJ85" s="132">
        <v>12</v>
      </c>
      <c r="EK85" s="131">
        <v>7</v>
      </c>
      <c r="EL85" s="132">
        <v>17</v>
      </c>
      <c r="EM85" s="131">
        <v>7</v>
      </c>
      <c r="EN85" s="132">
        <v>12</v>
      </c>
      <c r="EO85" s="131">
        <v>7</v>
      </c>
      <c r="EP85" s="132">
        <v>11</v>
      </c>
      <c r="EQ85" s="131">
        <v>7</v>
      </c>
      <c r="ER85" s="132">
        <v>12</v>
      </c>
      <c r="ES85" s="131">
        <v>7</v>
      </c>
      <c r="ET85" s="132">
        <v>10</v>
      </c>
      <c r="EU85" s="131">
        <v>7</v>
      </c>
      <c r="EV85" s="132">
        <v>17</v>
      </c>
      <c r="EW85" s="131">
        <v>7</v>
      </c>
      <c r="EX85" s="132">
        <v>14</v>
      </c>
      <c r="EY85" s="131">
        <v>7</v>
      </c>
      <c r="EZ85" s="132">
        <v>15</v>
      </c>
      <c r="FA85" s="131">
        <v>7</v>
      </c>
      <c r="FB85" s="132">
        <v>16</v>
      </c>
      <c r="FC85" s="131">
        <v>7</v>
      </c>
      <c r="FD85" s="132">
        <v>11</v>
      </c>
      <c r="FE85" s="131">
        <v>7</v>
      </c>
      <c r="FF85" s="132">
        <v>13</v>
      </c>
      <c r="FG85" s="131">
        <v>7</v>
      </c>
      <c r="FH85" s="132">
        <v>17</v>
      </c>
      <c r="FI85" s="131">
        <v>7</v>
      </c>
      <c r="FJ85" s="132">
        <v>11</v>
      </c>
      <c r="FK85" s="131">
        <v>7</v>
      </c>
      <c r="FL85" s="132">
        <v>13.8</v>
      </c>
      <c r="FM85" s="131">
        <v>7</v>
      </c>
      <c r="FN85" s="132">
        <v>9</v>
      </c>
      <c r="FO85" s="131">
        <v>7</v>
      </c>
      <c r="FP85" s="132">
        <v>9</v>
      </c>
      <c r="FQ85" s="131">
        <v>7</v>
      </c>
      <c r="FR85" s="132">
        <v>15</v>
      </c>
      <c r="FS85" s="131">
        <v>7</v>
      </c>
      <c r="FT85" s="132">
        <v>16.8</v>
      </c>
      <c r="FU85" s="131">
        <v>7</v>
      </c>
      <c r="FV85" s="132">
        <v>15</v>
      </c>
      <c r="FW85" s="131">
        <v>7</v>
      </c>
      <c r="FX85" s="132">
        <v>11</v>
      </c>
      <c r="FY85" s="131">
        <v>7</v>
      </c>
      <c r="FZ85" s="132">
        <v>8</v>
      </c>
      <c r="GA85" s="131">
        <v>7</v>
      </c>
      <c r="GB85" s="132">
        <v>11</v>
      </c>
      <c r="GC85" s="131">
        <v>7</v>
      </c>
      <c r="GD85" s="132">
        <v>11</v>
      </c>
      <c r="GE85" s="131">
        <v>7</v>
      </c>
      <c r="GF85" s="132">
        <v>14</v>
      </c>
      <c r="GG85" s="131">
        <v>7</v>
      </c>
      <c r="GH85" s="132">
        <v>12</v>
      </c>
      <c r="GI85" s="131">
        <v>7</v>
      </c>
      <c r="GJ85" s="132">
        <v>14</v>
      </c>
      <c r="GK85" s="131">
        <v>7</v>
      </c>
      <c r="GL85" s="132">
        <v>13</v>
      </c>
      <c r="GM85" s="131">
        <v>7</v>
      </c>
      <c r="GN85" s="132">
        <v>15</v>
      </c>
      <c r="GO85" s="131">
        <v>7</v>
      </c>
      <c r="GP85" s="132">
        <v>16</v>
      </c>
      <c r="GQ85" s="131">
        <v>7</v>
      </c>
      <c r="GR85" s="132">
        <v>16</v>
      </c>
      <c r="GS85" s="131">
        <v>7</v>
      </c>
      <c r="GT85" s="132">
        <v>15</v>
      </c>
      <c r="GU85" s="131">
        <v>7</v>
      </c>
      <c r="GV85" s="132">
        <v>10</v>
      </c>
      <c r="GW85" s="131">
        <v>7</v>
      </c>
      <c r="GX85" s="132">
        <v>12</v>
      </c>
      <c r="GY85" s="131">
        <v>7</v>
      </c>
      <c r="GZ85" s="132">
        <v>10</v>
      </c>
      <c r="HA85" s="131">
        <v>7</v>
      </c>
      <c r="HB85" s="132">
        <v>11</v>
      </c>
      <c r="HC85" s="131">
        <v>7</v>
      </c>
      <c r="HD85" s="132">
        <v>10</v>
      </c>
      <c r="HE85" s="131">
        <v>7</v>
      </c>
      <c r="HF85" s="132">
        <v>14</v>
      </c>
      <c r="HG85" s="131">
        <v>7</v>
      </c>
      <c r="HH85" s="132">
        <v>10</v>
      </c>
      <c r="HI85" s="131">
        <v>7</v>
      </c>
      <c r="HJ85" s="132">
        <v>15</v>
      </c>
      <c r="HK85" s="131">
        <v>7</v>
      </c>
      <c r="HL85" s="132">
        <v>10</v>
      </c>
      <c r="HM85" s="131">
        <v>7</v>
      </c>
      <c r="HN85" s="132">
        <v>10</v>
      </c>
      <c r="HO85" s="131">
        <v>7</v>
      </c>
      <c r="HP85" s="122"/>
      <c r="HQ85" s="124"/>
    </row>
    <row r="86" spans="1:225" x14ac:dyDescent="0.2">
      <c r="A86" s="122" t="s">
        <v>717</v>
      </c>
      <c r="B86" s="123">
        <v>39</v>
      </c>
      <c r="C86" s="124" t="s">
        <v>244</v>
      </c>
      <c r="D86" s="123">
        <v>77</v>
      </c>
      <c r="E86" s="124" t="s">
        <v>161</v>
      </c>
      <c r="F86" s="123">
        <v>2</v>
      </c>
      <c r="G86" s="123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  <c r="CF86" s="124"/>
      <c r="CG86" s="124"/>
      <c r="CH86" s="124"/>
      <c r="CI86" s="124"/>
      <c r="CJ86" s="124"/>
      <c r="CK86" s="124"/>
      <c r="CL86" s="124"/>
      <c r="CM86" s="124"/>
      <c r="CN86" s="124"/>
      <c r="CO86" s="124"/>
      <c r="CP86" s="124"/>
      <c r="CQ86" s="124"/>
      <c r="CR86" s="124"/>
      <c r="CS86" s="124"/>
      <c r="CT86" s="124"/>
      <c r="CU86" s="124"/>
      <c r="CV86" s="124"/>
      <c r="CW86" s="124"/>
      <c r="CX86" s="124"/>
      <c r="CY86" s="124"/>
      <c r="CZ86" s="124"/>
      <c r="DA86" s="124"/>
      <c r="DB86" s="124"/>
      <c r="DC86" s="124"/>
      <c r="DD86" s="124"/>
      <c r="DE86" s="124"/>
      <c r="DF86" s="124"/>
      <c r="DG86" s="124"/>
      <c r="DH86" s="124"/>
      <c r="DI86" s="124"/>
      <c r="DJ86" s="124"/>
      <c r="DK86" s="124"/>
      <c r="DL86" s="124"/>
      <c r="DM86" s="124"/>
      <c r="DN86" s="124"/>
      <c r="DO86" s="124"/>
      <c r="DP86" s="124"/>
      <c r="DQ86" s="124"/>
      <c r="DR86" s="124"/>
      <c r="DS86" s="124"/>
      <c r="DT86" s="124"/>
      <c r="DU86" s="122">
        <v>0.7</v>
      </c>
      <c r="DV86" s="132">
        <v>16</v>
      </c>
      <c r="DW86" s="131">
        <v>8</v>
      </c>
      <c r="DX86" s="132">
        <v>11</v>
      </c>
      <c r="DY86" s="131">
        <v>8</v>
      </c>
      <c r="DZ86" s="132">
        <v>13</v>
      </c>
      <c r="EA86" s="131">
        <v>8</v>
      </c>
      <c r="EB86" s="132">
        <v>17</v>
      </c>
      <c r="EC86" s="131">
        <v>8</v>
      </c>
      <c r="ED86" s="132">
        <v>14</v>
      </c>
      <c r="EE86" s="131">
        <v>8</v>
      </c>
      <c r="EF86" s="132">
        <v>13.6</v>
      </c>
      <c r="EG86" s="131">
        <v>8</v>
      </c>
      <c r="EH86" s="132">
        <v>17</v>
      </c>
      <c r="EI86" s="131">
        <v>8</v>
      </c>
      <c r="EJ86" s="132">
        <v>13</v>
      </c>
      <c r="EK86" s="131">
        <v>8</v>
      </c>
      <c r="EL86" s="132">
        <v>18</v>
      </c>
      <c r="EM86" s="131">
        <v>8</v>
      </c>
      <c r="EN86" s="132">
        <v>12</v>
      </c>
      <c r="EO86" s="131">
        <v>8</v>
      </c>
      <c r="EP86" s="132">
        <v>13</v>
      </c>
      <c r="EQ86" s="131">
        <v>8</v>
      </c>
      <c r="ER86" s="132">
        <v>14</v>
      </c>
      <c r="ES86" s="131">
        <v>8</v>
      </c>
      <c r="ET86" s="132">
        <v>12</v>
      </c>
      <c r="EU86" s="131">
        <v>8</v>
      </c>
      <c r="EV86" s="132">
        <v>18</v>
      </c>
      <c r="EW86" s="131">
        <v>8</v>
      </c>
      <c r="EX86" s="132">
        <v>15</v>
      </c>
      <c r="EY86" s="131">
        <v>8</v>
      </c>
      <c r="EZ86" s="132">
        <v>16</v>
      </c>
      <c r="FA86" s="131">
        <v>8</v>
      </c>
      <c r="FB86" s="132">
        <v>17</v>
      </c>
      <c r="FC86" s="131">
        <v>8</v>
      </c>
      <c r="FD86" s="132">
        <v>12</v>
      </c>
      <c r="FE86" s="131">
        <v>8</v>
      </c>
      <c r="FF86" s="132">
        <v>14</v>
      </c>
      <c r="FG86" s="131">
        <v>8</v>
      </c>
      <c r="FH86" s="132">
        <v>18</v>
      </c>
      <c r="FI86" s="131">
        <v>8</v>
      </c>
      <c r="FJ86" s="132">
        <v>12</v>
      </c>
      <c r="FK86" s="131">
        <v>8</v>
      </c>
      <c r="FL86" s="132">
        <v>15</v>
      </c>
      <c r="FM86" s="131">
        <v>8</v>
      </c>
      <c r="FN86" s="132">
        <v>11</v>
      </c>
      <c r="FO86" s="131">
        <v>8</v>
      </c>
      <c r="FP86" s="132">
        <v>11</v>
      </c>
      <c r="FQ86" s="131">
        <v>8</v>
      </c>
      <c r="FR86" s="132">
        <v>16</v>
      </c>
      <c r="FS86" s="131">
        <v>8</v>
      </c>
      <c r="FT86" s="132">
        <v>18</v>
      </c>
      <c r="FU86" s="131">
        <v>8</v>
      </c>
      <c r="FV86" s="132">
        <v>16</v>
      </c>
      <c r="FW86" s="131">
        <v>8</v>
      </c>
      <c r="FX86" s="132">
        <v>13</v>
      </c>
      <c r="FY86" s="131">
        <v>8</v>
      </c>
      <c r="FZ86" s="132">
        <v>10</v>
      </c>
      <c r="GA86" s="131">
        <v>8</v>
      </c>
      <c r="GB86" s="132">
        <v>13</v>
      </c>
      <c r="GC86" s="131">
        <v>8</v>
      </c>
      <c r="GD86" s="132">
        <v>12</v>
      </c>
      <c r="GE86" s="131">
        <v>8</v>
      </c>
      <c r="GF86" s="132">
        <v>14.6</v>
      </c>
      <c r="GG86" s="131">
        <v>8</v>
      </c>
      <c r="GH86" s="132">
        <v>13</v>
      </c>
      <c r="GI86" s="131">
        <v>8</v>
      </c>
      <c r="GJ86" s="132">
        <v>16</v>
      </c>
      <c r="GK86" s="131">
        <v>8</v>
      </c>
      <c r="GL86" s="132">
        <v>14</v>
      </c>
      <c r="GM86" s="131">
        <v>8</v>
      </c>
      <c r="GN86" s="132">
        <v>16</v>
      </c>
      <c r="GO86" s="131">
        <v>8</v>
      </c>
      <c r="GP86" s="132">
        <v>17</v>
      </c>
      <c r="GQ86" s="131">
        <v>8</v>
      </c>
      <c r="GR86" s="132">
        <v>17</v>
      </c>
      <c r="GS86" s="131">
        <v>8</v>
      </c>
      <c r="GT86" s="132">
        <v>16</v>
      </c>
      <c r="GU86" s="131">
        <v>8</v>
      </c>
      <c r="GV86" s="132">
        <v>12</v>
      </c>
      <c r="GW86" s="131">
        <v>8</v>
      </c>
      <c r="GX86" s="132">
        <v>13</v>
      </c>
      <c r="GY86" s="131">
        <v>8</v>
      </c>
      <c r="GZ86" s="132">
        <v>12</v>
      </c>
      <c r="HA86" s="131">
        <v>8</v>
      </c>
      <c r="HB86" s="132">
        <v>13</v>
      </c>
      <c r="HC86" s="131">
        <v>8</v>
      </c>
      <c r="HD86" s="132">
        <v>12</v>
      </c>
      <c r="HE86" s="131">
        <v>8</v>
      </c>
      <c r="HF86" s="132">
        <v>15</v>
      </c>
      <c r="HG86" s="131">
        <v>8</v>
      </c>
      <c r="HH86" s="132">
        <v>11</v>
      </c>
      <c r="HI86" s="131">
        <v>8</v>
      </c>
      <c r="HJ86" s="132">
        <v>16</v>
      </c>
      <c r="HK86" s="131">
        <v>8</v>
      </c>
      <c r="HL86" s="132">
        <v>11</v>
      </c>
      <c r="HM86" s="131">
        <v>8</v>
      </c>
      <c r="HN86" s="132">
        <v>12</v>
      </c>
      <c r="HO86" s="131">
        <v>8</v>
      </c>
      <c r="HP86" s="124"/>
      <c r="HQ86" s="124"/>
    </row>
    <row r="87" spans="1:225" x14ac:dyDescent="0.2">
      <c r="A87" s="122" t="s">
        <v>718</v>
      </c>
      <c r="B87" s="123">
        <v>39</v>
      </c>
      <c r="C87" s="124" t="s">
        <v>245</v>
      </c>
      <c r="D87" s="123">
        <v>78</v>
      </c>
      <c r="E87" s="124" t="s">
        <v>161</v>
      </c>
      <c r="F87" s="123">
        <v>3</v>
      </c>
      <c r="G87" s="123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  <c r="BJ87" s="124"/>
      <c r="BK87" s="124"/>
      <c r="BL87" s="124"/>
      <c r="BM87" s="124"/>
      <c r="BN87" s="124"/>
      <c r="BO87" s="124"/>
      <c r="BP87" s="124"/>
      <c r="BQ87" s="124"/>
      <c r="BR87" s="124"/>
      <c r="BS87" s="124"/>
      <c r="BT87" s="124"/>
      <c r="BU87" s="124"/>
      <c r="BV87" s="124"/>
      <c r="BW87" s="124"/>
      <c r="BX87" s="124"/>
      <c r="BY87" s="124"/>
      <c r="BZ87" s="124"/>
      <c r="CA87" s="124"/>
      <c r="CB87" s="124"/>
      <c r="CC87" s="124"/>
      <c r="CD87" s="124"/>
      <c r="CE87" s="124"/>
      <c r="CF87" s="124"/>
      <c r="CG87" s="124"/>
      <c r="CH87" s="124"/>
      <c r="CI87" s="124"/>
      <c r="CJ87" s="124"/>
      <c r="CK87" s="124"/>
      <c r="CL87" s="124"/>
      <c r="CM87" s="124"/>
      <c r="CN87" s="124"/>
      <c r="CO87" s="124"/>
      <c r="CP87" s="124"/>
      <c r="CQ87" s="124"/>
      <c r="CR87" s="124"/>
      <c r="CS87" s="124"/>
      <c r="CT87" s="124"/>
      <c r="CU87" s="124"/>
      <c r="CV87" s="124"/>
      <c r="CW87" s="124"/>
      <c r="CX87" s="124"/>
      <c r="CY87" s="124"/>
      <c r="CZ87" s="124"/>
      <c r="DA87" s="124"/>
      <c r="DB87" s="124"/>
      <c r="DC87" s="124"/>
      <c r="DD87" s="124"/>
      <c r="DE87" s="124"/>
      <c r="DF87" s="124"/>
      <c r="DG87" s="124"/>
      <c r="DH87" s="124"/>
      <c r="DI87" s="124"/>
      <c r="DJ87" s="124"/>
      <c r="DK87" s="124"/>
      <c r="DL87" s="124"/>
      <c r="DM87" s="124"/>
      <c r="DN87" s="124"/>
      <c r="DO87" s="124"/>
      <c r="DP87" s="124"/>
      <c r="DQ87" s="124"/>
      <c r="DR87" s="124"/>
      <c r="DS87" s="124"/>
      <c r="DT87" s="124"/>
      <c r="DU87" s="122">
        <v>0.8</v>
      </c>
      <c r="DV87" s="132">
        <v>16</v>
      </c>
      <c r="DW87" s="131">
        <v>9</v>
      </c>
      <c r="DX87" s="132">
        <v>12</v>
      </c>
      <c r="DY87" s="131">
        <v>9</v>
      </c>
      <c r="DZ87" s="132">
        <v>15</v>
      </c>
      <c r="EA87" s="131">
        <v>9</v>
      </c>
      <c r="EB87" s="132">
        <v>18</v>
      </c>
      <c r="EC87" s="131">
        <v>9</v>
      </c>
      <c r="ED87" s="132">
        <v>16</v>
      </c>
      <c r="EE87" s="131">
        <v>9</v>
      </c>
      <c r="EF87" s="132">
        <v>15</v>
      </c>
      <c r="EG87" s="131">
        <v>9</v>
      </c>
      <c r="EH87" s="132">
        <v>18</v>
      </c>
      <c r="EI87" s="131">
        <v>9</v>
      </c>
      <c r="EJ87" s="132">
        <v>15.4</v>
      </c>
      <c r="EK87" s="131">
        <v>9</v>
      </c>
      <c r="EL87" s="132">
        <v>20</v>
      </c>
      <c r="EM87" s="131">
        <v>9</v>
      </c>
      <c r="EN87" s="132">
        <v>14</v>
      </c>
      <c r="EO87" s="131">
        <v>9</v>
      </c>
      <c r="EP87" s="132">
        <v>14</v>
      </c>
      <c r="EQ87" s="131">
        <v>9</v>
      </c>
      <c r="ER87" s="132">
        <v>16</v>
      </c>
      <c r="ES87" s="131">
        <v>9</v>
      </c>
      <c r="ET87" s="132">
        <v>14</v>
      </c>
      <c r="EU87" s="131">
        <v>9</v>
      </c>
      <c r="EV87" s="132">
        <v>20</v>
      </c>
      <c r="EW87" s="131">
        <v>9</v>
      </c>
      <c r="EX87" s="132">
        <v>16</v>
      </c>
      <c r="EY87" s="131">
        <v>9</v>
      </c>
      <c r="EZ87" s="132">
        <v>17</v>
      </c>
      <c r="FA87" s="131">
        <v>9</v>
      </c>
      <c r="FB87" s="132">
        <v>18</v>
      </c>
      <c r="FC87" s="131">
        <v>9</v>
      </c>
      <c r="FD87" s="132">
        <v>14</v>
      </c>
      <c r="FE87" s="131">
        <v>9</v>
      </c>
      <c r="FF87" s="132">
        <v>16</v>
      </c>
      <c r="FG87" s="131">
        <v>9</v>
      </c>
      <c r="FH87" s="132">
        <v>19</v>
      </c>
      <c r="FI87" s="131">
        <v>9</v>
      </c>
      <c r="FJ87" s="132">
        <v>15</v>
      </c>
      <c r="FK87" s="131">
        <v>9</v>
      </c>
      <c r="FL87" s="132">
        <v>17</v>
      </c>
      <c r="FM87" s="131">
        <v>9</v>
      </c>
      <c r="FN87" s="132">
        <v>13</v>
      </c>
      <c r="FO87" s="131">
        <v>9</v>
      </c>
      <c r="FP87" s="132">
        <v>13</v>
      </c>
      <c r="FQ87" s="131">
        <v>9</v>
      </c>
      <c r="FR87" s="132">
        <v>18</v>
      </c>
      <c r="FS87" s="131">
        <v>9</v>
      </c>
      <c r="FT87" s="132">
        <v>19</v>
      </c>
      <c r="FU87" s="131">
        <v>9</v>
      </c>
      <c r="FV87" s="132">
        <v>18</v>
      </c>
      <c r="FW87" s="131">
        <v>9</v>
      </c>
      <c r="FX87" s="132">
        <v>15.4</v>
      </c>
      <c r="FY87" s="131">
        <v>9</v>
      </c>
      <c r="FZ87" s="132">
        <v>11</v>
      </c>
      <c r="GA87" s="131">
        <v>9</v>
      </c>
      <c r="GB87" s="132">
        <v>14</v>
      </c>
      <c r="GC87" s="131">
        <v>9</v>
      </c>
      <c r="GD87" s="132">
        <v>14</v>
      </c>
      <c r="GE87" s="131">
        <v>9</v>
      </c>
      <c r="GF87" s="132">
        <v>16</v>
      </c>
      <c r="GG87" s="131">
        <v>9</v>
      </c>
      <c r="GH87" s="132">
        <v>14</v>
      </c>
      <c r="GI87" s="131">
        <v>9</v>
      </c>
      <c r="GJ87" s="132">
        <v>17</v>
      </c>
      <c r="GK87" s="131">
        <v>9</v>
      </c>
      <c r="GL87" s="132">
        <v>16</v>
      </c>
      <c r="GM87" s="131">
        <v>9</v>
      </c>
      <c r="GN87" s="132">
        <v>18</v>
      </c>
      <c r="GO87" s="131">
        <v>9</v>
      </c>
      <c r="GP87" s="132">
        <v>18</v>
      </c>
      <c r="GQ87" s="131">
        <v>9</v>
      </c>
      <c r="GR87" s="132">
        <v>18</v>
      </c>
      <c r="GS87" s="131">
        <v>9</v>
      </c>
      <c r="GT87" s="132">
        <v>18</v>
      </c>
      <c r="GU87" s="131">
        <v>9</v>
      </c>
      <c r="GV87" s="132">
        <v>14</v>
      </c>
      <c r="GW87" s="131">
        <v>9</v>
      </c>
      <c r="GX87" s="132">
        <v>15</v>
      </c>
      <c r="GY87" s="131">
        <v>9</v>
      </c>
      <c r="GZ87" s="132">
        <v>14</v>
      </c>
      <c r="HA87" s="131">
        <v>9</v>
      </c>
      <c r="HB87" s="132">
        <v>14</v>
      </c>
      <c r="HC87" s="131">
        <v>9</v>
      </c>
      <c r="HD87" s="132">
        <v>14</v>
      </c>
      <c r="HE87" s="131">
        <v>9</v>
      </c>
      <c r="HF87" s="132">
        <v>17</v>
      </c>
      <c r="HG87" s="131">
        <v>9</v>
      </c>
      <c r="HH87" s="132">
        <v>14</v>
      </c>
      <c r="HI87" s="131">
        <v>9</v>
      </c>
      <c r="HJ87" s="132">
        <v>17</v>
      </c>
      <c r="HK87" s="131">
        <v>9</v>
      </c>
      <c r="HL87" s="132">
        <v>12</v>
      </c>
      <c r="HM87" s="131">
        <v>9</v>
      </c>
      <c r="HN87" s="132">
        <v>14</v>
      </c>
      <c r="HO87" s="131">
        <v>9</v>
      </c>
      <c r="HP87" s="124"/>
      <c r="HQ87" s="124"/>
    </row>
    <row r="88" spans="1:225" x14ac:dyDescent="0.2">
      <c r="A88" s="122" t="s">
        <v>719</v>
      </c>
      <c r="B88" s="123">
        <v>40</v>
      </c>
      <c r="C88" s="124" t="s">
        <v>246</v>
      </c>
      <c r="D88" s="123">
        <v>79</v>
      </c>
      <c r="E88" s="124" t="s">
        <v>161</v>
      </c>
      <c r="F88" s="123">
        <v>2</v>
      </c>
      <c r="G88" s="123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  <c r="BJ88" s="124"/>
      <c r="BK88" s="124"/>
      <c r="BL88" s="124"/>
      <c r="BM88" s="124"/>
      <c r="BN88" s="124"/>
      <c r="BO88" s="124"/>
      <c r="BP88" s="124"/>
      <c r="BQ88" s="124"/>
      <c r="BR88" s="124"/>
      <c r="BS88" s="124"/>
      <c r="BT88" s="124"/>
      <c r="BU88" s="124"/>
      <c r="BV88" s="124"/>
      <c r="BW88" s="124"/>
      <c r="BX88" s="124"/>
      <c r="BY88" s="124"/>
      <c r="BZ88" s="124"/>
      <c r="CA88" s="124"/>
      <c r="CB88" s="124"/>
      <c r="CC88" s="124"/>
      <c r="CD88" s="124"/>
      <c r="CE88" s="124"/>
      <c r="CF88" s="124"/>
      <c r="CG88" s="124"/>
      <c r="CH88" s="124"/>
      <c r="CI88" s="124"/>
      <c r="CJ88" s="124"/>
      <c r="CK88" s="124"/>
      <c r="CL88" s="124"/>
      <c r="CM88" s="124"/>
      <c r="CN88" s="124"/>
      <c r="CO88" s="124"/>
      <c r="CP88" s="124"/>
      <c r="CQ88" s="124"/>
      <c r="CR88" s="124"/>
      <c r="CS88" s="124"/>
      <c r="CT88" s="124"/>
      <c r="CU88" s="124"/>
      <c r="CV88" s="124"/>
      <c r="CW88" s="124"/>
      <c r="CX88" s="124"/>
      <c r="CY88" s="124"/>
      <c r="CZ88" s="124"/>
      <c r="DA88" s="124"/>
      <c r="DB88" s="124"/>
      <c r="DC88" s="124"/>
      <c r="DD88" s="124"/>
      <c r="DE88" s="124"/>
      <c r="DF88" s="124"/>
      <c r="DG88" s="124"/>
      <c r="DH88" s="124"/>
      <c r="DI88" s="124"/>
      <c r="DJ88" s="124"/>
      <c r="DK88" s="124"/>
      <c r="DL88" s="124"/>
      <c r="DM88" s="124"/>
      <c r="DN88" s="124"/>
      <c r="DO88" s="124"/>
      <c r="DP88" s="124"/>
      <c r="DQ88" s="124"/>
      <c r="DR88" s="124"/>
      <c r="DS88" s="124"/>
      <c r="DT88" s="124"/>
      <c r="DU88" s="122">
        <v>0.9</v>
      </c>
      <c r="DV88" s="132">
        <v>19</v>
      </c>
      <c r="DW88" s="131">
        <v>10</v>
      </c>
      <c r="DX88" s="132">
        <v>15</v>
      </c>
      <c r="DY88" s="131">
        <v>10</v>
      </c>
      <c r="DZ88" s="132">
        <v>17</v>
      </c>
      <c r="EA88" s="131">
        <v>10</v>
      </c>
      <c r="EB88" s="132">
        <v>21</v>
      </c>
      <c r="EC88" s="131">
        <v>10</v>
      </c>
      <c r="ED88" s="132">
        <v>17.2</v>
      </c>
      <c r="EE88" s="131">
        <v>10</v>
      </c>
      <c r="EF88" s="132">
        <v>17</v>
      </c>
      <c r="EG88" s="131">
        <v>10</v>
      </c>
      <c r="EH88" s="132">
        <v>19</v>
      </c>
      <c r="EI88" s="131">
        <v>10</v>
      </c>
      <c r="EJ88" s="132">
        <v>17</v>
      </c>
      <c r="EK88" s="131">
        <v>10</v>
      </c>
      <c r="EL88" s="132">
        <v>21</v>
      </c>
      <c r="EM88" s="131">
        <v>10</v>
      </c>
      <c r="EN88" s="132">
        <v>17</v>
      </c>
      <c r="EO88" s="131">
        <v>10</v>
      </c>
      <c r="EP88" s="132">
        <v>16.2</v>
      </c>
      <c r="EQ88" s="131">
        <v>10</v>
      </c>
      <c r="ER88" s="132">
        <v>18</v>
      </c>
      <c r="ES88" s="131">
        <v>10</v>
      </c>
      <c r="ET88" s="132">
        <v>17</v>
      </c>
      <c r="EU88" s="131">
        <v>10</v>
      </c>
      <c r="EV88" s="132">
        <v>22</v>
      </c>
      <c r="EW88" s="131">
        <v>10</v>
      </c>
      <c r="EX88" s="132">
        <v>19</v>
      </c>
      <c r="EY88" s="131">
        <v>10</v>
      </c>
      <c r="EZ88" s="132">
        <v>19</v>
      </c>
      <c r="FA88" s="131">
        <v>10</v>
      </c>
      <c r="FB88" s="132">
        <v>20</v>
      </c>
      <c r="FC88" s="131">
        <v>10</v>
      </c>
      <c r="FD88" s="132">
        <v>16</v>
      </c>
      <c r="FE88" s="131">
        <v>10</v>
      </c>
      <c r="FF88" s="132">
        <v>18</v>
      </c>
      <c r="FG88" s="131">
        <v>10</v>
      </c>
      <c r="FH88" s="132">
        <v>21</v>
      </c>
      <c r="FI88" s="131">
        <v>10</v>
      </c>
      <c r="FJ88" s="132">
        <v>17</v>
      </c>
      <c r="FK88" s="131">
        <v>10</v>
      </c>
      <c r="FL88" s="132">
        <v>18</v>
      </c>
      <c r="FM88" s="131">
        <v>10</v>
      </c>
      <c r="FN88" s="132">
        <v>14.2</v>
      </c>
      <c r="FO88" s="131">
        <v>10</v>
      </c>
      <c r="FP88" s="132">
        <v>15</v>
      </c>
      <c r="FQ88" s="131">
        <v>10</v>
      </c>
      <c r="FR88" s="132">
        <v>18</v>
      </c>
      <c r="FS88" s="131">
        <v>10</v>
      </c>
      <c r="FT88" s="132">
        <v>21</v>
      </c>
      <c r="FU88" s="131">
        <v>10</v>
      </c>
      <c r="FV88" s="132">
        <v>20</v>
      </c>
      <c r="FW88" s="131">
        <v>10</v>
      </c>
      <c r="FX88" s="132">
        <v>17</v>
      </c>
      <c r="FY88" s="131">
        <v>10</v>
      </c>
      <c r="FZ88" s="132">
        <v>14</v>
      </c>
      <c r="GA88" s="131">
        <v>10</v>
      </c>
      <c r="GB88" s="132">
        <v>16</v>
      </c>
      <c r="GC88" s="131">
        <v>10</v>
      </c>
      <c r="GD88" s="132">
        <v>15</v>
      </c>
      <c r="GE88" s="131">
        <v>10</v>
      </c>
      <c r="GF88" s="132">
        <v>18</v>
      </c>
      <c r="GG88" s="131">
        <v>10</v>
      </c>
      <c r="GH88" s="132">
        <v>16</v>
      </c>
      <c r="GI88" s="131">
        <v>10</v>
      </c>
      <c r="GJ88" s="132">
        <v>19</v>
      </c>
      <c r="GK88" s="131">
        <v>10</v>
      </c>
      <c r="GL88" s="132">
        <v>16</v>
      </c>
      <c r="GM88" s="131">
        <v>10</v>
      </c>
      <c r="GN88" s="132">
        <v>19</v>
      </c>
      <c r="GO88" s="131">
        <v>10</v>
      </c>
      <c r="GP88" s="132">
        <v>20</v>
      </c>
      <c r="GQ88" s="131">
        <v>10</v>
      </c>
      <c r="GR88" s="132">
        <v>20</v>
      </c>
      <c r="GS88" s="131">
        <v>10</v>
      </c>
      <c r="GT88" s="132">
        <v>19.2</v>
      </c>
      <c r="GU88" s="131">
        <v>10</v>
      </c>
      <c r="GV88" s="132">
        <v>17</v>
      </c>
      <c r="GW88" s="131">
        <v>10</v>
      </c>
      <c r="GX88" s="132">
        <v>17</v>
      </c>
      <c r="GY88" s="131">
        <v>10</v>
      </c>
      <c r="GZ88" s="132">
        <v>17</v>
      </c>
      <c r="HA88" s="131">
        <v>10</v>
      </c>
      <c r="HB88" s="132">
        <v>16</v>
      </c>
      <c r="HC88" s="131">
        <v>10</v>
      </c>
      <c r="HD88" s="132">
        <v>15.2</v>
      </c>
      <c r="HE88" s="131">
        <v>10</v>
      </c>
      <c r="HF88" s="132">
        <v>19</v>
      </c>
      <c r="HG88" s="131">
        <v>10</v>
      </c>
      <c r="HH88" s="132">
        <v>15</v>
      </c>
      <c r="HI88" s="131">
        <v>10</v>
      </c>
      <c r="HJ88" s="132">
        <v>18</v>
      </c>
      <c r="HK88" s="131">
        <v>10</v>
      </c>
      <c r="HL88" s="132">
        <v>14</v>
      </c>
      <c r="HM88" s="131">
        <v>10</v>
      </c>
      <c r="HN88" s="132">
        <v>17</v>
      </c>
      <c r="HO88" s="131">
        <v>10</v>
      </c>
      <c r="HP88" s="124"/>
      <c r="HQ88" s="124"/>
    </row>
    <row r="89" spans="1:225" x14ac:dyDescent="0.2">
      <c r="A89" s="122" t="s">
        <v>720</v>
      </c>
      <c r="B89" s="123">
        <v>40</v>
      </c>
      <c r="C89" s="124" t="s">
        <v>247</v>
      </c>
      <c r="D89" s="123">
        <v>80</v>
      </c>
      <c r="E89" s="124" t="s">
        <v>161</v>
      </c>
      <c r="F89" s="123">
        <v>2</v>
      </c>
      <c r="G89" s="123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24"/>
      <c r="BK89" s="124"/>
      <c r="BL89" s="124"/>
      <c r="BM89" s="124"/>
      <c r="BN89" s="124"/>
      <c r="BO89" s="124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4"/>
      <c r="CD89" s="124"/>
      <c r="CE89" s="124"/>
      <c r="CF89" s="124"/>
      <c r="CG89" s="124"/>
      <c r="CH89" s="124"/>
      <c r="CI89" s="124"/>
      <c r="CJ89" s="124"/>
      <c r="CK89" s="124"/>
      <c r="CL89" s="124"/>
      <c r="CM89" s="124"/>
      <c r="CN89" s="124"/>
      <c r="CO89" s="124"/>
      <c r="CP89" s="124"/>
      <c r="CQ89" s="124"/>
      <c r="CR89" s="124"/>
      <c r="CS89" s="124"/>
      <c r="CT89" s="124"/>
      <c r="CU89" s="124"/>
      <c r="CV89" s="124"/>
      <c r="CW89" s="124"/>
      <c r="CX89" s="124"/>
      <c r="CY89" s="124"/>
      <c r="CZ89" s="124"/>
      <c r="DA89" s="124"/>
      <c r="DB89" s="124"/>
      <c r="DC89" s="124"/>
      <c r="DD89" s="124"/>
      <c r="DE89" s="124"/>
      <c r="DF89" s="124"/>
      <c r="DG89" s="124"/>
      <c r="DH89" s="124"/>
      <c r="DI89" s="124"/>
      <c r="DJ89" s="124"/>
      <c r="DK89" s="124"/>
      <c r="DL89" s="124"/>
      <c r="DM89" s="124"/>
      <c r="DN89" s="124"/>
      <c r="DO89" s="124"/>
      <c r="DP89" s="124"/>
      <c r="DQ89" s="124"/>
      <c r="DR89" s="124"/>
      <c r="DS89" s="124"/>
      <c r="DT89" s="124"/>
      <c r="DU89" s="124"/>
      <c r="DV89" s="124"/>
      <c r="DW89" s="124"/>
      <c r="DX89" s="124"/>
      <c r="DY89" s="124"/>
      <c r="DZ89" s="124"/>
      <c r="EA89" s="124"/>
      <c r="EB89" s="124"/>
      <c r="EC89" s="124"/>
      <c r="ED89" s="124"/>
      <c r="EE89" s="124"/>
      <c r="EF89" s="124"/>
      <c r="EG89" s="124"/>
      <c r="EH89" s="124"/>
      <c r="EI89" s="124"/>
      <c r="EJ89" s="124"/>
      <c r="EK89" s="124"/>
      <c r="EL89" s="124"/>
      <c r="EM89" s="124"/>
      <c r="EN89" s="124"/>
      <c r="EO89" s="124"/>
      <c r="EP89" s="124"/>
      <c r="EQ89" s="124"/>
      <c r="ER89" s="124"/>
      <c r="ES89" s="124"/>
      <c r="ET89" s="124"/>
      <c r="EU89" s="124"/>
      <c r="EV89" s="124"/>
      <c r="EW89" s="124"/>
      <c r="EX89" s="124"/>
      <c r="EY89" s="124"/>
      <c r="EZ89" s="124"/>
      <c r="FA89" s="124"/>
      <c r="FB89" s="124"/>
      <c r="FC89" s="124"/>
      <c r="FD89" s="124"/>
      <c r="FE89" s="124"/>
      <c r="FF89" s="124"/>
      <c r="FG89" s="124"/>
      <c r="FH89" s="124"/>
      <c r="FI89" s="124"/>
      <c r="FJ89" s="124"/>
      <c r="FK89" s="124"/>
      <c r="FL89" s="124"/>
      <c r="FM89" s="124"/>
      <c r="FN89" s="124"/>
      <c r="FO89" s="124"/>
      <c r="FP89" s="124"/>
      <c r="FQ89" s="124"/>
      <c r="FR89" s="124"/>
      <c r="FS89" s="124"/>
      <c r="FT89" s="124"/>
      <c r="FU89" s="124"/>
      <c r="FV89" s="124"/>
      <c r="FW89" s="124"/>
      <c r="FX89" s="124"/>
      <c r="FY89" s="124"/>
      <c r="FZ89" s="124"/>
      <c r="GA89" s="124"/>
      <c r="GB89" s="124"/>
      <c r="GC89" s="124"/>
      <c r="GD89" s="124"/>
      <c r="GE89" s="124"/>
      <c r="GF89" s="124"/>
      <c r="GG89" s="124"/>
      <c r="GH89" s="124"/>
      <c r="GI89" s="124"/>
      <c r="GJ89" s="124"/>
      <c r="GK89" s="124"/>
      <c r="GL89" s="124"/>
      <c r="GM89" s="124"/>
      <c r="GN89" s="124"/>
      <c r="GO89" s="124"/>
      <c r="GP89" s="124"/>
      <c r="GQ89" s="124"/>
      <c r="GR89" s="124"/>
      <c r="GS89" s="124"/>
      <c r="GT89" s="124"/>
      <c r="GU89" s="124"/>
      <c r="GV89" s="124"/>
      <c r="GW89" s="124"/>
      <c r="GX89" s="124"/>
      <c r="GY89" s="124"/>
      <c r="GZ89" s="124"/>
      <c r="HA89" s="124"/>
      <c r="HB89" s="124"/>
      <c r="HC89" s="124"/>
      <c r="HD89" s="124"/>
      <c r="HE89" s="124"/>
      <c r="HF89" s="124"/>
      <c r="HG89" s="124"/>
      <c r="HH89" s="124"/>
      <c r="HI89" s="124"/>
      <c r="HJ89" s="124"/>
      <c r="HK89" s="124"/>
      <c r="HL89" s="124"/>
      <c r="HM89" s="124"/>
      <c r="HN89" s="124"/>
      <c r="HO89" s="124"/>
      <c r="HP89" s="124"/>
      <c r="HQ89" s="124"/>
    </row>
    <row r="90" spans="1:225" x14ac:dyDescent="0.2">
      <c r="A90" s="122" t="s">
        <v>721</v>
      </c>
      <c r="B90" s="123">
        <v>41</v>
      </c>
      <c r="C90" s="124" t="s">
        <v>248</v>
      </c>
      <c r="D90" s="123">
        <v>81</v>
      </c>
      <c r="E90" s="124" t="s">
        <v>161</v>
      </c>
      <c r="F90" s="123">
        <v>4</v>
      </c>
      <c r="G90" s="123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  <c r="BK90" s="124"/>
      <c r="BL90" s="124"/>
      <c r="BM90" s="124"/>
      <c r="BN90" s="124"/>
      <c r="BO90" s="124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4"/>
      <c r="CD90" s="124"/>
      <c r="CE90" s="124"/>
      <c r="CF90" s="124"/>
      <c r="CG90" s="124"/>
      <c r="CH90" s="124"/>
      <c r="CI90" s="124"/>
      <c r="CJ90" s="124"/>
      <c r="CK90" s="124"/>
      <c r="CL90" s="124"/>
      <c r="CM90" s="124"/>
      <c r="CN90" s="124"/>
      <c r="CO90" s="124"/>
      <c r="CP90" s="124"/>
      <c r="CQ90" s="124"/>
      <c r="CR90" s="124"/>
      <c r="CS90" s="124"/>
      <c r="CT90" s="124"/>
      <c r="CU90" s="124"/>
      <c r="CV90" s="124"/>
      <c r="CW90" s="124"/>
      <c r="CX90" s="124"/>
      <c r="CY90" s="124"/>
      <c r="CZ90" s="124"/>
      <c r="DA90" s="124"/>
      <c r="DB90" s="124"/>
      <c r="DC90" s="124"/>
      <c r="DD90" s="124"/>
      <c r="DE90" s="124"/>
      <c r="DF90" s="124"/>
      <c r="DG90" s="124"/>
      <c r="DH90" s="124"/>
      <c r="DI90" s="124"/>
      <c r="DJ90" s="124"/>
      <c r="DK90" s="124"/>
      <c r="DL90" s="124"/>
      <c r="DM90" s="124"/>
      <c r="DN90" s="124"/>
      <c r="DO90" s="124"/>
      <c r="DP90" s="124"/>
      <c r="DQ90" s="124"/>
      <c r="DR90" s="124"/>
      <c r="DS90" s="124"/>
      <c r="DT90" s="124"/>
      <c r="DU90" s="124"/>
      <c r="DV90" s="128"/>
      <c r="DW90" s="130"/>
      <c r="DX90" s="128"/>
      <c r="DY90" s="130"/>
      <c r="DZ90" s="128"/>
      <c r="EA90" s="130"/>
      <c r="EB90" s="128"/>
      <c r="EC90" s="130"/>
      <c r="ED90" s="128"/>
      <c r="EE90" s="130"/>
      <c r="EF90" s="128"/>
      <c r="EG90" s="130"/>
      <c r="EH90" s="128"/>
      <c r="EI90" s="130"/>
      <c r="EJ90" s="128"/>
      <c r="EK90" s="130"/>
      <c r="EL90" s="128"/>
      <c r="EM90" s="130"/>
      <c r="EN90" s="128"/>
      <c r="EO90" s="130"/>
      <c r="EP90" s="128"/>
      <c r="EQ90" s="130"/>
      <c r="ER90" s="128"/>
      <c r="ES90" s="130"/>
      <c r="ET90" s="128"/>
      <c r="EU90" s="130"/>
      <c r="EV90" s="128"/>
      <c r="EW90" s="130"/>
      <c r="EX90" s="128"/>
      <c r="EY90" s="130"/>
      <c r="EZ90" s="128"/>
      <c r="FA90" s="128"/>
      <c r="FB90" s="128"/>
      <c r="FC90" s="130"/>
      <c r="FD90" s="128"/>
      <c r="FE90" s="130"/>
      <c r="FF90" s="128"/>
      <c r="FG90" s="130"/>
      <c r="FH90" s="128"/>
      <c r="FI90" s="128"/>
      <c r="FJ90" s="128"/>
      <c r="FK90" s="130"/>
      <c r="FL90" s="128"/>
      <c r="FM90" s="130"/>
      <c r="FN90" s="128"/>
      <c r="FO90" s="130"/>
      <c r="FP90" s="128"/>
      <c r="FQ90" s="130"/>
      <c r="FR90" s="128"/>
      <c r="FS90" s="130"/>
      <c r="FT90" s="128"/>
      <c r="FU90" s="130"/>
      <c r="FV90" s="128"/>
      <c r="FW90" s="130"/>
      <c r="FX90" s="128"/>
      <c r="FY90" s="130"/>
      <c r="FZ90" s="128"/>
      <c r="GA90" s="130"/>
      <c r="GB90" s="128"/>
      <c r="GC90" s="130"/>
      <c r="GD90" s="128"/>
      <c r="GE90" s="130"/>
      <c r="GF90" s="128"/>
      <c r="GG90" s="130"/>
      <c r="GH90" s="128"/>
      <c r="GI90" s="124"/>
      <c r="GJ90" s="124"/>
      <c r="GK90" s="124"/>
      <c r="GL90" s="124"/>
      <c r="GM90" s="124"/>
      <c r="GN90" s="124"/>
      <c r="GO90" s="124"/>
      <c r="GP90" s="124"/>
      <c r="GQ90" s="124"/>
      <c r="GR90" s="124"/>
      <c r="GS90" s="124"/>
      <c r="GT90" s="124"/>
      <c r="GU90" s="124"/>
      <c r="GV90" s="124"/>
      <c r="GW90" s="124"/>
      <c r="GX90" s="124"/>
      <c r="GY90" s="124"/>
      <c r="GZ90" s="124"/>
      <c r="HA90" s="124"/>
      <c r="HB90" s="124"/>
      <c r="HC90" s="124"/>
      <c r="HD90" s="124"/>
      <c r="HE90" s="124"/>
      <c r="HF90" s="124"/>
      <c r="HG90" s="124"/>
      <c r="HH90" s="124"/>
      <c r="HI90" s="124"/>
      <c r="HJ90" s="124"/>
      <c r="HK90" s="124"/>
      <c r="HL90" s="124"/>
      <c r="HM90" s="124"/>
      <c r="HN90" s="124"/>
      <c r="HO90" s="124"/>
      <c r="HP90" s="124"/>
      <c r="HQ90" s="124"/>
    </row>
    <row r="91" spans="1:225" x14ac:dyDescent="0.2">
      <c r="A91" s="122" t="s">
        <v>722</v>
      </c>
      <c r="B91" s="123">
        <v>41</v>
      </c>
      <c r="C91" s="124" t="s">
        <v>249</v>
      </c>
      <c r="D91" s="123">
        <v>82</v>
      </c>
      <c r="E91" s="124" t="s">
        <v>161</v>
      </c>
      <c r="F91" s="123">
        <v>5</v>
      </c>
      <c r="G91" s="123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4"/>
      <c r="CD91" s="124"/>
      <c r="CE91" s="124"/>
      <c r="CF91" s="124"/>
      <c r="CG91" s="124"/>
      <c r="CH91" s="124"/>
      <c r="CI91" s="124"/>
      <c r="CJ91" s="124"/>
      <c r="CK91" s="124"/>
      <c r="CL91" s="124"/>
      <c r="CM91" s="124"/>
      <c r="CN91" s="124"/>
      <c r="CO91" s="124"/>
      <c r="CP91" s="124"/>
      <c r="CQ91" s="124"/>
      <c r="CR91" s="124"/>
      <c r="CS91" s="124"/>
      <c r="CT91" s="124"/>
      <c r="CU91" s="124"/>
      <c r="CV91" s="124"/>
      <c r="CW91" s="124"/>
      <c r="CX91" s="124"/>
      <c r="CY91" s="124"/>
      <c r="CZ91" s="124"/>
      <c r="DA91" s="124"/>
      <c r="DB91" s="124"/>
      <c r="DC91" s="124"/>
      <c r="DD91" s="124"/>
      <c r="DE91" s="124"/>
      <c r="DF91" s="124"/>
      <c r="DG91" s="124"/>
      <c r="DH91" s="124"/>
      <c r="DI91" s="124"/>
      <c r="DJ91" s="124"/>
      <c r="DK91" s="124"/>
      <c r="DL91" s="124"/>
      <c r="DM91" s="124"/>
      <c r="DN91" s="124"/>
      <c r="DO91" s="124"/>
      <c r="DP91" s="124"/>
      <c r="DQ91" s="124"/>
      <c r="DR91" s="124"/>
      <c r="DS91" s="124"/>
      <c r="DT91" s="124"/>
      <c r="DU91" s="122"/>
      <c r="DV91" s="128" t="s">
        <v>76</v>
      </c>
      <c r="DW91" s="128"/>
      <c r="DX91" s="128" t="s">
        <v>78</v>
      </c>
      <c r="DY91" s="128"/>
      <c r="DZ91" s="128" t="s">
        <v>79</v>
      </c>
      <c r="EA91" s="128"/>
      <c r="EB91" s="128" t="s">
        <v>14</v>
      </c>
      <c r="EC91" s="128"/>
      <c r="ED91" s="128" t="s">
        <v>89</v>
      </c>
      <c r="EE91" s="128"/>
      <c r="EF91" s="128" t="s">
        <v>91</v>
      </c>
      <c r="EG91" s="128"/>
      <c r="EH91" s="128" t="s">
        <v>88</v>
      </c>
      <c r="EI91" s="128"/>
      <c r="EJ91" s="128" t="s">
        <v>66</v>
      </c>
      <c r="EK91" s="128"/>
      <c r="EL91" s="128" t="s">
        <v>515</v>
      </c>
      <c r="EM91" s="128"/>
      <c r="EN91" s="128" t="s">
        <v>508</v>
      </c>
      <c r="EO91" s="128"/>
      <c r="EP91" s="128" t="s">
        <v>83</v>
      </c>
      <c r="EQ91" s="128"/>
      <c r="ER91" s="128" t="s">
        <v>105</v>
      </c>
      <c r="ES91" s="128"/>
      <c r="ET91" s="128" t="s">
        <v>42</v>
      </c>
      <c r="EU91" s="128"/>
      <c r="EV91" s="128" t="s">
        <v>74</v>
      </c>
      <c r="EW91" s="128"/>
      <c r="EX91" s="128" t="s">
        <v>5</v>
      </c>
      <c r="EY91" s="128"/>
      <c r="EZ91" s="128" t="s">
        <v>22</v>
      </c>
      <c r="FA91" s="128"/>
      <c r="FB91" s="128" t="s">
        <v>27</v>
      </c>
      <c r="FC91" s="128"/>
      <c r="FD91" s="128" t="s">
        <v>523</v>
      </c>
      <c r="FE91" s="128"/>
      <c r="FF91" s="128" t="s">
        <v>19</v>
      </c>
      <c r="FG91" s="128"/>
      <c r="FH91" s="128" t="s">
        <v>82</v>
      </c>
      <c r="FI91" s="128"/>
      <c r="FJ91" s="128" t="s">
        <v>81</v>
      </c>
      <c r="FK91" s="128"/>
      <c r="FL91" s="128" t="s">
        <v>47</v>
      </c>
      <c r="FM91" s="128"/>
      <c r="FN91" s="128" t="s">
        <v>86</v>
      </c>
      <c r="FO91" s="128"/>
      <c r="FP91" s="128" t="s">
        <v>92</v>
      </c>
      <c r="FQ91" s="128"/>
      <c r="FR91" s="128" t="s">
        <v>59</v>
      </c>
      <c r="FS91" s="128"/>
      <c r="FT91" s="128" t="s">
        <v>84</v>
      </c>
      <c r="FU91" s="128"/>
      <c r="FV91" s="128" t="s">
        <v>97</v>
      </c>
      <c r="FW91" s="128"/>
      <c r="FX91" s="128" t="s">
        <v>101</v>
      </c>
      <c r="FY91" s="128"/>
      <c r="FZ91" s="128" t="s">
        <v>56</v>
      </c>
      <c r="GA91" s="128"/>
      <c r="GB91" s="128" t="s">
        <v>63</v>
      </c>
      <c r="GC91" s="128"/>
      <c r="GD91" s="128" t="s">
        <v>35</v>
      </c>
      <c r="GE91" s="128"/>
      <c r="GF91" s="128" t="s">
        <v>94</v>
      </c>
      <c r="GG91" s="128"/>
      <c r="GH91" s="128" t="s">
        <v>110</v>
      </c>
      <c r="GI91" s="122"/>
      <c r="GJ91" s="135" t="s">
        <v>511</v>
      </c>
      <c r="GK91" s="135"/>
      <c r="GL91" s="135" t="s">
        <v>46</v>
      </c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4"/>
      <c r="HO91" s="124"/>
      <c r="HP91" s="122"/>
      <c r="HQ91" s="124"/>
    </row>
    <row r="92" spans="1:225" x14ac:dyDescent="0.2">
      <c r="A92" s="122" t="s">
        <v>723</v>
      </c>
      <c r="B92" s="123">
        <v>42</v>
      </c>
      <c r="C92" s="124" t="s">
        <v>250</v>
      </c>
      <c r="D92" s="123">
        <v>83</v>
      </c>
      <c r="E92" s="124" t="s">
        <v>161</v>
      </c>
      <c r="F92" s="123">
        <v>3</v>
      </c>
      <c r="G92" s="123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  <c r="CU92" s="124"/>
      <c r="CV92" s="124"/>
      <c r="CW92" s="124"/>
      <c r="CX92" s="124"/>
      <c r="CY92" s="124"/>
      <c r="CZ92" s="124"/>
      <c r="DA92" s="124"/>
      <c r="DB92" s="124"/>
      <c r="DC92" s="124"/>
      <c r="DD92" s="124"/>
      <c r="DE92" s="124"/>
      <c r="DF92" s="124"/>
      <c r="DG92" s="124"/>
      <c r="DH92" s="124"/>
      <c r="DI92" s="124"/>
      <c r="DJ92" s="124"/>
      <c r="DK92" s="124"/>
      <c r="DL92" s="124"/>
      <c r="DM92" s="124"/>
      <c r="DN92" s="124"/>
      <c r="DO92" s="124"/>
      <c r="DP92" s="124"/>
      <c r="DQ92" s="124"/>
      <c r="DR92" s="124"/>
      <c r="DS92" s="124"/>
      <c r="DT92" s="124"/>
      <c r="DU92" s="122">
        <v>0</v>
      </c>
      <c r="DV92" s="136">
        <v>0</v>
      </c>
      <c r="DW92" s="131">
        <v>1</v>
      </c>
      <c r="DX92" s="123">
        <v>0</v>
      </c>
      <c r="DY92" s="131">
        <v>1</v>
      </c>
      <c r="DZ92" s="123">
        <v>0</v>
      </c>
      <c r="EA92" s="131">
        <v>1</v>
      </c>
      <c r="EB92" s="123">
        <v>0</v>
      </c>
      <c r="EC92" s="131">
        <v>1</v>
      </c>
      <c r="ED92" s="123">
        <v>0</v>
      </c>
      <c r="EE92" s="131">
        <v>1</v>
      </c>
      <c r="EF92" s="123">
        <v>0</v>
      </c>
      <c r="EG92" s="131">
        <v>1</v>
      </c>
      <c r="EH92" s="123">
        <v>0</v>
      </c>
      <c r="EI92" s="131">
        <v>1</v>
      </c>
      <c r="EJ92" s="123">
        <v>0</v>
      </c>
      <c r="EK92" s="131">
        <v>1</v>
      </c>
      <c r="EL92" s="123">
        <v>0</v>
      </c>
      <c r="EM92" s="131">
        <v>1</v>
      </c>
      <c r="EN92" s="123">
        <v>0</v>
      </c>
      <c r="EO92" s="131">
        <v>1</v>
      </c>
      <c r="EP92" s="123">
        <v>0</v>
      </c>
      <c r="EQ92" s="131">
        <v>1</v>
      </c>
      <c r="ER92" s="123">
        <v>0</v>
      </c>
      <c r="ES92" s="131">
        <v>1</v>
      </c>
      <c r="ET92" s="123">
        <v>0</v>
      </c>
      <c r="EU92" s="131">
        <v>1</v>
      </c>
      <c r="EV92" s="123">
        <v>0</v>
      </c>
      <c r="EW92" s="131">
        <v>1</v>
      </c>
      <c r="EX92" s="123">
        <v>0</v>
      </c>
      <c r="EY92" s="131">
        <v>1</v>
      </c>
      <c r="EZ92" s="123">
        <v>0</v>
      </c>
      <c r="FA92" s="131">
        <v>1</v>
      </c>
      <c r="FB92" s="123">
        <v>0</v>
      </c>
      <c r="FC92" s="131">
        <v>1</v>
      </c>
      <c r="FD92" s="123">
        <v>0</v>
      </c>
      <c r="FE92" s="131">
        <v>1</v>
      </c>
      <c r="FF92" s="123">
        <v>0</v>
      </c>
      <c r="FG92" s="131">
        <v>1</v>
      </c>
      <c r="FH92" s="123">
        <v>0</v>
      </c>
      <c r="FI92" s="131">
        <v>1</v>
      </c>
      <c r="FJ92" s="123">
        <v>0</v>
      </c>
      <c r="FK92" s="131">
        <v>1</v>
      </c>
      <c r="FL92" s="123">
        <v>0</v>
      </c>
      <c r="FM92" s="131">
        <v>1</v>
      </c>
      <c r="FN92" s="123">
        <v>0</v>
      </c>
      <c r="FO92" s="131">
        <v>1</v>
      </c>
      <c r="FP92" s="123">
        <v>0</v>
      </c>
      <c r="FQ92" s="131">
        <v>1</v>
      </c>
      <c r="FR92" s="123">
        <v>0</v>
      </c>
      <c r="FS92" s="131">
        <v>1</v>
      </c>
      <c r="FT92" s="123">
        <v>0</v>
      </c>
      <c r="FU92" s="131">
        <v>1</v>
      </c>
      <c r="FV92" s="123">
        <v>0</v>
      </c>
      <c r="FW92" s="131">
        <v>1</v>
      </c>
      <c r="FX92" s="123">
        <v>0</v>
      </c>
      <c r="FY92" s="131">
        <v>1</v>
      </c>
      <c r="FZ92" s="123">
        <v>0</v>
      </c>
      <c r="GA92" s="131">
        <v>1</v>
      </c>
      <c r="GB92" s="123">
        <v>0</v>
      </c>
      <c r="GC92" s="131">
        <v>1</v>
      </c>
      <c r="GD92" s="123">
        <v>0</v>
      </c>
      <c r="GE92" s="131">
        <v>1</v>
      </c>
      <c r="GF92" s="123">
        <v>0</v>
      </c>
      <c r="GG92" s="131">
        <v>1</v>
      </c>
      <c r="GH92" s="123">
        <v>0</v>
      </c>
      <c r="GI92" s="131">
        <v>1</v>
      </c>
      <c r="GJ92" s="131">
        <v>0</v>
      </c>
      <c r="GK92" s="131">
        <v>1</v>
      </c>
      <c r="GL92" s="131">
        <v>0</v>
      </c>
      <c r="GM92" s="131">
        <v>1</v>
      </c>
      <c r="GN92" s="124"/>
      <c r="GO92" s="124"/>
      <c r="GP92" s="124"/>
      <c r="GQ92" s="124"/>
      <c r="GR92" s="124"/>
      <c r="GS92" s="124"/>
      <c r="GT92" s="124"/>
      <c r="GU92" s="124"/>
      <c r="GV92" s="124"/>
      <c r="GW92" s="124"/>
      <c r="GX92" s="124"/>
      <c r="GY92" s="124"/>
      <c r="GZ92" s="124"/>
      <c r="HA92" s="124"/>
      <c r="HB92" s="124"/>
      <c r="HC92" s="124"/>
      <c r="HD92" s="124"/>
      <c r="HE92" s="124"/>
      <c r="HF92" s="124"/>
      <c r="HG92" s="124"/>
      <c r="HH92" s="124"/>
      <c r="HI92" s="124"/>
      <c r="HJ92" s="124"/>
      <c r="HK92" s="124"/>
      <c r="HL92" s="124"/>
      <c r="HM92" s="124"/>
      <c r="HN92" s="124"/>
      <c r="HO92" s="124"/>
      <c r="HP92" s="124"/>
      <c r="HQ92" s="124"/>
    </row>
    <row r="93" spans="1:225" x14ac:dyDescent="0.2">
      <c r="A93" s="122" t="s">
        <v>724</v>
      </c>
      <c r="B93" s="123">
        <v>42</v>
      </c>
      <c r="C93" s="124" t="s">
        <v>251</v>
      </c>
      <c r="D93" s="123">
        <v>84</v>
      </c>
      <c r="E93" s="124" t="s">
        <v>161</v>
      </c>
      <c r="F93" s="123">
        <v>2</v>
      </c>
      <c r="G93" s="123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124"/>
      <c r="DD93" s="124"/>
      <c r="DE93" s="124"/>
      <c r="DF93" s="124"/>
      <c r="DG93" s="124"/>
      <c r="DH93" s="124"/>
      <c r="DI93" s="124"/>
      <c r="DJ93" s="124"/>
      <c r="DK93" s="124"/>
      <c r="DL93" s="124"/>
      <c r="DM93" s="124"/>
      <c r="DN93" s="124"/>
      <c r="DO93" s="124"/>
      <c r="DP93" s="124"/>
      <c r="DQ93" s="124"/>
      <c r="DR93" s="124"/>
      <c r="DS93" s="124"/>
      <c r="DT93" s="124"/>
      <c r="DU93" s="122">
        <v>0.1</v>
      </c>
      <c r="DV93" s="132">
        <v>9</v>
      </c>
      <c r="DW93" s="131">
        <v>2</v>
      </c>
      <c r="DX93" s="132">
        <v>7.3</v>
      </c>
      <c r="DY93" s="131">
        <v>2</v>
      </c>
      <c r="DZ93" s="132">
        <v>10</v>
      </c>
      <c r="EA93" s="131">
        <v>2</v>
      </c>
      <c r="EB93" s="132">
        <v>9.3000000000000007</v>
      </c>
      <c r="EC93" s="131">
        <v>2</v>
      </c>
      <c r="ED93" s="132">
        <v>8.6999999999999993</v>
      </c>
      <c r="EE93" s="131">
        <v>2</v>
      </c>
      <c r="EF93" s="132">
        <v>6.7</v>
      </c>
      <c r="EG93" s="131">
        <v>2</v>
      </c>
      <c r="EH93" s="132">
        <v>8.3000000000000007</v>
      </c>
      <c r="EI93" s="131">
        <v>2</v>
      </c>
      <c r="EJ93" s="132">
        <v>8.3000000000000007</v>
      </c>
      <c r="EK93" s="131">
        <v>2</v>
      </c>
      <c r="EL93" s="132">
        <v>5.9</v>
      </c>
      <c r="EM93" s="131">
        <v>2</v>
      </c>
      <c r="EN93" s="132">
        <v>7</v>
      </c>
      <c r="EO93" s="131">
        <v>2</v>
      </c>
      <c r="EP93" s="132">
        <v>8.3000000000000007</v>
      </c>
      <c r="EQ93" s="131">
        <v>2</v>
      </c>
      <c r="ER93" s="132">
        <v>6.7</v>
      </c>
      <c r="ES93" s="131">
        <v>2</v>
      </c>
      <c r="ET93" s="132">
        <v>9</v>
      </c>
      <c r="EU93" s="131">
        <v>2</v>
      </c>
      <c r="EV93" s="132">
        <v>6.7</v>
      </c>
      <c r="EW93" s="131">
        <v>2</v>
      </c>
      <c r="EX93" s="132">
        <v>7.3</v>
      </c>
      <c r="EY93" s="131">
        <v>2</v>
      </c>
      <c r="EZ93" s="132">
        <v>8.3000000000000007</v>
      </c>
      <c r="FA93" s="131">
        <v>2</v>
      </c>
      <c r="FB93" s="132">
        <v>9</v>
      </c>
      <c r="FC93" s="131">
        <v>2</v>
      </c>
      <c r="FD93" s="132">
        <v>9</v>
      </c>
      <c r="FE93" s="131">
        <v>2</v>
      </c>
      <c r="FF93" s="132">
        <v>8.3000000000000007</v>
      </c>
      <c r="FG93" s="131">
        <v>2</v>
      </c>
      <c r="FH93" s="132">
        <v>6</v>
      </c>
      <c r="FI93" s="131">
        <v>2</v>
      </c>
      <c r="FJ93" s="132">
        <v>10.6</v>
      </c>
      <c r="FK93" s="131">
        <v>2</v>
      </c>
      <c r="FL93" s="132">
        <v>10</v>
      </c>
      <c r="FM93" s="131">
        <v>2</v>
      </c>
      <c r="FN93" s="132">
        <v>6.3</v>
      </c>
      <c r="FO93" s="131">
        <v>2</v>
      </c>
      <c r="FP93" s="132">
        <v>5</v>
      </c>
      <c r="FQ93" s="131">
        <v>2</v>
      </c>
      <c r="FR93" s="132">
        <v>5.3</v>
      </c>
      <c r="FS93" s="131">
        <v>2</v>
      </c>
      <c r="FT93" s="132">
        <v>8.3000000000000007</v>
      </c>
      <c r="FU93" s="131">
        <v>2</v>
      </c>
      <c r="FV93" s="132">
        <v>9.3000000000000007</v>
      </c>
      <c r="FW93" s="131">
        <v>2</v>
      </c>
      <c r="FX93" s="132">
        <v>6</v>
      </c>
      <c r="FY93" s="131">
        <v>2</v>
      </c>
      <c r="FZ93" s="132">
        <v>8.3000000000000007</v>
      </c>
      <c r="GA93" s="131">
        <v>2</v>
      </c>
      <c r="GB93" s="132">
        <v>6</v>
      </c>
      <c r="GC93" s="131">
        <v>2</v>
      </c>
      <c r="GD93" s="132">
        <v>8.3000000000000007</v>
      </c>
      <c r="GE93" s="131">
        <v>2</v>
      </c>
      <c r="GF93" s="132">
        <v>10.3</v>
      </c>
      <c r="GG93" s="131">
        <v>2</v>
      </c>
      <c r="GH93" s="132">
        <v>10</v>
      </c>
      <c r="GI93" s="131">
        <v>2</v>
      </c>
      <c r="GJ93" s="131">
        <v>7</v>
      </c>
      <c r="GK93" s="131">
        <v>2</v>
      </c>
      <c r="GL93" s="131">
        <v>6</v>
      </c>
      <c r="GM93" s="131">
        <v>2</v>
      </c>
      <c r="GN93" s="124"/>
      <c r="GO93" s="124"/>
      <c r="GP93" s="124"/>
      <c r="GQ93" s="124"/>
      <c r="GR93" s="124"/>
      <c r="GS93" s="124"/>
      <c r="GT93" s="124"/>
      <c r="GU93" s="124"/>
      <c r="GV93" s="124"/>
      <c r="GW93" s="124"/>
      <c r="GX93" s="124"/>
      <c r="GY93" s="124"/>
      <c r="GZ93" s="124"/>
      <c r="HA93" s="124"/>
      <c r="HB93" s="124"/>
      <c r="HC93" s="124"/>
      <c r="HD93" s="124"/>
      <c r="HE93" s="124"/>
      <c r="HF93" s="124"/>
      <c r="HG93" s="124"/>
      <c r="HH93" s="124"/>
      <c r="HI93" s="124"/>
      <c r="HJ93" s="124"/>
      <c r="HK93" s="124"/>
      <c r="HL93" s="124"/>
      <c r="HM93" s="124"/>
      <c r="HN93" s="124"/>
      <c r="HO93" s="124"/>
      <c r="HP93" s="124"/>
      <c r="HQ93" s="124"/>
    </row>
    <row r="94" spans="1:225" x14ac:dyDescent="0.2">
      <c r="A94" s="122" t="s">
        <v>725</v>
      </c>
      <c r="B94" s="123">
        <v>43</v>
      </c>
      <c r="C94" s="124" t="s">
        <v>252</v>
      </c>
      <c r="D94" s="123">
        <v>85</v>
      </c>
      <c r="E94" s="124" t="s">
        <v>161</v>
      </c>
      <c r="F94" s="123">
        <v>4</v>
      </c>
      <c r="G94" s="123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  <c r="CU94" s="124"/>
      <c r="CV94" s="124"/>
      <c r="CW94" s="124"/>
      <c r="CX94" s="124"/>
      <c r="CY94" s="124"/>
      <c r="CZ94" s="124"/>
      <c r="DA94" s="124"/>
      <c r="DB94" s="124"/>
      <c r="DC94" s="124"/>
      <c r="DD94" s="124"/>
      <c r="DE94" s="124"/>
      <c r="DF94" s="124"/>
      <c r="DG94" s="124"/>
      <c r="DH94" s="124"/>
      <c r="DI94" s="124"/>
      <c r="DJ94" s="124"/>
      <c r="DK94" s="124"/>
      <c r="DL94" s="124"/>
      <c r="DM94" s="124"/>
      <c r="DN94" s="124"/>
      <c r="DO94" s="124"/>
      <c r="DP94" s="124"/>
      <c r="DQ94" s="124"/>
      <c r="DR94" s="124"/>
      <c r="DS94" s="124"/>
      <c r="DT94" s="124"/>
      <c r="DU94" s="122">
        <v>0.2</v>
      </c>
      <c r="DV94" s="132">
        <v>10</v>
      </c>
      <c r="DW94" s="131">
        <v>3</v>
      </c>
      <c r="DX94" s="132">
        <v>8.5</v>
      </c>
      <c r="DY94" s="131">
        <v>3</v>
      </c>
      <c r="DZ94" s="132">
        <v>11</v>
      </c>
      <c r="EA94" s="131">
        <v>3</v>
      </c>
      <c r="EB94" s="132">
        <v>10</v>
      </c>
      <c r="EC94" s="131">
        <v>3</v>
      </c>
      <c r="ED94" s="132">
        <v>9.6999999999999993</v>
      </c>
      <c r="EE94" s="131">
        <v>3</v>
      </c>
      <c r="EF94" s="132">
        <v>8</v>
      </c>
      <c r="EG94" s="131">
        <v>3</v>
      </c>
      <c r="EH94" s="132">
        <v>9.9</v>
      </c>
      <c r="EI94" s="131">
        <v>3</v>
      </c>
      <c r="EJ94" s="132">
        <v>10</v>
      </c>
      <c r="EK94" s="131">
        <v>3</v>
      </c>
      <c r="EL94" s="132">
        <v>7</v>
      </c>
      <c r="EM94" s="131">
        <v>3</v>
      </c>
      <c r="EN94" s="132">
        <v>8.3000000000000007</v>
      </c>
      <c r="EO94" s="131">
        <v>3</v>
      </c>
      <c r="EP94" s="132">
        <v>9.3000000000000007</v>
      </c>
      <c r="EQ94" s="131">
        <v>3</v>
      </c>
      <c r="ER94" s="132">
        <v>8</v>
      </c>
      <c r="ES94" s="131">
        <v>3</v>
      </c>
      <c r="ET94" s="132">
        <v>10.7</v>
      </c>
      <c r="EU94" s="131">
        <v>3</v>
      </c>
      <c r="EV94" s="132">
        <v>8</v>
      </c>
      <c r="EW94" s="131">
        <v>3</v>
      </c>
      <c r="EX94" s="132">
        <v>8.3000000000000007</v>
      </c>
      <c r="EY94" s="131">
        <v>3</v>
      </c>
      <c r="EZ94" s="132">
        <v>9.3000000000000007</v>
      </c>
      <c r="FA94" s="131">
        <v>3</v>
      </c>
      <c r="FB94" s="132">
        <v>10</v>
      </c>
      <c r="FC94" s="131">
        <v>3</v>
      </c>
      <c r="FD94" s="132">
        <v>10.3</v>
      </c>
      <c r="FE94" s="131">
        <v>3</v>
      </c>
      <c r="FF94" s="132">
        <v>9.3000000000000007</v>
      </c>
      <c r="FG94" s="131">
        <v>3</v>
      </c>
      <c r="FH94" s="132">
        <v>7</v>
      </c>
      <c r="FI94" s="131">
        <v>3</v>
      </c>
      <c r="FJ94" s="132">
        <v>11.7</v>
      </c>
      <c r="FK94" s="131">
        <v>3</v>
      </c>
      <c r="FL94" s="132">
        <v>11.3</v>
      </c>
      <c r="FM94" s="131">
        <v>3</v>
      </c>
      <c r="FN94" s="132">
        <v>7.3</v>
      </c>
      <c r="FO94" s="131">
        <v>3</v>
      </c>
      <c r="FP94" s="132">
        <v>6.3</v>
      </c>
      <c r="FQ94" s="131">
        <v>3</v>
      </c>
      <c r="FR94" s="132">
        <v>6.7</v>
      </c>
      <c r="FS94" s="131">
        <v>3</v>
      </c>
      <c r="FT94" s="132">
        <v>9.6999999999999993</v>
      </c>
      <c r="FU94" s="131">
        <v>3</v>
      </c>
      <c r="FV94" s="132">
        <v>11</v>
      </c>
      <c r="FW94" s="131">
        <v>3</v>
      </c>
      <c r="FX94" s="132">
        <v>7</v>
      </c>
      <c r="FY94" s="131">
        <v>3</v>
      </c>
      <c r="FZ94" s="132">
        <v>9.6999999999999993</v>
      </c>
      <c r="GA94" s="131">
        <v>3</v>
      </c>
      <c r="GB94" s="132">
        <v>7.3</v>
      </c>
      <c r="GC94" s="131">
        <v>3</v>
      </c>
      <c r="GD94" s="132">
        <v>9.6999999999999993</v>
      </c>
      <c r="GE94" s="131">
        <v>3</v>
      </c>
      <c r="GF94" s="132">
        <v>11.7</v>
      </c>
      <c r="GG94" s="131">
        <v>3</v>
      </c>
      <c r="GH94" s="132">
        <v>11.3</v>
      </c>
      <c r="GI94" s="131">
        <v>3</v>
      </c>
      <c r="GJ94" s="131">
        <v>8</v>
      </c>
      <c r="GK94" s="131">
        <v>3</v>
      </c>
      <c r="GL94" s="131">
        <v>7</v>
      </c>
      <c r="GM94" s="131">
        <v>3</v>
      </c>
      <c r="GN94" s="124"/>
      <c r="GO94" s="124"/>
      <c r="GP94" s="124"/>
      <c r="GQ94" s="124"/>
      <c r="GR94" s="124"/>
      <c r="GS94" s="124"/>
      <c r="GT94" s="124"/>
      <c r="GU94" s="124"/>
      <c r="GV94" s="124"/>
      <c r="GW94" s="124"/>
      <c r="GX94" s="124"/>
      <c r="GY94" s="124"/>
      <c r="GZ94" s="124"/>
      <c r="HA94" s="124"/>
      <c r="HB94" s="124"/>
      <c r="HC94" s="124"/>
      <c r="HD94" s="124"/>
      <c r="HE94" s="124"/>
      <c r="HF94" s="124"/>
      <c r="HG94" s="124"/>
      <c r="HH94" s="124"/>
      <c r="HI94" s="124"/>
      <c r="HJ94" s="124"/>
      <c r="HK94" s="124"/>
      <c r="HL94" s="124"/>
      <c r="HM94" s="124"/>
      <c r="HN94" s="124"/>
      <c r="HO94" s="124"/>
      <c r="HP94" s="124"/>
      <c r="HQ94" s="124"/>
    </row>
    <row r="95" spans="1:225" x14ac:dyDescent="0.2">
      <c r="A95" s="122" t="s">
        <v>726</v>
      </c>
      <c r="B95" s="123">
        <v>43</v>
      </c>
      <c r="C95" s="124" t="s">
        <v>253</v>
      </c>
      <c r="D95" s="123">
        <v>86</v>
      </c>
      <c r="E95" s="124" t="s">
        <v>161</v>
      </c>
      <c r="F95" s="123">
        <v>5</v>
      </c>
      <c r="G95" s="123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  <c r="CU95" s="124"/>
      <c r="CV95" s="124"/>
      <c r="CW95" s="124"/>
      <c r="CX95" s="124"/>
      <c r="CY95" s="124"/>
      <c r="CZ95" s="124"/>
      <c r="DA95" s="124"/>
      <c r="DB95" s="124"/>
      <c r="DC95" s="124"/>
      <c r="DD95" s="124"/>
      <c r="DE95" s="124"/>
      <c r="DF95" s="124"/>
      <c r="DG95" s="124"/>
      <c r="DH95" s="124"/>
      <c r="DI95" s="124"/>
      <c r="DJ95" s="124"/>
      <c r="DK95" s="124"/>
      <c r="DL95" s="124"/>
      <c r="DM95" s="124"/>
      <c r="DN95" s="124"/>
      <c r="DO95" s="124"/>
      <c r="DP95" s="124"/>
      <c r="DQ95" s="124"/>
      <c r="DR95" s="124"/>
      <c r="DS95" s="124"/>
      <c r="DT95" s="124"/>
      <c r="DU95" s="122">
        <v>0.3</v>
      </c>
      <c r="DV95" s="132">
        <v>11.3</v>
      </c>
      <c r="DW95" s="131">
        <v>4</v>
      </c>
      <c r="DX95" s="132">
        <v>9.3000000000000007</v>
      </c>
      <c r="DY95" s="131">
        <v>4</v>
      </c>
      <c r="DZ95" s="132">
        <v>11.7</v>
      </c>
      <c r="EA95" s="131">
        <v>4</v>
      </c>
      <c r="EB95" s="132">
        <v>11</v>
      </c>
      <c r="EC95" s="131">
        <v>4</v>
      </c>
      <c r="ED95" s="132">
        <v>10.3</v>
      </c>
      <c r="EE95" s="131">
        <v>4</v>
      </c>
      <c r="EF95" s="132">
        <v>8.6999999999999993</v>
      </c>
      <c r="EG95" s="131">
        <v>4</v>
      </c>
      <c r="EH95" s="132">
        <v>10.8</v>
      </c>
      <c r="EI95" s="131">
        <v>4</v>
      </c>
      <c r="EJ95" s="132">
        <v>11</v>
      </c>
      <c r="EK95" s="131">
        <v>4</v>
      </c>
      <c r="EL95" s="132">
        <v>8</v>
      </c>
      <c r="EM95" s="131">
        <v>4</v>
      </c>
      <c r="EN95" s="132">
        <v>9.3000000000000007</v>
      </c>
      <c r="EO95" s="131">
        <v>4</v>
      </c>
      <c r="EP95" s="132">
        <v>10.3</v>
      </c>
      <c r="EQ95" s="131">
        <v>4</v>
      </c>
      <c r="ER95" s="132">
        <v>8.6999999999999993</v>
      </c>
      <c r="ES95" s="131">
        <v>4</v>
      </c>
      <c r="ET95" s="132">
        <v>11.7</v>
      </c>
      <c r="EU95" s="131">
        <v>4</v>
      </c>
      <c r="EV95" s="132">
        <v>9</v>
      </c>
      <c r="EW95" s="131">
        <v>4</v>
      </c>
      <c r="EX95" s="132">
        <v>9.3000000000000007</v>
      </c>
      <c r="EY95" s="131">
        <v>4</v>
      </c>
      <c r="EZ95" s="132">
        <v>10.3</v>
      </c>
      <c r="FA95" s="131">
        <v>4</v>
      </c>
      <c r="FB95" s="132">
        <v>10.8</v>
      </c>
      <c r="FC95" s="131">
        <v>4</v>
      </c>
      <c r="FD95" s="132">
        <v>11</v>
      </c>
      <c r="FE95" s="131">
        <v>4</v>
      </c>
      <c r="FF95" s="132">
        <v>10</v>
      </c>
      <c r="FG95" s="131">
        <v>4</v>
      </c>
      <c r="FH95" s="132">
        <v>7.7</v>
      </c>
      <c r="FI95" s="131">
        <v>4</v>
      </c>
      <c r="FJ95" s="132">
        <v>12.7</v>
      </c>
      <c r="FK95" s="131">
        <v>4</v>
      </c>
      <c r="FL95" s="132">
        <v>12</v>
      </c>
      <c r="FM95" s="131">
        <v>4</v>
      </c>
      <c r="FN95" s="132">
        <v>8.3000000000000007</v>
      </c>
      <c r="FO95" s="131">
        <v>4</v>
      </c>
      <c r="FP95" s="132">
        <v>7</v>
      </c>
      <c r="FQ95" s="131">
        <v>4</v>
      </c>
      <c r="FR95" s="132">
        <v>8</v>
      </c>
      <c r="FS95" s="131">
        <v>4</v>
      </c>
      <c r="FT95" s="132">
        <v>10.7</v>
      </c>
      <c r="FU95" s="131">
        <v>4</v>
      </c>
      <c r="FV95" s="132">
        <v>11.7</v>
      </c>
      <c r="FW95" s="131">
        <v>4</v>
      </c>
      <c r="FX95" s="132">
        <v>7.7</v>
      </c>
      <c r="FY95" s="131">
        <v>4</v>
      </c>
      <c r="FZ95" s="132">
        <v>10.7</v>
      </c>
      <c r="GA95" s="131">
        <v>4</v>
      </c>
      <c r="GB95" s="132">
        <v>8.3000000000000007</v>
      </c>
      <c r="GC95" s="131">
        <v>4</v>
      </c>
      <c r="GD95" s="132">
        <v>10.7</v>
      </c>
      <c r="GE95" s="131">
        <v>4</v>
      </c>
      <c r="GF95" s="132">
        <v>12.3</v>
      </c>
      <c r="GG95" s="131">
        <v>4</v>
      </c>
      <c r="GH95" s="132">
        <v>12.1</v>
      </c>
      <c r="GI95" s="131">
        <v>4</v>
      </c>
      <c r="GJ95" s="131">
        <v>9</v>
      </c>
      <c r="GK95" s="131">
        <v>4</v>
      </c>
      <c r="GL95" s="131">
        <v>8</v>
      </c>
      <c r="GM95" s="131">
        <v>4</v>
      </c>
      <c r="GN95" s="124"/>
      <c r="GO95" s="124"/>
      <c r="GP95" s="124"/>
      <c r="GQ95" s="124"/>
      <c r="GR95" s="124"/>
      <c r="GS95" s="124"/>
      <c r="GT95" s="124"/>
      <c r="GU95" s="124"/>
      <c r="GV95" s="124"/>
      <c r="GW95" s="124"/>
      <c r="GX95" s="124"/>
      <c r="GY95" s="124"/>
      <c r="GZ95" s="124"/>
      <c r="HA95" s="124"/>
      <c r="HB95" s="124"/>
      <c r="HC95" s="124"/>
      <c r="HD95" s="124"/>
      <c r="HE95" s="124"/>
      <c r="HF95" s="124"/>
      <c r="HG95" s="124"/>
      <c r="HH95" s="124"/>
      <c r="HI95" s="124"/>
      <c r="HJ95" s="124"/>
      <c r="HK95" s="124"/>
      <c r="HL95" s="124"/>
      <c r="HM95" s="124"/>
      <c r="HN95" s="124"/>
      <c r="HO95" s="124"/>
      <c r="HP95" s="124"/>
      <c r="HQ95" s="124"/>
    </row>
    <row r="96" spans="1:225" x14ac:dyDescent="0.2">
      <c r="A96" s="122" t="s">
        <v>727</v>
      </c>
      <c r="B96" s="123">
        <v>44</v>
      </c>
      <c r="C96" s="124" t="s">
        <v>254</v>
      </c>
      <c r="D96" s="123">
        <v>87</v>
      </c>
      <c r="E96" s="124" t="s">
        <v>161</v>
      </c>
      <c r="F96" s="123">
        <v>5</v>
      </c>
      <c r="G96" s="123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  <c r="CU96" s="124"/>
      <c r="CV96" s="124"/>
      <c r="CW96" s="124"/>
      <c r="CX96" s="124"/>
      <c r="CY96" s="124"/>
      <c r="CZ96" s="124"/>
      <c r="DA96" s="124"/>
      <c r="DB96" s="124"/>
      <c r="DC96" s="124"/>
      <c r="DD96" s="124"/>
      <c r="DE96" s="124"/>
      <c r="DF96" s="124"/>
      <c r="DG96" s="124"/>
      <c r="DH96" s="124"/>
      <c r="DI96" s="124"/>
      <c r="DJ96" s="124"/>
      <c r="DK96" s="124"/>
      <c r="DL96" s="124"/>
      <c r="DM96" s="124"/>
      <c r="DN96" s="124"/>
      <c r="DO96" s="124"/>
      <c r="DP96" s="124"/>
      <c r="DQ96" s="124"/>
      <c r="DR96" s="124"/>
      <c r="DS96" s="124"/>
      <c r="DT96" s="124"/>
      <c r="DU96" s="122">
        <v>0.4</v>
      </c>
      <c r="DV96" s="132">
        <v>12</v>
      </c>
      <c r="DW96" s="131">
        <v>5</v>
      </c>
      <c r="DX96" s="132">
        <v>10</v>
      </c>
      <c r="DY96" s="131">
        <v>5</v>
      </c>
      <c r="DZ96" s="132">
        <v>12.3</v>
      </c>
      <c r="EA96" s="131">
        <v>5</v>
      </c>
      <c r="EB96" s="132">
        <v>11.7</v>
      </c>
      <c r="EC96" s="131">
        <v>5</v>
      </c>
      <c r="ED96" s="132">
        <v>11</v>
      </c>
      <c r="EE96" s="131">
        <v>5</v>
      </c>
      <c r="EF96" s="132">
        <v>9.3000000000000007</v>
      </c>
      <c r="EG96" s="131">
        <v>5</v>
      </c>
      <c r="EH96" s="132">
        <v>11.7</v>
      </c>
      <c r="EI96" s="131">
        <v>5</v>
      </c>
      <c r="EJ96" s="132">
        <v>11.7</v>
      </c>
      <c r="EK96" s="131">
        <v>5</v>
      </c>
      <c r="EL96" s="132">
        <v>8.6999999999999993</v>
      </c>
      <c r="EM96" s="131">
        <v>5</v>
      </c>
      <c r="EN96" s="132">
        <v>10</v>
      </c>
      <c r="EO96" s="131">
        <v>5</v>
      </c>
      <c r="EP96" s="132">
        <v>10.7</v>
      </c>
      <c r="EQ96" s="131">
        <v>5</v>
      </c>
      <c r="ER96" s="132">
        <v>9.6999999999999993</v>
      </c>
      <c r="ES96" s="131">
        <v>5</v>
      </c>
      <c r="ET96" s="132">
        <v>12.3</v>
      </c>
      <c r="EU96" s="131">
        <v>5</v>
      </c>
      <c r="EV96" s="132">
        <v>10</v>
      </c>
      <c r="EW96" s="131">
        <v>5</v>
      </c>
      <c r="EX96" s="132">
        <v>10</v>
      </c>
      <c r="EY96" s="131">
        <v>5</v>
      </c>
      <c r="EZ96" s="132">
        <v>11</v>
      </c>
      <c r="FA96" s="131">
        <v>5</v>
      </c>
      <c r="FB96" s="132">
        <v>11.6</v>
      </c>
      <c r="FC96" s="131">
        <v>5</v>
      </c>
      <c r="FD96" s="132">
        <v>11.8</v>
      </c>
      <c r="FE96" s="131">
        <v>5</v>
      </c>
      <c r="FF96" s="132">
        <v>10.6</v>
      </c>
      <c r="FG96" s="131">
        <v>5</v>
      </c>
      <c r="FH96" s="132">
        <v>8.6999999999999993</v>
      </c>
      <c r="FI96" s="131">
        <v>5</v>
      </c>
      <c r="FJ96" s="132">
        <v>13.3</v>
      </c>
      <c r="FK96" s="131">
        <v>5</v>
      </c>
      <c r="FL96" s="132">
        <v>13</v>
      </c>
      <c r="FM96" s="131">
        <v>5</v>
      </c>
      <c r="FN96" s="132">
        <v>9.3000000000000007</v>
      </c>
      <c r="FO96" s="131">
        <v>5</v>
      </c>
      <c r="FP96" s="132">
        <v>8</v>
      </c>
      <c r="FQ96" s="131">
        <v>5</v>
      </c>
      <c r="FR96" s="132">
        <v>9</v>
      </c>
      <c r="FS96" s="131">
        <v>5</v>
      </c>
      <c r="FT96" s="132">
        <v>11.3</v>
      </c>
      <c r="FU96" s="131">
        <v>5</v>
      </c>
      <c r="FV96" s="132">
        <v>12.3</v>
      </c>
      <c r="FW96" s="131">
        <v>5</v>
      </c>
      <c r="FX96" s="132">
        <v>8.3000000000000007</v>
      </c>
      <c r="FY96" s="131">
        <v>5</v>
      </c>
      <c r="FZ96" s="132">
        <v>11.3</v>
      </c>
      <c r="GA96" s="131">
        <v>5</v>
      </c>
      <c r="GB96" s="132">
        <v>9</v>
      </c>
      <c r="GC96" s="131">
        <v>5</v>
      </c>
      <c r="GD96" s="132">
        <v>11.3</v>
      </c>
      <c r="GE96" s="131">
        <v>5</v>
      </c>
      <c r="GF96" s="132">
        <v>13</v>
      </c>
      <c r="GG96" s="131">
        <v>5</v>
      </c>
      <c r="GH96" s="132">
        <v>13</v>
      </c>
      <c r="GI96" s="131">
        <v>5</v>
      </c>
      <c r="GJ96" s="131">
        <v>9</v>
      </c>
      <c r="GK96" s="131">
        <v>5</v>
      </c>
      <c r="GL96" s="131">
        <v>9</v>
      </c>
      <c r="GM96" s="131">
        <v>5</v>
      </c>
      <c r="GN96" s="124"/>
      <c r="GO96" s="124"/>
      <c r="GP96" s="124"/>
      <c r="GQ96" s="124"/>
      <c r="GR96" s="124"/>
      <c r="GS96" s="124"/>
      <c r="GT96" s="124"/>
      <c r="GU96" s="124"/>
      <c r="GV96" s="124"/>
      <c r="GW96" s="124"/>
      <c r="GX96" s="124"/>
      <c r="GY96" s="124"/>
      <c r="GZ96" s="124"/>
      <c r="HA96" s="124"/>
      <c r="HB96" s="124"/>
      <c r="HC96" s="124"/>
      <c r="HD96" s="124"/>
      <c r="HE96" s="124"/>
      <c r="HF96" s="124"/>
      <c r="HG96" s="124"/>
      <c r="HH96" s="124"/>
      <c r="HI96" s="124"/>
      <c r="HJ96" s="124"/>
      <c r="HK96" s="124"/>
      <c r="HL96" s="124"/>
      <c r="HM96" s="124"/>
      <c r="HN96" s="124"/>
      <c r="HO96" s="124"/>
      <c r="HP96" s="124"/>
      <c r="HQ96" s="124"/>
    </row>
    <row r="97" spans="1:225" x14ac:dyDescent="0.2">
      <c r="A97" s="122" t="s">
        <v>728</v>
      </c>
      <c r="B97" s="123">
        <v>44</v>
      </c>
      <c r="C97" s="138" t="s">
        <v>255</v>
      </c>
      <c r="D97" s="123">
        <v>88</v>
      </c>
      <c r="E97" s="124" t="s">
        <v>161</v>
      </c>
      <c r="F97" s="123">
        <v>5</v>
      </c>
      <c r="G97" s="123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  <c r="CU97" s="124"/>
      <c r="CV97" s="124"/>
      <c r="CW97" s="124"/>
      <c r="CX97" s="124"/>
      <c r="CY97" s="124"/>
      <c r="CZ97" s="124"/>
      <c r="DA97" s="124"/>
      <c r="DB97" s="124"/>
      <c r="DC97" s="124"/>
      <c r="DD97" s="124"/>
      <c r="DE97" s="124"/>
      <c r="DF97" s="124"/>
      <c r="DG97" s="124"/>
      <c r="DH97" s="124"/>
      <c r="DI97" s="124"/>
      <c r="DJ97" s="124"/>
      <c r="DK97" s="124"/>
      <c r="DL97" s="124"/>
      <c r="DM97" s="124"/>
      <c r="DN97" s="124"/>
      <c r="DO97" s="124"/>
      <c r="DP97" s="124"/>
      <c r="DQ97" s="124"/>
      <c r="DR97" s="124"/>
      <c r="DS97" s="124"/>
      <c r="DT97" s="124"/>
      <c r="DU97" s="122">
        <v>0.5</v>
      </c>
      <c r="DV97" s="132">
        <v>13</v>
      </c>
      <c r="DW97" s="131">
        <v>6</v>
      </c>
      <c r="DX97" s="132">
        <v>10.7</v>
      </c>
      <c r="DY97" s="131">
        <v>6</v>
      </c>
      <c r="DZ97" s="132">
        <v>13</v>
      </c>
      <c r="EA97" s="131">
        <v>6</v>
      </c>
      <c r="EB97" s="132">
        <v>12.7</v>
      </c>
      <c r="EC97" s="131">
        <v>6</v>
      </c>
      <c r="ED97" s="132">
        <v>11.7</v>
      </c>
      <c r="EE97" s="131">
        <v>6</v>
      </c>
      <c r="EF97" s="132">
        <v>9.6999999999999993</v>
      </c>
      <c r="EG97" s="131">
        <v>6</v>
      </c>
      <c r="EH97" s="132">
        <v>12.7</v>
      </c>
      <c r="EI97" s="131">
        <v>6</v>
      </c>
      <c r="EJ97" s="132">
        <v>12.3</v>
      </c>
      <c r="EK97" s="131">
        <v>6</v>
      </c>
      <c r="EL97" s="132">
        <v>9.6999999999999993</v>
      </c>
      <c r="EM97" s="131">
        <v>6</v>
      </c>
      <c r="EN97" s="132">
        <v>10.7</v>
      </c>
      <c r="EO97" s="131">
        <v>6</v>
      </c>
      <c r="EP97" s="132">
        <v>11.3</v>
      </c>
      <c r="EQ97" s="131">
        <v>6</v>
      </c>
      <c r="ER97" s="132">
        <v>10.7</v>
      </c>
      <c r="ES97" s="131">
        <v>6</v>
      </c>
      <c r="ET97" s="132">
        <v>13</v>
      </c>
      <c r="EU97" s="131">
        <v>6</v>
      </c>
      <c r="EV97" s="132">
        <v>10.3</v>
      </c>
      <c r="EW97" s="131">
        <v>6</v>
      </c>
      <c r="EX97" s="132">
        <v>10.7</v>
      </c>
      <c r="EY97" s="131">
        <v>6</v>
      </c>
      <c r="EZ97" s="132">
        <v>11.7</v>
      </c>
      <c r="FA97" s="131">
        <v>6</v>
      </c>
      <c r="FB97" s="132">
        <v>12.3</v>
      </c>
      <c r="FC97" s="131">
        <v>6</v>
      </c>
      <c r="FD97" s="132">
        <v>12.5</v>
      </c>
      <c r="FE97" s="131">
        <v>6</v>
      </c>
      <c r="FF97" s="132">
        <v>11.3</v>
      </c>
      <c r="FG97" s="131">
        <v>6</v>
      </c>
      <c r="FH97" s="132">
        <v>9.3000000000000007</v>
      </c>
      <c r="FI97" s="131">
        <v>6</v>
      </c>
      <c r="FJ97" s="132">
        <v>14</v>
      </c>
      <c r="FK97" s="131">
        <v>6</v>
      </c>
      <c r="FL97" s="132">
        <v>13.7</v>
      </c>
      <c r="FM97" s="131">
        <v>6</v>
      </c>
      <c r="FN97" s="132">
        <v>10</v>
      </c>
      <c r="FO97" s="131">
        <v>6</v>
      </c>
      <c r="FP97" s="132">
        <v>8.6999999999999993</v>
      </c>
      <c r="FQ97" s="131">
        <v>6</v>
      </c>
      <c r="FR97" s="132">
        <v>9.6999999999999993</v>
      </c>
      <c r="FS97" s="131">
        <v>6</v>
      </c>
      <c r="FT97" s="132">
        <v>12</v>
      </c>
      <c r="FU97" s="131">
        <v>6</v>
      </c>
      <c r="FV97" s="132">
        <v>13</v>
      </c>
      <c r="FW97" s="131">
        <v>6</v>
      </c>
      <c r="FX97" s="132">
        <v>9.3000000000000007</v>
      </c>
      <c r="FY97" s="131">
        <v>6</v>
      </c>
      <c r="FZ97" s="132">
        <v>12.3</v>
      </c>
      <c r="GA97" s="131">
        <v>6</v>
      </c>
      <c r="GB97" s="132">
        <v>10</v>
      </c>
      <c r="GC97" s="131">
        <v>6</v>
      </c>
      <c r="GD97" s="132">
        <v>12</v>
      </c>
      <c r="GE97" s="131">
        <v>6</v>
      </c>
      <c r="GF97" s="132">
        <v>14</v>
      </c>
      <c r="GG97" s="131">
        <v>6</v>
      </c>
      <c r="GH97" s="132">
        <v>14</v>
      </c>
      <c r="GI97" s="131">
        <v>6</v>
      </c>
      <c r="GJ97" s="131">
        <v>10</v>
      </c>
      <c r="GK97" s="131">
        <v>6</v>
      </c>
      <c r="GL97" s="131">
        <v>10</v>
      </c>
      <c r="GM97" s="131">
        <v>6</v>
      </c>
      <c r="GN97" s="124"/>
      <c r="GO97" s="124"/>
      <c r="GP97" s="124"/>
      <c r="GQ97" s="124"/>
      <c r="GR97" s="124"/>
      <c r="GS97" s="124"/>
      <c r="GT97" s="124"/>
      <c r="GU97" s="124"/>
      <c r="GV97" s="124"/>
      <c r="GW97" s="124"/>
      <c r="GX97" s="124"/>
      <c r="GY97" s="124"/>
      <c r="GZ97" s="124"/>
      <c r="HA97" s="124"/>
      <c r="HB97" s="124"/>
      <c r="HC97" s="124"/>
      <c r="HD97" s="124"/>
      <c r="HE97" s="124"/>
      <c r="HF97" s="124"/>
      <c r="HG97" s="124"/>
      <c r="HH97" s="124"/>
      <c r="HI97" s="124"/>
      <c r="HJ97" s="124"/>
      <c r="HK97" s="124"/>
      <c r="HL97" s="124"/>
      <c r="HM97" s="124"/>
      <c r="HN97" s="124"/>
      <c r="HO97" s="124"/>
      <c r="HP97" s="124"/>
      <c r="HQ97" s="124"/>
    </row>
    <row r="98" spans="1:225" x14ac:dyDescent="0.2">
      <c r="A98" s="122" t="s">
        <v>729</v>
      </c>
      <c r="B98" s="123">
        <v>45</v>
      </c>
      <c r="C98" s="124" t="s">
        <v>256</v>
      </c>
      <c r="D98" s="123">
        <v>89</v>
      </c>
      <c r="E98" s="124" t="s">
        <v>161</v>
      </c>
      <c r="F98" s="123">
        <v>4</v>
      </c>
      <c r="G98" s="123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  <c r="BJ98" s="124"/>
      <c r="BK98" s="124"/>
      <c r="BL98" s="124"/>
      <c r="BM98" s="124"/>
      <c r="BN98" s="124"/>
      <c r="BO98" s="124"/>
      <c r="BP98" s="124"/>
      <c r="BQ98" s="124"/>
      <c r="BR98" s="124"/>
      <c r="BS98" s="124"/>
      <c r="BT98" s="124"/>
      <c r="BU98" s="124"/>
      <c r="BV98" s="124"/>
      <c r="BW98" s="124"/>
      <c r="BX98" s="124"/>
      <c r="BY98" s="124"/>
      <c r="BZ98" s="124"/>
      <c r="CA98" s="124"/>
      <c r="CB98" s="124"/>
      <c r="CC98" s="124"/>
      <c r="CD98" s="124"/>
      <c r="CE98" s="124"/>
      <c r="CF98" s="124"/>
      <c r="CG98" s="124"/>
      <c r="CH98" s="124"/>
      <c r="CI98" s="124"/>
      <c r="CJ98" s="124"/>
      <c r="CK98" s="124"/>
      <c r="CL98" s="124"/>
      <c r="CM98" s="124"/>
      <c r="CN98" s="124"/>
      <c r="CO98" s="124"/>
      <c r="CP98" s="124"/>
      <c r="CQ98" s="124"/>
      <c r="CR98" s="124"/>
      <c r="CS98" s="124"/>
      <c r="CT98" s="124"/>
      <c r="CU98" s="124"/>
      <c r="CV98" s="124"/>
      <c r="CW98" s="124"/>
      <c r="CX98" s="124"/>
      <c r="CY98" s="124"/>
      <c r="CZ98" s="124"/>
      <c r="DA98" s="124"/>
      <c r="DB98" s="124"/>
      <c r="DC98" s="124"/>
      <c r="DD98" s="124"/>
      <c r="DE98" s="124"/>
      <c r="DF98" s="124"/>
      <c r="DG98" s="124"/>
      <c r="DH98" s="124"/>
      <c r="DI98" s="124"/>
      <c r="DJ98" s="124"/>
      <c r="DK98" s="124"/>
      <c r="DL98" s="124"/>
      <c r="DM98" s="124"/>
      <c r="DN98" s="124"/>
      <c r="DO98" s="124"/>
      <c r="DP98" s="124"/>
      <c r="DQ98" s="124"/>
      <c r="DR98" s="124"/>
      <c r="DS98" s="124"/>
      <c r="DT98" s="124"/>
      <c r="DU98" s="122">
        <v>0.6</v>
      </c>
      <c r="DV98" s="132">
        <v>13.7</v>
      </c>
      <c r="DW98" s="131">
        <v>7</v>
      </c>
      <c r="DX98" s="132">
        <v>11.7</v>
      </c>
      <c r="DY98" s="131">
        <v>7</v>
      </c>
      <c r="DZ98" s="132">
        <v>13.9</v>
      </c>
      <c r="EA98" s="131">
        <v>7</v>
      </c>
      <c r="EB98" s="132">
        <v>13.3</v>
      </c>
      <c r="EC98" s="131">
        <v>7</v>
      </c>
      <c r="ED98" s="132">
        <v>12.3</v>
      </c>
      <c r="EE98" s="131">
        <v>7</v>
      </c>
      <c r="EF98" s="132">
        <v>10.3</v>
      </c>
      <c r="EG98" s="131">
        <v>7</v>
      </c>
      <c r="EH98" s="132">
        <v>13.3</v>
      </c>
      <c r="EI98" s="131">
        <v>7</v>
      </c>
      <c r="EJ98" s="132">
        <v>13.3</v>
      </c>
      <c r="EK98" s="131">
        <v>7</v>
      </c>
      <c r="EL98" s="132">
        <v>10.3</v>
      </c>
      <c r="EM98" s="131">
        <v>7</v>
      </c>
      <c r="EN98" s="132">
        <v>11.7</v>
      </c>
      <c r="EO98" s="131">
        <v>7</v>
      </c>
      <c r="EP98" s="132">
        <v>11.7</v>
      </c>
      <c r="EQ98" s="131">
        <v>7</v>
      </c>
      <c r="ER98" s="132">
        <v>11.3</v>
      </c>
      <c r="ES98" s="131">
        <v>7</v>
      </c>
      <c r="ET98" s="132">
        <v>13.7</v>
      </c>
      <c r="EU98" s="131">
        <v>7</v>
      </c>
      <c r="EV98" s="132">
        <v>11.3</v>
      </c>
      <c r="EW98" s="131">
        <v>7</v>
      </c>
      <c r="EX98" s="132">
        <v>11.3</v>
      </c>
      <c r="EY98" s="131">
        <v>7</v>
      </c>
      <c r="EZ98" s="132">
        <v>12.7</v>
      </c>
      <c r="FA98" s="131">
        <v>7</v>
      </c>
      <c r="FB98" s="132">
        <v>12.8</v>
      </c>
      <c r="FC98" s="131">
        <v>7</v>
      </c>
      <c r="FD98" s="132">
        <v>13.3</v>
      </c>
      <c r="FE98" s="131">
        <v>7</v>
      </c>
      <c r="FF98" s="132">
        <v>11.8</v>
      </c>
      <c r="FG98" s="131">
        <v>7</v>
      </c>
      <c r="FH98" s="132">
        <v>10</v>
      </c>
      <c r="FI98" s="131">
        <v>7</v>
      </c>
      <c r="FJ98" s="132">
        <v>15</v>
      </c>
      <c r="FK98" s="131">
        <v>7</v>
      </c>
      <c r="FL98" s="132">
        <v>14.3</v>
      </c>
      <c r="FM98" s="131">
        <v>7</v>
      </c>
      <c r="FN98" s="132">
        <v>10.9</v>
      </c>
      <c r="FO98" s="131">
        <v>7</v>
      </c>
      <c r="FP98" s="132">
        <v>10</v>
      </c>
      <c r="FQ98" s="131">
        <v>7</v>
      </c>
      <c r="FR98" s="132">
        <v>10.7</v>
      </c>
      <c r="FS98" s="131">
        <v>7</v>
      </c>
      <c r="FT98" s="132">
        <v>12.7</v>
      </c>
      <c r="FU98" s="131">
        <v>7</v>
      </c>
      <c r="FV98" s="132">
        <v>13.6</v>
      </c>
      <c r="FW98" s="131">
        <v>7</v>
      </c>
      <c r="FX98" s="132">
        <v>10</v>
      </c>
      <c r="FY98" s="131">
        <v>7</v>
      </c>
      <c r="FZ98" s="132">
        <v>13.3</v>
      </c>
      <c r="GA98" s="131">
        <v>7</v>
      </c>
      <c r="GB98" s="132">
        <v>10.7</v>
      </c>
      <c r="GC98" s="131">
        <v>7</v>
      </c>
      <c r="GD98" s="132">
        <v>12.7</v>
      </c>
      <c r="GE98" s="131">
        <v>7</v>
      </c>
      <c r="GF98" s="132">
        <v>14.7</v>
      </c>
      <c r="GG98" s="131">
        <v>7</v>
      </c>
      <c r="GH98" s="132">
        <v>15</v>
      </c>
      <c r="GI98" s="131">
        <v>7</v>
      </c>
      <c r="GJ98" s="131">
        <v>11</v>
      </c>
      <c r="GK98" s="131">
        <v>7</v>
      </c>
      <c r="GL98" s="131">
        <v>11</v>
      </c>
      <c r="GM98" s="131">
        <v>7</v>
      </c>
      <c r="GN98" s="124"/>
      <c r="GO98" s="124"/>
      <c r="GP98" s="124"/>
      <c r="GQ98" s="124"/>
      <c r="GR98" s="124"/>
      <c r="GS98" s="124"/>
      <c r="GT98" s="124"/>
      <c r="GU98" s="124"/>
      <c r="GV98" s="124"/>
      <c r="GW98" s="124"/>
      <c r="GX98" s="124"/>
      <c r="GY98" s="124"/>
      <c r="GZ98" s="124"/>
      <c r="HA98" s="124"/>
      <c r="HB98" s="124"/>
      <c r="HC98" s="124"/>
      <c r="HD98" s="124"/>
      <c r="HE98" s="124"/>
      <c r="HF98" s="124"/>
      <c r="HG98" s="124"/>
      <c r="HH98" s="124"/>
      <c r="HI98" s="124"/>
      <c r="HJ98" s="124"/>
      <c r="HK98" s="124"/>
      <c r="HL98" s="124"/>
      <c r="HM98" s="124"/>
      <c r="HN98" s="124"/>
      <c r="HO98" s="124"/>
      <c r="HP98" s="124"/>
      <c r="HQ98" s="124"/>
    </row>
    <row r="99" spans="1:225" x14ac:dyDescent="0.2">
      <c r="A99" s="122" t="s">
        <v>730</v>
      </c>
      <c r="B99" s="123">
        <v>45</v>
      </c>
      <c r="C99" s="124" t="s">
        <v>257</v>
      </c>
      <c r="D99" s="123">
        <v>90</v>
      </c>
      <c r="E99" s="124" t="s">
        <v>161</v>
      </c>
      <c r="F99" s="123">
        <v>5</v>
      </c>
      <c r="G99" s="123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  <c r="BK99" s="124"/>
      <c r="BL99" s="124"/>
      <c r="BM99" s="124"/>
      <c r="BN99" s="124"/>
      <c r="BO99" s="124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4"/>
      <c r="CD99" s="124"/>
      <c r="CE99" s="124"/>
      <c r="CF99" s="124"/>
      <c r="CG99" s="124"/>
      <c r="CH99" s="124"/>
      <c r="CI99" s="124"/>
      <c r="CJ99" s="124"/>
      <c r="CK99" s="124"/>
      <c r="CL99" s="124"/>
      <c r="CM99" s="124"/>
      <c r="CN99" s="124"/>
      <c r="CO99" s="124"/>
      <c r="CP99" s="124"/>
      <c r="CQ99" s="124"/>
      <c r="CR99" s="124"/>
      <c r="CS99" s="124"/>
      <c r="CT99" s="124"/>
      <c r="CU99" s="124"/>
      <c r="CV99" s="124"/>
      <c r="CW99" s="124"/>
      <c r="CX99" s="124"/>
      <c r="CY99" s="124"/>
      <c r="CZ99" s="124"/>
      <c r="DA99" s="124"/>
      <c r="DB99" s="124"/>
      <c r="DC99" s="124"/>
      <c r="DD99" s="124"/>
      <c r="DE99" s="124"/>
      <c r="DF99" s="124"/>
      <c r="DG99" s="124"/>
      <c r="DH99" s="124"/>
      <c r="DI99" s="124"/>
      <c r="DJ99" s="124"/>
      <c r="DK99" s="124"/>
      <c r="DL99" s="124"/>
      <c r="DM99" s="124"/>
      <c r="DN99" s="124"/>
      <c r="DO99" s="124"/>
      <c r="DP99" s="124"/>
      <c r="DQ99" s="124"/>
      <c r="DR99" s="124"/>
      <c r="DS99" s="124"/>
      <c r="DT99" s="124"/>
      <c r="DU99" s="122">
        <v>0.7</v>
      </c>
      <c r="DV99" s="132">
        <v>14.7</v>
      </c>
      <c r="DW99" s="131">
        <v>8</v>
      </c>
      <c r="DX99" s="132">
        <v>12</v>
      </c>
      <c r="DY99" s="131">
        <v>8</v>
      </c>
      <c r="DZ99" s="132">
        <v>14.7</v>
      </c>
      <c r="EA99" s="131">
        <v>8</v>
      </c>
      <c r="EB99" s="132">
        <v>14</v>
      </c>
      <c r="EC99" s="131">
        <v>8</v>
      </c>
      <c r="ED99" s="132">
        <v>13</v>
      </c>
      <c r="EE99" s="131">
        <v>8</v>
      </c>
      <c r="EF99" s="132">
        <v>11.3</v>
      </c>
      <c r="EG99" s="131">
        <v>8</v>
      </c>
      <c r="EH99" s="132">
        <v>14</v>
      </c>
      <c r="EI99" s="131">
        <v>8</v>
      </c>
      <c r="EJ99" s="132">
        <v>13.7</v>
      </c>
      <c r="EK99" s="131">
        <v>8</v>
      </c>
      <c r="EL99" s="132">
        <v>11</v>
      </c>
      <c r="EM99" s="131">
        <v>8</v>
      </c>
      <c r="EN99" s="132">
        <v>12</v>
      </c>
      <c r="EO99" s="131">
        <v>8</v>
      </c>
      <c r="EP99" s="132">
        <v>12.7</v>
      </c>
      <c r="EQ99" s="131">
        <v>8</v>
      </c>
      <c r="ER99" s="132">
        <v>12.2</v>
      </c>
      <c r="ES99" s="131">
        <v>8</v>
      </c>
      <c r="ET99" s="132">
        <v>14.3</v>
      </c>
      <c r="EU99" s="131">
        <v>8</v>
      </c>
      <c r="EV99" s="132">
        <v>12.3</v>
      </c>
      <c r="EW99" s="131">
        <v>8</v>
      </c>
      <c r="EX99" s="132">
        <v>12</v>
      </c>
      <c r="EY99" s="131">
        <v>8</v>
      </c>
      <c r="EZ99" s="132">
        <v>13.3</v>
      </c>
      <c r="FA99" s="131">
        <v>8</v>
      </c>
      <c r="FB99" s="132">
        <v>13.5</v>
      </c>
      <c r="FC99" s="131">
        <v>8</v>
      </c>
      <c r="FD99" s="132">
        <v>14</v>
      </c>
      <c r="FE99" s="131">
        <v>8</v>
      </c>
      <c r="FF99" s="132">
        <v>12.5</v>
      </c>
      <c r="FG99" s="131">
        <v>8</v>
      </c>
      <c r="FH99" s="132">
        <v>11</v>
      </c>
      <c r="FI99" s="131">
        <v>8</v>
      </c>
      <c r="FJ99" s="132">
        <v>15.7</v>
      </c>
      <c r="FK99" s="131">
        <v>8</v>
      </c>
      <c r="FL99" s="132">
        <v>15.3</v>
      </c>
      <c r="FM99" s="131">
        <v>8</v>
      </c>
      <c r="FN99" s="132">
        <v>11.9</v>
      </c>
      <c r="FO99" s="131">
        <v>8</v>
      </c>
      <c r="FP99" s="132">
        <v>10.7</v>
      </c>
      <c r="FQ99" s="131">
        <v>8</v>
      </c>
      <c r="FR99" s="132">
        <v>11.3</v>
      </c>
      <c r="FS99" s="131">
        <v>8</v>
      </c>
      <c r="FT99" s="132">
        <v>13.7</v>
      </c>
      <c r="FU99" s="131">
        <v>8</v>
      </c>
      <c r="FV99" s="132">
        <v>14.3</v>
      </c>
      <c r="FW99" s="131">
        <v>8</v>
      </c>
      <c r="FX99" s="132">
        <v>10.7</v>
      </c>
      <c r="FY99" s="131">
        <v>8</v>
      </c>
      <c r="FZ99" s="132">
        <v>14</v>
      </c>
      <c r="GA99" s="131">
        <v>8</v>
      </c>
      <c r="GB99" s="132">
        <v>11.7</v>
      </c>
      <c r="GC99" s="131">
        <v>8</v>
      </c>
      <c r="GD99" s="132">
        <v>13.7</v>
      </c>
      <c r="GE99" s="131">
        <v>8</v>
      </c>
      <c r="GF99" s="132">
        <v>15</v>
      </c>
      <c r="GG99" s="131">
        <v>8</v>
      </c>
      <c r="GH99" s="132">
        <v>15.7</v>
      </c>
      <c r="GI99" s="131">
        <v>8</v>
      </c>
      <c r="GJ99" s="131">
        <v>12</v>
      </c>
      <c r="GK99" s="131">
        <v>8</v>
      </c>
      <c r="GL99" s="131">
        <v>12</v>
      </c>
      <c r="GM99" s="131">
        <v>8</v>
      </c>
      <c r="GN99" s="124"/>
      <c r="GO99" s="124"/>
      <c r="GP99" s="124"/>
      <c r="GQ99" s="124"/>
      <c r="GR99" s="124"/>
      <c r="GS99" s="124"/>
      <c r="GT99" s="124"/>
      <c r="GU99" s="124"/>
      <c r="GV99" s="124"/>
      <c r="GW99" s="124"/>
      <c r="GX99" s="124"/>
      <c r="GY99" s="124"/>
      <c r="GZ99" s="124"/>
      <c r="HA99" s="124"/>
      <c r="HB99" s="124"/>
      <c r="HC99" s="124"/>
      <c r="HD99" s="124"/>
      <c r="HE99" s="124"/>
      <c r="HF99" s="124"/>
      <c r="HG99" s="124"/>
      <c r="HH99" s="124"/>
      <c r="HI99" s="124"/>
      <c r="HJ99" s="124"/>
      <c r="HK99" s="124"/>
      <c r="HL99" s="124"/>
      <c r="HM99" s="124"/>
      <c r="HN99" s="124"/>
      <c r="HO99" s="124"/>
      <c r="HP99" s="124"/>
      <c r="HQ99" s="124"/>
    </row>
    <row r="100" spans="1:225" x14ac:dyDescent="0.2">
      <c r="A100" s="122" t="s">
        <v>731</v>
      </c>
      <c r="B100" s="123">
        <v>46</v>
      </c>
      <c r="C100" s="124" t="s">
        <v>258</v>
      </c>
      <c r="D100" s="123">
        <v>91</v>
      </c>
      <c r="E100" s="124" t="s">
        <v>161</v>
      </c>
      <c r="F100" s="123">
        <v>5</v>
      </c>
      <c r="G100" s="123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  <c r="CU100" s="124"/>
      <c r="CV100" s="124"/>
      <c r="CW100" s="124"/>
      <c r="CX100" s="124"/>
      <c r="CY100" s="124"/>
      <c r="CZ100" s="124"/>
      <c r="DA100" s="124"/>
      <c r="DB100" s="124"/>
      <c r="DC100" s="124"/>
      <c r="DD100" s="124"/>
      <c r="DE100" s="124"/>
      <c r="DF100" s="124"/>
      <c r="DG100" s="124"/>
      <c r="DH100" s="124"/>
      <c r="DI100" s="124"/>
      <c r="DJ100" s="124"/>
      <c r="DK100" s="124"/>
      <c r="DL100" s="124"/>
      <c r="DM100" s="124"/>
      <c r="DN100" s="124"/>
      <c r="DO100" s="124"/>
      <c r="DP100" s="124"/>
      <c r="DQ100" s="124"/>
      <c r="DR100" s="124"/>
      <c r="DS100" s="124"/>
      <c r="DT100" s="124"/>
      <c r="DU100" s="122">
        <v>0.8</v>
      </c>
      <c r="DV100" s="132">
        <v>15.7</v>
      </c>
      <c r="DW100" s="131">
        <v>9</v>
      </c>
      <c r="DX100" s="132">
        <v>13</v>
      </c>
      <c r="DY100" s="131">
        <v>9</v>
      </c>
      <c r="DZ100" s="132">
        <v>15.3</v>
      </c>
      <c r="EA100" s="131">
        <v>9</v>
      </c>
      <c r="EB100" s="132">
        <v>14.7</v>
      </c>
      <c r="EC100" s="131">
        <v>9</v>
      </c>
      <c r="ED100" s="132">
        <v>14</v>
      </c>
      <c r="EE100" s="131">
        <v>9</v>
      </c>
      <c r="EF100" s="132">
        <v>12</v>
      </c>
      <c r="EG100" s="131">
        <v>9</v>
      </c>
      <c r="EH100" s="132">
        <v>15</v>
      </c>
      <c r="EI100" s="131">
        <v>9</v>
      </c>
      <c r="EJ100" s="132">
        <v>14.7</v>
      </c>
      <c r="EK100" s="131">
        <v>9</v>
      </c>
      <c r="EL100" s="132">
        <v>12</v>
      </c>
      <c r="EM100" s="131">
        <v>9</v>
      </c>
      <c r="EN100" s="132">
        <v>13</v>
      </c>
      <c r="EO100" s="131">
        <v>9</v>
      </c>
      <c r="EP100" s="132">
        <v>13.3</v>
      </c>
      <c r="EQ100" s="131">
        <v>9</v>
      </c>
      <c r="ER100" s="132">
        <v>13.3</v>
      </c>
      <c r="ES100" s="131">
        <v>9</v>
      </c>
      <c r="ET100" s="132">
        <v>15</v>
      </c>
      <c r="EU100" s="131">
        <v>9</v>
      </c>
      <c r="EV100" s="132">
        <v>13.3</v>
      </c>
      <c r="EW100" s="131">
        <v>9</v>
      </c>
      <c r="EX100" s="132">
        <v>13.1</v>
      </c>
      <c r="EY100" s="131">
        <v>9</v>
      </c>
      <c r="EZ100" s="132">
        <v>14.3</v>
      </c>
      <c r="FA100" s="131">
        <v>9</v>
      </c>
      <c r="FB100" s="132">
        <v>14.3</v>
      </c>
      <c r="FC100" s="131">
        <v>9</v>
      </c>
      <c r="FD100" s="132">
        <v>14.8</v>
      </c>
      <c r="FE100" s="131">
        <v>9</v>
      </c>
      <c r="FF100" s="132">
        <v>13.5</v>
      </c>
      <c r="FG100" s="131">
        <v>9</v>
      </c>
      <c r="FH100" s="132">
        <v>11.7</v>
      </c>
      <c r="FI100" s="131">
        <v>9</v>
      </c>
      <c r="FJ100" s="132">
        <v>16.7</v>
      </c>
      <c r="FK100" s="131">
        <v>9</v>
      </c>
      <c r="FL100" s="132">
        <v>16</v>
      </c>
      <c r="FM100" s="131">
        <v>9</v>
      </c>
      <c r="FN100" s="132">
        <v>13</v>
      </c>
      <c r="FO100" s="131">
        <v>9</v>
      </c>
      <c r="FP100" s="132">
        <v>12</v>
      </c>
      <c r="FQ100" s="131">
        <v>9</v>
      </c>
      <c r="FR100" s="132">
        <v>13</v>
      </c>
      <c r="FS100" s="131">
        <v>9</v>
      </c>
      <c r="FT100" s="132">
        <v>14.3</v>
      </c>
      <c r="FU100" s="131">
        <v>9</v>
      </c>
      <c r="FV100" s="132">
        <v>15</v>
      </c>
      <c r="FW100" s="131">
        <v>9</v>
      </c>
      <c r="FX100" s="132">
        <v>11.7</v>
      </c>
      <c r="FY100" s="131">
        <v>9</v>
      </c>
      <c r="FZ100" s="132">
        <v>15</v>
      </c>
      <c r="GA100" s="131">
        <v>9</v>
      </c>
      <c r="GB100" s="132">
        <v>12.7</v>
      </c>
      <c r="GC100" s="131">
        <v>9</v>
      </c>
      <c r="GD100" s="132">
        <v>14.7</v>
      </c>
      <c r="GE100" s="131">
        <v>9</v>
      </c>
      <c r="GF100" s="132">
        <v>15.7</v>
      </c>
      <c r="GG100" s="131">
        <v>9</v>
      </c>
      <c r="GH100" s="132">
        <v>16.3</v>
      </c>
      <c r="GI100" s="131">
        <v>9</v>
      </c>
      <c r="GJ100" s="131">
        <v>12</v>
      </c>
      <c r="GK100" s="131">
        <v>9</v>
      </c>
      <c r="GL100" s="131">
        <v>13</v>
      </c>
      <c r="GM100" s="131">
        <v>9</v>
      </c>
      <c r="GN100" s="124"/>
      <c r="GO100" s="124"/>
      <c r="GP100" s="124"/>
      <c r="GQ100" s="124"/>
      <c r="GR100" s="124"/>
      <c r="GS100" s="124"/>
      <c r="GT100" s="124"/>
      <c r="GU100" s="124"/>
      <c r="GV100" s="124"/>
      <c r="GW100" s="124"/>
      <c r="GX100" s="124"/>
      <c r="GY100" s="124"/>
      <c r="GZ100" s="124"/>
      <c r="HA100" s="124"/>
      <c r="HB100" s="124"/>
      <c r="HC100" s="124"/>
      <c r="HD100" s="124"/>
      <c r="HE100" s="124"/>
      <c r="HF100" s="124"/>
      <c r="HG100" s="124"/>
      <c r="HH100" s="124"/>
      <c r="HI100" s="124"/>
      <c r="HJ100" s="124"/>
      <c r="HK100" s="124"/>
      <c r="HL100" s="124"/>
      <c r="HM100" s="124"/>
      <c r="HN100" s="124"/>
      <c r="HO100" s="124"/>
      <c r="HP100" s="124"/>
      <c r="HQ100" s="124"/>
    </row>
    <row r="101" spans="1:225" x14ac:dyDescent="0.2">
      <c r="A101" s="122" t="s">
        <v>732</v>
      </c>
      <c r="B101" s="123">
        <v>46</v>
      </c>
      <c r="C101" s="124" t="s">
        <v>259</v>
      </c>
      <c r="D101" s="123">
        <v>92</v>
      </c>
      <c r="E101" s="124" t="s">
        <v>161</v>
      </c>
      <c r="F101" s="123">
        <v>5</v>
      </c>
      <c r="G101" s="123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124"/>
      <c r="DH101" s="124"/>
      <c r="DI101" s="124"/>
      <c r="DJ101" s="124"/>
      <c r="DK101" s="124"/>
      <c r="DL101" s="124"/>
      <c r="DM101" s="124"/>
      <c r="DN101" s="124"/>
      <c r="DO101" s="124"/>
      <c r="DP101" s="124"/>
      <c r="DQ101" s="124"/>
      <c r="DR101" s="124"/>
      <c r="DS101" s="124"/>
      <c r="DT101" s="124"/>
      <c r="DU101" s="122">
        <v>0.9</v>
      </c>
      <c r="DV101" s="132">
        <v>16.7</v>
      </c>
      <c r="DW101" s="131">
        <v>10</v>
      </c>
      <c r="DX101" s="132">
        <v>14.3</v>
      </c>
      <c r="DY101" s="131">
        <v>10</v>
      </c>
      <c r="DZ101" s="132">
        <v>16.399999999999999</v>
      </c>
      <c r="EA101" s="131">
        <v>10</v>
      </c>
      <c r="EB101" s="132">
        <v>15.7</v>
      </c>
      <c r="EC101" s="131">
        <v>10</v>
      </c>
      <c r="ED101" s="132">
        <v>15.3</v>
      </c>
      <c r="EE101" s="131">
        <v>10</v>
      </c>
      <c r="EF101" s="132">
        <v>13</v>
      </c>
      <c r="EG101" s="131">
        <v>10</v>
      </c>
      <c r="EH101" s="132">
        <v>16</v>
      </c>
      <c r="EI101" s="131">
        <v>10</v>
      </c>
      <c r="EJ101" s="132">
        <v>16.100000000000001</v>
      </c>
      <c r="EK101" s="131">
        <v>10</v>
      </c>
      <c r="EL101" s="132">
        <v>13.7</v>
      </c>
      <c r="EM101" s="131">
        <v>10</v>
      </c>
      <c r="EN101" s="132">
        <v>14.3</v>
      </c>
      <c r="EO101" s="131">
        <v>10</v>
      </c>
      <c r="EP101" s="132">
        <v>14.7</v>
      </c>
      <c r="EQ101" s="131">
        <v>10</v>
      </c>
      <c r="ER101" s="132">
        <v>14</v>
      </c>
      <c r="ES101" s="131">
        <v>10</v>
      </c>
      <c r="ET101" s="132">
        <v>16.3</v>
      </c>
      <c r="EU101" s="131">
        <v>10</v>
      </c>
      <c r="EV101" s="132">
        <v>14.7</v>
      </c>
      <c r="EW101" s="131">
        <v>10</v>
      </c>
      <c r="EX101" s="132">
        <v>13.7</v>
      </c>
      <c r="EY101" s="131">
        <v>10</v>
      </c>
      <c r="EZ101" s="132">
        <v>15.3</v>
      </c>
      <c r="FA101" s="131">
        <v>10</v>
      </c>
      <c r="FB101" s="132">
        <v>15.3</v>
      </c>
      <c r="FC101" s="131">
        <v>10</v>
      </c>
      <c r="FD101" s="132">
        <v>15.8</v>
      </c>
      <c r="FE101" s="131">
        <v>10</v>
      </c>
      <c r="FF101" s="132">
        <v>15</v>
      </c>
      <c r="FG101" s="131">
        <v>10</v>
      </c>
      <c r="FH101" s="132">
        <v>12.7</v>
      </c>
      <c r="FI101" s="131">
        <v>10</v>
      </c>
      <c r="FJ101" s="132">
        <v>17.399999999999999</v>
      </c>
      <c r="FK101" s="131">
        <v>10</v>
      </c>
      <c r="FL101" s="132">
        <v>17.3</v>
      </c>
      <c r="FM101" s="131">
        <v>10</v>
      </c>
      <c r="FN101" s="132">
        <v>14.3</v>
      </c>
      <c r="FO101" s="131">
        <v>10</v>
      </c>
      <c r="FP101" s="132">
        <v>13.7</v>
      </c>
      <c r="FQ101" s="131">
        <v>10</v>
      </c>
      <c r="FR101" s="132">
        <v>14.3</v>
      </c>
      <c r="FS101" s="131">
        <v>10</v>
      </c>
      <c r="FT101" s="132">
        <v>15.3</v>
      </c>
      <c r="FU101" s="131">
        <v>10</v>
      </c>
      <c r="FV101" s="132">
        <v>16</v>
      </c>
      <c r="FW101" s="131">
        <v>10</v>
      </c>
      <c r="FX101" s="132">
        <v>12.7</v>
      </c>
      <c r="FY101" s="131">
        <v>10</v>
      </c>
      <c r="FZ101" s="132">
        <v>16.7</v>
      </c>
      <c r="GA101" s="131">
        <v>10</v>
      </c>
      <c r="GB101" s="132">
        <v>13.7</v>
      </c>
      <c r="GC101" s="131">
        <v>10</v>
      </c>
      <c r="GD101" s="132">
        <v>16</v>
      </c>
      <c r="GE101" s="131">
        <v>10</v>
      </c>
      <c r="GF101" s="132">
        <v>16.7</v>
      </c>
      <c r="GG101" s="131">
        <v>10</v>
      </c>
      <c r="GH101" s="132">
        <v>17.7</v>
      </c>
      <c r="GI101" s="131">
        <v>10</v>
      </c>
      <c r="GJ101" s="124">
        <v>13.6666667</v>
      </c>
      <c r="GK101" s="131">
        <v>18</v>
      </c>
      <c r="GL101" s="124">
        <v>14.5</v>
      </c>
      <c r="GM101" s="131">
        <v>18</v>
      </c>
      <c r="GN101" s="124"/>
      <c r="GO101" s="124"/>
      <c r="GP101" s="124"/>
      <c r="GQ101" s="124"/>
      <c r="GR101" s="124"/>
      <c r="GS101" s="124"/>
      <c r="GT101" s="124"/>
      <c r="GU101" s="124"/>
      <c r="GV101" s="124"/>
      <c r="GW101" s="124"/>
      <c r="GX101" s="124"/>
      <c r="GY101" s="124"/>
      <c r="GZ101" s="124"/>
      <c r="HA101" s="124"/>
      <c r="HB101" s="124"/>
      <c r="HC101" s="124"/>
      <c r="HD101" s="124"/>
      <c r="HE101" s="124"/>
      <c r="HF101" s="124"/>
      <c r="HG101" s="124"/>
      <c r="HH101" s="124"/>
      <c r="HI101" s="124"/>
      <c r="HJ101" s="124"/>
      <c r="HK101" s="124"/>
      <c r="HL101" s="124"/>
      <c r="HM101" s="124"/>
      <c r="HN101" s="124"/>
      <c r="HO101" s="124"/>
      <c r="HP101" s="124"/>
      <c r="HQ101" s="124"/>
    </row>
    <row r="102" spans="1:225" x14ac:dyDescent="0.2">
      <c r="A102" s="122" t="s">
        <v>733</v>
      </c>
      <c r="B102" s="123">
        <v>47</v>
      </c>
      <c r="C102" s="124" t="s">
        <v>260</v>
      </c>
      <c r="D102" s="123">
        <v>93</v>
      </c>
      <c r="E102" s="124" t="s">
        <v>161</v>
      </c>
      <c r="F102" s="123">
        <v>2</v>
      </c>
      <c r="G102" s="123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4"/>
      <c r="CY102" s="124"/>
      <c r="CZ102" s="124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4"/>
      <c r="DP102" s="124"/>
      <c r="DQ102" s="124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4"/>
      <c r="EG102" s="124"/>
      <c r="EH102" s="124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4"/>
      <c r="EX102" s="124"/>
      <c r="EY102" s="124"/>
      <c r="EZ102" s="124"/>
      <c r="FA102" s="124"/>
      <c r="FB102" s="124"/>
      <c r="FC102" s="124"/>
      <c r="FD102" s="124"/>
      <c r="FE102" s="124"/>
      <c r="FF102" s="124"/>
      <c r="FG102" s="124"/>
      <c r="FH102" s="124"/>
      <c r="FI102" s="124"/>
      <c r="FJ102" s="124"/>
      <c r="FK102" s="124"/>
      <c r="FL102" s="124"/>
      <c r="FM102" s="124"/>
      <c r="FN102" s="124"/>
      <c r="FO102" s="124"/>
      <c r="FP102" s="124"/>
      <c r="FQ102" s="124"/>
      <c r="FR102" s="124"/>
      <c r="FS102" s="124"/>
      <c r="FT102" s="124"/>
      <c r="FU102" s="124"/>
      <c r="FV102" s="124"/>
      <c r="FW102" s="124"/>
      <c r="FX102" s="124"/>
      <c r="FY102" s="124"/>
      <c r="FZ102" s="124"/>
      <c r="GA102" s="124"/>
      <c r="GB102" s="124"/>
      <c r="GC102" s="124"/>
      <c r="GD102" s="124"/>
      <c r="GE102" s="124"/>
      <c r="GF102" s="124"/>
      <c r="GG102" s="124"/>
      <c r="GH102" s="124"/>
      <c r="GI102" s="124"/>
      <c r="GJ102" s="124"/>
      <c r="GK102" s="124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4"/>
      <c r="GW102" s="124"/>
      <c r="GX102" s="124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4"/>
      <c r="HN102" s="124"/>
      <c r="HO102" s="124"/>
      <c r="HP102" s="124"/>
      <c r="HQ102" s="124"/>
    </row>
    <row r="103" spans="1:225" x14ac:dyDescent="0.2">
      <c r="A103" s="122" t="s">
        <v>734</v>
      </c>
      <c r="B103" s="123">
        <v>47</v>
      </c>
      <c r="C103" s="124" t="s">
        <v>261</v>
      </c>
      <c r="D103" s="123">
        <v>94</v>
      </c>
      <c r="E103" s="124" t="s">
        <v>161</v>
      </c>
      <c r="F103" s="123">
        <v>2</v>
      </c>
      <c r="G103" s="123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4"/>
      <c r="CY103" s="124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124"/>
      <c r="DR103" s="124"/>
      <c r="DS103" s="124"/>
      <c r="DT103" s="124"/>
      <c r="DU103" s="122"/>
      <c r="DV103" s="128" t="s">
        <v>124</v>
      </c>
      <c r="DW103" s="122"/>
      <c r="DX103" s="122" t="s">
        <v>68</v>
      </c>
      <c r="DY103" s="122"/>
      <c r="DZ103" s="128" t="s">
        <v>125</v>
      </c>
      <c r="EA103" s="122"/>
      <c r="EB103" s="122" t="s">
        <v>567</v>
      </c>
      <c r="EC103" s="122"/>
      <c r="ED103" s="128" t="s">
        <v>127</v>
      </c>
      <c r="EE103" s="122"/>
      <c r="EF103" s="122" t="s">
        <v>568</v>
      </c>
      <c r="EG103" s="122"/>
      <c r="EH103" s="128" t="s">
        <v>71</v>
      </c>
      <c r="EI103" s="122"/>
      <c r="EJ103" s="122" t="s">
        <v>85</v>
      </c>
      <c r="EK103" s="122"/>
      <c r="EL103" s="122" t="s">
        <v>93</v>
      </c>
      <c r="EM103" s="122"/>
      <c r="EN103" s="122" t="s">
        <v>129</v>
      </c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4"/>
      <c r="HO103" s="124"/>
      <c r="HP103" s="122"/>
      <c r="HQ103" s="124"/>
    </row>
    <row r="104" spans="1:225" x14ac:dyDescent="0.2">
      <c r="A104" s="122" t="s">
        <v>735</v>
      </c>
      <c r="B104" s="123">
        <v>48</v>
      </c>
      <c r="C104" s="124" t="s">
        <v>262</v>
      </c>
      <c r="D104" s="123">
        <v>95</v>
      </c>
      <c r="E104" s="124" t="s">
        <v>161</v>
      </c>
      <c r="F104" s="123">
        <v>5</v>
      </c>
      <c r="G104" s="123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4"/>
      <c r="CY104" s="124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4"/>
      <c r="DP104" s="124"/>
      <c r="DQ104" s="124"/>
      <c r="DR104" s="124"/>
      <c r="DS104" s="124"/>
      <c r="DT104" s="124"/>
      <c r="DU104" s="122">
        <v>0</v>
      </c>
      <c r="DV104" s="136">
        <v>0</v>
      </c>
      <c r="DW104" s="131">
        <v>1</v>
      </c>
      <c r="DX104" s="131">
        <v>0</v>
      </c>
      <c r="DY104" s="131">
        <v>1</v>
      </c>
      <c r="DZ104" s="136">
        <v>0</v>
      </c>
      <c r="EA104" s="131">
        <v>1</v>
      </c>
      <c r="EB104" s="131">
        <v>0</v>
      </c>
      <c r="EC104" s="131">
        <v>1</v>
      </c>
      <c r="ED104" s="136">
        <v>0</v>
      </c>
      <c r="EE104" s="131">
        <v>1</v>
      </c>
      <c r="EF104" s="131">
        <v>0</v>
      </c>
      <c r="EG104" s="131">
        <v>1</v>
      </c>
      <c r="EH104" s="136">
        <v>0</v>
      </c>
      <c r="EI104" s="131">
        <v>1</v>
      </c>
      <c r="EJ104" s="131">
        <v>0</v>
      </c>
      <c r="EK104" s="131">
        <v>1</v>
      </c>
      <c r="EL104" s="131">
        <v>0</v>
      </c>
      <c r="EM104" s="131">
        <v>1</v>
      </c>
      <c r="EN104" s="131">
        <v>0</v>
      </c>
      <c r="EO104" s="131">
        <v>1</v>
      </c>
      <c r="EP104" s="124"/>
      <c r="EQ104" s="124"/>
      <c r="ER104" s="124"/>
      <c r="ES104" s="124"/>
      <c r="ET104" s="124"/>
      <c r="EU104" s="124"/>
      <c r="EV104" s="124"/>
      <c r="EW104" s="124"/>
      <c r="EX104" s="124"/>
      <c r="EY104" s="124"/>
      <c r="EZ104" s="124"/>
      <c r="FA104" s="124"/>
      <c r="FB104" s="124"/>
      <c r="FC104" s="124"/>
      <c r="FD104" s="124"/>
      <c r="FE104" s="124"/>
      <c r="FF104" s="124"/>
      <c r="FG104" s="124"/>
      <c r="FH104" s="124"/>
      <c r="FI104" s="124"/>
      <c r="FJ104" s="124"/>
      <c r="FK104" s="124"/>
      <c r="FL104" s="124"/>
      <c r="FM104" s="124"/>
      <c r="FN104" s="124"/>
      <c r="FO104" s="124"/>
      <c r="FP104" s="124"/>
      <c r="FQ104" s="124"/>
      <c r="FR104" s="124"/>
      <c r="FS104" s="124"/>
      <c r="FT104" s="124"/>
      <c r="FU104" s="124"/>
      <c r="FV104" s="124"/>
      <c r="FW104" s="124"/>
      <c r="FX104" s="124"/>
      <c r="FY104" s="124"/>
      <c r="FZ104" s="124"/>
      <c r="GA104" s="124"/>
      <c r="GB104" s="124"/>
      <c r="GC104" s="124"/>
      <c r="GD104" s="124"/>
      <c r="GE104" s="124"/>
      <c r="GF104" s="124"/>
      <c r="GG104" s="124"/>
      <c r="GH104" s="124"/>
      <c r="GI104" s="124"/>
      <c r="GJ104" s="124"/>
      <c r="GK104" s="124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4"/>
      <c r="GW104" s="124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4"/>
      <c r="HN104" s="124"/>
      <c r="HO104" s="124"/>
      <c r="HP104" s="124"/>
      <c r="HQ104" s="124"/>
    </row>
    <row r="105" spans="1:225" x14ac:dyDescent="0.2">
      <c r="A105" s="122" t="s">
        <v>736</v>
      </c>
      <c r="B105" s="123">
        <v>48</v>
      </c>
      <c r="C105" s="124" t="s">
        <v>263</v>
      </c>
      <c r="D105" s="123">
        <v>96</v>
      </c>
      <c r="E105" s="124" t="s">
        <v>161</v>
      </c>
      <c r="F105" s="123">
        <v>4</v>
      </c>
      <c r="G105" s="123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/>
      <c r="CN105" s="124"/>
      <c r="CO105" s="124"/>
      <c r="CP105" s="124"/>
      <c r="CQ105" s="124"/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124"/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2">
        <v>0.1</v>
      </c>
      <c r="DV105" s="136">
        <v>7.33</v>
      </c>
      <c r="DW105" s="131">
        <v>2</v>
      </c>
      <c r="DX105" s="131">
        <v>7</v>
      </c>
      <c r="DY105" s="131">
        <v>2</v>
      </c>
      <c r="DZ105" s="136">
        <v>10.6</v>
      </c>
      <c r="EA105" s="131">
        <v>2</v>
      </c>
      <c r="EB105" s="131">
        <v>6</v>
      </c>
      <c r="EC105" s="131">
        <v>2</v>
      </c>
      <c r="ED105" s="136">
        <v>8.33</v>
      </c>
      <c r="EE105" s="131">
        <v>2</v>
      </c>
      <c r="EF105" s="131">
        <v>5</v>
      </c>
      <c r="EG105" s="131">
        <v>2</v>
      </c>
      <c r="EH105" s="136">
        <v>5.93</v>
      </c>
      <c r="EI105" s="131">
        <v>2</v>
      </c>
      <c r="EJ105" s="131">
        <v>8</v>
      </c>
      <c r="EK105" s="131">
        <v>2</v>
      </c>
      <c r="EL105" s="131">
        <v>10</v>
      </c>
      <c r="EM105" s="131">
        <v>2</v>
      </c>
      <c r="EN105" s="131">
        <v>8</v>
      </c>
      <c r="EO105" s="131">
        <v>2</v>
      </c>
      <c r="EP105" s="124"/>
      <c r="EQ105" s="124"/>
      <c r="ER105" s="124"/>
      <c r="ES105" s="124"/>
      <c r="ET105" s="124"/>
      <c r="EU105" s="124"/>
      <c r="EV105" s="124"/>
      <c r="EW105" s="124"/>
      <c r="EX105" s="124"/>
      <c r="EY105" s="124"/>
      <c r="EZ105" s="124"/>
      <c r="FA105" s="124"/>
      <c r="FB105" s="124"/>
      <c r="FC105" s="124"/>
      <c r="FD105" s="124"/>
      <c r="FE105" s="124"/>
      <c r="FF105" s="124"/>
      <c r="FG105" s="124"/>
      <c r="FH105" s="124"/>
      <c r="FI105" s="124"/>
      <c r="FJ105" s="124"/>
      <c r="FK105" s="124"/>
      <c r="FL105" s="124"/>
      <c r="FM105" s="124"/>
      <c r="FN105" s="124"/>
      <c r="FO105" s="124"/>
      <c r="FP105" s="124"/>
      <c r="FQ105" s="124"/>
      <c r="FR105" s="124"/>
      <c r="FS105" s="124"/>
      <c r="FT105" s="124"/>
      <c r="FU105" s="124"/>
      <c r="FV105" s="124"/>
      <c r="FW105" s="124"/>
      <c r="FX105" s="124"/>
      <c r="FY105" s="124"/>
      <c r="FZ105" s="124"/>
      <c r="GA105" s="124"/>
      <c r="GB105" s="124"/>
      <c r="GC105" s="124"/>
      <c r="GD105" s="124"/>
      <c r="GE105" s="124"/>
      <c r="GF105" s="124"/>
      <c r="GG105" s="124"/>
      <c r="GH105" s="124"/>
      <c r="GI105" s="124"/>
      <c r="GJ105" s="124"/>
      <c r="GK105" s="124"/>
      <c r="GL105" s="124"/>
      <c r="GM105" s="124"/>
      <c r="GN105" s="124"/>
      <c r="GO105" s="124"/>
      <c r="GP105" s="124"/>
      <c r="GQ105" s="124"/>
      <c r="GR105" s="124"/>
      <c r="GS105" s="124"/>
      <c r="GT105" s="124"/>
      <c r="GU105" s="124"/>
      <c r="GV105" s="124"/>
      <c r="GW105" s="124"/>
      <c r="GX105" s="124"/>
      <c r="GY105" s="124"/>
      <c r="GZ105" s="124"/>
      <c r="HA105" s="124"/>
      <c r="HB105" s="124"/>
      <c r="HC105" s="124"/>
      <c r="HD105" s="124"/>
      <c r="HE105" s="124"/>
      <c r="HF105" s="124"/>
      <c r="HG105" s="124"/>
      <c r="HH105" s="124"/>
      <c r="HI105" s="124"/>
      <c r="HJ105" s="124"/>
      <c r="HK105" s="124"/>
      <c r="HL105" s="124"/>
      <c r="HM105" s="124"/>
      <c r="HN105" s="124"/>
      <c r="HO105" s="124"/>
      <c r="HP105" s="124"/>
      <c r="HQ105" s="124"/>
    </row>
    <row r="106" spans="1:225" x14ac:dyDescent="0.2">
      <c r="A106" s="122" t="s">
        <v>737</v>
      </c>
      <c r="B106" s="123">
        <v>49</v>
      </c>
      <c r="C106" s="138" t="s">
        <v>264</v>
      </c>
      <c r="D106" s="123">
        <v>97</v>
      </c>
      <c r="E106" s="124" t="s">
        <v>161</v>
      </c>
      <c r="F106" s="123">
        <v>4</v>
      </c>
      <c r="G106" s="123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124"/>
      <c r="DD106" s="124"/>
      <c r="DE106" s="124"/>
      <c r="DF106" s="124"/>
      <c r="DG106" s="124"/>
      <c r="DH106" s="124"/>
      <c r="DI106" s="124"/>
      <c r="DJ106" s="124"/>
      <c r="DK106" s="124"/>
      <c r="DL106" s="124"/>
      <c r="DM106" s="124"/>
      <c r="DN106" s="124"/>
      <c r="DO106" s="124"/>
      <c r="DP106" s="124"/>
      <c r="DQ106" s="124"/>
      <c r="DR106" s="124"/>
      <c r="DS106" s="124"/>
      <c r="DT106" s="124"/>
      <c r="DU106" s="122">
        <v>0.2</v>
      </c>
      <c r="DV106" s="136">
        <v>8.33</v>
      </c>
      <c r="DW106" s="131">
        <v>3</v>
      </c>
      <c r="DX106" s="131">
        <v>8</v>
      </c>
      <c r="DY106" s="131">
        <v>3</v>
      </c>
      <c r="DZ106" s="136">
        <v>11.67</v>
      </c>
      <c r="EA106" s="131">
        <v>3</v>
      </c>
      <c r="EB106" s="131">
        <v>7</v>
      </c>
      <c r="EC106" s="131">
        <v>3</v>
      </c>
      <c r="ED106" s="136">
        <v>10</v>
      </c>
      <c r="EE106" s="131">
        <v>3</v>
      </c>
      <c r="EF106" s="131">
        <v>6</v>
      </c>
      <c r="EG106" s="131">
        <v>3</v>
      </c>
      <c r="EH106" s="136">
        <v>7</v>
      </c>
      <c r="EI106" s="131">
        <v>3</v>
      </c>
      <c r="EJ106" s="131">
        <v>10</v>
      </c>
      <c r="EK106" s="131">
        <v>3</v>
      </c>
      <c r="EL106" s="131">
        <v>12</v>
      </c>
      <c r="EM106" s="131">
        <v>3</v>
      </c>
      <c r="EN106" s="131">
        <v>10</v>
      </c>
      <c r="EO106" s="131">
        <v>3</v>
      </c>
      <c r="EP106" s="124"/>
      <c r="EQ106" s="124"/>
      <c r="ER106" s="124"/>
      <c r="ES106" s="124"/>
      <c r="ET106" s="124"/>
      <c r="EU106" s="124"/>
      <c r="EV106" s="124"/>
      <c r="EW106" s="124"/>
      <c r="EX106" s="124"/>
      <c r="EY106" s="124"/>
      <c r="EZ106" s="124"/>
      <c r="FA106" s="124"/>
      <c r="FB106" s="124"/>
      <c r="FC106" s="124"/>
      <c r="FD106" s="124"/>
      <c r="FE106" s="124"/>
      <c r="FF106" s="124"/>
      <c r="FG106" s="124"/>
      <c r="FH106" s="124"/>
      <c r="FI106" s="124"/>
      <c r="FJ106" s="124"/>
      <c r="FK106" s="124"/>
      <c r="FL106" s="124"/>
      <c r="FM106" s="124"/>
      <c r="FN106" s="124"/>
      <c r="FO106" s="124"/>
      <c r="FP106" s="124"/>
      <c r="FQ106" s="124"/>
      <c r="FR106" s="124"/>
      <c r="FS106" s="124"/>
      <c r="FT106" s="124"/>
      <c r="FU106" s="124"/>
      <c r="FV106" s="124"/>
      <c r="FW106" s="124"/>
      <c r="FX106" s="124"/>
      <c r="FY106" s="124"/>
      <c r="FZ106" s="124"/>
      <c r="GA106" s="124"/>
      <c r="GB106" s="124"/>
      <c r="GC106" s="124"/>
      <c r="GD106" s="124"/>
      <c r="GE106" s="124"/>
      <c r="GF106" s="124"/>
      <c r="GG106" s="124"/>
      <c r="GH106" s="124"/>
      <c r="GI106" s="124"/>
      <c r="GJ106" s="124"/>
      <c r="GK106" s="124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4"/>
      <c r="GV106" s="124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4"/>
      <c r="HQ106" s="124"/>
    </row>
    <row r="107" spans="1:225" x14ac:dyDescent="0.2">
      <c r="A107" s="122" t="s">
        <v>738</v>
      </c>
      <c r="B107" s="123">
        <v>49</v>
      </c>
      <c r="C107" s="124" t="s">
        <v>265</v>
      </c>
      <c r="D107" s="123">
        <v>98</v>
      </c>
      <c r="E107" s="124" t="s">
        <v>161</v>
      </c>
      <c r="F107" s="123">
        <v>5</v>
      </c>
      <c r="G107" s="123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/>
      <c r="CN107" s="124"/>
      <c r="CO107" s="124"/>
      <c r="CP107" s="124"/>
      <c r="CQ107" s="124"/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124"/>
      <c r="DD107" s="124"/>
      <c r="DE107" s="124"/>
      <c r="DF107" s="124"/>
      <c r="DG107" s="124"/>
      <c r="DH107" s="124"/>
      <c r="DI107" s="124"/>
      <c r="DJ107" s="124"/>
      <c r="DK107" s="124"/>
      <c r="DL107" s="124"/>
      <c r="DM107" s="124"/>
      <c r="DN107" s="124"/>
      <c r="DO107" s="124"/>
      <c r="DP107" s="124"/>
      <c r="DQ107" s="124"/>
      <c r="DR107" s="124"/>
      <c r="DS107" s="124"/>
      <c r="DT107" s="124"/>
      <c r="DU107" s="122">
        <v>0.3</v>
      </c>
      <c r="DV107" s="136">
        <v>9.33</v>
      </c>
      <c r="DW107" s="131">
        <v>4</v>
      </c>
      <c r="DX107" s="131">
        <v>9</v>
      </c>
      <c r="DY107" s="131">
        <v>4</v>
      </c>
      <c r="DZ107" s="136">
        <v>12.67</v>
      </c>
      <c r="EA107" s="131">
        <v>4</v>
      </c>
      <c r="EB107" s="131">
        <v>8</v>
      </c>
      <c r="EC107" s="131">
        <v>4</v>
      </c>
      <c r="ED107" s="136">
        <v>11</v>
      </c>
      <c r="EE107" s="131">
        <v>4</v>
      </c>
      <c r="EF107" s="131">
        <v>7</v>
      </c>
      <c r="EG107" s="131">
        <v>4</v>
      </c>
      <c r="EH107" s="136">
        <v>8</v>
      </c>
      <c r="EI107" s="131">
        <v>4</v>
      </c>
      <c r="EJ107" s="131">
        <v>11</v>
      </c>
      <c r="EK107" s="131">
        <v>4</v>
      </c>
      <c r="EL107" s="131">
        <v>12</v>
      </c>
      <c r="EM107" s="131">
        <v>4</v>
      </c>
      <c r="EN107" s="131">
        <v>11</v>
      </c>
      <c r="EO107" s="131">
        <v>4</v>
      </c>
      <c r="EP107" s="124"/>
      <c r="EQ107" s="124"/>
      <c r="ER107" s="124"/>
      <c r="ES107" s="124"/>
      <c r="ET107" s="124"/>
      <c r="EU107" s="124"/>
      <c r="EV107" s="124"/>
      <c r="EW107" s="124"/>
      <c r="EX107" s="124"/>
      <c r="EY107" s="124"/>
      <c r="EZ107" s="124"/>
      <c r="FA107" s="124"/>
      <c r="FB107" s="124"/>
      <c r="FC107" s="124"/>
      <c r="FD107" s="124"/>
      <c r="FE107" s="124"/>
      <c r="FF107" s="124"/>
      <c r="FG107" s="124"/>
      <c r="FH107" s="124"/>
      <c r="FI107" s="124"/>
      <c r="FJ107" s="124"/>
      <c r="FK107" s="124"/>
      <c r="FL107" s="124"/>
      <c r="FM107" s="124"/>
      <c r="FN107" s="124"/>
      <c r="FO107" s="124"/>
      <c r="FP107" s="124"/>
      <c r="FQ107" s="124"/>
      <c r="FR107" s="124"/>
      <c r="FS107" s="124"/>
      <c r="FT107" s="124"/>
      <c r="FU107" s="124"/>
      <c r="FV107" s="124"/>
      <c r="FW107" s="124"/>
      <c r="FX107" s="124"/>
      <c r="FY107" s="124"/>
      <c r="FZ107" s="124"/>
      <c r="GA107" s="124"/>
      <c r="GB107" s="124"/>
      <c r="GC107" s="124"/>
      <c r="GD107" s="124"/>
      <c r="GE107" s="124"/>
      <c r="GF107" s="124"/>
      <c r="GG107" s="124"/>
      <c r="GH107" s="124"/>
      <c r="GI107" s="124"/>
      <c r="GJ107" s="124"/>
      <c r="GK107" s="124"/>
      <c r="GL107" s="124"/>
      <c r="GM107" s="124"/>
      <c r="GN107" s="124"/>
      <c r="GO107" s="124"/>
      <c r="GP107" s="124"/>
      <c r="GQ107" s="124"/>
      <c r="GR107" s="124"/>
      <c r="GS107" s="124"/>
      <c r="GT107" s="124"/>
      <c r="GU107" s="124"/>
      <c r="GV107" s="124"/>
      <c r="GW107" s="124"/>
      <c r="GX107" s="124"/>
      <c r="GY107" s="124"/>
      <c r="GZ107" s="124"/>
      <c r="HA107" s="124"/>
      <c r="HB107" s="124"/>
      <c r="HC107" s="124"/>
      <c r="HD107" s="124"/>
      <c r="HE107" s="124"/>
      <c r="HF107" s="124"/>
      <c r="HG107" s="124"/>
      <c r="HH107" s="124"/>
      <c r="HI107" s="124"/>
      <c r="HJ107" s="124"/>
      <c r="HK107" s="124"/>
      <c r="HL107" s="124"/>
      <c r="HM107" s="124"/>
      <c r="HN107" s="124"/>
      <c r="HO107" s="124"/>
      <c r="HP107" s="124"/>
      <c r="HQ107" s="124"/>
    </row>
    <row r="108" spans="1:225" x14ac:dyDescent="0.2">
      <c r="A108" s="122" t="s">
        <v>739</v>
      </c>
      <c r="B108" s="123">
        <v>50</v>
      </c>
      <c r="C108" s="124" t="s">
        <v>266</v>
      </c>
      <c r="D108" s="123">
        <v>99</v>
      </c>
      <c r="E108" s="124" t="s">
        <v>161</v>
      </c>
      <c r="F108" s="123">
        <v>5</v>
      </c>
      <c r="G108" s="123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  <c r="CF108" s="124"/>
      <c r="CG108" s="124"/>
      <c r="CH108" s="124"/>
      <c r="CI108" s="124"/>
      <c r="CJ108" s="124"/>
      <c r="CK108" s="124"/>
      <c r="CL108" s="124"/>
      <c r="CM108" s="124"/>
      <c r="CN108" s="124"/>
      <c r="CO108" s="124"/>
      <c r="CP108" s="124"/>
      <c r="CQ108" s="124"/>
      <c r="CR108" s="124"/>
      <c r="CS108" s="124"/>
      <c r="CT108" s="124"/>
      <c r="CU108" s="124"/>
      <c r="CV108" s="124"/>
      <c r="CW108" s="124"/>
      <c r="CX108" s="124"/>
      <c r="CY108" s="124"/>
      <c r="CZ108" s="124"/>
      <c r="DA108" s="124"/>
      <c r="DB108" s="124"/>
      <c r="DC108" s="124"/>
      <c r="DD108" s="124"/>
      <c r="DE108" s="124"/>
      <c r="DF108" s="124"/>
      <c r="DG108" s="124"/>
      <c r="DH108" s="124"/>
      <c r="DI108" s="124"/>
      <c r="DJ108" s="124"/>
      <c r="DK108" s="124"/>
      <c r="DL108" s="124"/>
      <c r="DM108" s="124"/>
      <c r="DN108" s="124"/>
      <c r="DO108" s="124"/>
      <c r="DP108" s="124"/>
      <c r="DQ108" s="124"/>
      <c r="DR108" s="124"/>
      <c r="DS108" s="124"/>
      <c r="DT108" s="124"/>
      <c r="DU108" s="122">
        <v>0.4</v>
      </c>
      <c r="DV108" s="136">
        <v>10</v>
      </c>
      <c r="DW108" s="131">
        <v>5</v>
      </c>
      <c r="DX108" s="131">
        <v>10</v>
      </c>
      <c r="DY108" s="131">
        <v>5</v>
      </c>
      <c r="DZ108" s="136">
        <v>13.33</v>
      </c>
      <c r="EA108" s="131">
        <v>5</v>
      </c>
      <c r="EB108" s="131">
        <v>8</v>
      </c>
      <c r="EC108" s="131">
        <v>5</v>
      </c>
      <c r="ED108" s="136">
        <v>11.67</v>
      </c>
      <c r="EE108" s="131">
        <v>5</v>
      </c>
      <c r="EF108" s="131">
        <v>8</v>
      </c>
      <c r="EG108" s="131">
        <v>5</v>
      </c>
      <c r="EH108" s="136">
        <v>8.67</v>
      </c>
      <c r="EI108" s="131">
        <v>5</v>
      </c>
      <c r="EJ108" s="131">
        <v>12</v>
      </c>
      <c r="EK108" s="131">
        <v>5</v>
      </c>
      <c r="EL108" s="131">
        <v>13</v>
      </c>
      <c r="EM108" s="131">
        <v>5</v>
      </c>
      <c r="EN108" s="131">
        <v>11</v>
      </c>
      <c r="EO108" s="131">
        <v>5</v>
      </c>
      <c r="EP108" s="124"/>
      <c r="EQ108" s="124"/>
      <c r="ER108" s="124"/>
      <c r="ES108" s="124"/>
      <c r="ET108" s="124"/>
      <c r="EU108" s="124"/>
      <c r="EV108" s="124"/>
      <c r="EW108" s="124"/>
      <c r="EX108" s="124"/>
      <c r="EY108" s="124"/>
      <c r="EZ108" s="124"/>
      <c r="FA108" s="124"/>
      <c r="FB108" s="124"/>
      <c r="FC108" s="124"/>
      <c r="FD108" s="124"/>
      <c r="FE108" s="124"/>
      <c r="FF108" s="124"/>
      <c r="FG108" s="124"/>
      <c r="FH108" s="124"/>
      <c r="FI108" s="124"/>
      <c r="FJ108" s="124"/>
      <c r="FK108" s="124"/>
      <c r="FL108" s="124"/>
      <c r="FM108" s="124"/>
      <c r="FN108" s="124"/>
      <c r="FO108" s="124"/>
      <c r="FP108" s="124"/>
      <c r="FQ108" s="124"/>
      <c r="FR108" s="124"/>
      <c r="FS108" s="124"/>
      <c r="FT108" s="124"/>
      <c r="FU108" s="124"/>
      <c r="FV108" s="124"/>
      <c r="FW108" s="124"/>
      <c r="FX108" s="124"/>
      <c r="FY108" s="124"/>
      <c r="FZ108" s="124"/>
      <c r="GA108" s="124"/>
      <c r="GB108" s="124"/>
      <c r="GC108" s="124"/>
      <c r="GD108" s="124"/>
      <c r="GE108" s="124"/>
      <c r="GF108" s="124"/>
      <c r="GG108" s="124"/>
      <c r="GH108" s="124"/>
      <c r="GI108" s="124"/>
      <c r="GJ108" s="124"/>
      <c r="GK108" s="124"/>
      <c r="GL108" s="124"/>
      <c r="GM108" s="124"/>
      <c r="GN108" s="124"/>
      <c r="GO108" s="124"/>
      <c r="GP108" s="124"/>
      <c r="GQ108" s="124"/>
      <c r="GR108" s="124"/>
      <c r="GS108" s="124"/>
      <c r="GT108" s="124"/>
      <c r="GU108" s="124"/>
      <c r="GV108" s="124"/>
      <c r="GW108" s="124"/>
      <c r="GX108" s="124"/>
      <c r="GY108" s="124"/>
      <c r="GZ108" s="124"/>
      <c r="HA108" s="124"/>
      <c r="HB108" s="124"/>
      <c r="HC108" s="124"/>
      <c r="HD108" s="124"/>
      <c r="HE108" s="124"/>
      <c r="HF108" s="124"/>
      <c r="HG108" s="124"/>
      <c r="HH108" s="124"/>
      <c r="HI108" s="124"/>
      <c r="HJ108" s="124"/>
      <c r="HK108" s="124"/>
      <c r="HL108" s="124"/>
      <c r="HM108" s="124"/>
      <c r="HN108" s="124"/>
      <c r="HO108" s="124"/>
      <c r="HP108" s="124"/>
      <c r="HQ108" s="124"/>
    </row>
    <row r="109" spans="1:225" x14ac:dyDescent="0.2">
      <c r="A109" s="122" t="s">
        <v>740</v>
      </c>
      <c r="B109" s="123">
        <v>50</v>
      </c>
      <c r="C109" s="124" t="s">
        <v>267</v>
      </c>
      <c r="D109" s="123">
        <v>100</v>
      </c>
      <c r="E109" s="124" t="s">
        <v>161</v>
      </c>
      <c r="F109" s="123">
        <v>4</v>
      </c>
      <c r="G109" s="123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  <c r="CF109" s="124"/>
      <c r="CG109" s="124"/>
      <c r="CH109" s="124"/>
      <c r="CI109" s="124"/>
      <c r="CJ109" s="124"/>
      <c r="CK109" s="124"/>
      <c r="CL109" s="124"/>
      <c r="CM109" s="124"/>
      <c r="CN109" s="124"/>
      <c r="CO109" s="124"/>
      <c r="CP109" s="124"/>
      <c r="CQ109" s="124"/>
      <c r="CR109" s="124"/>
      <c r="CS109" s="124"/>
      <c r="CT109" s="124"/>
      <c r="CU109" s="124"/>
      <c r="CV109" s="124"/>
      <c r="CW109" s="124"/>
      <c r="CX109" s="124"/>
      <c r="CY109" s="124"/>
      <c r="CZ109" s="124"/>
      <c r="DA109" s="124"/>
      <c r="DB109" s="124"/>
      <c r="DC109" s="124"/>
      <c r="DD109" s="124"/>
      <c r="DE109" s="124"/>
      <c r="DF109" s="124"/>
      <c r="DG109" s="124"/>
      <c r="DH109" s="124"/>
      <c r="DI109" s="124"/>
      <c r="DJ109" s="124"/>
      <c r="DK109" s="124"/>
      <c r="DL109" s="124"/>
      <c r="DM109" s="124"/>
      <c r="DN109" s="124"/>
      <c r="DO109" s="124"/>
      <c r="DP109" s="124"/>
      <c r="DQ109" s="124"/>
      <c r="DR109" s="124"/>
      <c r="DS109" s="124"/>
      <c r="DT109" s="124"/>
      <c r="DU109" s="122">
        <v>0.5</v>
      </c>
      <c r="DV109" s="136">
        <v>10.67</v>
      </c>
      <c r="DW109" s="131">
        <v>6</v>
      </c>
      <c r="DX109" s="131">
        <v>11</v>
      </c>
      <c r="DY109" s="131">
        <v>6</v>
      </c>
      <c r="DZ109" s="136">
        <v>14</v>
      </c>
      <c r="EA109" s="131">
        <v>6</v>
      </c>
      <c r="EB109" s="131">
        <v>9</v>
      </c>
      <c r="EC109" s="131">
        <v>6</v>
      </c>
      <c r="ED109" s="136">
        <v>12.33</v>
      </c>
      <c r="EE109" s="131">
        <v>6</v>
      </c>
      <c r="EF109" s="131">
        <v>9</v>
      </c>
      <c r="EG109" s="131">
        <v>6</v>
      </c>
      <c r="EH109" s="136">
        <v>9.67</v>
      </c>
      <c r="EI109" s="131">
        <v>6</v>
      </c>
      <c r="EJ109" s="131">
        <v>13</v>
      </c>
      <c r="EK109" s="131">
        <v>6</v>
      </c>
      <c r="EL109" s="131">
        <v>14</v>
      </c>
      <c r="EM109" s="131">
        <v>6</v>
      </c>
      <c r="EN109" s="131">
        <v>12</v>
      </c>
      <c r="EO109" s="131">
        <v>6</v>
      </c>
      <c r="EP109" s="124"/>
      <c r="EQ109" s="124"/>
      <c r="ER109" s="124"/>
      <c r="ES109" s="124"/>
      <c r="ET109" s="124"/>
      <c r="EU109" s="124"/>
      <c r="EV109" s="124"/>
      <c r="EW109" s="124"/>
      <c r="EX109" s="124"/>
      <c r="EY109" s="124"/>
      <c r="EZ109" s="124"/>
      <c r="FA109" s="124"/>
      <c r="FB109" s="124"/>
      <c r="FC109" s="124"/>
      <c r="FD109" s="124"/>
      <c r="FE109" s="124"/>
      <c r="FF109" s="124"/>
      <c r="FG109" s="124"/>
      <c r="FH109" s="124"/>
      <c r="FI109" s="124"/>
      <c r="FJ109" s="124"/>
      <c r="FK109" s="124"/>
      <c r="FL109" s="124"/>
      <c r="FM109" s="124"/>
      <c r="FN109" s="124"/>
      <c r="FO109" s="124"/>
      <c r="FP109" s="124"/>
      <c r="FQ109" s="124"/>
      <c r="FR109" s="124"/>
      <c r="FS109" s="124"/>
      <c r="FT109" s="124"/>
      <c r="FU109" s="124"/>
      <c r="FV109" s="124"/>
      <c r="FW109" s="124"/>
      <c r="FX109" s="124"/>
      <c r="FY109" s="124"/>
      <c r="FZ109" s="124"/>
      <c r="GA109" s="124"/>
      <c r="GB109" s="124"/>
      <c r="GC109" s="124"/>
      <c r="GD109" s="124"/>
      <c r="GE109" s="124"/>
      <c r="GF109" s="124"/>
      <c r="GG109" s="124"/>
      <c r="GH109" s="124"/>
      <c r="GI109" s="124"/>
      <c r="GJ109" s="124"/>
      <c r="GK109" s="124"/>
      <c r="GL109" s="124"/>
      <c r="GM109" s="124"/>
      <c r="GN109" s="124"/>
      <c r="GO109" s="124"/>
      <c r="GP109" s="124"/>
      <c r="GQ109" s="124"/>
      <c r="GR109" s="124"/>
      <c r="GS109" s="124"/>
      <c r="GT109" s="124"/>
      <c r="GU109" s="124"/>
      <c r="GV109" s="124"/>
      <c r="GW109" s="124"/>
      <c r="GX109" s="124"/>
      <c r="GY109" s="124"/>
      <c r="GZ109" s="124"/>
      <c r="HA109" s="124"/>
      <c r="HB109" s="124"/>
      <c r="HC109" s="124"/>
      <c r="HD109" s="124"/>
      <c r="HE109" s="124"/>
      <c r="HF109" s="124"/>
      <c r="HG109" s="124"/>
      <c r="HH109" s="124"/>
      <c r="HI109" s="124"/>
      <c r="HJ109" s="124"/>
      <c r="HK109" s="124"/>
      <c r="HL109" s="124"/>
      <c r="HM109" s="124"/>
      <c r="HN109" s="124"/>
      <c r="HO109" s="124"/>
      <c r="HP109" s="124"/>
      <c r="HQ109" s="124"/>
    </row>
    <row r="110" spans="1:225" x14ac:dyDescent="0.2">
      <c r="A110" s="122" t="s">
        <v>741</v>
      </c>
      <c r="B110" s="123">
        <v>51</v>
      </c>
      <c r="C110" s="124" t="s">
        <v>268</v>
      </c>
      <c r="D110" s="123">
        <v>101</v>
      </c>
      <c r="E110" s="124" t="s">
        <v>161</v>
      </c>
      <c r="F110" s="123">
        <v>2</v>
      </c>
      <c r="G110" s="123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  <c r="BM110" s="124"/>
      <c r="BN110" s="124"/>
      <c r="BO110" s="124"/>
      <c r="BP110" s="124"/>
      <c r="BQ110" s="124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4"/>
      <c r="CH110" s="124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4"/>
      <c r="CY110" s="124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4"/>
      <c r="DP110" s="124"/>
      <c r="DQ110" s="124"/>
      <c r="DR110" s="124"/>
      <c r="DS110" s="124"/>
      <c r="DT110" s="124"/>
      <c r="DU110" s="122">
        <v>0.6</v>
      </c>
      <c r="DV110" s="136">
        <v>11.33</v>
      </c>
      <c r="DW110" s="131">
        <v>7</v>
      </c>
      <c r="DX110" s="131">
        <v>12</v>
      </c>
      <c r="DY110" s="131">
        <v>7</v>
      </c>
      <c r="DZ110" s="136">
        <v>15</v>
      </c>
      <c r="EA110" s="131">
        <v>7</v>
      </c>
      <c r="EB110" s="131">
        <v>10</v>
      </c>
      <c r="EC110" s="131">
        <v>7</v>
      </c>
      <c r="ED110" s="136">
        <v>13.33</v>
      </c>
      <c r="EE110" s="131">
        <v>7</v>
      </c>
      <c r="EF110" s="131">
        <v>10</v>
      </c>
      <c r="EG110" s="131">
        <v>7</v>
      </c>
      <c r="EH110" s="136">
        <v>10.33</v>
      </c>
      <c r="EI110" s="131">
        <v>7</v>
      </c>
      <c r="EJ110" s="131">
        <v>13</v>
      </c>
      <c r="EK110" s="131">
        <v>7</v>
      </c>
      <c r="EL110" s="131">
        <v>15</v>
      </c>
      <c r="EM110" s="131">
        <v>7</v>
      </c>
      <c r="EN110" s="131">
        <v>13</v>
      </c>
      <c r="EO110" s="131">
        <v>7</v>
      </c>
      <c r="EP110" s="124"/>
      <c r="EQ110" s="124"/>
      <c r="ER110" s="124"/>
      <c r="ES110" s="124"/>
      <c r="ET110" s="124"/>
      <c r="EU110" s="124"/>
      <c r="EV110" s="124"/>
      <c r="EW110" s="124"/>
      <c r="EX110" s="124"/>
      <c r="EY110" s="124"/>
      <c r="EZ110" s="124"/>
      <c r="FA110" s="124"/>
      <c r="FB110" s="124"/>
      <c r="FC110" s="124"/>
      <c r="FD110" s="124"/>
      <c r="FE110" s="124"/>
      <c r="FF110" s="124"/>
      <c r="FG110" s="124"/>
      <c r="FH110" s="124"/>
      <c r="FI110" s="124"/>
      <c r="FJ110" s="124"/>
      <c r="FK110" s="124"/>
      <c r="FL110" s="124"/>
      <c r="FM110" s="124"/>
      <c r="FN110" s="124"/>
      <c r="FO110" s="124"/>
      <c r="FP110" s="124"/>
      <c r="FQ110" s="124"/>
      <c r="FR110" s="124"/>
      <c r="FS110" s="124"/>
      <c r="FT110" s="124"/>
      <c r="FU110" s="124"/>
      <c r="FV110" s="124"/>
      <c r="FW110" s="124"/>
      <c r="FX110" s="124"/>
      <c r="FY110" s="124"/>
      <c r="FZ110" s="124"/>
      <c r="GA110" s="124"/>
      <c r="GB110" s="124"/>
      <c r="GC110" s="124"/>
      <c r="GD110" s="124"/>
      <c r="GE110" s="124"/>
      <c r="GF110" s="124"/>
      <c r="GG110" s="124"/>
      <c r="GH110" s="124"/>
      <c r="GI110" s="124"/>
      <c r="GJ110" s="124"/>
      <c r="GK110" s="124"/>
      <c r="GL110" s="124"/>
      <c r="GM110" s="124"/>
      <c r="GN110" s="124"/>
      <c r="GO110" s="124"/>
      <c r="GP110" s="124"/>
      <c r="GQ110" s="124"/>
      <c r="GR110" s="124"/>
      <c r="GS110" s="124"/>
      <c r="GT110" s="124"/>
      <c r="GU110" s="124"/>
      <c r="GV110" s="124"/>
      <c r="GW110" s="124"/>
      <c r="GX110" s="124"/>
      <c r="GY110" s="124"/>
      <c r="GZ110" s="124"/>
      <c r="HA110" s="124"/>
      <c r="HB110" s="124"/>
      <c r="HC110" s="124"/>
      <c r="HD110" s="124"/>
      <c r="HE110" s="124"/>
      <c r="HF110" s="124"/>
      <c r="HG110" s="124"/>
      <c r="HH110" s="124"/>
      <c r="HI110" s="124"/>
      <c r="HJ110" s="124"/>
      <c r="HK110" s="124"/>
      <c r="HL110" s="124"/>
      <c r="HM110" s="124"/>
      <c r="HN110" s="124"/>
      <c r="HO110" s="124"/>
      <c r="HP110" s="124"/>
      <c r="HQ110" s="124"/>
    </row>
    <row r="111" spans="1:225" x14ac:dyDescent="0.2">
      <c r="A111" s="122" t="s">
        <v>742</v>
      </c>
      <c r="B111" s="123">
        <v>51</v>
      </c>
      <c r="C111" s="124" t="s">
        <v>269</v>
      </c>
      <c r="D111" s="123">
        <v>102</v>
      </c>
      <c r="E111" s="124" t="s">
        <v>161</v>
      </c>
      <c r="F111" s="123">
        <v>2</v>
      </c>
      <c r="G111" s="123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  <c r="BJ111" s="124"/>
      <c r="BK111" s="124"/>
      <c r="BL111" s="124"/>
      <c r="BM111" s="124"/>
      <c r="BN111" s="124"/>
      <c r="BO111" s="124"/>
      <c r="BP111" s="124"/>
      <c r="BQ111" s="124"/>
      <c r="BR111" s="124"/>
      <c r="BS111" s="124"/>
      <c r="BT111" s="124"/>
      <c r="BU111" s="124"/>
      <c r="BV111" s="124"/>
      <c r="BW111" s="124"/>
      <c r="BX111" s="124"/>
      <c r="BY111" s="124"/>
      <c r="BZ111" s="124"/>
      <c r="CA111" s="124"/>
      <c r="CB111" s="124"/>
      <c r="CC111" s="124"/>
      <c r="CD111" s="124"/>
      <c r="CE111" s="124"/>
      <c r="CF111" s="124"/>
      <c r="CG111" s="124"/>
      <c r="CH111" s="124"/>
      <c r="CI111" s="124"/>
      <c r="CJ111" s="124"/>
      <c r="CK111" s="124"/>
      <c r="CL111" s="124"/>
      <c r="CM111" s="124"/>
      <c r="CN111" s="124"/>
      <c r="CO111" s="124"/>
      <c r="CP111" s="124"/>
      <c r="CQ111" s="124"/>
      <c r="CR111" s="124"/>
      <c r="CS111" s="124"/>
      <c r="CT111" s="124"/>
      <c r="CU111" s="124"/>
      <c r="CV111" s="124"/>
      <c r="CW111" s="124"/>
      <c r="CX111" s="124"/>
      <c r="CY111" s="124"/>
      <c r="CZ111" s="124"/>
      <c r="DA111" s="124"/>
      <c r="DB111" s="124"/>
      <c r="DC111" s="124"/>
      <c r="DD111" s="124"/>
      <c r="DE111" s="124"/>
      <c r="DF111" s="124"/>
      <c r="DG111" s="124"/>
      <c r="DH111" s="124"/>
      <c r="DI111" s="124"/>
      <c r="DJ111" s="124"/>
      <c r="DK111" s="124"/>
      <c r="DL111" s="124"/>
      <c r="DM111" s="124"/>
      <c r="DN111" s="124"/>
      <c r="DO111" s="124"/>
      <c r="DP111" s="124"/>
      <c r="DQ111" s="124"/>
      <c r="DR111" s="124"/>
      <c r="DS111" s="124"/>
      <c r="DT111" s="124"/>
      <c r="DU111" s="122">
        <v>0.7</v>
      </c>
      <c r="DV111" s="136">
        <v>12</v>
      </c>
      <c r="DW111" s="131">
        <v>8</v>
      </c>
      <c r="DX111" s="131">
        <v>12</v>
      </c>
      <c r="DY111" s="131">
        <v>8</v>
      </c>
      <c r="DZ111" s="136">
        <v>15.67</v>
      </c>
      <c r="EA111" s="131">
        <v>8</v>
      </c>
      <c r="EB111" s="131">
        <v>11</v>
      </c>
      <c r="EC111" s="131">
        <v>8</v>
      </c>
      <c r="ED111" s="136">
        <v>13.67</v>
      </c>
      <c r="EE111" s="131">
        <v>8</v>
      </c>
      <c r="EF111" s="131">
        <v>11</v>
      </c>
      <c r="EG111" s="131">
        <v>8</v>
      </c>
      <c r="EH111" s="136">
        <v>11</v>
      </c>
      <c r="EI111" s="131">
        <v>8</v>
      </c>
      <c r="EJ111" s="131">
        <v>14</v>
      </c>
      <c r="EK111" s="131">
        <v>8</v>
      </c>
      <c r="EL111" s="131">
        <v>15</v>
      </c>
      <c r="EM111" s="131">
        <v>8</v>
      </c>
      <c r="EN111" s="131">
        <v>14</v>
      </c>
      <c r="EO111" s="131">
        <v>8</v>
      </c>
      <c r="EP111" s="124"/>
      <c r="EQ111" s="124"/>
      <c r="ER111" s="124"/>
      <c r="ES111" s="124"/>
      <c r="ET111" s="124"/>
      <c r="EU111" s="124"/>
      <c r="EV111" s="124"/>
      <c r="EW111" s="124"/>
      <c r="EX111" s="124"/>
      <c r="EY111" s="124"/>
      <c r="EZ111" s="124"/>
      <c r="FA111" s="124"/>
      <c r="FB111" s="124"/>
      <c r="FC111" s="124"/>
      <c r="FD111" s="124"/>
      <c r="FE111" s="124"/>
      <c r="FF111" s="124"/>
      <c r="FG111" s="124"/>
      <c r="FH111" s="124"/>
      <c r="FI111" s="124"/>
      <c r="FJ111" s="124"/>
      <c r="FK111" s="124"/>
      <c r="FL111" s="124"/>
      <c r="FM111" s="124"/>
      <c r="FN111" s="124"/>
      <c r="FO111" s="124"/>
      <c r="FP111" s="124"/>
      <c r="FQ111" s="124"/>
      <c r="FR111" s="124"/>
      <c r="FS111" s="124"/>
      <c r="FT111" s="124"/>
      <c r="FU111" s="124"/>
      <c r="FV111" s="124"/>
      <c r="FW111" s="124"/>
      <c r="FX111" s="124"/>
      <c r="FY111" s="124"/>
      <c r="FZ111" s="124"/>
      <c r="GA111" s="124"/>
      <c r="GB111" s="124"/>
      <c r="GC111" s="124"/>
      <c r="GD111" s="124"/>
      <c r="GE111" s="124"/>
      <c r="GF111" s="124"/>
      <c r="GG111" s="124"/>
      <c r="GH111" s="124"/>
      <c r="GI111" s="124"/>
      <c r="GJ111" s="124"/>
      <c r="GK111" s="124"/>
      <c r="GL111" s="124"/>
      <c r="GM111" s="124"/>
      <c r="GN111" s="124"/>
      <c r="GO111" s="124"/>
      <c r="GP111" s="124"/>
      <c r="GQ111" s="124"/>
      <c r="GR111" s="124"/>
      <c r="GS111" s="124"/>
      <c r="GT111" s="124"/>
      <c r="GU111" s="124"/>
      <c r="GV111" s="124"/>
      <c r="GW111" s="124"/>
      <c r="GX111" s="124"/>
      <c r="GY111" s="124"/>
      <c r="GZ111" s="124"/>
      <c r="HA111" s="124"/>
      <c r="HB111" s="124"/>
      <c r="HC111" s="124"/>
      <c r="HD111" s="124"/>
      <c r="HE111" s="124"/>
      <c r="HF111" s="124"/>
      <c r="HG111" s="124"/>
      <c r="HH111" s="124"/>
      <c r="HI111" s="124"/>
      <c r="HJ111" s="124"/>
      <c r="HK111" s="124"/>
      <c r="HL111" s="124"/>
      <c r="HM111" s="124"/>
      <c r="HN111" s="124"/>
      <c r="HO111" s="124"/>
      <c r="HP111" s="124"/>
      <c r="HQ111" s="124"/>
    </row>
    <row r="112" spans="1:225" x14ac:dyDescent="0.2">
      <c r="A112" s="122" t="s">
        <v>743</v>
      </c>
      <c r="B112" s="123">
        <v>52</v>
      </c>
      <c r="C112" s="124" t="s">
        <v>270</v>
      </c>
      <c r="D112" s="123">
        <v>103</v>
      </c>
      <c r="E112" s="124" t="s">
        <v>161</v>
      </c>
      <c r="F112" s="123">
        <v>5</v>
      </c>
      <c r="G112" s="123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  <c r="BK112" s="124"/>
      <c r="BL112" s="124"/>
      <c r="BM112" s="124"/>
      <c r="BN112" s="124"/>
      <c r="BO112" s="124"/>
      <c r="BP112" s="124"/>
      <c r="BQ112" s="124"/>
      <c r="BR112" s="124"/>
      <c r="BS112" s="124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4"/>
      <c r="CD112" s="124"/>
      <c r="CE112" s="124"/>
      <c r="CF112" s="124"/>
      <c r="CG112" s="124"/>
      <c r="CH112" s="124"/>
      <c r="CI112" s="124"/>
      <c r="CJ112" s="124"/>
      <c r="CK112" s="124"/>
      <c r="CL112" s="124"/>
      <c r="CM112" s="124"/>
      <c r="CN112" s="124"/>
      <c r="CO112" s="124"/>
      <c r="CP112" s="124"/>
      <c r="CQ112" s="124"/>
      <c r="CR112" s="124"/>
      <c r="CS112" s="124"/>
      <c r="CT112" s="124"/>
      <c r="CU112" s="124"/>
      <c r="CV112" s="124"/>
      <c r="CW112" s="124"/>
      <c r="CX112" s="124"/>
      <c r="CY112" s="124"/>
      <c r="CZ112" s="124"/>
      <c r="DA112" s="124"/>
      <c r="DB112" s="124"/>
      <c r="DC112" s="124"/>
      <c r="DD112" s="124"/>
      <c r="DE112" s="124"/>
      <c r="DF112" s="124"/>
      <c r="DG112" s="124"/>
      <c r="DH112" s="124"/>
      <c r="DI112" s="124"/>
      <c r="DJ112" s="124"/>
      <c r="DK112" s="124"/>
      <c r="DL112" s="124"/>
      <c r="DM112" s="124"/>
      <c r="DN112" s="124"/>
      <c r="DO112" s="124"/>
      <c r="DP112" s="124"/>
      <c r="DQ112" s="124"/>
      <c r="DR112" s="124"/>
      <c r="DS112" s="124"/>
      <c r="DT112" s="124"/>
      <c r="DU112" s="122">
        <v>0.8</v>
      </c>
      <c r="DV112" s="136">
        <v>13.13</v>
      </c>
      <c r="DW112" s="131">
        <v>9</v>
      </c>
      <c r="DX112" s="131">
        <v>13</v>
      </c>
      <c r="DY112" s="131">
        <v>9</v>
      </c>
      <c r="DZ112" s="136">
        <v>16.670000000000002</v>
      </c>
      <c r="EA112" s="131">
        <v>9</v>
      </c>
      <c r="EB112" s="131">
        <v>12</v>
      </c>
      <c r="EC112" s="131">
        <v>9</v>
      </c>
      <c r="ED112" s="136">
        <v>14.67</v>
      </c>
      <c r="EE112" s="131">
        <v>9</v>
      </c>
      <c r="EF112" s="131">
        <v>12</v>
      </c>
      <c r="EG112" s="131">
        <v>9</v>
      </c>
      <c r="EH112" s="136">
        <v>12</v>
      </c>
      <c r="EI112" s="131">
        <v>9</v>
      </c>
      <c r="EJ112" s="131">
        <v>15</v>
      </c>
      <c r="EK112" s="131">
        <v>9</v>
      </c>
      <c r="EL112" s="131">
        <v>16</v>
      </c>
      <c r="EM112" s="131">
        <v>9</v>
      </c>
      <c r="EN112" s="131">
        <v>14</v>
      </c>
      <c r="EO112" s="131">
        <v>9</v>
      </c>
      <c r="EP112" s="124"/>
      <c r="EQ112" s="124"/>
      <c r="ER112" s="124"/>
      <c r="ES112" s="124"/>
      <c r="ET112" s="124"/>
      <c r="EU112" s="124"/>
      <c r="EV112" s="124"/>
      <c r="EW112" s="124"/>
      <c r="EX112" s="124"/>
      <c r="EY112" s="124"/>
      <c r="EZ112" s="124"/>
      <c r="FA112" s="124"/>
      <c r="FB112" s="124"/>
      <c r="FC112" s="124"/>
      <c r="FD112" s="124"/>
      <c r="FE112" s="124"/>
      <c r="FF112" s="124"/>
      <c r="FG112" s="124"/>
      <c r="FH112" s="124"/>
      <c r="FI112" s="124"/>
      <c r="FJ112" s="124"/>
      <c r="FK112" s="124"/>
      <c r="FL112" s="124"/>
      <c r="FM112" s="124"/>
      <c r="FN112" s="124"/>
      <c r="FO112" s="124"/>
      <c r="FP112" s="124"/>
      <c r="FQ112" s="124"/>
      <c r="FR112" s="124"/>
      <c r="FS112" s="124"/>
      <c r="FT112" s="124"/>
      <c r="FU112" s="124"/>
      <c r="FV112" s="124"/>
      <c r="FW112" s="124"/>
      <c r="FX112" s="124"/>
      <c r="FY112" s="124"/>
      <c r="FZ112" s="124"/>
      <c r="GA112" s="124"/>
      <c r="GB112" s="124"/>
      <c r="GC112" s="124"/>
      <c r="GD112" s="124"/>
      <c r="GE112" s="124"/>
      <c r="GF112" s="124"/>
      <c r="GG112" s="124"/>
      <c r="GH112" s="124"/>
      <c r="GI112" s="124"/>
      <c r="GJ112" s="124"/>
      <c r="GK112" s="124"/>
      <c r="GL112" s="124"/>
      <c r="GM112" s="124"/>
      <c r="GN112" s="124"/>
      <c r="GO112" s="124"/>
      <c r="GP112" s="124"/>
      <c r="GQ112" s="124"/>
      <c r="GR112" s="124"/>
      <c r="GS112" s="124"/>
      <c r="GT112" s="124"/>
      <c r="GU112" s="124"/>
      <c r="GV112" s="124"/>
      <c r="GW112" s="124"/>
      <c r="GX112" s="124"/>
      <c r="GY112" s="124"/>
      <c r="GZ112" s="124"/>
      <c r="HA112" s="124"/>
      <c r="HB112" s="124"/>
      <c r="HC112" s="124"/>
      <c r="HD112" s="124"/>
      <c r="HE112" s="124"/>
      <c r="HF112" s="124"/>
      <c r="HG112" s="124"/>
      <c r="HH112" s="124"/>
      <c r="HI112" s="124"/>
      <c r="HJ112" s="124"/>
      <c r="HK112" s="124"/>
      <c r="HL112" s="124"/>
      <c r="HM112" s="124"/>
      <c r="HN112" s="124"/>
      <c r="HO112" s="124"/>
      <c r="HP112" s="124"/>
      <c r="HQ112" s="124"/>
    </row>
    <row r="113" spans="1:225" x14ac:dyDescent="0.2">
      <c r="A113" s="122" t="s">
        <v>744</v>
      </c>
      <c r="B113" s="123">
        <v>52</v>
      </c>
      <c r="C113" s="124" t="s">
        <v>271</v>
      </c>
      <c r="D113" s="123">
        <v>104</v>
      </c>
      <c r="E113" s="124" t="s">
        <v>161</v>
      </c>
      <c r="F113" s="123">
        <v>5</v>
      </c>
      <c r="G113" s="123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  <c r="DG113" s="124"/>
      <c r="DH113" s="124"/>
      <c r="DI113" s="124"/>
      <c r="DJ113" s="124"/>
      <c r="DK113" s="124"/>
      <c r="DL113" s="124"/>
      <c r="DM113" s="124"/>
      <c r="DN113" s="124"/>
      <c r="DO113" s="124"/>
      <c r="DP113" s="124"/>
      <c r="DQ113" s="124"/>
      <c r="DR113" s="124"/>
      <c r="DS113" s="124"/>
      <c r="DT113" s="124"/>
      <c r="DU113" s="122">
        <v>0.9</v>
      </c>
      <c r="DV113" s="136">
        <v>13.67</v>
      </c>
      <c r="DW113" s="131">
        <v>10</v>
      </c>
      <c r="DX113" s="131">
        <v>14</v>
      </c>
      <c r="DY113" s="131">
        <v>10</v>
      </c>
      <c r="DZ113" s="136">
        <v>17.399999999999999</v>
      </c>
      <c r="EA113" s="131">
        <v>10</v>
      </c>
      <c r="EB113" s="131">
        <v>13</v>
      </c>
      <c r="EC113" s="131">
        <v>10</v>
      </c>
      <c r="ED113" s="136">
        <v>16.07</v>
      </c>
      <c r="EE113" s="131">
        <v>10</v>
      </c>
      <c r="EF113" s="131">
        <v>14</v>
      </c>
      <c r="EG113" s="131">
        <v>10</v>
      </c>
      <c r="EH113" s="136">
        <v>13.67</v>
      </c>
      <c r="EI113" s="131">
        <v>10</v>
      </c>
      <c r="EJ113" s="131">
        <v>16</v>
      </c>
      <c r="EK113" s="131">
        <v>10</v>
      </c>
      <c r="EL113" s="131">
        <v>17</v>
      </c>
      <c r="EM113" s="131">
        <v>10</v>
      </c>
      <c r="EN113" s="131">
        <v>15</v>
      </c>
      <c r="EO113" s="131">
        <v>10</v>
      </c>
      <c r="EP113" s="124"/>
      <c r="EQ113" s="124"/>
      <c r="ER113" s="124"/>
      <c r="ES113" s="124"/>
      <c r="ET113" s="124"/>
      <c r="EU113" s="124"/>
      <c r="EV113" s="124"/>
      <c r="EW113" s="124"/>
      <c r="EX113" s="124"/>
      <c r="EY113" s="124"/>
      <c r="EZ113" s="124"/>
      <c r="FA113" s="124"/>
      <c r="FB113" s="124"/>
      <c r="FC113" s="124"/>
      <c r="FD113" s="124"/>
      <c r="FE113" s="124"/>
      <c r="FF113" s="124"/>
      <c r="FG113" s="124"/>
      <c r="FH113" s="124"/>
      <c r="FI113" s="124"/>
      <c r="FJ113" s="124"/>
      <c r="FK113" s="124"/>
      <c r="FL113" s="124"/>
      <c r="FM113" s="124"/>
      <c r="FN113" s="124"/>
      <c r="FO113" s="124"/>
      <c r="FP113" s="124"/>
      <c r="FQ113" s="124"/>
      <c r="FR113" s="124"/>
      <c r="FS113" s="124"/>
      <c r="FT113" s="124"/>
      <c r="FU113" s="124"/>
      <c r="FV113" s="124"/>
      <c r="FW113" s="124"/>
      <c r="FX113" s="124"/>
      <c r="FY113" s="124"/>
      <c r="FZ113" s="124"/>
      <c r="GA113" s="124"/>
      <c r="GB113" s="124"/>
      <c r="GC113" s="124"/>
      <c r="GD113" s="124"/>
      <c r="GE113" s="124"/>
      <c r="GF113" s="124"/>
      <c r="GG113" s="124"/>
      <c r="GH113" s="124"/>
      <c r="GI113" s="124"/>
      <c r="GJ113" s="124"/>
      <c r="GK113" s="124"/>
      <c r="GL113" s="124"/>
      <c r="GM113" s="124"/>
      <c r="GN113" s="124"/>
      <c r="GO113" s="124"/>
      <c r="GP113" s="124"/>
      <c r="GQ113" s="124"/>
      <c r="GR113" s="124"/>
      <c r="GS113" s="124"/>
      <c r="GT113" s="124"/>
      <c r="GU113" s="124"/>
      <c r="GV113" s="124"/>
      <c r="GW113" s="124"/>
      <c r="GX113" s="124"/>
      <c r="GY113" s="124"/>
      <c r="GZ113" s="124"/>
      <c r="HA113" s="124"/>
      <c r="HB113" s="124"/>
      <c r="HC113" s="124"/>
      <c r="HD113" s="124"/>
      <c r="HE113" s="124"/>
      <c r="HF113" s="124"/>
      <c r="HG113" s="124"/>
      <c r="HH113" s="124"/>
      <c r="HI113" s="124"/>
      <c r="HJ113" s="124"/>
      <c r="HK113" s="124"/>
      <c r="HL113" s="124"/>
      <c r="HM113" s="124"/>
      <c r="HN113" s="124"/>
      <c r="HO113" s="124"/>
      <c r="HP113" s="124"/>
      <c r="HQ113" s="124"/>
    </row>
    <row r="114" spans="1:225" x14ac:dyDescent="0.2">
      <c r="A114" s="122" t="s">
        <v>745</v>
      </c>
      <c r="B114" s="123">
        <v>53</v>
      </c>
      <c r="C114" s="124" t="s">
        <v>272</v>
      </c>
      <c r="D114" s="123">
        <v>105</v>
      </c>
      <c r="E114" s="124" t="s">
        <v>161</v>
      </c>
      <c r="F114" s="123">
        <v>2</v>
      </c>
      <c r="G114" s="123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  <c r="BJ114" s="124"/>
      <c r="BK114" s="124"/>
      <c r="BL114" s="124"/>
      <c r="BM114" s="124"/>
      <c r="BN114" s="124"/>
      <c r="BO114" s="124"/>
      <c r="BP114" s="124"/>
      <c r="BQ114" s="124"/>
      <c r="BR114" s="124"/>
      <c r="BS114" s="124"/>
      <c r="BT114" s="124"/>
      <c r="BU114" s="124"/>
      <c r="BV114" s="124"/>
      <c r="BW114" s="124"/>
      <c r="BX114" s="124"/>
      <c r="BY114" s="124"/>
      <c r="BZ114" s="124"/>
      <c r="CA114" s="124"/>
      <c r="CB114" s="124"/>
      <c r="CC114" s="124"/>
      <c r="CD114" s="124"/>
      <c r="CE114" s="124"/>
      <c r="CF114" s="124"/>
      <c r="CG114" s="124"/>
      <c r="CH114" s="124"/>
      <c r="CI114" s="124"/>
      <c r="CJ114" s="124"/>
      <c r="CK114" s="124"/>
      <c r="CL114" s="124"/>
      <c r="CM114" s="124"/>
      <c r="CN114" s="124"/>
      <c r="CO114" s="124"/>
      <c r="CP114" s="124"/>
      <c r="CQ114" s="124"/>
      <c r="CR114" s="124"/>
      <c r="CS114" s="124"/>
      <c r="CT114" s="124"/>
      <c r="CU114" s="124"/>
      <c r="CV114" s="124"/>
      <c r="CW114" s="124"/>
      <c r="CX114" s="124"/>
      <c r="CY114" s="124"/>
      <c r="CZ114" s="124"/>
      <c r="DA114" s="124"/>
      <c r="DB114" s="124"/>
      <c r="DC114" s="124"/>
      <c r="DD114" s="124"/>
      <c r="DE114" s="124"/>
      <c r="DF114" s="124"/>
      <c r="DG114" s="124"/>
      <c r="DH114" s="124"/>
      <c r="DI114" s="124"/>
      <c r="DJ114" s="124"/>
      <c r="DK114" s="124"/>
      <c r="DL114" s="124"/>
      <c r="DM114" s="124"/>
      <c r="DN114" s="124"/>
      <c r="DO114" s="124"/>
      <c r="DP114" s="124"/>
      <c r="DQ114" s="124"/>
      <c r="DR114" s="124"/>
      <c r="DS114" s="124"/>
      <c r="DT114" s="124"/>
      <c r="DU114" s="124"/>
      <c r="DV114" s="124"/>
      <c r="DW114" s="124"/>
      <c r="DX114" s="124"/>
      <c r="DY114" s="124"/>
      <c r="DZ114" s="124"/>
      <c r="EA114" s="124"/>
      <c r="EB114" s="124"/>
      <c r="EC114" s="124"/>
      <c r="ED114" s="124"/>
      <c r="EE114" s="124"/>
      <c r="EF114" s="124"/>
      <c r="EG114" s="124"/>
      <c r="EH114" s="124"/>
      <c r="EI114" s="124"/>
      <c r="EJ114" s="124"/>
      <c r="EK114" s="124"/>
      <c r="EL114" s="124"/>
      <c r="EM114" s="124"/>
      <c r="EN114" s="124"/>
      <c r="EO114" s="124"/>
      <c r="EP114" s="124"/>
      <c r="EQ114" s="124"/>
      <c r="ER114" s="124"/>
      <c r="ES114" s="124"/>
      <c r="ET114" s="124"/>
      <c r="EU114" s="124"/>
      <c r="EV114" s="124"/>
      <c r="EW114" s="124"/>
      <c r="EX114" s="124"/>
      <c r="EY114" s="124"/>
      <c r="EZ114" s="124"/>
      <c r="FA114" s="124"/>
      <c r="FB114" s="124"/>
      <c r="FC114" s="124"/>
      <c r="FD114" s="124"/>
      <c r="FE114" s="124"/>
      <c r="FF114" s="124"/>
      <c r="FG114" s="124"/>
      <c r="FH114" s="124"/>
      <c r="FI114" s="124"/>
      <c r="FJ114" s="124"/>
      <c r="FK114" s="124"/>
      <c r="FL114" s="124"/>
      <c r="FM114" s="124"/>
      <c r="FN114" s="124"/>
      <c r="FO114" s="124"/>
      <c r="FP114" s="124"/>
      <c r="FQ114" s="124"/>
      <c r="FR114" s="124"/>
      <c r="FS114" s="124"/>
      <c r="FT114" s="124"/>
      <c r="FU114" s="124"/>
      <c r="FV114" s="124"/>
      <c r="FW114" s="124"/>
      <c r="FX114" s="124"/>
      <c r="FY114" s="124"/>
      <c r="FZ114" s="124"/>
      <c r="GA114" s="124"/>
      <c r="GB114" s="124"/>
      <c r="GC114" s="124"/>
      <c r="GD114" s="124"/>
      <c r="GE114" s="124"/>
      <c r="GF114" s="124"/>
      <c r="GG114" s="124"/>
      <c r="GH114" s="124"/>
      <c r="GI114" s="124"/>
      <c r="GJ114" s="124"/>
      <c r="GK114" s="124"/>
      <c r="GL114" s="124"/>
      <c r="GM114" s="124"/>
      <c r="GN114" s="124"/>
      <c r="GO114" s="124"/>
      <c r="GP114" s="124"/>
      <c r="GQ114" s="124"/>
      <c r="GR114" s="124"/>
      <c r="GS114" s="124"/>
      <c r="GT114" s="124"/>
      <c r="GU114" s="124"/>
      <c r="GV114" s="124"/>
      <c r="GW114" s="124"/>
      <c r="GX114" s="124"/>
      <c r="GY114" s="124"/>
      <c r="GZ114" s="124"/>
      <c r="HA114" s="124"/>
      <c r="HB114" s="124"/>
      <c r="HC114" s="124"/>
      <c r="HD114" s="124"/>
      <c r="HE114" s="124"/>
      <c r="HF114" s="124"/>
      <c r="HG114" s="124"/>
      <c r="HH114" s="124"/>
      <c r="HI114" s="124"/>
      <c r="HJ114" s="124"/>
      <c r="HK114" s="124"/>
      <c r="HL114" s="124"/>
      <c r="HM114" s="124"/>
      <c r="HN114" s="124"/>
      <c r="HO114" s="124"/>
      <c r="HP114" s="124"/>
      <c r="HQ114" s="124"/>
    </row>
    <row r="115" spans="1:225" x14ac:dyDescent="0.2">
      <c r="A115" s="122" t="s">
        <v>746</v>
      </c>
      <c r="B115" s="123">
        <v>53</v>
      </c>
      <c r="C115" s="124" t="s">
        <v>273</v>
      </c>
      <c r="D115" s="123">
        <v>106</v>
      </c>
      <c r="E115" s="124" t="s">
        <v>161</v>
      </c>
      <c r="F115" s="123">
        <v>4</v>
      </c>
      <c r="G115" s="123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24"/>
      <c r="BK115" s="124"/>
      <c r="BL115" s="124"/>
      <c r="BM115" s="124"/>
      <c r="BN115" s="124"/>
      <c r="BO115" s="124"/>
      <c r="BP115" s="124"/>
      <c r="BQ115" s="124"/>
      <c r="BR115" s="124"/>
      <c r="BS115" s="124"/>
      <c r="BT115" s="124"/>
      <c r="BU115" s="124"/>
      <c r="BV115" s="124"/>
      <c r="BW115" s="124"/>
      <c r="BX115" s="124"/>
      <c r="BY115" s="124"/>
      <c r="BZ115" s="124"/>
      <c r="CA115" s="124"/>
      <c r="CB115" s="124"/>
      <c r="CC115" s="124"/>
      <c r="CD115" s="124"/>
      <c r="CE115" s="124"/>
      <c r="CF115" s="124"/>
      <c r="CG115" s="124"/>
      <c r="CH115" s="124"/>
      <c r="CI115" s="124"/>
      <c r="CJ115" s="124"/>
      <c r="CK115" s="124"/>
      <c r="CL115" s="124"/>
      <c r="CM115" s="124"/>
      <c r="CN115" s="124"/>
      <c r="CO115" s="124"/>
      <c r="CP115" s="124"/>
      <c r="CQ115" s="124"/>
      <c r="CR115" s="124"/>
      <c r="CS115" s="124"/>
      <c r="CT115" s="124"/>
      <c r="CU115" s="124"/>
      <c r="CV115" s="124"/>
      <c r="CW115" s="124"/>
      <c r="CX115" s="124"/>
      <c r="CY115" s="124"/>
      <c r="CZ115" s="124"/>
      <c r="DA115" s="124"/>
      <c r="DB115" s="124"/>
      <c r="DC115" s="124"/>
      <c r="DD115" s="124"/>
      <c r="DE115" s="124"/>
      <c r="DF115" s="124"/>
      <c r="DG115" s="124"/>
      <c r="DH115" s="124"/>
      <c r="DI115" s="124"/>
      <c r="DJ115" s="124"/>
      <c r="DK115" s="124"/>
      <c r="DL115" s="124"/>
      <c r="DM115" s="124"/>
      <c r="DN115" s="124"/>
      <c r="DO115" s="124"/>
      <c r="DP115" s="124"/>
      <c r="DQ115" s="124"/>
      <c r="DR115" s="124"/>
      <c r="DS115" s="124"/>
      <c r="DT115" s="124"/>
      <c r="DU115" s="124"/>
      <c r="DV115" s="124"/>
      <c r="DW115" s="124"/>
      <c r="DX115" s="124"/>
      <c r="DY115" s="124"/>
      <c r="DZ115" s="124"/>
      <c r="EA115" s="124"/>
      <c r="EB115" s="124"/>
      <c r="EC115" s="124"/>
      <c r="ED115" s="124"/>
      <c r="EE115" s="124"/>
      <c r="EF115" s="124"/>
      <c r="EG115" s="124"/>
      <c r="EH115" s="124"/>
      <c r="EI115" s="124"/>
      <c r="EJ115" s="124"/>
      <c r="EK115" s="124"/>
      <c r="EL115" s="124"/>
      <c r="EM115" s="124"/>
      <c r="EN115" s="124"/>
      <c r="EO115" s="124"/>
      <c r="EP115" s="124"/>
      <c r="EQ115" s="124"/>
      <c r="ER115" s="124"/>
      <c r="ES115" s="124"/>
      <c r="ET115" s="124"/>
      <c r="EU115" s="124"/>
      <c r="EV115" s="124"/>
      <c r="EW115" s="124"/>
      <c r="EX115" s="124"/>
      <c r="EY115" s="124"/>
      <c r="EZ115" s="124"/>
      <c r="FA115" s="124"/>
      <c r="FB115" s="124"/>
      <c r="FC115" s="124"/>
      <c r="FD115" s="124"/>
      <c r="FE115" s="124"/>
      <c r="FF115" s="124"/>
      <c r="FG115" s="124"/>
      <c r="FH115" s="124"/>
      <c r="FI115" s="124"/>
      <c r="FJ115" s="124"/>
      <c r="FK115" s="124"/>
      <c r="FL115" s="124"/>
      <c r="FM115" s="124"/>
      <c r="FN115" s="124"/>
      <c r="FO115" s="124"/>
      <c r="FP115" s="124"/>
      <c r="FQ115" s="124"/>
      <c r="FR115" s="124"/>
      <c r="FS115" s="124"/>
      <c r="FT115" s="124"/>
      <c r="FU115" s="124"/>
      <c r="FV115" s="124"/>
      <c r="FW115" s="124"/>
      <c r="FX115" s="124"/>
      <c r="FY115" s="124"/>
      <c r="FZ115" s="124"/>
      <c r="GA115" s="124"/>
      <c r="GB115" s="124"/>
      <c r="GC115" s="124"/>
      <c r="GD115" s="124"/>
      <c r="GE115" s="124"/>
      <c r="GF115" s="124"/>
      <c r="GG115" s="124"/>
      <c r="GH115" s="124"/>
      <c r="GI115" s="124"/>
      <c r="GJ115" s="124"/>
      <c r="GK115" s="124"/>
      <c r="GL115" s="124"/>
      <c r="GM115" s="124"/>
      <c r="GN115" s="124"/>
      <c r="GO115" s="124"/>
      <c r="GP115" s="124"/>
      <c r="GQ115" s="124"/>
      <c r="GR115" s="124"/>
      <c r="GS115" s="124"/>
      <c r="GT115" s="124"/>
      <c r="GU115" s="124"/>
      <c r="GV115" s="124"/>
      <c r="GW115" s="124"/>
      <c r="GX115" s="124"/>
      <c r="GY115" s="124"/>
      <c r="GZ115" s="124"/>
      <c r="HA115" s="124"/>
      <c r="HB115" s="124"/>
      <c r="HC115" s="124"/>
      <c r="HD115" s="124"/>
      <c r="HE115" s="124"/>
      <c r="HF115" s="124"/>
      <c r="HG115" s="124"/>
      <c r="HH115" s="124"/>
      <c r="HI115" s="124"/>
      <c r="HJ115" s="124"/>
      <c r="HK115" s="124"/>
      <c r="HL115" s="124"/>
      <c r="HM115" s="124"/>
      <c r="HN115" s="124"/>
      <c r="HO115" s="124"/>
      <c r="HP115" s="124"/>
      <c r="HQ115" s="124"/>
    </row>
    <row r="116" spans="1:225" x14ac:dyDescent="0.2">
      <c r="A116" s="122" t="s">
        <v>747</v>
      </c>
      <c r="B116" s="123">
        <v>54</v>
      </c>
      <c r="C116" s="124" t="s">
        <v>274</v>
      </c>
      <c r="D116" s="123">
        <v>107</v>
      </c>
      <c r="E116" s="124" t="s">
        <v>161</v>
      </c>
      <c r="F116" s="123">
        <v>4</v>
      </c>
      <c r="G116" s="123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24"/>
      <c r="BK116" s="124"/>
      <c r="BL116" s="124"/>
      <c r="BM116" s="124"/>
      <c r="BN116" s="124"/>
      <c r="BO116" s="124"/>
      <c r="BP116" s="124"/>
      <c r="BQ116" s="124"/>
      <c r="BR116" s="124"/>
      <c r="BS116" s="124"/>
      <c r="BT116" s="124"/>
      <c r="BU116" s="124"/>
      <c r="BV116" s="124"/>
      <c r="BW116" s="124"/>
      <c r="BX116" s="124"/>
      <c r="BY116" s="124"/>
      <c r="BZ116" s="124"/>
      <c r="CA116" s="124"/>
      <c r="CB116" s="124"/>
      <c r="CC116" s="124"/>
      <c r="CD116" s="124"/>
      <c r="CE116" s="124"/>
      <c r="CF116" s="124"/>
      <c r="CG116" s="124"/>
      <c r="CH116" s="124"/>
      <c r="CI116" s="124"/>
      <c r="CJ116" s="124"/>
      <c r="CK116" s="124"/>
      <c r="CL116" s="124"/>
      <c r="CM116" s="124"/>
      <c r="CN116" s="124"/>
      <c r="CO116" s="124"/>
      <c r="CP116" s="124"/>
      <c r="CQ116" s="124"/>
      <c r="CR116" s="124"/>
      <c r="CS116" s="124"/>
      <c r="CT116" s="124"/>
      <c r="CU116" s="124"/>
      <c r="CV116" s="124"/>
      <c r="CW116" s="124"/>
      <c r="CX116" s="124"/>
      <c r="CY116" s="124"/>
      <c r="CZ116" s="124"/>
      <c r="DA116" s="124"/>
      <c r="DB116" s="124"/>
      <c r="DC116" s="124"/>
      <c r="DD116" s="124"/>
      <c r="DE116" s="124"/>
      <c r="DF116" s="124"/>
      <c r="DG116" s="124"/>
      <c r="DH116" s="124"/>
      <c r="DI116" s="124"/>
      <c r="DJ116" s="124"/>
      <c r="DK116" s="124"/>
      <c r="DL116" s="124"/>
      <c r="DM116" s="124"/>
      <c r="DN116" s="124"/>
      <c r="DO116" s="124"/>
      <c r="DP116" s="124"/>
      <c r="DQ116" s="124"/>
      <c r="DR116" s="124"/>
      <c r="DS116" s="124"/>
      <c r="DT116" s="124"/>
      <c r="DU116" s="124"/>
      <c r="DV116" s="124"/>
      <c r="DW116" s="124"/>
      <c r="DX116" s="124"/>
      <c r="DY116" s="124"/>
      <c r="DZ116" s="124"/>
      <c r="EA116" s="124"/>
      <c r="EB116" s="124"/>
      <c r="EC116" s="124"/>
      <c r="ED116" s="124"/>
      <c r="EE116" s="124"/>
      <c r="EF116" s="124"/>
      <c r="EG116" s="124"/>
      <c r="EH116" s="124"/>
      <c r="EI116" s="124"/>
      <c r="EJ116" s="124"/>
      <c r="EK116" s="124"/>
      <c r="EL116" s="124"/>
      <c r="EM116" s="124"/>
      <c r="EN116" s="124"/>
      <c r="EO116" s="124"/>
      <c r="EP116" s="124"/>
      <c r="EQ116" s="124"/>
      <c r="ER116" s="124"/>
      <c r="ES116" s="124"/>
      <c r="ET116" s="124"/>
      <c r="EU116" s="124"/>
      <c r="EV116" s="124"/>
      <c r="EW116" s="124"/>
      <c r="EX116" s="124"/>
      <c r="EY116" s="124"/>
      <c r="EZ116" s="124"/>
      <c r="FA116" s="124"/>
      <c r="FB116" s="124"/>
      <c r="FC116" s="124"/>
      <c r="FD116" s="124"/>
      <c r="FE116" s="124"/>
      <c r="FF116" s="124"/>
      <c r="FG116" s="124"/>
      <c r="FH116" s="124"/>
      <c r="FI116" s="124"/>
      <c r="FJ116" s="124"/>
      <c r="FK116" s="124"/>
      <c r="FL116" s="124"/>
      <c r="FM116" s="124"/>
      <c r="FN116" s="124"/>
      <c r="FO116" s="124"/>
      <c r="FP116" s="124"/>
      <c r="FQ116" s="124"/>
      <c r="FR116" s="124"/>
      <c r="FS116" s="124"/>
      <c r="FT116" s="124"/>
      <c r="FU116" s="124"/>
      <c r="FV116" s="124"/>
      <c r="FW116" s="124"/>
      <c r="FX116" s="124"/>
      <c r="FY116" s="124"/>
      <c r="FZ116" s="124"/>
      <c r="GA116" s="124"/>
      <c r="GB116" s="124"/>
      <c r="GC116" s="124"/>
      <c r="GD116" s="124"/>
      <c r="GE116" s="124"/>
      <c r="GF116" s="124"/>
      <c r="GG116" s="124"/>
      <c r="GH116" s="124"/>
      <c r="GI116" s="124"/>
      <c r="GJ116" s="124"/>
      <c r="GK116" s="124"/>
      <c r="GL116" s="124"/>
      <c r="GM116" s="124"/>
      <c r="GN116" s="124"/>
      <c r="GO116" s="124"/>
      <c r="GP116" s="124"/>
      <c r="GQ116" s="124"/>
      <c r="GR116" s="124"/>
      <c r="GS116" s="124"/>
      <c r="GT116" s="124"/>
      <c r="GU116" s="124"/>
      <c r="GV116" s="124"/>
      <c r="GW116" s="124"/>
      <c r="GX116" s="124"/>
      <c r="GY116" s="124"/>
      <c r="GZ116" s="124"/>
      <c r="HA116" s="124"/>
      <c r="HB116" s="124"/>
      <c r="HC116" s="124"/>
      <c r="HD116" s="124"/>
      <c r="HE116" s="124"/>
      <c r="HF116" s="124"/>
      <c r="HG116" s="124"/>
      <c r="HH116" s="124"/>
      <c r="HI116" s="124"/>
      <c r="HJ116" s="124"/>
      <c r="HK116" s="124"/>
      <c r="HL116" s="124"/>
      <c r="HM116" s="124"/>
      <c r="HN116" s="124"/>
      <c r="HO116" s="124"/>
      <c r="HP116" s="124"/>
      <c r="HQ116" s="124"/>
    </row>
    <row r="117" spans="1:225" x14ac:dyDescent="0.2">
      <c r="A117" s="122" t="s">
        <v>748</v>
      </c>
      <c r="B117" s="123">
        <v>54</v>
      </c>
      <c r="C117" s="124" t="s">
        <v>275</v>
      </c>
      <c r="D117" s="123">
        <v>108</v>
      </c>
      <c r="E117" s="124" t="s">
        <v>161</v>
      </c>
      <c r="F117" s="123">
        <v>3</v>
      </c>
      <c r="G117" s="123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  <c r="BK117" s="124"/>
      <c r="BL117" s="124"/>
      <c r="BM117" s="124"/>
      <c r="BN117" s="124"/>
      <c r="BO117" s="124"/>
      <c r="BP117" s="124"/>
      <c r="BQ117" s="124"/>
      <c r="BR117" s="124"/>
      <c r="BS117" s="124"/>
      <c r="BT117" s="124"/>
      <c r="BU117" s="124"/>
      <c r="BV117" s="124"/>
      <c r="BW117" s="124"/>
      <c r="BX117" s="124"/>
      <c r="BY117" s="124"/>
      <c r="BZ117" s="124"/>
      <c r="CA117" s="124"/>
      <c r="CB117" s="124"/>
      <c r="CC117" s="124"/>
      <c r="CD117" s="124"/>
      <c r="CE117" s="124"/>
      <c r="CF117" s="124"/>
      <c r="CG117" s="124"/>
      <c r="CH117" s="124"/>
      <c r="CI117" s="124"/>
      <c r="CJ117" s="124"/>
      <c r="CK117" s="124"/>
      <c r="CL117" s="124"/>
      <c r="CM117" s="124"/>
      <c r="CN117" s="124"/>
      <c r="CO117" s="124"/>
      <c r="CP117" s="124"/>
      <c r="CQ117" s="124"/>
      <c r="CR117" s="124"/>
      <c r="CS117" s="124"/>
      <c r="CT117" s="124"/>
      <c r="CU117" s="124"/>
      <c r="CV117" s="124"/>
      <c r="CW117" s="124"/>
      <c r="CX117" s="124"/>
      <c r="CY117" s="124"/>
      <c r="CZ117" s="124"/>
      <c r="DA117" s="124"/>
      <c r="DB117" s="124"/>
      <c r="DC117" s="124"/>
      <c r="DD117" s="124"/>
      <c r="DE117" s="124"/>
      <c r="DF117" s="124"/>
      <c r="DG117" s="124"/>
      <c r="DH117" s="124"/>
      <c r="DI117" s="124"/>
      <c r="DJ117" s="124"/>
      <c r="DK117" s="124"/>
      <c r="DL117" s="124"/>
      <c r="DM117" s="124"/>
      <c r="DN117" s="124"/>
      <c r="DO117" s="124"/>
      <c r="DP117" s="124"/>
      <c r="DQ117" s="124"/>
      <c r="DR117" s="124"/>
      <c r="DS117" s="124"/>
      <c r="DT117" s="124"/>
      <c r="DU117" s="124"/>
      <c r="DV117" s="124"/>
      <c r="DW117" s="124"/>
      <c r="DX117" s="124"/>
      <c r="DY117" s="124"/>
      <c r="DZ117" s="124"/>
      <c r="EA117" s="124"/>
      <c r="EB117" s="124"/>
      <c r="EC117" s="124"/>
      <c r="ED117" s="124"/>
      <c r="EE117" s="124"/>
      <c r="EF117" s="124"/>
      <c r="EG117" s="124"/>
      <c r="EH117" s="124"/>
      <c r="EI117" s="124"/>
      <c r="EJ117" s="124"/>
      <c r="EK117" s="124"/>
      <c r="EL117" s="124"/>
      <c r="EM117" s="124"/>
      <c r="EN117" s="124"/>
      <c r="EO117" s="124"/>
      <c r="EP117" s="124"/>
      <c r="EQ117" s="124"/>
      <c r="ER117" s="124"/>
      <c r="ES117" s="124"/>
      <c r="ET117" s="124"/>
      <c r="EU117" s="124"/>
      <c r="EV117" s="124"/>
      <c r="EW117" s="124"/>
      <c r="EX117" s="124"/>
      <c r="EY117" s="124"/>
      <c r="EZ117" s="124"/>
      <c r="FA117" s="124"/>
      <c r="FB117" s="124"/>
      <c r="FC117" s="124"/>
      <c r="FD117" s="124"/>
      <c r="FE117" s="124"/>
      <c r="FF117" s="124"/>
      <c r="FG117" s="124"/>
      <c r="FH117" s="124"/>
      <c r="FI117" s="124"/>
      <c r="FJ117" s="124"/>
      <c r="FK117" s="124"/>
      <c r="FL117" s="124"/>
      <c r="FM117" s="124"/>
      <c r="FN117" s="124"/>
      <c r="FO117" s="124"/>
      <c r="FP117" s="124"/>
      <c r="FQ117" s="124"/>
      <c r="FR117" s="124"/>
      <c r="FS117" s="124"/>
      <c r="FT117" s="124"/>
      <c r="FU117" s="124"/>
      <c r="FV117" s="124"/>
      <c r="FW117" s="124"/>
      <c r="FX117" s="124"/>
      <c r="FY117" s="124"/>
      <c r="FZ117" s="124"/>
      <c r="GA117" s="124"/>
      <c r="GB117" s="124"/>
      <c r="GC117" s="124"/>
      <c r="GD117" s="124"/>
      <c r="GE117" s="124"/>
      <c r="GF117" s="124"/>
      <c r="GG117" s="124"/>
      <c r="GH117" s="124"/>
      <c r="GI117" s="124"/>
      <c r="GJ117" s="124"/>
      <c r="GK117" s="124"/>
      <c r="GL117" s="124"/>
      <c r="GM117" s="124"/>
      <c r="GN117" s="124"/>
      <c r="GO117" s="124"/>
      <c r="GP117" s="124"/>
      <c r="GQ117" s="124"/>
      <c r="GR117" s="124"/>
      <c r="GS117" s="124"/>
      <c r="GT117" s="124"/>
      <c r="GU117" s="124"/>
      <c r="GV117" s="124"/>
      <c r="GW117" s="124"/>
      <c r="GX117" s="124"/>
      <c r="GY117" s="124"/>
      <c r="GZ117" s="124"/>
      <c r="HA117" s="124"/>
      <c r="HB117" s="124"/>
      <c r="HC117" s="124"/>
      <c r="HD117" s="124"/>
      <c r="HE117" s="124"/>
      <c r="HF117" s="124"/>
      <c r="HG117" s="124"/>
      <c r="HH117" s="124"/>
      <c r="HI117" s="124"/>
      <c r="HJ117" s="124"/>
      <c r="HK117" s="124"/>
      <c r="HL117" s="124"/>
      <c r="HM117" s="124"/>
      <c r="HN117" s="124"/>
      <c r="HO117" s="124"/>
      <c r="HP117" s="124"/>
      <c r="HQ117" s="124"/>
    </row>
    <row r="118" spans="1:225" x14ac:dyDescent="0.2">
      <c r="A118" s="122" t="s">
        <v>749</v>
      </c>
      <c r="B118" s="123">
        <v>55</v>
      </c>
      <c r="C118" s="138" t="s">
        <v>276</v>
      </c>
      <c r="D118" s="123">
        <v>109</v>
      </c>
      <c r="E118" s="124" t="s">
        <v>161</v>
      </c>
      <c r="F118" s="123">
        <v>4</v>
      </c>
      <c r="G118" s="123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  <c r="BK118" s="124"/>
      <c r="BL118" s="124"/>
      <c r="BM118" s="124"/>
      <c r="BN118" s="124"/>
      <c r="BO118" s="124"/>
      <c r="BP118" s="124"/>
      <c r="BQ118" s="124"/>
      <c r="BR118" s="124"/>
      <c r="BS118" s="124"/>
      <c r="BT118" s="124"/>
      <c r="BU118" s="124"/>
      <c r="BV118" s="124"/>
      <c r="BW118" s="124"/>
      <c r="BX118" s="124"/>
      <c r="BY118" s="124"/>
      <c r="BZ118" s="124"/>
      <c r="CA118" s="124"/>
      <c r="CB118" s="124"/>
      <c r="CC118" s="124"/>
      <c r="CD118" s="124"/>
      <c r="CE118" s="124"/>
      <c r="CF118" s="124"/>
      <c r="CG118" s="124"/>
      <c r="CH118" s="124"/>
      <c r="CI118" s="124"/>
      <c r="CJ118" s="124"/>
      <c r="CK118" s="124"/>
      <c r="CL118" s="124"/>
      <c r="CM118" s="124"/>
      <c r="CN118" s="124"/>
      <c r="CO118" s="124"/>
      <c r="CP118" s="124"/>
      <c r="CQ118" s="124"/>
      <c r="CR118" s="124"/>
      <c r="CS118" s="124"/>
      <c r="CT118" s="124"/>
      <c r="CU118" s="124"/>
      <c r="CV118" s="124"/>
      <c r="CW118" s="124"/>
      <c r="CX118" s="124"/>
      <c r="CY118" s="124"/>
      <c r="CZ118" s="124"/>
      <c r="DA118" s="124"/>
      <c r="DB118" s="124"/>
      <c r="DC118" s="124"/>
      <c r="DD118" s="124"/>
      <c r="DE118" s="124"/>
      <c r="DF118" s="124"/>
      <c r="DG118" s="124"/>
      <c r="DH118" s="124"/>
      <c r="DI118" s="124"/>
      <c r="DJ118" s="124"/>
      <c r="DK118" s="124"/>
      <c r="DL118" s="124"/>
      <c r="DM118" s="124"/>
      <c r="DN118" s="124"/>
      <c r="DO118" s="124"/>
      <c r="DP118" s="124"/>
      <c r="DQ118" s="124"/>
      <c r="DR118" s="124"/>
      <c r="DS118" s="124"/>
      <c r="DT118" s="124"/>
      <c r="DU118" s="124"/>
      <c r="DV118" s="124"/>
      <c r="DW118" s="124"/>
      <c r="DX118" s="124"/>
      <c r="DY118" s="124"/>
      <c r="DZ118" s="124"/>
      <c r="EA118" s="124"/>
      <c r="EB118" s="124"/>
      <c r="EC118" s="124"/>
      <c r="ED118" s="124"/>
      <c r="EE118" s="124"/>
      <c r="EF118" s="124"/>
      <c r="EG118" s="124"/>
      <c r="EH118" s="124"/>
      <c r="EI118" s="124"/>
      <c r="EJ118" s="124"/>
      <c r="EK118" s="124"/>
      <c r="EL118" s="124"/>
      <c r="EM118" s="124"/>
      <c r="EN118" s="124"/>
      <c r="EO118" s="124"/>
      <c r="EP118" s="124"/>
      <c r="EQ118" s="124"/>
      <c r="ER118" s="124"/>
      <c r="ES118" s="124"/>
      <c r="ET118" s="124"/>
      <c r="EU118" s="124"/>
      <c r="EV118" s="124"/>
      <c r="EW118" s="124"/>
      <c r="EX118" s="124"/>
      <c r="EY118" s="124"/>
      <c r="EZ118" s="124"/>
      <c r="FA118" s="124"/>
      <c r="FB118" s="124"/>
      <c r="FC118" s="124"/>
      <c r="FD118" s="124"/>
      <c r="FE118" s="124"/>
      <c r="FF118" s="124"/>
      <c r="FG118" s="124"/>
      <c r="FH118" s="124"/>
      <c r="FI118" s="124"/>
      <c r="FJ118" s="124"/>
      <c r="FK118" s="124"/>
      <c r="FL118" s="124"/>
      <c r="FM118" s="124"/>
      <c r="FN118" s="124"/>
      <c r="FO118" s="124"/>
      <c r="FP118" s="124"/>
      <c r="FQ118" s="124"/>
      <c r="FR118" s="124"/>
      <c r="FS118" s="124"/>
      <c r="FT118" s="124"/>
      <c r="FU118" s="124"/>
      <c r="FV118" s="124"/>
      <c r="FW118" s="124"/>
      <c r="FX118" s="124"/>
      <c r="FY118" s="124"/>
      <c r="FZ118" s="124"/>
      <c r="GA118" s="124"/>
      <c r="GB118" s="124"/>
      <c r="GC118" s="124"/>
      <c r="GD118" s="124"/>
      <c r="GE118" s="124"/>
      <c r="GF118" s="124"/>
      <c r="GG118" s="124"/>
      <c r="GH118" s="124"/>
      <c r="GI118" s="124"/>
      <c r="GJ118" s="124"/>
      <c r="GK118" s="124"/>
      <c r="GL118" s="124"/>
      <c r="GM118" s="124"/>
      <c r="GN118" s="124"/>
      <c r="GO118" s="124"/>
      <c r="GP118" s="124"/>
      <c r="GQ118" s="124"/>
      <c r="GR118" s="124"/>
      <c r="GS118" s="124"/>
      <c r="GT118" s="124"/>
      <c r="GU118" s="124"/>
      <c r="GV118" s="124"/>
      <c r="GW118" s="124"/>
      <c r="GX118" s="124"/>
      <c r="GY118" s="124"/>
      <c r="GZ118" s="124"/>
      <c r="HA118" s="124"/>
      <c r="HB118" s="124"/>
      <c r="HC118" s="124"/>
      <c r="HD118" s="124"/>
      <c r="HE118" s="124"/>
      <c r="HF118" s="124"/>
      <c r="HG118" s="124"/>
      <c r="HH118" s="124"/>
      <c r="HI118" s="124"/>
      <c r="HJ118" s="124"/>
      <c r="HK118" s="124"/>
      <c r="HL118" s="124"/>
      <c r="HM118" s="124"/>
      <c r="HN118" s="124"/>
      <c r="HO118" s="124"/>
      <c r="HP118" s="124"/>
      <c r="HQ118" s="124"/>
    </row>
    <row r="119" spans="1:225" x14ac:dyDescent="0.2">
      <c r="A119" s="122" t="s">
        <v>750</v>
      </c>
      <c r="B119" s="123">
        <v>55</v>
      </c>
      <c r="C119" s="124" t="s">
        <v>277</v>
      </c>
      <c r="D119" s="123">
        <v>110</v>
      </c>
      <c r="E119" s="124" t="s">
        <v>161</v>
      </c>
      <c r="F119" s="123">
        <v>4</v>
      </c>
      <c r="G119" s="123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4"/>
      <c r="CD119" s="124"/>
      <c r="CE119" s="124"/>
      <c r="CF119" s="124"/>
      <c r="CG119" s="124"/>
      <c r="CH119" s="124"/>
      <c r="CI119" s="124"/>
      <c r="CJ119" s="124"/>
      <c r="CK119" s="124"/>
      <c r="CL119" s="124"/>
      <c r="CM119" s="124"/>
      <c r="CN119" s="124"/>
      <c r="CO119" s="124"/>
      <c r="CP119" s="124"/>
      <c r="CQ119" s="124"/>
      <c r="CR119" s="124"/>
      <c r="CS119" s="124"/>
      <c r="CT119" s="124"/>
      <c r="CU119" s="124"/>
      <c r="CV119" s="124"/>
      <c r="CW119" s="124"/>
      <c r="CX119" s="124"/>
      <c r="CY119" s="124"/>
      <c r="CZ119" s="124"/>
      <c r="DA119" s="124"/>
      <c r="DB119" s="124"/>
      <c r="DC119" s="124"/>
      <c r="DD119" s="124"/>
      <c r="DE119" s="124"/>
      <c r="DF119" s="124"/>
      <c r="DG119" s="124"/>
      <c r="DH119" s="124"/>
      <c r="DI119" s="124"/>
      <c r="DJ119" s="124"/>
      <c r="DK119" s="124"/>
      <c r="DL119" s="124"/>
      <c r="DM119" s="124"/>
      <c r="DN119" s="124"/>
      <c r="DO119" s="124"/>
      <c r="DP119" s="124"/>
      <c r="DQ119" s="124"/>
      <c r="DR119" s="124"/>
      <c r="DS119" s="124"/>
      <c r="DT119" s="124"/>
      <c r="DU119" s="124"/>
      <c r="DV119" s="124"/>
      <c r="DW119" s="124"/>
      <c r="DX119" s="124"/>
      <c r="DY119" s="124"/>
      <c r="DZ119" s="124"/>
      <c r="EA119" s="124"/>
      <c r="EB119" s="124"/>
      <c r="EC119" s="124"/>
      <c r="ED119" s="124"/>
      <c r="EE119" s="124"/>
      <c r="EF119" s="124"/>
      <c r="EG119" s="124"/>
      <c r="EH119" s="124"/>
      <c r="EI119" s="124"/>
      <c r="EJ119" s="124"/>
      <c r="EK119" s="124"/>
      <c r="EL119" s="124"/>
      <c r="EM119" s="124"/>
      <c r="EN119" s="124"/>
      <c r="EO119" s="124"/>
      <c r="EP119" s="124"/>
      <c r="EQ119" s="124"/>
      <c r="ER119" s="124"/>
      <c r="ES119" s="124"/>
      <c r="ET119" s="124"/>
      <c r="EU119" s="124"/>
      <c r="EV119" s="124"/>
      <c r="EW119" s="124"/>
      <c r="EX119" s="124"/>
      <c r="EY119" s="124"/>
      <c r="EZ119" s="124"/>
      <c r="FA119" s="124"/>
      <c r="FB119" s="124"/>
      <c r="FC119" s="124"/>
      <c r="FD119" s="124"/>
      <c r="FE119" s="124"/>
      <c r="FF119" s="124"/>
      <c r="FG119" s="124"/>
      <c r="FH119" s="124"/>
      <c r="FI119" s="124"/>
      <c r="FJ119" s="124"/>
      <c r="FK119" s="124"/>
      <c r="FL119" s="124"/>
      <c r="FM119" s="124"/>
      <c r="FN119" s="124"/>
      <c r="FO119" s="124"/>
      <c r="FP119" s="124"/>
      <c r="FQ119" s="124"/>
      <c r="FR119" s="124"/>
      <c r="FS119" s="124"/>
      <c r="FT119" s="124"/>
      <c r="FU119" s="124"/>
      <c r="FV119" s="124"/>
      <c r="FW119" s="124"/>
      <c r="FX119" s="124"/>
      <c r="FY119" s="124"/>
      <c r="FZ119" s="124"/>
      <c r="GA119" s="124"/>
      <c r="GB119" s="124"/>
      <c r="GC119" s="124"/>
      <c r="GD119" s="124"/>
      <c r="GE119" s="124"/>
      <c r="GF119" s="124"/>
      <c r="GG119" s="124"/>
      <c r="GH119" s="124"/>
      <c r="GI119" s="124"/>
      <c r="GJ119" s="124"/>
      <c r="GK119" s="124"/>
      <c r="GL119" s="124"/>
      <c r="GM119" s="124"/>
      <c r="GN119" s="124"/>
      <c r="GO119" s="124"/>
      <c r="GP119" s="124"/>
      <c r="GQ119" s="124"/>
      <c r="GR119" s="124"/>
      <c r="GS119" s="124"/>
      <c r="GT119" s="124"/>
      <c r="GU119" s="124"/>
      <c r="GV119" s="124"/>
      <c r="GW119" s="124"/>
      <c r="GX119" s="124"/>
      <c r="GY119" s="124"/>
      <c r="GZ119" s="124"/>
      <c r="HA119" s="124"/>
      <c r="HB119" s="124"/>
      <c r="HC119" s="124"/>
      <c r="HD119" s="124"/>
      <c r="HE119" s="124"/>
      <c r="HF119" s="124"/>
      <c r="HG119" s="124"/>
      <c r="HH119" s="124"/>
      <c r="HI119" s="124"/>
      <c r="HJ119" s="124"/>
      <c r="HK119" s="124"/>
      <c r="HL119" s="124"/>
      <c r="HM119" s="124"/>
      <c r="HN119" s="124"/>
      <c r="HO119" s="124"/>
      <c r="HP119" s="124"/>
      <c r="HQ119" s="124"/>
    </row>
    <row r="120" spans="1:225" x14ac:dyDescent="0.2">
      <c r="A120" s="122" t="s">
        <v>751</v>
      </c>
      <c r="B120" s="123">
        <v>56</v>
      </c>
      <c r="C120" s="124" t="s">
        <v>278</v>
      </c>
      <c r="D120" s="123">
        <v>111</v>
      </c>
      <c r="E120" s="124" t="s">
        <v>161</v>
      </c>
      <c r="F120" s="123">
        <v>4</v>
      </c>
      <c r="G120" s="123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  <c r="BK120" s="124"/>
      <c r="BL120" s="124"/>
      <c r="BM120" s="124"/>
      <c r="BN120" s="124"/>
      <c r="BO120" s="124"/>
      <c r="BP120" s="124"/>
      <c r="BQ120" s="124"/>
      <c r="BR120" s="124"/>
      <c r="BS120" s="124"/>
      <c r="BT120" s="124"/>
      <c r="BU120" s="124"/>
      <c r="BV120" s="124"/>
      <c r="BW120" s="124"/>
      <c r="BX120" s="124"/>
      <c r="BY120" s="124"/>
      <c r="BZ120" s="124"/>
      <c r="CA120" s="124"/>
      <c r="CB120" s="124"/>
      <c r="CC120" s="124"/>
      <c r="CD120" s="124"/>
      <c r="CE120" s="124"/>
      <c r="CF120" s="124"/>
      <c r="CG120" s="124"/>
      <c r="CH120" s="124"/>
      <c r="CI120" s="124"/>
      <c r="CJ120" s="124"/>
      <c r="CK120" s="124"/>
      <c r="CL120" s="124"/>
      <c r="CM120" s="124"/>
      <c r="CN120" s="124"/>
      <c r="CO120" s="124"/>
      <c r="CP120" s="124"/>
      <c r="CQ120" s="124"/>
      <c r="CR120" s="124"/>
      <c r="CS120" s="124"/>
      <c r="CT120" s="124"/>
      <c r="CU120" s="124"/>
      <c r="CV120" s="124"/>
      <c r="CW120" s="124"/>
      <c r="CX120" s="124"/>
      <c r="CY120" s="124"/>
      <c r="CZ120" s="124"/>
      <c r="DA120" s="124"/>
      <c r="DB120" s="124"/>
      <c r="DC120" s="124"/>
      <c r="DD120" s="124"/>
      <c r="DE120" s="124"/>
      <c r="DF120" s="124"/>
      <c r="DG120" s="124"/>
      <c r="DH120" s="124"/>
      <c r="DI120" s="124"/>
      <c r="DJ120" s="124"/>
      <c r="DK120" s="124"/>
      <c r="DL120" s="124"/>
      <c r="DM120" s="124"/>
      <c r="DN120" s="124"/>
      <c r="DO120" s="124"/>
      <c r="DP120" s="124"/>
      <c r="DQ120" s="124"/>
      <c r="DR120" s="124"/>
      <c r="DS120" s="124"/>
      <c r="DT120" s="124"/>
      <c r="DU120" s="124"/>
      <c r="DV120" s="124"/>
      <c r="DW120" s="124"/>
      <c r="DX120" s="124"/>
      <c r="DY120" s="124"/>
      <c r="DZ120" s="124"/>
      <c r="EA120" s="124"/>
      <c r="EB120" s="124"/>
      <c r="EC120" s="124"/>
      <c r="ED120" s="124"/>
      <c r="EE120" s="124"/>
      <c r="EF120" s="124"/>
      <c r="EG120" s="124"/>
      <c r="EH120" s="124"/>
      <c r="EI120" s="124"/>
      <c r="EJ120" s="124"/>
      <c r="EK120" s="124"/>
      <c r="EL120" s="124"/>
      <c r="EM120" s="124"/>
      <c r="EN120" s="124"/>
      <c r="EO120" s="124"/>
      <c r="EP120" s="124"/>
      <c r="EQ120" s="124"/>
      <c r="ER120" s="124"/>
      <c r="ES120" s="124"/>
      <c r="ET120" s="124"/>
      <c r="EU120" s="124"/>
      <c r="EV120" s="124"/>
      <c r="EW120" s="124"/>
      <c r="EX120" s="124"/>
      <c r="EY120" s="124"/>
      <c r="EZ120" s="124"/>
      <c r="FA120" s="124"/>
      <c r="FB120" s="124"/>
      <c r="FC120" s="124"/>
      <c r="FD120" s="124"/>
      <c r="FE120" s="124"/>
      <c r="FF120" s="124"/>
      <c r="FG120" s="124"/>
      <c r="FH120" s="124"/>
      <c r="FI120" s="124"/>
      <c r="FJ120" s="124"/>
      <c r="FK120" s="124"/>
      <c r="FL120" s="124"/>
      <c r="FM120" s="124"/>
      <c r="FN120" s="124"/>
      <c r="FO120" s="124"/>
      <c r="FP120" s="124"/>
      <c r="FQ120" s="124"/>
      <c r="FR120" s="124"/>
      <c r="FS120" s="124"/>
      <c r="FT120" s="124"/>
      <c r="FU120" s="124"/>
      <c r="FV120" s="124"/>
      <c r="FW120" s="124"/>
      <c r="FX120" s="124"/>
      <c r="FY120" s="124"/>
      <c r="FZ120" s="124"/>
      <c r="GA120" s="124"/>
      <c r="GB120" s="124"/>
      <c r="GC120" s="124"/>
      <c r="GD120" s="124"/>
      <c r="GE120" s="124"/>
      <c r="GF120" s="124"/>
      <c r="GG120" s="124"/>
      <c r="GH120" s="124"/>
      <c r="GI120" s="124"/>
      <c r="GJ120" s="124"/>
      <c r="GK120" s="124"/>
      <c r="GL120" s="124"/>
      <c r="GM120" s="124"/>
      <c r="GN120" s="124"/>
      <c r="GO120" s="124"/>
      <c r="GP120" s="124"/>
      <c r="GQ120" s="124"/>
      <c r="GR120" s="124"/>
      <c r="GS120" s="124"/>
      <c r="GT120" s="124"/>
      <c r="GU120" s="124"/>
      <c r="GV120" s="124"/>
      <c r="GW120" s="124"/>
      <c r="GX120" s="124"/>
      <c r="GY120" s="124"/>
      <c r="GZ120" s="124"/>
      <c r="HA120" s="124"/>
      <c r="HB120" s="124"/>
      <c r="HC120" s="124"/>
      <c r="HD120" s="124"/>
      <c r="HE120" s="124"/>
      <c r="HF120" s="124"/>
      <c r="HG120" s="124"/>
      <c r="HH120" s="124"/>
      <c r="HI120" s="124"/>
      <c r="HJ120" s="124"/>
      <c r="HK120" s="124"/>
      <c r="HL120" s="124"/>
      <c r="HM120" s="124"/>
      <c r="HN120" s="124"/>
      <c r="HO120" s="124"/>
      <c r="HP120" s="124"/>
      <c r="HQ120" s="124"/>
    </row>
    <row r="121" spans="1:225" x14ac:dyDescent="0.2">
      <c r="A121" s="122" t="s">
        <v>752</v>
      </c>
      <c r="B121" s="123">
        <v>56</v>
      </c>
      <c r="C121" s="124" t="s">
        <v>279</v>
      </c>
      <c r="D121" s="123">
        <v>112</v>
      </c>
      <c r="E121" s="124" t="s">
        <v>161</v>
      </c>
      <c r="F121" s="123">
        <v>4</v>
      </c>
      <c r="G121" s="123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4"/>
      <c r="CD121" s="124"/>
      <c r="CE121" s="124"/>
      <c r="CF121" s="124"/>
      <c r="CG121" s="124"/>
      <c r="CH121" s="124"/>
      <c r="CI121" s="124"/>
      <c r="CJ121" s="124"/>
      <c r="CK121" s="124"/>
      <c r="CL121" s="124"/>
      <c r="CM121" s="124"/>
      <c r="CN121" s="124"/>
      <c r="CO121" s="124"/>
      <c r="CP121" s="124"/>
      <c r="CQ121" s="124"/>
      <c r="CR121" s="124"/>
      <c r="CS121" s="124"/>
      <c r="CT121" s="124"/>
      <c r="CU121" s="124"/>
      <c r="CV121" s="124"/>
      <c r="CW121" s="124"/>
      <c r="CX121" s="124"/>
      <c r="CY121" s="124"/>
      <c r="CZ121" s="124"/>
      <c r="DA121" s="124"/>
      <c r="DB121" s="124"/>
      <c r="DC121" s="124"/>
      <c r="DD121" s="124"/>
      <c r="DE121" s="124"/>
      <c r="DF121" s="124"/>
      <c r="DG121" s="124"/>
      <c r="DH121" s="124"/>
      <c r="DI121" s="124"/>
      <c r="DJ121" s="124"/>
      <c r="DK121" s="124"/>
      <c r="DL121" s="124"/>
      <c r="DM121" s="124"/>
      <c r="DN121" s="124"/>
      <c r="DO121" s="124"/>
      <c r="DP121" s="124"/>
      <c r="DQ121" s="124"/>
      <c r="DR121" s="124"/>
      <c r="DS121" s="124"/>
      <c r="DT121" s="124"/>
      <c r="DU121" s="124"/>
      <c r="DV121" s="124"/>
      <c r="DW121" s="124"/>
      <c r="DX121" s="124"/>
      <c r="DY121" s="124"/>
      <c r="DZ121" s="124"/>
      <c r="EA121" s="124"/>
      <c r="EB121" s="124"/>
      <c r="EC121" s="124"/>
      <c r="ED121" s="124"/>
      <c r="EE121" s="124"/>
      <c r="EF121" s="124"/>
      <c r="EG121" s="124"/>
      <c r="EH121" s="124"/>
      <c r="EI121" s="124"/>
      <c r="EJ121" s="124"/>
      <c r="EK121" s="124"/>
      <c r="EL121" s="124"/>
      <c r="EM121" s="124"/>
      <c r="EN121" s="124"/>
      <c r="EO121" s="124"/>
      <c r="EP121" s="124"/>
      <c r="EQ121" s="124"/>
      <c r="ER121" s="124"/>
      <c r="ES121" s="124"/>
      <c r="ET121" s="124"/>
      <c r="EU121" s="124"/>
      <c r="EV121" s="124"/>
      <c r="EW121" s="124"/>
      <c r="EX121" s="124"/>
      <c r="EY121" s="124"/>
      <c r="EZ121" s="124"/>
      <c r="FA121" s="124"/>
      <c r="FB121" s="124"/>
      <c r="FC121" s="124"/>
      <c r="FD121" s="124"/>
      <c r="FE121" s="124"/>
      <c r="FF121" s="124"/>
      <c r="FG121" s="124"/>
      <c r="FH121" s="124"/>
      <c r="FI121" s="124"/>
      <c r="FJ121" s="124"/>
      <c r="FK121" s="124"/>
      <c r="FL121" s="124"/>
      <c r="FM121" s="124"/>
      <c r="FN121" s="124"/>
      <c r="FO121" s="124"/>
      <c r="FP121" s="124"/>
      <c r="FQ121" s="124"/>
      <c r="FR121" s="124"/>
      <c r="FS121" s="124"/>
      <c r="FT121" s="124"/>
      <c r="FU121" s="124"/>
      <c r="FV121" s="124"/>
      <c r="FW121" s="124"/>
      <c r="FX121" s="124"/>
      <c r="FY121" s="124"/>
      <c r="FZ121" s="124"/>
      <c r="GA121" s="124"/>
      <c r="GB121" s="124"/>
      <c r="GC121" s="124"/>
      <c r="GD121" s="124"/>
      <c r="GE121" s="124"/>
      <c r="GF121" s="124"/>
      <c r="GG121" s="124"/>
      <c r="GH121" s="124"/>
      <c r="GI121" s="124"/>
      <c r="GJ121" s="124"/>
      <c r="GK121" s="124"/>
      <c r="GL121" s="124"/>
      <c r="GM121" s="124"/>
      <c r="GN121" s="124"/>
      <c r="GO121" s="124"/>
      <c r="GP121" s="124"/>
      <c r="GQ121" s="124"/>
      <c r="GR121" s="124"/>
      <c r="GS121" s="124"/>
      <c r="GT121" s="124"/>
      <c r="GU121" s="124"/>
      <c r="GV121" s="124"/>
      <c r="GW121" s="124"/>
      <c r="GX121" s="124"/>
      <c r="GY121" s="124"/>
      <c r="GZ121" s="124"/>
      <c r="HA121" s="124"/>
      <c r="HB121" s="124"/>
      <c r="HC121" s="124"/>
      <c r="HD121" s="124"/>
      <c r="HE121" s="124"/>
      <c r="HF121" s="124"/>
      <c r="HG121" s="124"/>
      <c r="HH121" s="124"/>
      <c r="HI121" s="124"/>
      <c r="HJ121" s="124"/>
      <c r="HK121" s="124"/>
      <c r="HL121" s="124"/>
      <c r="HM121" s="124"/>
      <c r="HN121" s="124"/>
      <c r="HO121" s="124"/>
      <c r="HP121" s="124"/>
      <c r="HQ121" s="124"/>
    </row>
    <row r="122" spans="1:225" x14ac:dyDescent="0.2">
      <c r="A122" s="122" t="s">
        <v>753</v>
      </c>
      <c r="B122" s="123">
        <v>57</v>
      </c>
      <c r="C122" s="124" t="s">
        <v>280</v>
      </c>
      <c r="D122" s="123">
        <v>113</v>
      </c>
      <c r="E122" s="124" t="s">
        <v>161</v>
      </c>
      <c r="F122" s="123">
        <v>3</v>
      </c>
      <c r="G122" s="123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  <c r="BK122" s="124"/>
      <c r="BL122" s="124"/>
      <c r="BM122" s="124"/>
      <c r="BN122" s="124"/>
      <c r="BO122" s="124"/>
      <c r="BP122" s="124"/>
      <c r="BQ122" s="124"/>
      <c r="BR122" s="124"/>
      <c r="BS122" s="124"/>
      <c r="BT122" s="124"/>
      <c r="BU122" s="124"/>
      <c r="BV122" s="124"/>
      <c r="BW122" s="124"/>
      <c r="BX122" s="124"/>
      <c r="BY122" s="124"/>
      <c r="BZ122" s="124"/>
      <c r="CA122" s="124"/>
      <c r="CB122" s="124"/>
      <c r="CC122" s="124"/>
      <c r="CD122" s="124"/>
      <c r="CE122" s="124"/>
      <c r="CF122" s="124"/>
      <c r="CG122" s="124"/>
      <c r="CH122" s="124"/>
      <c r="CI122" s="124"/>
      <c r="CJ122" s="124"/>
      <c r="CK122" s="124"/>
      <c r="CL122" s="124"/>
      <c r="CM122" s="124"/>
      <c r="CN122" s="124"/>
      <c r="CO122" s="124"/>
      <c r="CP122" s="124"/>
      <c r="CQ122" s="124"/>
      <c r="CR122" s="124"/>
      <c r="CS122" s="124"/>
      <c r="CT122" s="124"/>
      <c r="CU122" s="124"/>
      <c r="CV122" s="124"/>
      <c r="CW122" s="124"/>
      <c r="CX122" s="124"/>
      <c r="CY122" s="124"/>
      <c r="CZ122" s="124"/>
      <c r="DA122" s="124"/>
      <c r="DB122" s="124"/>
      <c r="DC122" s="124"/>
      <c r="DD122" s="124"/>
      <c r="DE122" s="124"/>
      <c r="DF122" s="124"/>
      <c r="DG122" s="124"/>
      <c r="DH122" s="124"/>
      <c r="DI122" s="124"/>
      <c r="DJ122" s="124"/>
      <c r="DK122" s="124"/>
      <c r="DL122" s="124"/>
      <c r="DM122" s="124"/>
      <c r="DN122" s="124"/>
      <c r="DO122" s="124"/>
      <c r="DP122" s="124"/>
      <c r="DQ122" s="124"/>
      <c r="DR122" s="124"/>
      <c r="DS122" s="124"/>
      <c r="DT122" s="124"/>
      <c r="DU122" s="124"/>
      <c r="DV122" s="124"/>
      <c r="DW122" s="124"/>
      <c r="DX122" s="124"/>
      <c r="DY122" s="124"/>
      <c r="DZ122" s="124"/>
      <c r="EA122" s="124"/>
      <c r="EB122" s="124"/>
      <c r="EC122" s="124"/>
      <c r="ED122" s="124"/>
      <c r="EE122" s="124"/>
      <c r="EF122" s="124"/>
      <c r="EG122" s="124"/>
      <c r="EH122" s="124"/>
      <c r="EI122" s="124"/>
      <c r="EJ122" s="124"/>
      <c r="EK122" s="124"/>
      <c r="EL122" s="124"/>
      <c r="EM122" s="124"/>
      <c r="EN122" s="124"/>
      <c r="EO122" s="124"/>
      <c r="EP122" s="124"/>
      <c r="EQ122" s="124"/>
      <c r="ER122" s="124"/>
      <c r="ES122" s="124"/>
      <c r="ET122" s="124"/>
      <c r="EU122" s="124"/>
      <c r="EV122" s="124"/>
      <c r="EW122" s="124"/>
      <c r="EX122" s="124"/>
      <c r="EY122" s="124"/>
      <c r="EZ122" s="124"/>
      <c r="FA122" s="124"/>
      <c r="FB122" s="124"/>
      <c r="FC122" s="124"/>
      <c r="FD122" s="124"/>
      <c r="FE122" s="124"/>
      <c r="FF122" s="124"/>
      <c r="FG122" s="124"/>
      <c r="FH122" s="124"/>
      <c r="FI122" s="124"/>
      <c r="FJ122" s="124"/>
      <c r="FK122" s="124"/>
      <c r="FL122" s="124"/>
      <c r="FM122" s="124"/>
      <c r="FN122" s="124"/>
      <c r="FO122" s="124"/>
      <c r="FP122" s="124"/>
      <c r="FQ122" s="124"/>
      <c r="FR122" s="124"/>
      <c r="FS122" s="124"/>
      <c r="FT122" s="124"/>
      <c r="FU122" s="124"/>
      <c r="FV122" s="124"/>
      <c r="FW122" s="124"/>
      <c r="FX122" s="124"/>
      <c r="FY122" s="124"/>
      <c r="FZ122" s="124"/>
      <c r="GA122" s="124"/>
      <c r="GB122" s="124"/>
      <c r="GC122" s="124"/>
      <c r="GD122" s="124"/>
      <c r="GE122" s="124"/>
      <c r="GF122" s="124"/>
      <c r="GG122" s="124"/>
      <c r="GH122" s="124"/>
      <c r="GI122" s="124"/>
      <c r="GJ122" s="124"/>
      <c r="GK122" s="124"/>
      <c r="GL122" s="124"/>
      <c r="GM122" s="124"/>
      <c r="GN122" s="124"/>
      <c r="GO122" s="124"/>
      <c r="GP122" s="124"/>
      <c r="GQ122" s="124"/>
      <c r="GR122" s="124"/>
      <c r="GS122" s="124"/>
      <c r="GT122" s="124"/>
      <c r="GU122" s="124"/>
      <c r="GV122" s="124"/>
      <c r="GW122" s="124"/>
      <c r="GX122" s="124"/>
      <c r="GY122" s="124"/>
      <c r="GZ122" s="124"/>
      <c r="HA122" s="124"/>
      <c r="HB122" s="124"/>
      <c r="HC122" s="124"/>
      <c r="HD122" s="124"/>
      <c r="HE122" s="124"/>
      <c r="HF122" s="124"/>
      <c r="HG122" s="124"/>
      <c r="HH122" s="124"/>
      <c r="HI122" s="124"/>
      <c r="HJ122" s="124"/>
      <c r="HK122" s="124"/>
      <c r="HL122" s="124"/>
      <c r="HM122" s="124"/>
      <c r="HN122" s="124"/>
      <c r="HO122" s="124"/>
      <c r="HP122" s="124"/>
      <c r="HQ122" s="124"/>
    </row>
    <row r="123" spans="1:225" x14ac:dyDescent="0.2">
      <c r="A123" s="122" t="s">
        <v>754</v>
      </c>
      <c r="B123" s="123">
        <v>57</v>
      </c>
      <c r="C123" s="124" t="s">
        <v>281</v>
      </c>
      <c r="D123" s="123">
        <v>114</v>
      </c>
      <c r="E123" s="124" t="s">
        <v>161</v>
      </c>
      <c r="F123" s="123">
        <v>4</v>
      </c>
      <c r="G123" s="123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  <c r="BJ123" s="124"/>
      <c r="BK123" s="124"/>
      <c r="BL123" s="124"/>
      <c r="BM123" s="124"/>
      <c r="BN123" s="124"/>
      <c r="BO123" s="124"/>
      <c r="BP123" s="124"/>
      <c r="BQ123" s="124"/>
      <c r="BR123" s="124"/>
      <c r="BS123" s="124"/>
      <c r="BT123" s="124"/>
      <c r="BU123" s="124"/>
      <c r="BV123" s="124"/>
      <c r="BW123" s="124"/>
      <c r="BX123" s="124"/>
      <c r="BY123" s="124"/>
      <c r="BZ123" s="124"/>
      <c r="CA123" s="124"/>
      <c r="CB123" s="124"/>
      <c r="CC123" s="124"/>
      <c r="CD123" s="124"/>
      <c r="CE123" s="124"/>
      <c r="CF123" s="124"/>
      <c r="CG123" s="124"/>
      <c r="CH123" s="124"/>
      <c r="CI123" s="124"/>
      <c r="CJ123" s="124"/>
      <c r="CK123" s="124"/>
      <c r="CL123" s="124"/>
      <c r="CM123" s="124"/>
      <c r="CN123" s="124"/>
      <c r="CO123" s="124"/>
      <c r="CP123" s="124"/>
      <c r="CQ123" s="124"/>
      <c r="CR123" s="124"/>
      <c r="CS123" s="124"/>
      <c r="CT123" s="124"/>
      <c r="CU123" s="124"/>
      <c r="CV123" s="124"/>
      <c r="CW123" s="124"/>
      <c r="CX123" s="124"/>
      <c r="CY123" s="124"/>
      <c r="CZ123" s="124"/>
      <c r="DA123" s="124"/>
      <c r="DB123" s="124"/>
      <c r="DC123" s="124"/>
      <c r="DD123" s="124"/>
      <c r="DE123" s="124"/>
      <c r="DF123" s="124"/>
      <c r="DG123" s="124"/>
      <c r="DH123" s="124"/>
      <c r="DI123" s="124"/>
      <c r="DJ123" s="124"/>
      <c r="DK123" s="124"/>
      <c r="DL123" s="124"/>
      <c r="DM123" s="124"/>
      <c r="DN123" s="124"/>
      <c r="DO123" s="124"/>
      <c r="DP123" s="124"/>
      <c r="DQ123" s="124"/>
      <c r="DR123" s="124"/>
      <c r="DS123" s="124"/>
      <c r="DT123" s="124"/>
      <c r="DU123" s="124"/>
      <c r="DV123" s="124"/>
      <c r="DW123" s="124"/>
      <c r="DX123" s="124"/>
      <c r="DY123" s="124"/>
      <c r="DZ123" s="124"/>
      <c r="EA123" s="124"/>
      <c r="EB123" s="124"/>
      <c r="EC123" s="124"/>
      <c r="ED123" s="124"/>
      <c r="EE123" s="124"/>
      <c r="EF123" s="124"/>
      <c r="EG123" s="124"/>
      <c r="EH123" s="124"/>
      <c r="EI123" s="124"/>
      <c r="EJ123" s="124"/>
      <c r="EK123" s="124"/>
      <c r="EL123" s="124"/>
      <c r="EM123" s="124"/>
      <c r="EN123" s="124"/>
      <c r="EO123" s="124"/>
      <c r="EP123" s="124"/>
      <c r="EQ123" s="124"/>
      <c r="ER123" s="124"/>
      <c r="ES123" s="124"/>
      <c r="ET123" s="124"/>
      <c r="EU123" s="124"/>
      <c r="EV123" s="124"/>
      <c r="EW123" s="124"/>
      <c r="EX123" s="124"/>
      <c r="EY123" s="124"/>
      <c r="EZ123" s="124"/>
      <c r="FA123" s="124"/>
      <c r="FB123" s="124"/>
      <c r="FC123" s="124"/>
      <c r="FD123" s="124"/>
      <c r="FE123" s="124"/>
      <c r="FF123" s="124"/>
      <c r="FG123" s="124"/>
      <c r="FH123" s="124"/>
      <c r="FI123" s="124"/>
      <c r="FJ123" s="124"/>
      <c r="FK123" s="124"/>
      <c r="FL123" s="124"/>
      <c r="FM123" s="124"/>
      <c r="FN123" s="124"/>
      <c r="FO123" s="124"/>
      <c r="FP123" s="124"/>
      <c r="FQ123" s="124"/>
      <c r="FR123" s="124"/>
      <c r="FS123" s="124"/>
      <c r="FT123" s="124"/>
      <c r="FU123" s="124"/>
      <c r="FV123" s="124"/>
      <c r="FW123" s="124"/>
      <c r="FX123" s="124"/>
      <c r="FY123" s="124"/>
      <c r="FZ123" s="124"/>
      <c r="GA123" s="124"/>
      <c r="GB123" s="124"/>
      <c r="GC123" s="124"/>
      <c r="GD123" s="124"/>
      <c r="GE123" s="124"/>
      <c r="GF123" s="124"/>
      <c r="GG123" s="124"/>
      <c r="GH123" s="124"/>
      <c r="GI123" s="124"/>
      <c r="GJ123" s="124"/>
      <c r="GK123" s="124"/>
      <c r="GL123" s="124"/>
      <c r="GM123" s="124"/>
      <c r="GN123" s="124"/>
      <c r="GO123" s="124"/>
      <c r="GP123" s="124"/>
      <c r="GQ123" s="124"/>
      <c r="GR123" s="124"/>
      <c r="GS123" s="124"/>
      <c r="GT123" s="124"/>
      <c r="GU123" s="124"/>
      <c r="GV123" s="124"/>
      <c r="GW123" s="124"/>
      <c r="GX123" s="124"/>
      <c r="GY123" s="124"/>
      <c r="GZ123" s="124"/>
      <c r="HA123" s="124"/>
      <c r="HB123" s="124"/>
      <c r="HC123" s="124"/>
      <c r="HD123" s="124"/>
      <c r="HE123" s="124"/>
      <c r="HF123" s="124"/>
      <c r="HG123" s="124"/>
      <c r="HH123" s="124"/>
      <c r="HI123" s="124"/>
      <c r="HJ123" s="124"/>
      <c r="HK123" s="124"/>
      <c r="HL123" s="124"/>
      <c r="HM123" s="124"/>
      <c r="HN123" s="124"/>
      <c r="HO123" s="124"/>
      <c r="HP123" s="124"/>
      <c r="HQ123" s="124"/>
    </row>
    <row r="124" spans="1:225" x14ac:dyDescent="0.2">
      <c r="A124" s="122" t="s">
        <v>755</v>
      </c>
      <c r="B124" s="123">
        <v>58</v>
      </c>
      <c r="C124" s="124" t="s">
        <v>282</v>
      </c>
      <c r="D124" s="123">
        <v>115</v>
      </c>
      <c r="E124" s="124" t="s">
        <v>161</v>
      </c>
      <c r="F124" s="123">
        <v>2</v>
      </c>
      <c r="G124" s="123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24"/>
      <c r="BK124" s="124"/>
      <c r="BL124" s="124"/>
      <c r="BM124" s="124"/>
      <c r="BN124" s="124"/>
      <c r="BO124" s="124"/>
      <c r="BP124" s="124"/>
      <c r="BQ124" s="124"/>
      <c r="BR124" s="124"/>
      <c r="BS124" s="124"/>
      <c r="BT124" s="124"/>
      <c r="BU124" s="124"/>
      <c r="BV124" s="124"/>
      <c r="BW124" s="124"/>
      <c r="BX124" s="124"/>
      <c r="BY124" s="124"/>
      <c r="BZ124" s="124"/>
      <c r="CA124" s="124"/>
      <c r="CB124" s="124"/>
      <c r="CC124" s="124"/>
      <c r="CD124" s="124"/>
      <c r="CE124" s="124"/>
      <c r="CF124" s="124"/>
      <c r="CG124" s="124"/>
      <c r="CH124" s="124"/>
      <c r="CI124" s="124"/>
      <c r="CJ124" s="124"/>
      <c r="CK124" s="124"/>
      <c r="CL124" s="124"/>
      <c r="CM124" s="124"/>
      <c r="CN124" s="124"/>
      <c r="CO124" s="124"/>
      <c r="CP124" s="124"/>
      <c r="CQ124" s="124"/>
      <c r="CR124" s="124"/>
      <c r="CS124" s="124"/>
      <c r="CT124" s="124"/>
      <c r="CU124" s="124"/>
      <c r="CV124" s="124"/>
      <c r="CW124" s="124"/>
      <c r="CX124" s="124"/>
      <c r="CY124" s="124"/>
      <c r="CZ124" s="124"/>
      <c r="DA124" s="124"/>
      <c r="DB124" s="124"/>
      <c r="DC124" s="124"/>
      <c r="DD124" s="124"/>
      <c r="DE124" s="124"/>
      <c r="DF124" s="124"/>
      <c r="DG124" s="124"/>
      <c r="DH124" s="124"/>
      <c r="DI124" s="124"/>
      <c r="DJ124" s="124"/>
      <c r="DK124" s="124"/>
      <c r="DL124" s="124"/>
      <c r="DM124" s="124"/>
      <c r="DN124" s="124"/>
      <c r="DO124" s="124"/>
      <c r="DP124" s="124"/>
      <c r="DQ124" s="124"/>
      <c r="DR124" s="124"/>
      <c r="DS124" s="124"/>
      <c r="DT124" s="124"/>
      <c r="DU124" s="124"/>
      <c r="DV124" s="124"/>
      <c r="DW124" s="124"/>
      <c r="DX124" s="124"/>
      <c r="DY124" s="124"/>
      <c r="DZ124" s="124"/>
      <c r="EA124" s="124"/>
      <c r="EB124" s="124"/>
      <c r="EC124" s="124"/>
      <c r="ED124" s="124"/>
      <c r="EE124" s="124"/>
      <c r="EF124" s="124"/>
      <c r="EG124" s="124"/>
      <c r="EH124" s="124"/>
      <c r="EI124" s="124"/>
      <c r="EJ124" s="124"/>
      <c r="EK124" s="124"/>
      <c r="EL124" s="124"/>
      <c r="EM124" s="124"/>
      <c r="EN124" s="124"/>
      <c r="EO124" s="124"/>
      <c r="EP124" s="124"/>
      <c r="EQ124" s="124"/>
      <c r="ER124" s="124"/>
      <c r="ES124" s="124"/>
      <c r="ET124" s="124"/>
      <c r="EU124" s="124"/>
      <c r="EV124" s="124"/>
      <c r="EW124" s="124"/>
      <c r="EX124" s="124"/>
      <c r="EY124" s="124"/>
      <c r="EZ124" s="124"/>
      <c r="FA124" s="124"/>
      <c r="FB124" s="124"/>
      <c r="FC124" s="124"/>
      <c r="FD124" s="124"/>
      <c r="FE124" s="124"/>
      <c r="FF124" s="124"/>
      <c r="FG124" s="124"/>
      <c r="FH124" s="124"/>
      <c r="FI124" s="124"/>
      <c r="FJ124" s="124"/>
      <c r="FK124" s="124"/>
      <c r="FL124" s="124"/>
      <c r="FM124" s="124"/>
      <c r="FN124" s="124"/>
      <c r="FO124" s="124"/>
      <c r="FP124" s="124"/>
      <c r="FQ124" s="124"/>
      <c r="FR124" s="124"/>
      <c r="FS124" s="124"/>
      <c r="FT124" s="124"/>
      <c r="FU124" s="124"/>
      <c r="FV124" s="124"/>
      <c r="FW124" s="124"/>
      <c r="FX124" s="124"/>
      <c r="FY124" s="124"/>
      <c r="FZ124" s="124"/>
      <c r="GA124" s="124"/>
      <c r="GB124" s="124"/>
      <c r="GC124" s="124"/>
      <c r="GD124" s="124"/>
      <c r="GE124" s="124"/>
      <c r="GF124" s="124"/>
      <c r="GG124" s="124"/>
      <c r="GH124" s="124"/>
      <c r="GI124" s="124"/>
      <c r="GJ124" s="124"/>
      <c r="GK124" s="124"/>
      <c r="GL124" s="124"/>
      <c r="GM124" s="124"/>
      <c r="GN124" s="124"/>
      <c r="GO124" s="124"/>
      <c r="GP124" s="124"/>
      <c r="GQ124" s="124"/>
      <c r="GR124" s="124"/>
      <c r="GS124" s="124"/>
      <c r="GT124" s="124"/>
      <c r="GU124" s="124"/>
      <c r="GV124" s="124"/>
      <c r="GW124" s="124"/>
      <c r="GX124" s="124"/>
      <c r="GY124" s="124"/>
      <c r="GZ124" s="124"/>
      <c r="HA124" s="124"/>
      <c r="HB124" s="124"/>
      <c r="HC124" s="124"/>
      <c r="HD124" s="124"/>
      <c r="HE124" s="124"/>
      <c r="HF124" s="124"/>
      <c r="HG124" s="124"/>
      <c r="HH124" s="124"/>
      <c r="HI124" s="124"/>
      <c r="HJ124" s="124"/>
      <c r="HK124" s="124"/>
      <c r="HL124" s="124"/>
      <c r="HM124" s="124"/>
      <c r="HN124" s="124"/>
      <c r="HO124" s="124"/>
      <c r="HP124" s="124"/>
      <c r="HQ124" s="124"/>
    </row>
    <row r="125" spans="1:225" x14ac:dyDescent="0.2">
      <c r="A125" s="122" t="s">
        <v>756</v>
      </c>
      <c r="B125" s="123">
        <v>58</v>
      </c>
      <c r="C125" s="124" t="s">
        <v>283</v>
      </c>
      <c r="D125" s="123">
        <v>116</v>
      </c>
      <c r="E125" s="124" t="s">
        <v>161</v>
      </c>
      <c r="F125" s="123">
        <v>5</v>
      </c>
      <c r="G125" s="123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  <c r="BJ125" s="124"/>
      <c r="BK125" s="124"/>
      <c r="BL125" s="124"/>
      <c r="BM125" s="124"/>
      <c r="BN125" s="124"/>
      <c r="BO125" s="124"/>
      <c r="BP125" s="124"/>
      <c r="BQ125" s="124"/>
      <c r="BR125" s="124"/>
      <c r="BS125" s="124"/>
      <c r="BT125" s="124"/>
      <c r="BU125" s="124"/>
      <c r="BV125" s="124"/>
      <c r="BW125" s="124"/>
      <c r="BX125" s="124"/>
      <c r="BY125" s="124"/>
      <c r="BZ125" s="124"/>
      <c r="CA125" s="124"/>
      <c r="CB125" s="124"/>
      <c r="CC125" s="124"/>
      <c r="CD125" s="124"/>
      <c r="CE125" s="124"/>
      <c r="CF125" s="124"/>
      <c r="CG125" s="124"/>
      <c r="CH125" s="124"/>
      <c r="CI125" s="124"/>
      <c r="CJ125" s="124"/>
      <c r="CK125" s="124"/>
      <c r="CL125" s="124"/>
      <c r="CM125" s="124"/>
      <c r="CN125" s="124"/>
      <c r="CO125" s="124"/>
      <c r="CP125" s="124"/>
      <c r="CQ125" s="124"/>
      <c r="CR125" s="124"/>
      <c r="CS125" s="124"/>
      <c r="CT125" s="124"/>
      <c r="CU125" s="124"/>
      <c r="CV125" s="124"/>
      <c r="CW125" s="124"/>
      <c r="CX125" s="124"/>
      <c r="CY125" s="124"/>
      <c r="CZ125" s="124"/>
      <c r="DA125" s="124"/>
      <c r="DB125" s="124"/>
      <c r="DC125" s="124"/>
      <c r="DD125" s="124"/>
      <c r="DE125" s="124"/>
      <c r="DF125" s="124"/>
      <c r="DG125" s="124"/>
      <c r="DH125" s="124"/>
      <c r="DI125" s="124"/>
      <c r="DJ125" s="124"/>
      <c r="DK125" s="124"/>
      <c r="DL125" s="124"/>
      <c r="DM125" s="124"/>
      <c r="DN125" s="124"/>
      <c r="DO125" s="124"/>
      <c r="DP125" s="124"/>
      <c r="DQ125" s="124"/>
      <c r="DR125" s="124"/>
      <c r="DS125" s="124"/>
      <c r="DT125" s="124"/>
      <c r="DU125" s="124"/>
      <c r="DV125" s="124"/>
      <c r="DW125" s="124"/>
      <c r="DX125" s="124"/>
      <c r="DY125" s="124"/>
      <c r="DZ125" s="124"/>
      <c r="EA125" s="124"/>
      <c r="EB125" s="124"/>
      <c r="EC125" s="124"/>
      <c r="ED125" s="124"/>
      <c r="EE125" s="124"/>
      <c r="EF125" s="124"/>
      <c r="EG125" s="124"/>
      <c r="EH125" s="124"/>
      <c r="EI125" s="124"/>
      <c r="EJ125" s="124"/>
      <c r="EK125" s="124"/>
      <c r="EL125" s="124"/>
      <c r="EM125" s="124"/>
      <c r="EN125" s="124"/>
      <c r="EO125" s="124"/>
      <c r="EP125" s="124"/>
      <c r="EQ125" s="124"/>
      <c r="ER125" s="124"/>
      <c r="ES125" s="124"/>
      <c r="ET125" s="124"/>
      <c r="EU125" s="124"/>
      <c r="EV125" s="124"/>
      <c r="EW125" s="124"/>
      <c r="EX125" s="124"/>
      <c r="EY125" s="124"/>
      <c r="EZ125" s="124"/>
      <c r="FA125" s="124"/>
      <c r="FB125" s="124"/>
      <c r="FC125" s="124"/>
      <c r="FD125" s="124"/>
      <c r="FE125" s="124"/>
      <c r="FF125" s="124"/>
      <c r="FG125" s="124"/>
      <c r="FH125" s="124"/>
      <c r="FI125" s="124"/>
      <c r="FJ125" s="124"/>
      <c r="FK125" s="124"/>
      <c r="FL125" s="124"/>
      <c r="FM125" s="124"/>
      <c r="FN125" s="124"/>
      <c r="FO125" s="124"/>
      <c r="FP125" s="124"/>
      <c r="FQ125" s="124"/>
      <c r="FR125" s="124"/>
      <c r="FS125" s="124"/>
      <c r="FT125" s="124"/>
      <c r="FU125" s="124"/>
      <c r="FV125" s="124"/>
      <c r="FW125" s="124"/>
      <c r="FX125" s="124"/>
      <c r="FY125" s="124"/>
      <c r="FZ125" s="124"/>
      <c r="GA125" s="124"/>
      <c r="GB125" s="124"/>
      <c r="GC125" s="124"/>
      <c r="GD125" s="124"/>
      <c r="GE125" s="124"/>
      <c r="GF125" s="124"/>
      <c r="GG125" s="124"/>
      <c r="GH125" s="124"/>
      <c r="GI125" s="124"/>
      <c r="GJ125" s="124"/>
      <c r="GK125" s="124"/>
      <c r="GL125" s="124"/>
      <c r="GM125" s="124"/>
      <c r="GN125" s="124"/>
      <c r="GO125" s="124"/>
      <c r="GP125" s="124"/>
      <c r="GQ125" s="124"/>
      <c r="GR125" s="124"/>
      <c r="GS125" s="124"/>
      <c r="GT125" s="124"/>
      <c r="GU125" s="124"/>
      <c r="GV125" s="124"/>
      <c r="GW125" s="124"/>
      <c r="GX125" s="124"/>
      <c r="GY125" s="124"/>
      <c r="GZ125" s="124"/>
      <c r="HA125" s="124"/>
      <c r="HB125" s="124"/>
      <c r="HC125" s="124"/>
      <c r="HD125" s="124"/>
      <c r="HE125" s="124"/>
      <c r="HF125" s="124"/>
      <c r="HG125" s="124"/>
      <c r="HH125" s="124"/>
      <c r="HI125" s="124"/>
      <c r="HJ125" s="124"/>
      <c r="HK125" s="124"/>
      <c r="HL125" s="124"/>
      <c r="HM125" s="124"/>
      <c r="HN125" s="124"/>
      <c r="HO125" s="124"/>
      <c r="HP125" s="124"/>
      <c r="HQ125" s="124"/>
    </row>
    <row r="126" spans="1:225" x14ac:dyDescent="0.2">
      <c r="A126" s="122" t="s">
        <v>757</v>
      </c>
      <c r="B126" s="123">
        <v>59</v>
      </c>
      <c r="C126" s="124" t="s">
        <v>284</v>
      </c>
      <c r="D126" s="123">
        <v>117</v>
      </c>
      <c r="E126" s="124" t="s">
        <v>161</v>
      </c>
      <c r="F126" s="123">
        <v>3</v>
      </c>
      <c r="G126" s="123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4"/>
      <c r="CD126" s="124"/>
      <c r="CE126" s="124"/>
      <c r="CF126" s="124"/>
      <c r="CG126" s="124"/>
      <c r="CH126" s="124"/>
      <c r="CI126" s="124"/>
      <c r="CJ126" s="124"/>
      <c r="CK126" s="124"/>
      <c r="CL126" s="124"/>
      <c r="CM126" s="124"/>
      <c r="CN126" s="124"/>
      <c r="CO126" s="124"/>
      <c r="CP126" s="124"/>
      <c r="CQ126" s="124"/>
      <c r="CR126" s="124"/>
      <c r="CS126" s="124"/>
      <c r="CT126" s="124"/>
      <c r="CU126" s="124"/>
      <c r="CV126" s="124"/>
      <c r="CW126" s="124"/>
      <c r="CX126" s="124"/>
      <c r="CY126" s="124"/>
      <c r="CZ126" s="124"/>
      <c r="DA126" s="124"/>
      <c r="DB126" s="124"/>
      <c r="DC126" s="124"/>
      <c r="DD126" s="124"/>
      <c r="DE126" s="124"/>
      <c r="DF126" s="124"/>
      <c r="DG126" s="124"/>
      <c r="DH126" s="124"/>
      <c r="DI126" s="124"/>
      <c r="DJ126" s="124"/>
      <c r="DK126" s="124"/>
      <c r="DL126" s="124"/>
      <c r="DM126" s="124"/>
      <c r="DN126" s="124"/>
      <c r="DO126" s="124"/>
      <c r="DP126" s="124"/>
      <c r="DQ126" s="124"/>
      <c r="DR126" s="124"/>
      <c r="DS126" s="124"/>
      <c r="DT126" s="124"/>
      <c r="DU126" s="124"/>
      <c r="DV126" s="124"/>
      <c r="DW126" s="124"/>
      <c r="DX126" s="124"/>
      <c r="DY126" s="124"/>
      <c r="DZ126" s="124"/>
      <c r="EA126" s="124"/>
      <c r="EB126" s="124"/>
      <c r="EC126" s="124"/>
      <c r="ED126" s="124"/>
      <c r="EE126" s="124"/>
      <c r="EF126" s="124"/>
      <c r="EG126" s="124"/>
      <c r="EH126" s="124"/>
      <c r="EI126" s="124"/>
      <c r="EJ126" s="124"/>
      <c r="EK126" s="124"/>
      <c r="EL126" s="124"/>
      <c r="EM126" s="124"/>
      <c r="EN126" s="124"/>
      <c r="EO126" s="124"/>
      <c r="EP126" s="124"/>
      <c r="EQ126" s="124"/>
      <c r="ER126" s="124"/>
      <c r="ES126" s="124"/>
      <c r="ET126" s="124"/>
      <c r="EU126" s="124"/>
      <c r="EV126" s="124"/>
      <c r="EW126" s="124"/>
      <c r="EX126" s="124"/>
      <c r="EY126" s="124"/>
      <c r="EZ126" s="124"/>
      <c r="FA126" s="124"/>
      <c r="FB126" s="124"/>
      <c r="FC126" s="124"/>
      <c r="FD126" s="124"/>
      <c r="FE126" s="124"/>
      <c r="FF126" s="124"/>
      <c r="FG126" s="124"/>
      <c r="FH126" s="124"/>
      <c r="FI126" s="124"/>
      <c r="FJ126" s="124"/>
      <c r="FK126" s="124"/>
      <c r="FL126" s="124"/>
      <c r="FM126" s="124"/>
      <c r="FN126" s="124"/>
      <c r="FO126" s="124"/>
      <c r="FP126" s="124"/>
      <c r="FQ126" s="124"/>
      <c r="FR126" s="124"/>
      <c r="FS126" s="124"/>
      <c r="FT126" s="124"/>
      <c r="FU126" s="124"/>
      <c r="FV126" s="124"/>
      <c r="FW126" s="124"/>
      <c r="FX126" s="124"/>
      <c r="FY126" s="124"/>
      <c r="FZ126" s="124"/>
      <c r="GA126" s="124"/>
      <c r="GB126" s="124"/>
      <c r="GC126" s="124"/>
      <c r="GD126" s="124"/>
      <c r="GE126" s="124"/>
      <c r="GF126" s="124"/>
      <c r="GG126" s="124"/>
      <c r="GH126" s="124"/>
      <c r="GI126" s="124"/>
      <c r="GJ126" s="124"/>
      <c r="GK126" s="124"/>
      <c r="GL126" s="124"/>
      <c r="GM126" s="124"/>
      <c r="GN126" s="124"/>
      <c r="GO126" s="124"/>
      <c r="GP126" s="124"/>
      <c r="GQ126" s="124"/>
      <c r="GR126" s="124"/>
      <c r="GS126" s="124"/>
      <c r="GT126" s="124"/>
      <c r="GU126" s="124"/>
      <c r="GV126" s="124"/>
      <c r="GW126" s="124"/>
      <c r="GX126" s="124"/>
      <c r="GY126" s="124"/>
      <c r="GZ126" s="124"/>
      <c r="HA126" s="124"/>
      <c r="HB126" s="124"/>
      <c r="HC126" s="124"/>
      <c r="HD126" s="124"/>
      <c r="HE126" s="124"/>
      <c r="HF126" s="124"/>
      <c r="HG126" s="124"/>
      <c r="HH126" s="124"/>
      <c r="HI126" s="124"/>
      <c r="HJ126" s="124"/>
      <c r="HK126" s="124"/>
      <c r="HL126" s="124"/>
      <c r="HM126" s="124"/>
      <c r="HN126" s="124"/>
      <c r="HO126" s="124"/>
      <c r="HP126" s="124"/>
      <c r="HQ126" s="124"/>
    </row>
    <row r="127" spans="1:225" x14ac:dyDescent="0.2">
      <c r="A127" s="122" t="s">
        <v>758</v>
      </c>
      <c r="B127" s="123">
        <v>59</v>
      </c>
      <c r="C127" s="124" t="s">
        <v>285</v>
      </c>
      <c r="D127" s="123">
        <v>118</v>
      </c>
      <c r="E127" s="124" t="s">
        <v>161</v>
      </c>
      <c r="F127" s="123">
        <v>4</v>
      </c>
      <c r="G127" s="123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  <c r="BJ127" s="124"/>
      <c r="BK127" s="124"/>
      <c r="BL127" s="124"/>
      <c r="BM127" s="124"/>
      <c r="BN127" s="124"/>
      <c r="BO127" s="124"/>
      <c r="BP127" s="124"/>
      <c r="BQ127" s="124"/>
      <c r="BR127" s="124"/>
      <c r="BS127" s="124"/>
      <c r="BT127" s="124"/>
      <c r="BU127" s="124"/>
      <c r="BV127" s="124"/>
      <c r="BW127" s="124"/>
      <c r="BX127" s="124"/>
      <c r="BY127" s="124"/>
      <c r="BZ127" s="124"/>
      <c r="CA127" s="124"/>
      <c r="CB127" s="124"/>
      <c r="CC127" s="124"/>
      <c r="CD127" s="124"/>
      <c r="CE127" s="124"/>
      <c r="CF127" s="124"/>
      <c r="CG127" s="124"/>
      <c r="CH127" s="124"/>
      <c r="CI127" s="124"/>
      <c r="CJ127" s="124"/>
      <c r="CK127" s="124"/>
      <c r="CL127" s="124"/>
      <c r="CM127" s="124"/>
      <c r="CN127" s="124"/>
      <c r="CO127" s="124"/>
      <c r="CP127" s="124"/>
      <c r="CQ127" s="124"/>
      <c r="CR127" s="124"/>
      <c r="CS127" s="124"/>
      <c r="CT127" s="124"/>
      <c r="CU127" s="124"/>
      <c r="CV127" s="124"/>
      <c r="CW127" s="124"/>
      <c r="CX127" s="124"/>
      <c r="CY127" s="124"/>
      <c r="CZ127" s="124"/>
      <c r="DA127" s="124"/>
      <c r="DB127" s="124"/>
      <c r="DC127" s="124"/>
      <c r="DD127" s="124"/>
      <c r="DE127" s="124"/>
      <c r="DF127" s="124"/>
      <c r="DG127" s="124"/>
      <c r="DH127" s="124"/>
      <c r="DI127" s="124"/>
      <c r="DJ127" s="124"/>
      <c r="DK127" s="124"/>
      <c r="DL127" s="124"/>
      <c r="DM127" s="124"/>
      <c r="DN127" s="124"/>
      <c r="DO127" s="124"/>
      <c r="DP127" s="124"/>
      <c r="DQ127" s="124"/>
      <c r="DR127" s="124"/>
      <c r="DS127" s="124"/>
      <c r="DT127" s="124"/>
      <c r="DU127" s="124"/>
      <c r="DV127" s="124"/>
      <c r="DW127" s="124"/>
      <c r="DX127" s="124"/>
      <c r="DY127" s="124"/>
      <c r="DZ127" s="124"/>
      <c r="EA127" s="124"/>
      <c r="EB127" s="124"/>
      <c r="EC127" s="124"/>
      <c r="ED127" s="124"/>
      <c r="EE127" s="124"/>
      <c r="EF127" s="124"/>
      <c r="EG127" s="124"/>
      <c r="EH127" s="124"/>
      <c r="EI127" s="124"/>
      <c r="EJ127" s="124"/>
      <c r="EK127" s="124"/>
      <c r="EL127" s="124"/>
      <c r="EM127" s="124"/>
      <c r="EN127" s="124"/>
      <c r="EO127" s="124"/>
      <c r="EP127" s="124"/>
      <c r="EQ127" s="124"/>
      <c r="ER127" s="124"/>
      <c r="ES127" s="124"/>
      <c r="ET127" s="124"/>
      <c r="EU127" s="124"/>
      <c r="EV127" s="124"/>
      <c r="EW127" s="124"/>
      <c r="EX127" s="124"/>
      <c r="EY127" s="124"/>
      <c r="EZ127" s="124"/>
      <c r="FA127" s="124"/>
      <c r="FB127" s="124"/>
      <c r="FC127" s="124"/>
      <c r="FD127" s="124"/>
      <c r="FE127" s="124"/>
      <c r="FF127" s="124"/>
      <c r="FG127" s="124"/>
      <c r="FH127" s="124"/>
      <c r="FI127" s="124"/>
      <c r="FJ127" s="124"/>
      <c r="FK127" s="124"/>
      <c r="FL127" s="124"/>
      <c r="FM127" s="124"/>
      <c r="FN127" s="124"/>
      <c r="FO127" s="124"/>
      <c r="FP127" s="124"/>
      <c r="FQ127" s="124"/>
      <c r="FR127" s="124"/>
      <c r="FS127" s="124"/>
      <c r="FT127" s="124"/>
      <c r="FU127" s="124"/>
      <c r="FV127" s="124"/>
      <c r="FW127" s="124"/>
      <c r="FX127" s="124"/>
      <c r="FY127" s="124"/>
      <c r="FZ127" s="124"/>
      <c r="GA127" s="124"/>
      <c r="GB127" s="124"/>
      <c r="GC127" s="124"/>
      <c r="GD127" s="124"/>
      <c r="GE127" s="124"/>
      <c r="GF127" s="124"/>
      <c r="GG127" s="124"/>
      <c r="GH127" s="124"/>
      <c r="GI127" s="124"/>
      <c r="GJ127" s="124"/>
      <c r="GK127" s="124"/>
      <c r="GL127" s="124"/>
      <c r="GM127" s="124"/>
      <c r="GN127" s="124"/>
      <c r="GO127" s="124"/>
      <c r="GP127" s="124"/>
      <c r="GQ127" s="124"/>
      <c r="GR127" s="124"/>
      <c r="GS127" s="124"/>
      <c r="GT127" s="124"/>
      <c r="GU127" s="124"/>
      <c r="GV127" s="124"/>
      <c r="GW127" s="124"/>
      <c r="GX127" s="124"/>
      <c r="GY127" s="124"/>
      <c r="GZ127" s="124"/>
      <c r="HA127" s="124"/>
      <c r="HB127" s="124"/>
      <c r="HC127" s="124"/>
      <c r="HD127" s="124"/>
      <c r="HE127" s="124"/>
      <c r="HF127" s="124"/>
      <c r="HG127" s="124"/>
      <c r="HH127" s="124"/>
      <c r="HI127" s="124"/>
      <c r="HJ127" s="124"/>
      <c r="HK127" s="124"/>
      <c r="HL127" s="124"/>
      <c r="HM127" s="124"/>
      <c r="HN127" s="124"/>
      <c r="HO127" s="124"/>
      <c r="HP127" s="124"/>
      <c r="HQ127" s="124"/>
    </row>
    <row r="128" spans="1:225" x14ac:dyDescent="0.2">
      <c r="A128" s="122" t="s">
        <v>759</v>
      </c>
      <c r="B128" s="123">
        <v>60</v>
      </c>
      <c r="C128" s="124" t="s">
        <v>286</v>
      </c>
      <c r="D128" s="123">
        <v>119</v>
      </c>
      <c r="E128" s="124" t="s">
        <v>161</v>
      </c>
      <c r="F128" s="123">
        <v>5</v>
      </c>
      <c r="G128" s="123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  <c r="BK128" s="124"/>
      <c r="BL128" s="124"/>
      <c r="BM128" s="124"/>
      <c r="BN128" s="124"/>
      <c r="BO128" s="124"/>
      <c r="BP128" s="124"/>
      <c r="BQ128" s="124"/>
      <c r="BR128" s="124"/>
      <c r="BS128" s="124"/>
      <c r="BT128" s="124"/>
      <c r="BU128" s="124"/>
      <c r="BV128" s="124"/>
      <c r="BW128" s="124"/>
      <c r="BX128" s="124"/>
      <c r="BY128" s="124"/>
      <c r="BZ128" s="124"/>
      <c r="CA128" s="124"/>
      <c r="CB128" s="124"/>
      <c r="CC128" s="124"/>
      <c r="CD128" s="124"/>
      <c r="CE128" s="124"/>
      <c r="CF128" s="124"/>
      <c r="CG128" s="124"/>
      <c r="CH128" s="124"/>
      <c r="CI128" s="124"/>
      <c r="CJ128" s="124"/>
      <c r="CK128" s="124"/>
      <c r="CL128" s="124"/>
      <c r="CM128" s="124"/>
      <c r="CN128" s="124"/>
      <c r="CO128" s="124"/>
      <c r="CP128" s="124"/>
      <c r="CQ128" s="124"/>
      <c r="CR128" s="124"/>
      <c r="CS128" s="124"/>
      <c r="CT128" s="124"/>
      <c r="CU128" s="124"/>
      <c r="CV128" s="124"/>
      <c r="CW128" s="124"/>
      <c r="CX128" s="124"/>
      <c r="CY128" s="124"/>
      <c r="CZ128" s="124"/>
      <c r="DA128" s="124"/>
      <c r="DB128" s="124"/>
      <c r="DC128" s="124"/>
      <c r="DD128" s="124"/>
      <c r="DE128" s="124"/>
      <c r="DF128" s="124"/>
      <c r="DG128" s="124"/>
      <c r="DH128" s="124"/>
      <c r="DI128" s="124"/>
      <c r="DJ128" s="124"/>
      <c r="DK128" s="124"/>
      <c r="DL128" s="124"/>
      <c r="DM128" s="124"/>
      <c r="DN128" s="124"/>
      <c r="DO128" s="124"/>
      <c r="DP128" s="124"/>
      <c r="DQ128" s="124"/>
      <c r="DR128" s="124"/>
      <c r="DS128" s="124"/>
      <c r="DT128" s="124"/>
      <c r="DU128" s="124"/>
      <c r="DV128" s="124"/>
      <c r="DW128" s="124"/>
      <c r="DX128" s="124"/>
      <c r="DY128" s="124"/>
      <c r="DZ128" s="124"/>
      <c r="EA128" s="124"/>
      <c r="EB128" s="124"/>
      <c r="EC128" s="124"/>
      <c r="ED128" s="124"/>
      <c r="EE128" s="124"/>
      <c r="EF128" s="124"/>
      <c r="EG128" s="124"/>
      <c r="EH128" s="124"/>
      <c r="EI128" s="124"/>
      <c r="EJ128" s="124"/>
      <c r="EK128" s="124"/>
      <c r="EL128" s="124"/>
      <c r="EM128" s="124"/>
      <c r="EN128" s="124"/>
      <c r="EO128" s="124"/>
      <c r="EP128" s="124"/>
      <c r="EQ128" s="124"/>
      <c r="ER128" s="124"/>
      <c r="ES128" s="124"/>
      <c r="ET128" s="124"/>
      <c r="EU128" s="124"/>
      <c r="EV128" s="124"/>
      <c r="EW128" s="124"/>
      <c r="EX128" s="124"/>
      <c r="EY128" s="124"/>
      <c r="EZ128" s="124"/>
      <c r="FA128" s="124"/>
      <c r="FB128" s="124"/>
      <c r="FC128" s="124"/>
      <c r="FD128" s="124"/>
      <c r="FE128" s="124"/>
      <c r="FF128" s="124"/>
      <c r="FG128" s="124"/>
      <c r="FH128" s="124"/>
      <c r="FI128" s="124"/>
      <c r="FJ128" s="124"/>
      <c r="FK128" s="124"/>
      <c r="FL128" s="124"/>
      <c r="FM128" s="124"/>
      <c r="FN128" s="124"/>
      <c r="FO128" s="124"/>
      <c r="FP128" s="124"/>
      <c r="FQ128" s="124"/>
      <c r="FR128" s="124"/>
      <c r="FS128" s="124"/>
      <c r="FT128" s="124"/>
      <c r="FU128" s="124"/>
      <c r="FV128" s="124"/>
      <c r="FW128" s="124"/>
      <c r="FX128" s="124"/>
      <c r="FY128" s="124"/>
      <c r="FZ128" s="124"/>
      <c r="GA128" s="124"/>
      <c r="GB128" s="124"/>
      <c r="GC128" s="124"/>
      <c r="GD128" s="124"/>
      <c r="GE128" s="124"/>
      <c r="GF128" s="124"/>
      <c r="GG128" s="124"/>
      <c r="GH128" s="124"/>
      <c r="GI128" s="124"/>
      <c r="GJ128" s="124"/>
      <c r="GK128" s="124"/>
      <c r="GL128" s="124"/>
      <c r="GM128" s="124"/>
      <c r="GN128" s="124"/>
      <c r="GO128" s="124"/>
      <c r="GP128" s="124"/>
      <c r="GQ128" s="124"/>
      <c r="GR128" s="124"/>
      <c r="GS128" s="124"/>
      <c r="GT128" s="124"/>
      <c r="GU128" s="124"/>
      <c r="GV128" s="124"/>
      <c r="GW128" s="124"/>
      <c r="GX128" s="124"/>
      <c r="GY128" s="124"/>
      <c r="GZ128" s="124"/>
      <c r="HA128" s="124"/>
      <c r="HB128" s="124"/>
      <c r="HC128" s="124"/>
      <c r="HD128" s="124"/>
      <c r="HE128" s="124"/>
      <c r="HF128" s="124"/>
      <c r="HG128" s="124"/>
      <c r="HH128" s="124"/>
      <c r="HI128" s="124"/>
      <c r="HJ128" s="124"/>
      <c r="HK128" s="124"/>
      <c r="HL128" s="124"/>
      <c r="HM128" s="124"/>
      <c r="HN128" s="124"/>
      <c r="HO128" s="124"/>
      <c r="HP128" s="124"/>
      <c r="HQ128" s="124"/>
    </row>
    <row r="129" spans="1:225" x14ac:dyDescent="0.2">
      <c r="A129" s="122" t="s">
        <v>760</v>
      </c>
      <c r="B129" s="123">
        <v>60</v>
      </c>
      <c r="C129" s="124" t="s">
        <v>287</v>
      </c>
      <c r="D129" s="123">
        <v>120</v>
      </c>
      <c r="E129" s="124" t="s">
        <v>161</v>
      </c>
      <c r="F129" s="123">
        <v>5</v>
      </c>
      <c r="G129" s="123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  <c r="BJ129" s="124"/>
      <c r="BK129" s="124"/>
      <c r="BL129" s="124"/>
      <c r="BM129" s="124"/>
      <c r="BN129" s="124"/>
      <c r="BO129" s="124"/>
      <c r="BP129" s="124"/>
      <c r="BQ129" s="124"/>
      <c r="BR129" s="124"/>
      <c r="BS129" s="124"/>
      <c r="BT129" s="124"/>
      <c r="BU129" s="124"/>
      <c r="BV129" s="124"/>
      <c r="BW129" s="124"/>
      <c r="BX129" s="124"/>
      <c r="BY129" s="124"/>
      <c r="BZ129" s="124"/>
      <c r="CA129" s="124"/>
      <c r="CB129" s="124"/>
      <c r="CC129" s="124"/>
      <c r="CD129" s="124"/>
      <c r="CE129" s="124"/>
      <c r="CF129" s="124"/>
      <c r="CG129" s="124"/>
      <c r="CH129" s="124"/>
      <c r="CI129" s="124"/>
      <c r="CJ129" s="124"/>
      <c r="CK129" s="124"/>
      <c r="CL129" s="124"/>
      <c r="CM129" s="124"/>
      <c r="CN129" s="124"/>
      <c r="CO129" s="124"/>
      <c r="CP129" s="124"/>
      <c r="CQ129" s="124"/>
      <c r="CR129" s="124"/>
      <c r="CS129" s="124"/>
      <c r="CT129" s="124"/>
      <c r="CU129" s="124"/>
      <c r="CV129" s="124"/>
      <c r="CW129" s="124"/>
      <c r="CX129" s="124"/>
      <c r="CY129" s="124"/>
      <c r="CZ129" s="124"/>
      <c r="DA129" s="124"/>
      <c r="DB129" s="124"/>
      <c r="DC129" s="124"/>
      <c r="DD129" s="124"/>
      <c r="DE129" s="124"/>
      <c r="DF129" s="124"/>
      <c r="DG129" s="124"/>
      <c r="DH129" s="124"/>
      <c r="DI129" s="124"/>
      <c r="DJ129" s="124"/>
      <c r="DK129" s="124"/>
      <c r="DL129" s="124"/>
      <c r="DM129" s="124"/>
      <c r="DN129" s="124"/>
      <c r="DO129" s="124"/>
      <c r="DP129" s="124"/>
      <c r="DQ129" s="124"/>
      <c r="DR129" s="124"/>
      <c r="DS129" s="124"/>
      <c r="DT129" s="124"/>
      <c r="DU129" s="124"/>
      <c r="DV129" s="124"/>
      <c r="DW129" s="124"/>
      <c r="DX129" s="124"/>
      <c r="DY129" s="124"/>
      <c r="DZ129" s="124"/>
      <c r="EA129" s="124"/>
      <c r="EB129" s="124"/>
      <c r="EC129" s="124"/>
      <c r="ED129" s="124"/>
      <c r="EE129" s="124"/>
      <c r="EF129" s="124"/>
      <c r="EG129" s="124"/>
      <c r="EH129" s="124"/>
      <c r="EI129" s="124"/>
      <c r="EJ129" s="124"/>
      <c r="EK129" s="124"/>
      <c r="EL129" s="124"/>
      <c r="EM129" s="124"/>
      <c r="EN129" s="124"/>
      <c r="EO129" s="124"/>
      <c r="EP129" s="124"/>
      <c r="EQ129" s="124"/>
      <c r="ER129" s="124"/>
      <c r="ES129" s="124"/>
      <c r="ET129" s="124"/>
      <c r="EU129" s="124"/>
      <c r="EV129" s="124"/>
      <c r="EW129" s="124"/>
      <c r="EX129" s="124"/>
      <c r="EY129" s="124"/>
      <c r="EZ129" s="124"/>
      <c r="FA129" s="124"/>
      <c r="FB129" s="124"/>
      <c r="FC129" s="124"/>
      <c r="FD129" s="124"/>
      <c r="FE129" s="124"/>
      <c r="FF129" s="124"/>
      <c r="FG129" s="124"/>
      <c r="FH129" s="124"/>
      <c r="FI129" s="124"/>
      <c r="FJ129" s="124"/>
      <c r="FK129" s="124"/>
      <c r="FL129" s="124"/>
      <c r="FM129" s="124"/>
      <c r="FN129" s="124"/>
      <c r="FO129" s="124"/>
      <c r="FP129" s="124"/>
      <c r="FQ129" s="124"/>
      <c r="FR129" s="124"/>
      <c r="FS129" s="124"/>
      <c r="FT129" s="124"/>
      <c r="FU129" s="124"/>
      <c r="FV129" s="124"/>
      <c r="FW129" s="124"/>
      <c r="FX129" s="124"/>
      <c r="FY129" s="124"/>
      <c r="FZ129" s="124"/>
      <c r="GA129" s="124"/>
      <c r="GB129" s="124"/>
      <c r="GC129" s="124"/>
      <c r="GD129" s="124"/>
      <c r="GE129" s="124"/>
      <c r="GF129" s="124"/>
      <c r="GG129" s="124"/>
      <c r="GH129" s="124"/>
      <c r="GI129" s="124"/>
      <c r="GJ129" s="124"/>
      <c r="GK129" s="124"/>
      <c r="GL129" s="124"/>
      <c r="GM129" s="124"/>
      <c r="GN129" s="124"/>
      <c r="GO129" s="124"/>
      <c r="GP129" s="124"/>
      <c r="GQ129" s="124"/>
      <c r="GR129" s="124"/>
      <c r="GS129" s="124"/>
      <c r="GT129" s="124"/>
      <c r="GU129" s="124"/>
      <c r="GV129" s="124"/>
      <c r="GW129" s="124"/>
      <c r="GX129" s="124"/>
      <c r="GY129" s="124"/>
      <c r="GZ129" s="124"/>
      <c r="HA129" s="124"/>
      <c r="HB129" s="124"/>
      <c r="HC129" s="124"/>
      <c r="HD129" s="124"/>
      <c r="HE129" s="124"/>
      <c r="HF129" s="124"/>
      <c r="HG129" s="124"/>
      <c r="HH129" s="124"/>
      <c r="HI129" s="124"/>
      <c r="HJ129" s="124"/>
      <c r="HK129" s="124"/>
      <c r="HL129" s="124"/>
      <c r="HM129" s="124"/>
      <c r="HN129" s="124"/>
      <c r="HO129" s="124"/>
      <c r="HP129" s="124"/>
      <c r="HQ129" s="124"/>
    </row>
    <row r="130" spans="1:225" x14ac:dyDescent="0.2">
      <c r="A130" s="122" t="s">
        <v>761</v>
      </c>
      <c r="B130" s="123">
        <v>61</v>
      </c>
      <c r="C130" s="124" t="s">
        <v>288</v>
      </c>
      <c r="D130" s="123">
        <v>121</v>
      </c>
      <c r="E130" s="124" t="s">
        <v>161</v>
      </c>
      <c r="F130" s="123">
        <v>4</v>
      </c>
      <c r="G130" s="123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24"/>
      <c r="BK130" s="124"/>
      <c r="BL130" s="124"/>
      <c r="BM130" s="124"/>
      <c r="BN130" s="124"/>
      <c r="BO130" s="124"/>
      <c r="BP130" s="124"/>
      <c r="BQ130" s="124"/>
      <c r="BR130" s="124"/>
      <c r="BS130" s="124"/>
      <c r="BT130" s="124"/>
      <c r="BU130" s="124"/>
      <c r="BV130" s="124"/>
      <c r="BW130" s="124"/>
      <c r="BX130" s="124"/>
      <c r="BY130" s="124"/>
      <c r="BZ130" s="124"/>
      <c r="CA130" s="124"/>
      <c r="CB130" s="124"/>
      <c r="CC130" s="124"/>
      <c r="CD130" s="124"/>
      <c r="CE130" s="124"/>
      <c r="CF130" s="124"/>
      <c r="CG130" s="124"/>
      <c r="CH130" s="124"/>
      <c r="CI130" s="124"/>
      <c r="CJ130" s="124"/>
      <c r="CK130" s="124"/>
      <c r="CL130" s="124"/>
      <c r="CM130" s="124"/>
      <c r="CN130" s="124"/>
      <c r="CO130" s="124"/>
      <c r="CP130" s="124"/>
      <c r="CQ130" s="124"/>
      <c r="CR130" s="124"/>
      <c r="CS130" s="124"/>
      <c r="CT130" s="124"/>
      <c r="CU130" s="124"/>
      <c r="CV130" s="124"/>
      <c r="CW130" s="124"/>
      <c r="CX130" s="124"/>
      <c r="CY130" s="124"/>
      <c r="CZ130" s="124"/>
      <c r="DA130" s="124"/>
      <c r="DB130" s="124"/>
      <c r="DC130" s="124"/>
      <c r="DD130" s="124"/>
      <c r="DE130" s="124"/>
      <c r="DF130" s="124"/>
      <c r="DG130" s="124"/>
      <c r="DH130" s="124"/>
      <c r="DI130" s="124"/>
      <c r="DJ130" s="124"/>
      <c r="DK130" s="124"/>
      <c r="DL130" s="124"/>
      <c r="DM130" s="124"/>
      <c r="DN130" s="124"/>
      <c r="DO130" s="124"/>
      <c r="DP130" s="124"/>
      <c r="DQ130" s="124"/>
      <c r="DR130" s="124"/>
      <c r="DS130" s="124"/>
      <c r="DT130" s="124"/>
      <c r="DU130" s="124"/>
      <c r="DV130" s="124"/>
      <c r="DW130" s="124"/>
      <c r="DX130" s="124"/>
      <c r="DY130" s="124"/>
      <c r="DZ130" s="124"/>
      <c r="EA130" s="124"/>
      <c r="EB130" s="124"/>
      <c r="EC130" s="124"/>
      <c r="ED130" s="124"/>
      <c r="EE130" s="124"/>
      <c r="EF130" s="124"/>
      <c r="EG130" s="124"/>
      <c r="EH130" s="124"/>
      <c r="EI130" s="124"/>
      <c r="EJ130" s="124"/>
      <c r="EK130" s="124"/>
      <c r="EL130" s="124"/>
      <c r="EM130" s="124"/>
      <c r="EN130" s="124"/>
      <c r="EO130" s="124"/>
      <c r="EP130" s="124"/>
      <c r="EQ130" s="124"/>
      <c r="ER130" s="124"/>
      <c r="ES130" s="124"/>
      <c r="ET130" s="124"/>
      <c r="EU130" s="124"/>
      <c r="EV130" s="124"/>
      <c r="EW130" s="124"/>
      <c r="EX130" s="124"/>
      <c r="EY130" s="124"/>
      <c r="EZ130" s="124"/>
      <c r="FA130" s="124"/>
      <c r="FB130" s="124"/>
      <c r="FC130" s="124"/>
      <c r="FD130" s="124"/>
      <c r="FE130" s="124"/>
      <c r="FF130" s="124"/>
      <c r="FG130" s="124"/>
      <c r="FH130" s="124"/>
      <c r="FI130" s="124"/>
      <c r="FJ130" s="124"/>
      <c r="FK130" s="124"/>
      <c r="FL130" s="124"/>
      <c r="FM130" s="124"/>
      <c r="FN130" s="124"/>
      <c r="FO130" s="124"/>
      <c r="FP130" s="124"/>
      <c r="FQ130" s="124"/>
      <c r="FR130" s="124"/>
      <c r="FS130" s="124"/>
      <c r="FT130" s="124"/>
      <c r="FU130" s="124"/>
      <c r="FV130" s="124"/>
      <c r="FW130" s="124"/>
      <c r="FX130" s="124"/>
      <c r="FY130" s="124"/>
      <c r="FZ130" s="124"/>
      <c r="GA130" s="124"/>
      <c r="GB130" s="124"/>
      <c r="GC130" s="124"/>
      <c r="GD130" s="124"/>
      <c r="GE130" s="124"/>
      <c r="GF130" s="124"/>
      <c r="GG130" s="124"/>
      <c r="GH130" s="124"/>
      <c r="GI130" s="124"/>
      <c r="GJ130" s="124"/>
      <c r="GK130" s="124"/>
      <c r="GL130" s="124"/>
      <c r="GM130" s="124"/>
      <c r="GN130" s="124"/>
      <c r="GO130" s="124"/>
      <c r="GP130" s="124"/>
      <c r="GQ130" s="124"/>
      <c r="GR130" s="124"/>
      <c r="GS130" s="124"/>
      <c r="GT130" s="124"/>
      <c r="GU130" s="124"/>
      <c r="GV130" s="124"/>
      <c r="GW130" s="124"/>
      <c r="GX130" s="124"/>
      <c r="GY130" s="124"/>
      <c r="GZ130" s="124"/>
      <c r="HA130" s="124"/>
      <c r="HB130" s="124"/>
      <c r="HC130" s="124"/>
      <c r="HD130" s="124"/>
      <c r="HE130" s="124"/>
      <c r="HF130" s="124"/>
      <c r="HG130" s="124"/>
      <c r="HH130" s="124"/>
      <c r="HI130" s="124"/>
      <c r="HJ130" s="124"/>
      <c r="HK130" s="124"/>
      <c r="HL130" s="124"/>
      <c r="HM130" s="124"/>
      <c r="HN130" s="124"/>
      <c r="HO130" s="124"/>
      <c r="HP130" s="124"/>
      <c r="HQ130" s="124"/>
    </row>
    <row r="131" spans="1:225" x14ac:dyDescent="0.2">
      <c r="A131" s="122" t="s">
        <v>762</v>
      </c>
      <c r="B131" s="123">
        <v>61</v>
      </c>
      <c r="C131" s="124" t="s">
        <v>289</v>
      </c>
      <c r="D131" s="123">
        <v>122</v>
      </c>
      <c r="E131" s="124" t="s">
        <v>161</v>
      </c>
      <c r="F131" s="123">
        <v>4</v>
      </c>
      <c r="G131" s="123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  <c r="BJ131" s="124"/>
      <c r="BK131" s="124"/>
      <c r="BL131" s="124"/>
      <c r="BM131" s="124"/>
      <c r="BN131" s="124"/>
      <c r="BO131" s="124"/>
      <c r="BP131" s="124"/>
      <c r="BQ131" s="124"/>
      <c r="BR131" s="124"/>
      <c r="BS131" s="124"/>
      <c r="BT131" s="124"/>
      <c r="BU131" s="124"/>
      <c r="BV131" s="124"/>
      <c r="BW131" s="124"/>
      <c r="BX131" s="124"/>
      <c r="BY131" s="124"/>
      <c r="BZ131" s="124"/>
      <c r="CA131" s="124"/>
      <c r="CB131" s="124"/>
      <c r="CC131" s="124"/>
      <c r="CD131" s="124"/>
      <c r="CE131" s="124"/>
      <c r="CF131" s="124"/>
      <c r="CG131" s="124"/>
      <c r="CH131" s="124"/>
      <c r="CI131" s="124"/>
      <c r="CJ131" s="124"/>
      <c r="CK131" s="124"/>
      <c r="CL131" s="124"/>
      <c r="CM131" s="124"/>
      <c r="CN131" s="124"/>
      <c r="CO131" s="124"/>
      <c r="CP131" s="124"/>
      <c r="CQ131" s="124"/>
      <c r="CR131" s="124"/>
      <c r="CS131" s="124"/>
      <c r="CT131" s="124"/>
      <c r="CU131" s="124"/>
      <c r="CV131" s="124"/>
      <c r="CW131" s="124"/>
      <c r="CX131" s="124"/>
      <c r="CY131" s="124"/>
      <c r="CZ131" s="124"/>
      <c r="DA131" s="124"/>
      <c r="DB131" s="124"/>
      <c r="DC131" s="124"/>
      <c r="DD131" s="124"/>
      <c r="DE131" s="124"/>
      <c r="DF131" s="124"/>
      <c r="DG131" s="124"/>
      <c r="DH131" s="124"/>
      <c r="DI131" s="124"/>
      <c r="DJ131" s="124"/>
      <c r="DK131" s="124"/>
      <c r="DL131" s="124"/>
      <c r="DM131" s="124"/>
      <c r="DN131" s="124"/>
      <c r="DO131" s="124"/>
      <c r="DP131" s="124"/>
      <c r="DQ131" s="124"/>
      <c r="DR131" s="124"/>
      <c r="DS131" s="124"/>
      <c r="DT131" s="124"/>
      <c r="DU131" s="124"/>
      <c r="DV131" s="124"/>
      <c r="DW131" s="124"/>
      <c r="DX131" s="124"/>
      <c r="DY131" s="124"/>
      <c r="DZ131" s="124"/>
      <c r="EA131" s="124"/>
      <c r="EB131" s="124"/>
      <c r="EC131" s="124"/>
      <c r="ED131" s="124"/>
      <c r="EE131" s="124"/>
      <c r="EF131" s="124"/>
      <c r="EG131" s="124"/>
      <c r="EH131" s="124"/>
      <c r="EI131" s="124"/>
      <c r="EJ131" s="124"/>
      <c r="EK131" s="124"/>
      <c r="EL131" s="124"/>
      <c r="EM131" s="124"/>
      <c r="EN131" s="124"/>
      <c r="EO131" s="124"/>
      <c r="EP131" s="124"/>
      <c r="EQ131" s="124"/>
      <c r="ER131" s="124"/>
      <c r="ES131" s="124"/>
      <c r="ET131" s="124"/>
      <c r="EU131" s="124"/>
      <c r="EV131" s="124"/>
      <c r="EW131" s="124"/>
      <c r="EX131" s="124"/>
      <c r="EY131" s="124"/>
      <c r="EZ131" s="124"/>
      <c r="FA131" s="124"/>
      <c r="FB131" s="124"/>
      <c r="FC131" s="124"/>
      <c r="FD131" s="124"/>
      <c r="FE131" s="124"/>
      <c r="FF131" s="124"/>
      <c r="FG131" s="124"/>
      <c r="FH131" s="124"/>
      <c r="FI131" s="124"/>
      <c r="FJ131" s="124"/>
      <c r="FK131" s="124"/>
      <c r="FL131" s="124"/>
      <c r="FM131" s="124"/>
      <c r="FN131" s="124"/>
      <c r="FO131" s="124"/>
      <c r="FP131" s="124"/>
      <c r="FQ131" s="124"/>
      <c r="FR131" s="124"/>
      <c r="FS131" s="124"/>
      <c r="FT131" s="124"/>
      <c r="FU131" s="124"/>
      <c r="FV131" s="124"/>
      <c r="FW131" s="124"/>
      <c r="FX131" s="124"/>
      <c r="FY131" s="124"/>
      <c r="FZ131" s="124"/>
      <c r="GA131" s="124"/>
      <c r="GB131" s="124"/>
      <c r="GC131" s="124"/>
      <c r="GD131" s="124"/>
      <c r="GE131" s="124"/>
      <c r="GF131" s="124"/>
      <c r="GG131" s="124"/>
      <c r="GH131" s="124"/>
      <c r="GI131" s="124"/>
      <c r="GJ131" s="124"/>
      <c r="GK131" s="124"/>
      <c r="GL131" s="124"/>
      <c r="GM131" s="124"/>
      <c r="GN131" s="124"/>
      <c r="GO131" s="124"/>
      <c r="GP131" s="124"/>
      <c r="GQ131" s="124"/>
      <c r="GR131" s="124"/>
      <c r="GS131" s="124"/>
      <c r="GT131" s="124"/>
      <c r="GU131" s="124"/>
      <c r="GV131" s="124"/>
      <c r="GW131" s="124"/>
      <c r="GX131" s="124"/>
      <c r="GY131" s="124"/>
      <c r="GZ131" s="124"/>
      <c r="HA131" s="124"/>
      <c r="HB131" s="124"/>
      <c r="HC131" s="124"/>
      <c r="HD131" s="124"/>
      <c r="HE131" s="124"/>
      <c r="HF131" s="124"/>
      <c r="HG131" s="124"/>
      <c r="HH131" s="124"/>
      <c r="HI131" s="124"/>
      <c r="HJ131" s="124"/>
      <c r="HK131" s="124"/>
      <c r="HL131" s="124"/>
      <c r="HM131" s="124"/>
      <c r="HN131" s="124"/>
      <c r="HO131" s="124"/>
      <c r="HP131" s="124"/>
      <c r="HQ131" s="124"/>
    </row>
    <row r="132" spans="1:225" x14ac:dyDescent="0.2">
      <c r="A132" s="122" t="s">
        <v>763</v>
      </c>
      <c r="B132" s="123">
        <v>62</v>
      </c>
      <c r="C132" s="124" t="s">
        <v>290</v>
      </c>
      <c r="D132" s="123">
        <v>123</v>
      </c>
      <c r="E132" s="124" t="s">
        <v>161</v>
      </c>
      <c r="F132" s="123">
        <v>2</v>
      </c>
      <c r="G132" s="123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24"/>
      <c r="BK132" s="124"/>
      <c r="BL132" s="124"/>
      <c r="BM132" s="124"/>
      <c r="BN132" s="124"/>
      <c r="BO132" s="124"/>
      <c r="BP132" s="124"/>
      <c r="BQ132" s="124"/>
      <c r="BR132" s="124"/>
      <c r="BS132" s="124"/>
      <c r="BT132" s="124"/>
      <c r="BU132" s="124"/>
      <c r="BV132" s="124"/>
      <c r="BW132" s="124"/>
      <c r="BX132" s="124"/>
      <c r="BY132" s="124"/>
      <c r="BZ132" s="124"/>
      <c r="CA132" s="124"/>
      <c r="CB132" s="124"/>
      <c r="CC132" s="124"/>
      <c r="CD132" s="124"/>
      <c r="CE132" s="124"/>
      <c r="CF132" s="124"/>
      <c r="CG132" s="124"/>
      <c r="CH132" s="124"/>
      <c r="CI132" s="124"/>
      <c r="CJ132" s="124"/>
      <c r="CK132" s="124"/>
      <c r="CL132" s="124"/>
      <c r="CM132" s="124"/>
      <c r="CN132" s="124"/>
      <c r="CO132" s="124"/>
      <c r="CP132" s="124"/>
      <c r="CQ132" s="124"/>
      <c r="CR132" s="124"/>
      <c r="CS132" s="124"/>
      <c r="CT132" s="124"/>
      <c r="CU132" s="124"/>
      <c r="CV132" s="124"/>
      <c r="CW132" s="124"/>
      <c r="CX132" s="124"/>
      <c r="CY132" s="124"/>
      <c r="CZ132" s="124"/>
      <c r="DA132" s="124"/>
      <c r="DB132" s="124"/>
      <c r="DC132" s="124"/>
      <c r="DD132" s="124"/>
      <c r="DE132" s="124"/>
      <c r="DF132" s="124"/>
      <c r="DG132" s="124"/>
      <c r="DH132" s="124"/>
      <c r="DI132" s="124"/>
      <c r="DJ132" s="124"/>
      <c r="DK132" s="124"/>
      <c r="DL132" s="124"/>
      <c r="DM132" s="124"/>
      <c r="DN132" s="124"/>
      <c r="DO132" s="124"/>
      <c r="DP132" s="124"/>
      <c r="DQ132" s="124"/>
      <c r="DR132" s="124"/>
      <c r="DS132" s="124"/>
      <c r="DT132" s="124"/>
      <c r="DU132" s="124"/>
      <c r="DV132" s="124"/>
      <c r="DW132" s="124"/>
      <c r="DX132" s="124"/>
      <c r="DY132" s="124"/>
      <c r="DZ132" s="124"/>
      <c r="EA132" s="124"/>
      <c r="EB132" s="124"/>
      <c r="EC132" s="124"/>
      <c r="ED132" s="124"/>
      <c r="EE132" s="124"/>
      <c r="EF132" s="124"/>
      <c r="EG132" s="124"/>
      <c r="EH132" s="124"/>
      <c r="EI132" s="124"/>
      <c r="EJ132" s="124"/>
      <c r="EK132" s="124"/>
      <c r="EL132" s="124"/>
      <c r="EM132" s="124"/>
      <c r="EN132" s="124"/>
      <c r="EO132" s="124"/>
      <c r="EP132" s="124"/>
      <c r="EQ132" s="124"/>
      <c r="ER132" s="124"/>
      <c r="ES132" s="124"/>
      <c r="ET132" s="124"/>
      <c r="EU132" s="124"/>
      <c r="EV132" s="124"/>
      <c r="EW132" s="124"/>
      <c r="EX132" s="124"/>
      <c r="EY132" s="124"/>
      <c r="EZ132" s="124"/>
      <c r="FA132" s="124"/>
      <c r="FB132" s="124"/>
      <c r="FC132" s="124"/>
      <c r="FD132" s="124"/>
      <c r="FE132" s="124"/>
      <c r="FF132" s="124"/>
      <c r="FG132" s="124"/>
      <c r="FH132" s="124"/>
      <c r="FI132" s="124"/>
      <c r="FJ132" s="124"/>
      <c r="FK132" s="124"/>
      <c r="FL132" s="124"/>
      <c r="FM132" s="124"/>
      <c r="FN132" s="124"/>
      <c r="FO132" s="124"/>
      <c r="FP132" s="124"/>
      <c r="FQ132" s="124"/>
      <c r="FR132" s="124"/>
      <c r="FS132" s="124"/>
      <c r="FT132" s="124"/>
      <c r="FU132" s="124"/>
      <c r="FV132" s="124"/>
      <c r="FW132" s="124"/>
      <c r="FX132" s="124"/>
      <c r="FY132" s="124"/>
      <c r="FZ132" s="124"/>
      <c r="GA132" s="124"/>
      <c r="GB132" s="124"/>
      <c r="GC132" s="124"/>
      <c r="GD132" s="124"/>
      <c r="GE132" s="124"/>
      <c r="GF132" s="124"/>
      <c r="GG132" s="124"/>
      <c r="GH132" s="124"/>
      <c r="GI132" s="124"/>
      <c r="GJ132" s="124"/>
      <c r="GK132" s="124"/>
      <c r="GL132" s="124"/>
      <c r="GM132" s="124"/>
      <c r="GN132" s="124"/>
      <c r="GO132" s="124"/>
      <c r="GP132" s="124"/>
      <c r="GQ132" s="124"/>
      <c r="GR132" s="124"/>
      <c r="GS132" s="124"/>
      <c r="GT132" s="124"/>
      <c r="GU132" s="124"/>
      <c r="GV132" s="124"/>
      <c r="GW132" s="124"/>
      <c r="GX132" s="124"/>
      <c r="GY132" s="124"/>
      <c r="GZ132" s="124"/>
      <c r="HA132" s="124"/>
      <c r="HB132" s="124"/>
      <c r="HC132" s="124"/>
      <c r="HD132" s="124"/>
      <c r="HE132" s="124"/>
      <c r="HF132" s="124"/>
      <c r="HG132" s="124"/>
      <c r="HH132" s="124"/>
      <c r="HI132" s="124"/>
      <c r="HJ132" s="124"/>
      <c r="HK132" s="124"/>
      <c r="HL132" s="124"/>
      <c r="HM132" s="124"/>
      <c r="HN132" s="124"/>
      <c r="HO132" s="124"/>
      <c r="HP132" s="124"/>
      <c r="HQ132" s="124"/>
    </row>
    <row r="133" spans="1:225" x14ac:dyDescent="0.2">
      <c r="A133" s="122" t="s">
        <v>764</v>
      </c>
      <c r="B133" s="123">
        <v>62</v>
      </c>
      <c r="C133" s="124" t="s">
        <v>291</v>
      </c>
      <c r="D133" s="123">
        <v>124</v>
      </c>
      <c r="E133" s="124" t="s">
        <v>161</v>
      </c>
      <c r="F133" s="123">
        <v>3</v>
      </c>
      <c r="G133" s="123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  <c r="BJ133" s="124"/>
      <c r="BK133" s="124"/>
      <c r="BL133" s="124"/>
      <c r="BM133" s="124"/>
      <c r="BN133" s="124"/>
      <c r="BO133" s="124"/>
      <c r="BP133" s="124"/>
      <c r="BQ133" s="124"/>
      <c r="BR133" s="124"/>
      <c r="BS133" s="124"/>
      <c r="BT133" s="124"/>
      <c r="BU133" s="124"/>
      <c r="BV133" s="124"/>
      <c r="BW133" s="124"/>
      <c r="BX133" s="124"/>
      <c r="BY133" s="124"/>
      <c r="BZ133" s="124"/>
      <c r="CA133" s="124"/>
      <c r="CB133" s="124"/>
      <c r="CC133" s="124"/>
      <c r="CD133" s="124"/>
      <c r="CE133" s="124"/>
      <c r="CF133" s="124"/>
      <c r="CG133" s="124"/>
      <c r="CH133" s="124"/>
      <c r="CI133" s="124"/>
      <c r="CJ133" s="124"/>
      <c r="CK133" s="124"/>
      <c r="CL133" s="124"/>
      <c r="CM133" s="124"/>
      <c r="CN133" s="124"/>
      <c r="CO133" s="124"/>
      <c r="CP133" s="124"/>
      <c r="CQ133" s="124"/>
      <c r="CR133" s="124"/>
      <c r="CS133" s="124"/>
      <c r="CT133" s="124"/>
      <c r="CU133" s="124"/>
      <c r="CV133" s="124"/>
      <c r="CW133" s="124"/>
      <c r="CX133" s="124"/>
      <c r="CY133" s="124"/>
      <c r="CZ133" s="124"/>
      <c r="DA133" s="124"/>
      <c r="DB133" s="124"/>
      <c r="DC133" s="124"/>
      <c r="DD133" s="124"/>
      <c r="DE133" s="124"/>
      <c r="DF133" s="124"/>
      <c r="DG133" s="124"/>
      <c r="DH133" s="124"/>
      <c r="DI133" s="124"/>
      <c r="DJ133" s="124"/>
      <c r="DK133" s="124"/>
      <c r="DL133" s="124"/>
      <c r="DM133" s="124"/>
      <c r="DN133" s="124"/>
      <c r="DO133" s="124"/>
      <c r="DP133" s="124"/>
      <c r="DQ133" s="124"/>
      <c r="DR133" s="124"/>
      <c r="DS133" s="124"/>
      <c r="DT133" s="124"/>
      <c r="DU133" s="124"/>
      <c r="DV133" s="124"/>
      <c r="DW133" s="124"/>
      <c r="DX133" s="124"/>
      <c r="DY133" s="124"/>
      <c r="DZ133" s="124"/>
      <c r="EA133" s="124"/>
      <c r="EB133" s="124"/>
      <c r="EC133" s="124"/>
      <c r="ED133" s="124"/>
      <c r="EE133" s="124"/>
      <c r="EF133" s="124"/>
      <c r="EG133" s="124"/>
      <c r="EH133" s="124"/>
      <c r="EI133" s="124"/>
      <c r="EJ133" s="124"/>
      <c r="EK133" s="124"/>
      <c r="EL133" s="124"/>
      <c r="EM133" s="124"/>
      <c r="EN133" s="124"/>
      <c r="EO133" s="124"/>
      <c r="EP133" s="124"/>
      <c r="EQ133" s="124"/>
      <c r="ER133" s="124"/>
      <c r="ES133" s="124"/>
      <c r="ET133" s="124"/>
      <c r="EU133" s="124"/>
      <c r="EV133" s="124"/>
      <c r="EW133" s="124"/>
      <c r="EX133" s="124"/>
      <c r="EY133" s="124"/>
      <c r="EZ133" s="124"/>
      <c r="FA133" s="124"/>
      <c r="FB133" s="124"/>
      <c r="FC133" s="124"/>
      <c r="FD133" s="124"/>
      <c r="FE133" s="124"/>
      <c r="FF133" s="124"/>
      <c r="FG133" s="124"/>
      <c r="FH133" s="124"/>
      <c r="FI133" s="124"/>
      <c r="FJ133" s="124"/>
      <c r="FK133" s="124"/>
      <c r="FL133" s="124"/>
      <c r="FM133" s="124"/>
      <c r="FN133" s="124"/>
      <c r="FO133" s="124"/>
      <c r="FP133" s="124"/>
      <c r="FQ133" s="124"/>
      <c r="FR133" s="124"/>
      <c r="FS133" s="124"/>
      <c r="FT133" s="124"/>
      <c r="FU133" s="124"/>
      <c r="FV133" s="124"/>
      <c r="FW133" s="124"/>
      <c r="FX133" s="124"/>
      <c r="FY133" s="124"/>
      <c r="FZ133" s="124"/>
      <c r="GA133" s="124"/>
      <c r="GB133" s="124"/>
      <c r="GC133" s="124"/>
      <c r="GD133" s="124"/>
      <c r="GE133" s="124"/>
      <c r="GF133" s="124"/>
      <c r="GG133" s="124"/>
      <c r="GH133" s="124"/>
      <c r="GI133" s="124"/>
      <c r="GJ133" s="124"/>
      <c r="GK133" s="124"/>
      <c r="GL133" s="124"/>
      <c r="GM133" s="124"/>
      <c r="GN133" s="124"/>
      <c r="GO133" s="124"/>
      <c r="GP133" s="124"/>
      <c r="GQ133" s="124"/>
      <c r="GR133" s="124"/>
      <c r="GS133" s="124"/>
      <c r="GT133" s="124"/>
      <c r="GU133" s="124"/>
      <c r="GV133" s="124"/>
      <c r="GW133" s="124"/>
      <c r="GX133" s="124"/>
      <c r="GY133" s="124"/>
      <c r="GZ133" s="124"/>
      <c r="HA133" s="124"/>
      <c r="HB133" s="124"/>
      <c r="HC133" s="124"/>
      <c r="HD133" s="124"/>
      <c r="HE133" s="124"/>
      <c r="HF133" s="124"/>
      <c r="HG133" s="124"/>
      <c r="HH133" s="124"/>
      <c r="HI133" s="124"/>
      <c r="HJ133" s="124"/>
      <c r="HK133" s="124"/>
      <c r="HL133" s="124"/>
      <c r="HM133" s="124"/>
      <c r="HN133" s="124"/>
      <c r="HO133" s="124"/>
      <c r="HP133" s="124"/>
      <c r="HQ133" s="124"/>
    </row>
    <row r="134" spans="1:225" x14ac:dyDescent="0.2">
      <c r="A134" s="122" t="s">
        <v>765</v>
      </c>
      <c r="B134" s="123">
        <v>63</v>
      </c>
      <c r="C134" s="138" t="s">
        <v>292</v>
      </c>
      <c r="D134" s="123">
        <v>125</v>
      </c>
      <c r="E134" s="124" t="s">
        <v>161</v>
      </c>
      <c r="F134" s="123">
        <v>3</v>
      </c>
      <c r="G134" s="123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  <c r="BJ134" s="124"/>
      <c r="BK134" s="124"/>
      <c r="BL134" s="124"/>
      <c r="BM134" s="124"/>
      <c r="BN134" s="124"/>
      <c r="BO134" s="124"/>
      <c r="BP134" s="124"/>
      <c r="BQ134" s="124"/>
      <c r="BR134" s="124"/>
      <c r="BS134" s="124"/>
      <c r="BT134" s="124"/>
      <c r="BU134" s="124"/>
      <c r="BV134" s="124"/>
      <c r="BW134" s="124"/>
      <c r="BX134" s="124"/>
      <c r="BY134" s="124"/>
      <c r="BZ134" s="124"/>
      <c r="CA134" s="124"/>
      <c r="CB134" s="124"/>
      <c r="CC134" s="124"/>
      <c r="CD134" s="124"/>
      <c r="CE134" s="124"/>
      <c r="CF134" s="124"/>
      <c r="CG134" s="124"/>
      <c r="CH134" s="124"/>
      <c r="CI134" s="124"/>
      <c r="CJ134" s="124"/>
      <c r="CK134" s="124"/>
      <c r="CL134" s="124"/>
      <c r="CM134" s="124"/>
      <c r="CN134" s="124"/>
      <c r="CO134" s="124"/>
      <c r="CP134" s="124"/>
      <c r="CQ134" s="124"/>
      <c r="CR134" s="124"/>
      <c r="CS134" s="124"/>
      <c r="CT134" s="124"/>
      <c r="CU134" s="124"/>
      <c r="CV134" s="124"/>
      <c r="CW134" s="124"/>
      <c r="CX134" s="124"/>
      <c r="CY134" s="124"/>
      <c r="CZ134" s="124"/>
      <c r="DA134" s="124"/>
      <c r="DB134" s="124"/>
      <c r="DC134" s="124"/>
      <c r="DD134" s="124"/>
      <c r="DE134" s="124"/>
      <c r="DF134" s="124"/>
      <c r="DG134" s="124"/>
      <c r="DH134" s="124"/>
      <c r="DI134" s="124"/>
      <c r="DJ134" s="124"/>
      <c r="DK134" s="124"/>
      <c r="DL134" s="124"/>
      <c r="DM134" s="124"/>
      <c r="DN134" s="124"/>
      <c r="DO134" s="124"/>
      <c r="DP134" s="124"/>
      <c r="DQ134" s="124"/>
      <c r="DR134" s="124"/>
      <c r="DS134" s="124"/>
      <c r="DT134" s="124"/>
      <c r="DU134" s="124"/>
      <c r="DV134" s="124"/>
      <c r="DW134" s="124"/>
      <c r="DX134" s="124"/>
      <c r="DY134" s="124"/>
      <c r="DZ134" s="124"/>
      <c r="EA134" s="124"/>
      <c r="EB134" s="124"/>
      <c r="EC134" s="124"/>
      <c r="ED134" s="124"/>
      <c r="EE134" s="124"/>
      <c r="EF134" s="124"/>
      <c r="EG134" s="124"/>
      <c r="EH134" s="124"/>
      <c r="EI134" s="124"/>
      <c r="EJ134" s="124"/>
      <c r="EK134" s="124"/>
      <c r="EL134" s="124"/>
      <c r="EM134" s="124"/>
      <c r="EN134" s="124"/>
      <c r="EO134" s="124"/>
      <c r="EP134" s="124"/>
      <c r="EQ134" s="124"/>
      <c r="ER134" s="124"/>
      <c r="ES134" s="124"/>
      <c r="ET134" s="124"/>
      <c r="EU134" s="124"/>
      <c r="EV134" s="124"/>
      <c r="EW134" s="124"/>
      <c r="EX134" s="124"/>
      <c r="EY134" s="124"/>
      <c r="EZ134" s="124"/>
      <c r="FA134" s="124"/>
      <c r="FB134" s="124"/>
      <c r="FC134" s="124"/>
      <c r="FD134" s="124"/>
      <c r="FE134" s="124"/>
      <c r="FF134" s="124"/>
      <c r="FG134" s="124"/>
      <c r="FH134" s="124"/>
      <c r="FI134" s="124"/>
      <c r="FJ134" s="124"/>
      <c r="FK134" s="124"/>
      <c r="FL134" s="124"/>
      <c r="FM134" s="124"/>
      <c r="FN134" s="124"/>
      <c r="FO134" s="124"/>
      <c r="FP134" s="124"/>
      <c r="FQ134" s="124"/>
      <c r="FR134" s="124"/>
      <c r="FS134" s="124"/>
      <c r="FT134" s="124"/>
      <c r="FU134" s="124"/>
      <c r="FV134" s="124"/>
      <c r="FW134" s="124"/>
      <c r="FX134" s="124"/>
      <c r="FY134" s="124"/>
      <c r="FZ134" s="124"/>
      <c r="GA134" s="124"/>
      <c r="GB134" s="124"/>
      <c r="GC134" s="124"/>
      <c r="GD134" s="124"/>
      <c r="GE134" s="124"/>
      <c r="GF134" s="124"/>
      <c r="GG134" s="124"/>
      <c r="GH134" s="124"/>
      <c r="GI134" s="124"/>
      <c r="GJ134" s="124"/>
      <c r="GK134" s="124"/>
      <c r="GL134" s="124"/>
      <c r="GM134" s="124"/>
      <c r="GN134" s="124"/>
      <c r="GO134" s="124"/>
      <c r="GP134" s="124"/>
      <c r="GQ134" s="124"/>
      <c r="GR134" s="124"/>
      <c r="GS134" s="124"/>
      <c r="GT134" s="124"/>
      <c r="GU134" s="124"/>
      <c r="GV134" s="124"/>
      <c r="GW134" s="124"/>
      <c r="GX134" s="124"/>
      <c r="GY134" s="124"/>
      <c r="GZ134" s="124"/>
      <c r="HA134" s="124"/>
      <c r="HB134" s="124"/>
      <c r="HC134" s="124"/>
      <c r="HD134" s="124"/>
      <c r="HE134" s="124"/>
      <c r="HF134" s="124"/>
      <c r="HG134" s="124"/>
      <c r="HH134" s="124"/>
      <c r="HI134" s="124"/>
      <c r="HJ134" s="124"/>
      <c r="HK134" s="124"/>
      <c r="HL134" s="124"/>
      <c r="HM134" s="124"/>
      <c r="HN134" s="124"/>
      <c r="HO134" s="124"/>
      <c r="HP134" s="124"/>
      <c r="HQ134" s="124"/>
    </row>
    <row r="135" spans="1:225" x14ac:dyDescent="0.2">
      <c r="A135" s="122" t="s">
        <v>766</v>
      </c>
      <c r="B135" s="123">
        <v>63</v>
      </c>
      <c r="C135" s="124" t="s">
        <v>293</v>
      </c>
      <c r="D135" s="123">
        <v>126</v>
      </c>
      <c r="E135" s="124" t="s">
        <v>161</v>
      </c>
      <c r="F135" s="123">
        <v>3</v>
      </c>
      <c r="G135" s="123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  <c r="BJ135" s="124"/>
      <c r="BK135" s="124"/>
      <c r="BL135" s="124"/>
      <c r="BM135" s="124"/>
      <c r="BN135" s="124"/>
      <c r="BO135" s="124"/>
      <c r="BP135" s="124"/>
      <c r="BQ135" s="124"/>
      <c r="BR135" s="124"/>
      <c r="BS135" s="124"/>
      <c r="BT135" s="124"/>
      <c r="BU135" s="124"/>
      <c r="BV135" s="124"/>
      <c r="BW135" s="124"/>
      <c r="BX135" s="124"/>
      <c r="BY135" s="124"/>
      <c r="BZ135" s="124"/>
      <c r="CA135" s="124"/>
      <c r="CB135" s="124"/>
      <c r="CC135" s="124"/>
      <c r="CD135" s="124"/>
      <c r="CE135" s="124"/>
      <c r="CF135" s="124"/>
      <c r="CG135" s="124"/>
      <c r="CH135" s="124"/>
      <c r="CI135" s="124"/>
      <c r="CJ135" s="124"/>
      <c r="CK135" s="124"/>
      <c r="CL135" s="124"/>
      <c r="CM135" s="124"/>
      <c r="CN135" s="124"/>
      <c r="CO135" s="124"/>
      <c r="CP135" s="124"/>
      <c r="CQ135" s="124"/>
      <c r="CR135" s="124"/>
      <c r="CS135" s="124"/>
      <c r="CT135" s="124"/>
      <c r="CU135" s="124"/>
      <c r="CV135" s="124"/>
      <c r="CW135" s="124"/>
      <c r="CX135" s="124"/>
      <c r="CY135" s="124"/>
      <c r="CZ135" s="124"/>
      <c r="DA135" s="124"/>
      <c r="DB135" s="124"/>
      <c r="DC135" s="124"/>
      <c r="DD135" s="124"/>
      <c r="DE135" s="124"/>
      <c r="DF135" s="124"/>
      <c r="DG135" s="124"/>
      <c r="DH135" s="124"/>
      <c r="DI135" s="124"/>
      <c r="DJ135" s="124"/>
      <c r="DK135" s="124"/>
      <c r="DL135" s="124"/>
      <c r="DM135" s="124"/>
      <c r="DN135" s="124"/>
      <c r="DO135" s="124"/>
      <c r="DP135" s="124"/>
      <c r="DQ135" s="124"/>
      <c r="DR135" s="124"/>
      <c r="DS135" s="124"/>
      <c r="DT135" s="124"/>
      <c r="DU135" s="124"/>
      <c r="DV135" s="124"/>
      <c r="DW135" s="124"/>
      <c r="DX135" s="124"/>
      <c r="DY135" s="124"/>
      <c r="DZ135" s="124"/>
      <c r="EA135" s="124"/>
      <c r="EB135" s="124"/>
      <c r="EC135" s="124"/>
      <c r="ED135" s="124"/>
      <c r="EE135" s="124"/>
      <c r="EF135" s="124"/>
      <c r="EG135" s="124"/>
      <c r="EH135" s="124"/>
      <c r="EI135" s="124"/>
      <c r="EJ135" s="124"/>
      <c r="EK135" s="124"/>
      <c r="EL135" s="124"/>
      <c r="EM135" s="124"/>
      <c r="EN135" s="124"/>
      <c r="EO135" s="124"/>
      <c r="EP135" s="124"/>
      <c r="EQ135" s="124"/>
      <c r="ER135" s="124"/>
      <c r="ES135" s="124"/>
      <c r="ET135" s="124"/>
      <c r="EU135" s="124"/>
      <c r="EV135" s="124"/>
      <c r="EW135" s="124"/>
      <c r="EX135" s="124"/>
      <c r="EY135" s="124"/>
      <c r="EZ135" s="124"/>
      <c r="FA135" s="124"/>
      <c r="FB135" s="124"/>
      <c r="FC135" s="124"/>
      <c r="FD135" s="124"/>
      <c r="FE135" s="124"/>
      <c r="FF135" s="124"/>
      <c r="FG135" s="124"/>
      <c r="FH135" s="124"/>
      <c r="FI135" s="124"/>
      <c r="FJ135" s="124"/>
      <c r="FK135" s="124"/>
      <c r="FL135" s="124"/>
      <c r="FM135" s="124"/>
      <c r="FN135" s="124"/>
      <c r="FO135" s="124"/>
      <c r="FP135" s="124"/>
      <c r="FQ135" s="124"/>
      <c r="FR135" s="124"/>
      <c r="FS135" s="124"/>
      <c r="FT135" s="124"/>
      <c r="FU135" s="124"/>
      <c r="FV135" s="124"/>
      <c r="FW135" s="124"/>
      <c r="FX135" s="124"/>
      <c r="FY135" s="124"/>
      <c r="FZ135" s="124"/>
      <c r="GA135" s="124"/>
      <c r="GB135" s="124"/>
      <c r="GC135" s="124"/>
      <c r="GD135" s="124"/>
      <c r="GE135" s="124"/>
      <c r="GF135" s="124"/>
      <c r="GG135" s="124"/>
      <c r="GH135" s="124"/>
      <c r="GI135" s="124"/>
      <c r="GJ135" s="124"/>
      <c r="GK135" s="124"/>
      <c r="GL135" s="124"/>
      <c r="GM135" s="124"/>
      <c r="GN135" s="124"/>
      <c r="GO135" s="124"/>
      <c r="GP135" s="124"/>
      <c r="GQ135" s="124"/>
      <c r="GR135" s="124"/>
      <c r="GS135" s="124"/>
      <c r="GT135" s="124"/>
      <c r="GU135" s="124"/>
      <c r="GV135" s="124"/>
      <c r="GW135" s="124"/>
      <c r="GX135" s="124"/>
      <c r="GY135" s="124"/>
      <c r="GZ135" s="124"/>
      <c r="HA135" s="124"/>
      <c r="HB135" s="124"/>
      <c r="HC135" s="124"/>
      <c r="HD135" s="124"/>
      <c r="HE135" s="124"/>
      <c r="HF135" s="124"/>
      <c r="HG135" s="124"/>
      <c r="HH135" s="124"/>
      <c r="HI135" s="124"/>
      <c r="HJ135" s="124"/>
      <c r="HK135" s="124"/>
      <c r="HL135" s="124"/>
      <c r="HM135" s="124"/>
      <c r="HN135" s="124"/>
      <c r="HO135" s="124"/>
      <c r="HP135" s="124"/>
      <c r="HQ135" s="124"/>
    </row>
    <row r="136" spans="1:225" x14ac:dyDescent="0.2">
      <c r="A136" s="122" t="s">
        <v>767</v>
      </c>
      <c r="B136" s="123">
        <v>64</v>
      </c>
      <c r="C136" s="124" t="s">
        <v>294</v>
      </c>
      <c r="D136" s="123">
        <v>127</v>
      </c>
      <c r="E136" s="124" t="s">
        <v>161</v>
      </c>
      <c r="F136" s="123">
        <v>2</v>
      </c>
      <c r="G136" s="123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24"/>
      <c r="BK136" s="124"/>
      <c r="BL136" s="124"/>
      <c r="BM136" s="124"/>
      <c r="BN136" s="124"/>
      <c r="BO136" s="124"/>
      <c r="BP136" s="124"/>
      <c r="BQ136" s="124"/>
      <c r="BR136" s="124"/>
      <c r="BS136" s="124"/>
      <c r="BT136" s="124"/>
      <c r="BU136" s="124"/>
      <c r="BV136" s="124"/>
      <c r="BW136" s="124"/>
      <c r="BX136" s="124"/>
      <c r="BY136" s="124"/>
      <c r="BZ136" s="124"/>
      <c r="CA136" s="124"/>
      <c r="CB136" s="124"/>
      <c r="CC136" s="124"/>
      <c r="CD136" s="124"/>
      <c r="CE136" s="124"/>
      <c r="CF136" s="124"/>
      <c r="CG136" s="124"/>
      <c r="CH136" s="124"/>
      <c r="CI136" s="124"/>
      <c r="CJ136" s="124"/>
      <c r="CK136" s="124"/>
      <c r="CL136" s="124"/>
      <c r="CM136" s="124"/>
      <c r="CN136" s="124"/>
      <c r="CO136" s="124"/>
      <c r="CP136" s="124"/>
      <c r="CQ136" s="124"/>
      <c r="CR136" s="124"/>
      <c r="CS136" s="124"/>
      <c r="CT136" s="124"/>
      <c r="CU136" s="124"/>
      <c r="CV136" s="124"/>
      <c r="CW136" s="124"/>
      <c r="CX136" s="124"/>
      <c r="CY136" s="124"/>
      <c r="CZ136" s="124"/>
      <c r="DA136" s="124"/>
      <c r="DB136" s="124"/>
      <c r="DC136" s="124"/>
      <c r="DD136" s="124"/>
      <c r="DE136" s="124"/>
      <c r="DF136" s="124"/>
      <c r="DG136" s="124"/>
      <c r="DH136" s="124"/>
      <c r="DI136" s="124"/>
      <c r="DJ136" s="124"/>
      <c r="DK136" s="124"/>
      <c r="DL136" s="124"/>
      <c r="DM136" s="124"/>
      <c r="DN136" s="124"/>
      <c r="DO136" s="124"/>
      <c r="DP136" s="124"/>
      <c r="DQ136" s="124"/>
      <c r="DR136" s="124"/>
      <c r="DS136" s="124"/>
      <c r="DT136" s="124"/>
      <c r="DU136" s="124"/>
      <c r="DV136" s="124"/>
      <c r="DW136" s="124"/>
      <c r="DX136" s="124"/>
      <c r="DY136" s="124"/>
      <c r="DZ136" s="124"/>
      <c r="EA136" s="124"/>
      <c r="EB136" s="124"/>
      <c r="EC136" s="124"/>
      <c r="ED136" s="124"/>
      <c r="EE136" s="124"/>
      <c r="EF136" s="124"/>
      <c r="EG136" s="124"/>
      <c r="EH136" s="124"/>
      <c r="EI136" s="124"/>
      <c r="EJ136" s="124"/>
      <c r="EK136" s="124"/>
      <c r="EL136" s="124"/>
      <c r="EM136" s="124"/>
      <c r="EN136" s="124"/>
      <c r="EO136" s="124"/>
      <c r="EP136" s="124"/>
      <c r="EQ136" s="124"/>
      <c r="ER136" s="124"/>
      <c r="ES136" s="124"/>
      <c r="ET136" s="124"/>
      <c r="EU136" s="124"/>
      <c r="EV136" s="124"/>
      <c r="EW136" s="124"/>
      <c r="EX136" s="124"/>
      <c r="EY136" s="124"/>
      <c r="EZ136" s="124"/>
      <c r="FA136" s="124"/>
      <c r="FB136" s="124"/>
      <c r="FC136" s="124"/>
      <c r="FD136" s="124"/>
      <c r="FE136" s="124"/>
      <c r="FF136" s="124"/>
      <c r="FG136" s="124"/>
      <c r="FH136" s="124"/>
      <c r="FI136" s="124"/>
      <c r="FJ136" s="124"/>
      <c r="FK136" s="124"/>
      <c r="FL136" s="124"/>
      <c r="FM136" s="124"/>
      <c r="FN136" s="124"/>
      <c r="FO136" s="124"/>
      <c r="FP136" s="124"/>
      <c r="FQ136" s="124"/>
      <c r="FR136" s="124"/>
      <c r="FS136" s="124"/>
      <c r="FT136" s="124"/>
      <c r="FU136" s="124"/>
      <c r="FV136" s="124"/>
      <c r="FW136" s="124"/>
      <c r="FX136" s="124"/>
      <c r="FY136" s="124"/>
      <c r="FZ136" s="124"/>
      <c r="GA136" s="124"/>
      <c r="GB136" s="124"/>
      <c r="GC136" s="124"/>
      <c r="GD136" s="124"/>
      <c r="GE136" s="124"/>
      <c r="GF136" s="124"/>
      <c r="GG136" s="124"/>
      <c r="GH136" s="124"/>
      <c r="GI136" s="124"/>
      <c r="GJ136" s="124"/>
      <c r="GK136" s="124"/>
      <c r="GL136" s="124"/>
      <c r="GM136" s="124"/>
      <c r="GN136" s="124"/>
      <c r="GO136" s="124"/>
      <c r="GP136" s="124"/>
      <c r="GQ136" s="124"/>
      <c r="GR136" s="124"/>
      <c r="GS136" s="124"/>
      <c r="GT136" s="124"/>
      <c r="GU136" s="124"/>
      <c r="GV136" s="124"/>
      <c r="GW136" s="124"/>
      <c r="GX136" s="124"/>
      <c r="GY136" s="124"/>
      <c r="GZ136" s="124"/>
      <c r="HA136" s="124"/>
      <c r="HB136" s="124"/>
      <c r="HC136" s="124"/>
      <c r="HD136" s="124"/>
      <c r="HE136" s="124"/>
      <c r="HF136" s="124"/>
      <c r="HG136" s="124"/>
      <c r="HH136" s="124"/>
      <c r="HI136" s="124"/>
      <c r="HJ136" s="124"/>
      <c r="HK136" s="124"/>
      <c r="HL136" s="124"/>
      <c r="HM136" s="124"/>
      <c r="HN136" s="124"/>
      <c r="HO136" s="124"/>
      <c r="HP136" s="124"/>
      <c r="HQ136" s="124"/>
    </row>
    <row r="137" spans="1:225" x14ac:dyDescent="0.2">
      <c r="A137" s="122" t="s">
        <v>768</v>
      </c>
      <c r="B137" s="123">
        <v>64</v>
      </c>
      <c r="C137" s="124" t="s">
        <v>295</v>
      </c>
      <c r="D137" s="123">
        <v>128</v>
      </c>
      <c r="E137" s="124" t="s">
        <v>161</v>
      </c>
      <c r="F137" s="123">
        <v>2</v>
      </c>
      <c r="G137" s="123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24"/>
      <c r="BK137" s="124"/>
      <c r="BL137" s="124"/>
      <c r="BM137" s="124"/>
      <c r="BN137" s="124"/>
      <c r="BO137" s="124"/>
      <c r="BP137" s="124"/>
      <c r="BQ137" s="124"/>
      <c r="BR137" s="124"/>
      <c r="BS137" s="124"/>
      <c r="BT137" s="124"/>
      <c r="BU137" s="124"/>
      <c r="BV137" s="124"/>
      <c r="BW137" s="124"/>
      <c r="BX137" s="124"/>
      <c r="BY137" s="124"/>
      <c r="BZ137" s="124"/>
      <c r="CA137" s="124"/>
      <c r="CB137" s="124"/>
      <c r="CC137" s="124"/>
      <c r="CD137" s="124"/>
      <c r="CE137" s="124"/>
      <c r="CF137" s="124"/>
      <c r="CG137" s="124"/>
      <c r="CH137" s="124"/>
      <c r="CI137" s="124"/>
      <c r="CJ137" s="124"/>
      <c r="CK137" s="124"/>
      <c r="CL137" s="124"/>
      <c r="CM137" s="124"/>
      <c r="CN137" s="124"/>
      <c r="CO137" s="124"/>
      <c r="CP137" s="124"/>
      <c r="CQ137" s="124"/>
      <c r="CR137" s="124"/>
      <c r="CS137" s="124"/>
      <c r="CT137" s="124"/>
      <c r="CU137" s="124"/>
      <c r="CV137" s="124"/>
      <c r="CW137" s="124"/>
      <c r="CX137" s="124"/>
      <c r="CY137" s="124"/>
      <c r="CZ137" s="124"/>
      <c r="DA137" s="124"/>
      <c r="DB137" s="124"/>
      <c r="DC137" s="124"/>
      <c r="DD137" s="124"/>
      <c r="DE137" s="124"/>
      <c r="DF137" s="124"/>
      <c r="DG137" s="124"/>
      <c r="DH137" s="124"/>
      <c r="DI137" s="124"/>
      <c r="DJ137" s="124"/>
      <c r="DK137" s="124"/>
      <c r="DL137" s="124"/>
      <c r="DM137" s="124"/>
      <c r="DN137" s="124"/>
      <c r="DO137" s="124"/>
      <c r="DP137" s="124"/>
      <c r="DQ137" s="124"/>
      <c r="DR137" s="124"/>
      <c r="DS137" s="124"/>
      <c r="DT137" s="124"/>
      <c r="DU137" s="124"/>
      <c r="DV137" s="124"/>
      <c r="DW137" s="124"/>
      <c r="DX137" s="124"/>
      <c r="DY137" s="124"/>
      <c r="DZ137" s="124"/>
      <c r="EA137" s="124"/>
      <c r="EB137" s="124"/>
      <c r="EC137" s="124"/>
      <c r="ED137" s="124"/>
      <c r="EE137" s="124"/>
      <c r="EF137" s="124"/>
      <c r="EG137" s="124"/>
      <c r="EH137" s="124"/>
      <c r="EI137" s="124"/>
      <c r="EJ137" s="124"/>
      <c r="EK137" s="124"/>
      <c r="EL137" s="124"/>
      <c r="EM137" s="124"/>
      <c r="EN137" s="124"/>
      <c r="EO137" s="124"/>
      <c r="EP137" s="124"/>
      <c r="EQ137" s="124"/>
      <c r="ER137" s="124"/>
      <c r="ES137" s="124"/>
      <c r="ET137" s="124"/>
      <c r="EU137" s="124"/>
      <c r="EV137" s="124"/>
      <c r="EW137" s="124"/>
      <c r="EX137" s="124"/>
      <c r="EY137" s="124"/>
      <c r="EZ137" s="124"/>
      <c r="FA137" s="124"/>
      <c r="FB137" s="124"/>
      <c r="FC137" s="124"/>
      <c r="FD137" s="124"/>
      <c r="FE137" s="124"/>
      <c r="FF137" s="124"/>
      <c r="FG137" s="124"/>
      <c r="FH137" s="124"/>
      <c r="FI137" s="124"/>
      <c r="FJ137" s="124"/>
      <c r="FK137" s="124"/>
      <c r="FL137" s="124"/>
      <c r="FM137" s="124"/>
      <c r="FN137" s="124"/>
      <c r="FO137" s="124"/>
      <c r="FP137" s="124"/>
      <c r="FQ137" s="124"/>
      <c r="FR137" s="124"/>
      <c r="FS137" s="124"/>
      <c r="FT137" s="124"/>
      <c r="FU137" s="124"/>
      <c r="FV137" s="124"/>
      <c r="FW137" s="124"/>
      <c r="FX137" s="124"/>
      <c r="FY137" s="124"/>
      <c r="FZ137" s="124"/>
      <c r="GA137" s="124"/>
      <c r="GB137" s="124"/>
      <c r="GC137" s="124"/>
      <c r="GD137" s="124"/>
      <c r="GE137" s="124"/>
      <c r="GF137" s="124"/>
      <c r="GG137" s="124"/>
      <c r="GH137" s="124"/>
      <c r="GI137" s="124"/>
      <c r="GJ137" s="124"/>
      <c r="GK137" s="124"/>
      <c r="GL137" s="124"/>
      <c r="GM137" s="124"/>
      <c r="GN137" s="124"/>
      <c r="GO137" s="124"/>
      <c r="GP137" s="124"/>
      <c r="GQ137" s="124"/>
      <c r="GR137" s="124"/>
      <c r="GS137" s="124"/>
      <c r="GT137" s="124"/>
      <c r="GU137" s="124"/>
      <c r="GV137" s="124"/>
      <c r="GW137" s="124"/>
      <c r="GX137" s="124"/>
      <c r="GY137" s="124"/>
      <c r="GZ137" s="124"/>
      <c r="HA137" s="124"/>
      <c r="HB137" s="124"/>
      <c r="HC137" s="124"/>
      <c r="HD137" s="124"/>
      <c r="HE137" s="124"/>
      <c r="HF137" s="124"/>
      <c r="HG137" s="124"/>
      <c r="HH137" s="124"/>
      <c r="HI137" s="124"/>
      <c r="HJ137" s="124"/>
      <c r="HK137" s="124"/>
      <c r="HL137" s="124"/>
      <c r="HM137" s="124"/>
      <c r="HN137" s="124"/>
      <c r="HO137" s="124"/>
      <c r="HP137" s="124"/>
      <c r="HQ137" s="124"/>
    </row>
    <row r="138" spans="1:225" x14ac:dyDescent="0.2">
      <c r="A138" s="122" t="s">
        <v>769</v>
      </c>
      <c r="B138" s="123">
        <v>65</v>
      </c>
      <c r="C138" s="124" t="s">
        <v>296</v>
      </c>
      <c r="D138" s="123">
        <v>129</v>
      </c>
      <c r="E138" s="124" t="s">
        <v>161</v>
      </c>
      <c r="F138" s="123">
        <v>2</v>
      </c>
      <c r="G138" s="123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24"/>
      <c r="BK138" s="124"/>
      <c r="BL138" s="124"/>
      <c r="BM138" s="124"/>
      <c r="BN138" s="124"/>
      <c r="BO138" s="124"/>
      <c r="BP138" s="124"/>
      <c r="BQ138" s="124"/>
      <c r="BR138" s="124"/>
      <c r="BS138" s="124"/>
      <c r="BT138" s="124"/>
      <c r="BU138" s="124"/>
      <c r="BV138" s="124"/>
      <c r="BW138" s="124"/>
      <c r="BX138" s="124"/>
      <c r="BY138" s="124"/>
      <c r="BZ138" s="124"/>
      <c r="CA138" s="124"/>
      <c r="CB138" s="124"/>
      <c r="CC138" s="124"/>
      <c r="CD138" s="124"/>
      <c r="CE138" s="124"/>
      <c r="CF138" s="124"/>
      <c r="CG138" s="124"/>
      <c r="CH138" s="124"/>
      <c r="CI138" s="124"/>
      <c r="CJ138" s="124"/>
      <c r="CK138" s="124"/>
      <c r="CL138" s="124"/>
      <c r="CM138" s="124"/>
      <c r="CN138" s="124"/>
      <c r="CO138" s="124"/>
      <c r="CP138" s="124"/>
      <c r="CQ138" s="124"/>
      <c r="CR138" s="124"/>
      <c r="CS138" s="124"/>
      <c r="CT138" s="124"/>
      <c r="CU138" s="124"/>
      <c r="CV138" s="124"/>
      <c r="CW138" s="124"/>
      <c r="CX138" s="124"/>
      <c r="CY138" s="124"/>
      <c r="CZ138" s="124"/>
      <c r="DA138" s="124"/>
      <c r="DB138" s="124"/>
      <c r="DC138" s="124"/>
      <c r="DD138" s="124"/>
      <c r="DE138" s="124"/>
      <c r="DF138" s="124"/>
      <c r="DG138" s="124"/>
      <c r="DH138" s="124"/>
      <c r="DI138" s="124"/>
      <c r="DJ138" s="124"/>
      <c r="DK138" s="124"/>
      <c r="DL138" s="124"/>
      <c r="DM138" s="124"/>
      <c r="DN138" s="124"/>
      <c r="DO138" s="124"/>
      <c r="DP138" s="124"/>
      <c r="DQ138" s="124"/>
      <c r="DR138" s="124"/>
      <c r="DS138" s="124"/>
      <c r="DT138" s="124"/>
      <c r="DU138" s="124"/>
      <c r="DV138" s="124"/>
      <c r="DW138" s="124"/>
      <c r="DX138" s="124"/>
      <c r="DY138" s="124"/>
      <c r="DZ138" s="124"/>
      <c r="EA138" s="124"/>
      <c r="EB138" s="124"/>
      <c r="EC138" s="124"/>
      <c r="ED138" s="124"/>
      <c r="EE138" s="124"/>
      <c r="EF138" s="124"/>
      <c r="EG138" s="124"/>
      <c r="EH138" s="124"/>
      <c r="EI138" s="124"/>
      <c r="EJ138" s="124"/>
      <c r="EK138" s="124"/>
      <c r="EL138" s="124"/>
      <c r="EM138" s="124"/>
      <c r="EN138" s="124"/>
      <c r="EO138" s="124"/>
      <c r="EP138" s="124"/>
      <c r="EQ138" s="124"/>
      <c r="ER138" s="124"/>
      <c r="ES138" s="124"/>
      <c r="ET138" s="124"/>
      <c r="EU138" s="124"/>
      <c r="EV138" s="124"/>
      <c r="EW138" s="124"/>
      <c r="EX138" s="124"/>
      <c r="EY138" s="124"/>
      <c r="EZ138" s="124"/>
      <c r="FA138" s="124"/>
      <c r="FB138" s="124"/>
      <c r="FC138" s="124"/>
      <c r="FD138" s="124"/>
      <c r="FE138" s="124"/>
      <c r="FF138" s="124"/>
      <c r="FG138" s="124"/>
      <c r="FH138" s="124"/>
      <c r="FI138" s="124"/>
      <c r="FJ138" s="124"/>
      <c r="FK138" s="124"/>
      <c r="FL138" s="124"/>
      <c r="FM138" s="124"/>
      <c r="FN138" s="124"/>
      <c r="FO138" s="124"/>
      <c r="FP138" s="124"/>
      <c r="FQ138" s="124"/>
      <c r="FR138" s="124"/>
      <c r="FS138" s="124"/>
      <c r="FT138" s="124"/>
      <c r="FU138" s="124"/>
      <c r="FV138" s="124"/>
      <c r="FW138" s="124"/>
      <c r="FX138" s="124"/>
      <c r="FY138" s="124"/>
      <c r="FZ138" s="124"/>
      <c r="GA138" s="124"/>
      <c r="GB138" s="124"/>
      <c r="GC138" s="124"/>
      <c r="GD138" s="124"/>
      <c r="GE138" s="124"/>
      <c r="GF138" s="124"/>
      <c r="GG138" s="124"/>
      <c r="GH138" s="124"/>
      <c r="GI138" s="124"/>
      <c r="GJ138" s="124"/>
      <c r="GK138" s="124"/>
      <c r="GL138" s="124"/>
      <c r="GM138" s="124"/>
      <c r="GN138" s="124"/>
      <c r="GO138" s="124"/>
      <c r="GP138" s="124"/>
      <c r="GQ138" s="124"/>
      <c r="GR138" s="124"/>
      <c r="GS138" s="124"/>
      <c r="GT138" s="124"/>
      <c r="GU138" s="124"/>
      <c r="GV138" s="124"/>
      <c r="GW138" s="124"/>
      <c r="GX138" s="124"/>
      <c r="GY138" s="124"/>
      <c r="GZ138" s="124"/>
      <c r="HA138" s="124"/>
      <c r="HB138" s="124"/>
      <c r="HC138" s="124"/>
      <c r="HD138" s="124"/>
      <c r="HE138" s="124"/>
      <c r="HF138" s="124"/>
      <c r="HG138" s="124"/>
      <c r="HH138" s="124"/>
      <c r="HI138" s="124"/>
      <c r="HJ138" s="124"/>
      <c r="HK138" s="124"/>
      <c r="HL138" s="124"/>
      <c r="HM138" s="124"/>
      <c r="HN138" s="124"/>
      <c r="HO138" s="124"/>
      <c r="HP138" s="124"/>
      <c r="HQ138" s="124"/>
    </row>
    <row r="139" spans="1:225" x14ac:dyDescent="0.2">
      <c r="A139" s="122" t="s">
        <v>770</v>
      </c>
      <c r="B139" s="123">
        <v>65</v>
      </c>
      <c r="C139" s="137" t="s">
        <v>297</v>
      </c>
      <c r="D139" s="123">
        <v>130</v>
      </c>
      <c r="E139" s="124" t="s">
        <v>161</v>
      </c>
      <c r="F139" s="123">
        <v>4</v>
      </c>
      <c r="G139" s="123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  <c r="BJ139" s="124"/>
      <c r="BK139" s="124"/>
      <c r="BL139" s="124"/>
      <c r="BM139" s="124"/>
      <c r="BN139" s="124"/>
      <c r="BO139" s="124"/>
      <c r="BP139" s="124"/>
      <c r="BQ139" s="124"/>
      <c r="BR139" s="124"/>
      <c r="BS139" s="124"/>
      <c r="BT139" s="124"/>
      <c r="BU139" s="124"/>
      <c r="BV139" s="124"/>
      <c r="BW139" s="124"/>
      <c r="BX139" s="124"/>
      <c r="BY139" s="124"/>
      <c r="BZ139" s="124"/>
      <c r="CA139" s="124"/>
      <c r="CB139" s="124"/>
      <c r="CC139" s="124"/>
      <c r="CD139" s="124"/>
      <c r="CE139" s="124"/>
      <c r="CF139" s="124"/>
      <c r="CG139" s="124"/>
      <c r="CH139" s="124"/>
      <c r="CI139" s="124"/>
      <c r="CJ139" s="124"/>
      <c r="CK139" s="124"/>
      <c r="CL139" s="124"/>
      <c r="CM139" s="124"/>
      <c r="CN139" s="124"/>
      <c r="CO139" s="124"/>
      <c r="CP139" s="124"/>
      <c r="CQ139" s="124"/>
      <c r="CR139" s="124"/>
      <c r="CS139" s="124"/>
      <c r="CT139" s="124"/>
      <c r="CU139" s="124"/>
      <c r="CV139" s="124"/>
      <c r="CW139" s="124"/>
      <c r="CX139" s="124"/>
      <c r="CY139" s="124"/>
      <c r="CZ139" s="124"/>
      <c r="DA139" s="124"/>
      <c r="DB139" s="124"/>
      <c r="DC139" s="124"/>
      <c r="DD139" s="124"/>
      <c r="DE139" s="124"/>
      <c r="DF139" s="124"/>
      <c r="DG139" s="124"/>
      <c r="DH139" s="124"/>
      <c r="DI139" s="124"/>
      <c r="DJ139" s="124"/>
      <c r="DK139" s="124"/>
      <c r="DL139" s="124"/>
      <c r="DM139" s="124"/>
      <c r="DN139" s="124"/>
      <c r="DO139" s="124"/>
      <c r="DP139" s="124"/>
      <c r="DQ139" s="124"/>
      <c r="DR139" s="124"/>
      <c r="DS139" s="124"/>
      <c r="DT139" s="124"/>
      <c r="DU139" s="124"/>
      <c r="DV139" s="124"/>
      <c r="DW139" s="124"/>
      <c r="DX139" s="124"/>
      <c r="DY139" s="124"/>
      <c r="DZ139" s="124"/>
      <c r="EA139" s="124"/>
      <c r="EB139" s="124"/>
      <c r="EC139" s="124"/>
      <c r="ED139" s="124"/>
      <c r="EE139" s="124"/>
      <c r="EF139" s="124"/>
      <c r="EG139" s="124"/>
      <c r="EH139" s="124"/>
      <c r="EI139" s="124"/>
      <c r="EJ139" s="124"/>
      <c r="EK139" s="124"/>
      <c r="EL139" s="124"/>
      <c r="EM139" s="124"/>
      <c r="EN139" s="124"/>
      <c r="EO139" s="124"/>
      <c r="EP139" s="124"/>
      <c r="EQ139" s="124"/>
      <c r="ER139" s="124"/>
      <c r="ES139" s="124"/>
      <c r="ET139" s="124"/>
      <c r="EU139" s="124"/>
      <c r="EV139" s="124"/>
      <c r="EW139" s="124"/>
      <c r="EX139" s="124"/>
      <c r="EY139" s="124"/>
      <c r="EZ139" s="124"/>
      <c r="FA139" s="124"/>
      <c r="FB139" s="124"/>
      <c r="FC139" s="124"/>
      <c r="FD139" s="124"/>
      <c r="FE139" s="124"/>
      <c r="FF139" s="124"/>
      <c r="FG139" s="124"/>
      <c r="FH139" s="124"/>
      <c r="FI139" s="124"/>
      <c r="FJ139" s="124"/>
      <c r="FK139" s="124"/>
      <c r="FL139" s="124"/>
      <c r="FM139" s="124"/>
      <c r="FN139" s="124"/>
      <c r="FO139" s="124"/>
      <c r="FP139" s="124"/>
      <c r="FQ139" s="124"/>
      <c r="FR139" s="124"/>
      <c r="FS139" s="124"/>
      <c r="FT139" s="124"/>
      <c r="FU139" s="124"/>
      <c r="FV139" s="124"/>
      <c r="FW139" s="124"/>
      <c r="FX139" s="124"/>
      <c r="FY139" s="124"/>
      <c r="FZ139" s="124"/>
      <c r="GA139" s="124"/>
      <c r="GB139" s="124"/>
      <c r="GC139" s="124"/>
      <c r="GD139" s="124"/>
      <c r="GE139" s="124"/>
      <c r="GF139" s="124"/>
      <c r="GG139" s="124"/>
      <c r="GH139" s="124"/>
      <c r="GI139" s="124"/>
      <c r="GJ139" s="124"/>
      <c r="GK139" s="124"/>
      <c r="GL139" s="124"/>
      <c r="GM139" s="124"/>
      <c r="GN139" s="124"/>
      <c r="GO139" s="124"/>
      <c r="GP139" s="124"/>
      <c r="GQ139" s="124"/>
      <c r="GR139" s="124"/>
      <c r="GS139" s="124"/>
      <c r="GT139" s="124"/>
      <c r="GU139" s="124"/>
      <c r="GV139" s="124"/>
      <c r="GW139" s="124"/>
      <c r="GX139" s="124"/>
      <c r="GY139" s="124"/>
      <c r="GZ139" s="124"/>
      <c r="HA139" s="124"/>
      <c r="HB139" s="124"/>
      <c r="HC139" s="124"/>
      <c r="HD139" s="124"/>
      <c r="HE139" s="124"/>
      <c r="HF139" s="124"/>
      <c r="HG139" s="124"/>
      <c r="HH139" s="124"/>
      <c r="HI139" s="124"/>
      <c r="HJ139" s="124"/>
      <c r="HK139" s="124"/>
      <c r="HL139" s="124"/>
      <c r="HM139" s="124"/>
      <c r="HN139" s="124"/>
      <c r="HO139" s="124"/>
      <c r="HP139" s="124"/>
      <c r="HQ139" s="124"/>
    </row>
    <row r="140" spans="1:225" x14ac:dyDescent="0.2">
      <c r="A140" s="122" t="s">
        <v>771</v>
      </c>
      <c r="B140" s="123">
        <v>66</v>
      </c>
      <c r="C140" s="124" t="s">
        <v>298</v>
      </c>
      <c r="D140" s="123">
        <v>131</v>
      </c>
      <c r="E140" s="124" t="s">
        <v>161</v>
      </c>
      <c r="F140" s="123">
        <v>4</v>
      </c>
      <c r="G140" s="123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24"/>
      <c r="BK140" s="124"/>
      <c r="BL140" s="124"/>
      <c r="BM140" s="124"/>
      <c r="BN140" s="124"/>
      <c r="BO140" s="124"/>
      <c r="BP140" s="124"/>
      <c r="BQ140" s="124"/>
      <c r="BR140" s="124"/>
      <c r="BS140" s="124"/>
      <c r="BT140" s="124"/>
      <c r="BU140" s="124"/>
      <c r="BV140" s="124"/>
      <c r="BW140" s="124"/>
      <c r="BX140" s="124"/>
      <c r="BY140" s="124"/>
      <c r="BZ140" s="124"/>
      <c r="CA140" s="124"/>
      <c r="CB140" s="124"/>
      <c r="CC140" s="124"/>
      <c r="CD140" s="124"/>
      <c r="CE140" s="124"/>
      <c r="CF140" s="124"/>
      <c r="CG140" s="124"/>
      <c r="CH140" s="124"/>
      <c r="CI140" s="124"/>
      <c r="CJ140" s="124"/>
      <c r="CK140" s="124"/>
      <c r="CL140" s="124"/>
      <c r="CM140" s="124"/>
      <c r="CN140" s="124"/>
      <c r="CO140" s="124"/>
      <c r="CP140" s="124"/>
      <c r="CQ140" s="124"/>
      <c r="CR140" s="124"/>
      <c r="CS140" s="124"/>
      <c r="CT140" s="124"/>
      <c r="CU140" s="124"/>
      <c r="CV140" s="124"/>
      <c r="CW140" s="124"/>
      <c r="CX140" s="124"/>
      <c r="CY140" s="124"/>
      <c r="CZ140" s="124"/>
      <c r="DA140" s="124"/>
      <c r="DB140" s="124"/>
      <c r="DC140" s="124"/>
      <c r="DD140" s="124"/>
      <c r="DE140" s="124"/>
      <c r="DF140" s="124"/>
      <c r="DG140" s="124"/>
      <c r="DH140" s="124"/>
      <c r="DI140" s="124"/>
      <c r="DJ140" s="124"/>
      <c r="DK140" s="124"/>
      <c r="DL140" s="124"/>
      <c r="DM140" s="124"/>
      <c r="DN140" s="124"/>
      <c r="DO140" s="124"/>
      <c r="DP140" s="124"/>
      <c r="DQ140" s="124"/>
      <c r="DR140" s="124"/>
      <c r="DS140" s="124"/>
      <c r="DT140" s="124"/>
      <c r="DU140" s="124"/>
      <c r="DV140" s="124"/>
      <c r="DW140" s="124"/>
      <c r="DX140" s="124"/>
      <c r="DY140" s="124"/>
      <c r="DZ140" s="124"/>
      <c r="EA140" s="124"/>
      <c r="EB140" s="124"/>
      <c r="EC140" s="124"/>
      <c r="ED140" s="124"/>
      <c r="EE140" s="124"/>
      <c r="EF140" s="124"/>
      <c r="EG140" s="124"/>
      <c r="EH140" s="124"/>
      <c r="EI140" s="124"/>
      <c r="EJ140" s="124"/>
      <c r="EK140" s="124"/>
      <c r="EL140" s="124"/>
      <c r="EM140" s="124"/>
      <c r="EN140" s="124"/>
      <c r="EO140" s="124"/>
      <c r="EP140" s="124"/>
      <c r="EQ140" s="124"/>
      <c r="ER140" s="124"/>
      <c r="ES140" s="124"/>
      <c r="ET140" s="124"/>
      <c r="EU140" s="124"/>
      <c r="EV140" s="124"/>
      <c r="EW140" s="124"/>
      <c r="EX140" s="124"/>
      <c r="EY140" s="124"/>
      <c r="EZ140" s="124"/>
      <c r="FA140" s="124"/>
      <c r="FB140" s="124"/>
      <c r="FC140" s="124"/>
      <c r="FD140" s="124"/>
      <c r="FE140" s="124"/>
      <c r="FF140" s="124"/>
      <c r="FG140" s="124"/>
      <c r="FH140" s="124"/>
      <c r="FI140" s="124"/>
      <c r="FJ140" s="124"/>
      <c r="FK140" s="124"/>
      <c r="FL140" s="124"/>
      <c r="FM140" s="124"/>
      <c r="FN140" s="124"/>
      <c r="FO140" s="124"/>
      <c r="FP140" s="124"/>
      <c r="FQ140" s="124"/>
      <c r="FR140" s="124"/>
      <c r="FS140" s="124"/>
      <c r="FT140" s="124"/>
      <c r="FU140" s="124"/>
      <c r="FV140" s="124"/>
      <c r="FW140" s="124"/>
      <c r="FX140" s="124"/>
      <c r="FY140" s="124"/>
      <c r="FZ140" s="124"/>
      <c r="GA140" s="124"/>
      <c r="GB140" s="124"/>
      <c r="GC140" s="124"/>
      <c r="GD140" s="124"/>
      <c r="GE140" s="124"/>
      <c r="GF140" s="124"/>
      <c r="GG140" s="124"/>
      <c r="GH140" s="124"/>
      <c r="GI140" s="124"/>
      <c r="GJ140" s="124"/>
      <c r="GK140" s="124"/>
      <c r="GL140" s="124"/>
      <c r="GM140" s="124"/>
      <c r="GN140" s="124"/>
      <c r="GO140" s="124"/>
      <c r="GP140" s="124"/>
      <c r="GQ140" s="124"/>
      <c r="GR140" s="124"/>
      <c r="GS140" s="124"/>
      <c r="GT140" s="124"/>
      <c r="GU140" s="124"/>
      <c r="GV140" s="124"/>
      <c r="GW140" s="124"/>
      <c r="GX140" s="124"/>
      <c r="GY140" s="124"/>
      <c r="GZ140" s="124"/>
      <c r="HA140" s="124"/>
      <c r="HB140" s="124"/>
      <c r="HC140" s="124"/>
      <c r="HD140" s="124"/>
      <c r="HE140" s="124"/>
      <c r="HF140" s="124"/>
      <c r="HG140" s="124"/>
      <c r="HH140" s="124"/>
      <c r="HI140" s="124"/>
      <c r="HJ140" s="124"/>
      <c r="HK140" s="124"/>
      <c r="HL140" s="124"/>
      <c r="HM140" s="124"/>
      <c r="HN140" s="124"/>
      <c r="HO140" s="124"/>
      <c r="HP140" s="124"/>
      <c r="HQ140" s="124"/>
    </row>
    <row r="141" spans="1:225" x14ac:dyDescent="0.2">
      <c r="A141" s="122" t="s">
        <v>772</v>
      </c>
      <c r="B141" s="123">
        <v>66</v>
      </c>
      <c r="C141" s="124" t="s">
        <v>299</v>
      </c>
      <c r="D141" s="123">
        <v>132</v>
      </c>
      <c r="E141" s="124" t="s">
        <v>161</v>
      </c>
      <c r="F141" s="123">
        <v>4</v>
      </c>
      <c r="G141" s="123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  <c r="BJ141" s="124"/>
      <c r="BK141" s="124"/>
      <c r="BL141" s="124"/>
      <c r="BM141" s="124"/>
      <c r="BN141" s="124"/>
      <c r="BO141" s="124"/>
      <c r="BP141" s="124"/>
      <c r="BQ141" s="124"/>
      <c r="BR141" s="124"/>
      <c r="BS141" s="124"/>
      <c r="BT141" s="124"/>
      <c r="BU141" s="124"/>
      <c r="BV141" s="124"/>
      <c r="BW141" s="124"/>
      <c r="BX141" s="124"/>
      <c r="BY141" s="124"/>
      <c r="BZ141" s="124"/>
      <c r="CA141" s="124"/>
      <c r="CB141" s="124"/>
      <c r="CC141" s="124"/>
      <c r="CD141" s="124"/>
      <c r="CE141" s="124"/>
      <c r="CF141" s="124"/>
      <c r="CG141" s="124"/>
      <c r="CH141" s="124"/>
      <c r="CI141" s="124"/>
      <c r="CJ141" s="124"/>
      <c r="CK141" s="124"/>
      <c r="CL141" s="124"/>
      <c r="CM141" s="124"/>
      <c r="CN141" s="124"/>
      <c r="CO141" s="124"/>
      <c r="CP141" s="124"/>
      <c r="CQ141" s="124"/>
      <c r="CR141" s="124"/>
      <c r="CS141" s="124"/>
      <c r="CT141" s="124"/>
      <c r="CU141" s="124"/>
      <c r="CV141" s="124"/>
      <c r="CW141" s="124"/>
      <c r="CX141" s="124"/>
      <c r="CY141" s="124"/>
      <c r="CZ141" s="124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4"/>
      <c r="DL141" s="124"/>
      <c r="DM141" s="124"/>
      <c r="DN141" s="124"/>
      <c r="DO141" s="124"/>
      <c r="DP141" s="124"/>
      <c r="DQ141" s="124"/>
      <c r="DR141" s="124"/>
      <c r="DS141" s="124"/>
      <c r="DT141" s="124"/>
      <c r="DU141" s="124"/>
      <c r="DV141" s="124"/>
      <c r="DW141" s="124"/>
      <c r="DX141" s="124"/>
      <c r="DY141" s="124"/>
      <c r="DZ141" s="124"/>
      <c r="EA141" s="124"/>
      <c r="EB141" s="124"/>
      <c r="EC141" s="124"/>
      <c r="ED141" s="124"/>
      <c r="EE141" s="124"/>
      <c r="EF141" s="124"/>
      <c r="EG141" s="124"/>
      <c r="EH141" s="124"/>
      <c r="EI141" s="124"/>
      <c r="EJ141" s="124"/>
      <c r="EK141" s="124"/>
      <c r="EL141" s="124"/>
      <c r="EM141" s="124"/>
      <c r="EN141" s="124"/>
      <c r="EO141" s="124"/>
      <c r="EP141" s="124"/>
      <c r="EQ141" s="124"/>
      <c r="ER141" s="124"/>
      <c r="ES141" s="124"/>
      <c r="ET141" s="124"/>
      <c r="EU141" s="124"/>
      <c r="EV141" s="124"/>
      <c r="EW141" s="124"/>
      <c r="EX141" s="124"/>
      <c r="EY141" s="124"/>
      <c r="EZ141" s="124"/>
      <c r="FA141" s="124"/>
      <c r="FB141" s="124"/>
      <c r="FC141" s="124"/>
      <c r="FD141" s="124"/>
      <c r="FE141" s="124"/>
      <c r="FF141" s="124"/>
      <c r="FG141" s="124"/>
      <c r="FH141" s="124"/>
      <c r="FI141" s="124"/>
      <c r="FJ141" s="124"/>
      <c r="FK141" s="124"/>
      <c r="FL141" s="124"/>
      <c r="FM141" s="124"/>
      <c r="FN141" s="124"/>
      <c r="FO141" s="124"/>
      <c r="FP141" s="124"/>
      <c r="FQ141" s="124"/>
      <c r="FR141" s="124"/>
      <c r="FS141" s="124"/>
      <c r="FT141" s="124"/>
      <c r="FU141" s="124"/>
      <c r="FV141" s="124"/>
      <c r="FW141" s="124"/>
      <c r="FX141" s="124"/>
      <c r="FY141" s="124"/>
      <c r="FZ141" s="124"/>
      <c r="GA141" s="124"/>
      <c r="GB141" s="124"/>
      <c r="GC141" s="124"/>
      <c r="GD141" s="124"/>
      <c r="GE141" s="124"/>
      <c r="GF141" s="124"/>
      <c r="GG141" s="124"/>
      <c r="GH141" s="124"/>
      <c r="GI141" s="124"/>
      <c r="GJ141" s="124"/>
      <c r="GK141" s="124"/>
      <c r="GL141" s="124"/>
      <c r="GM141" s="124"/>
      <c r="GN141" s="124"/>
      <c r="GO141" s="124"/>
      <c r="GP141" s="124"/>
      <c r="GQ141" s="124"/>
      <c r="GR141" s="124"/>
      <c r="GS141" s="124"/>
      <c r="GT141" s="124"/>
      <c r="GU141" s="124"/>
      <c r="GV141" s="124"/>
      <c r="GW141" s="124"/>
      <c r="GX141" s="124"/>
      <c r="GY141" s="124"/>
      <c r="GZ141" s="124"/>
      <c r="HA141" s="124"/>
      <c r="HB141" s="124"/>
      <c r="HC141" s="124"/>
      <c r="HD141" s="124"/>
      <c r="HE141" s="124"/>
      <c r="HF141" s="124"/>
      <c r="HG141" s="124"/>
      <c r="HH141" s="124"/>
      <c r="HI141" s="124"/>
      <c r="HJ141" s="124"/>
      <c r="HK141" s="124"/>
      <c r="HL141" s="124"/>
      <c r="HM141" s="124"/>
      <c r="HN141" s="124"/>
      <c r="HO141" s="124"/>
      <c r="HP141" s="124"/>
      <c r="HQ141" s="124"/>
    </row>
    <row r="142" spans="1:225" x14ac:dyDescent="0.2">
      <c r="A142" s="122" t="s">
        <v>773</v>
      </c>
      <c r="B142" s="123">
        <v>67</v>
      </c>
      <c r="C142" s="124" t="s">
        <v>300</v>
      </c>
      <c r="D142" s="123">
        <v>133</v>
      </c>
      <c r="E142" s="124" t="s">
        <v>161</v>
      </c>
      <c r="F142" s="123">
        <v>5</v>
      </c>
      <c r="G142" s="123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  <c r="BJ142" s="124"/>
      <c r="BK142" s="124"/>
      <c r="BL142" s="124"/>
      <c r="BM142" s="124"/>
      <c r="BN142" s="124"/>
      <c r="BO142" s="124"/>
      <c r="BP142" s="124"/>
      <c r="BQ142" s="124"/>
      <c r="BR142" s="124"/>
      <c r="BS142" s="124"/>
      <c r="BT142" s="124"/>
      <c r="BU142" s="124"/>
      <c r="BV142" s="124"/>
      <c r="BW142" s="124"/>
      <c r="BX142" s="124"/>
      <c r="BY142" s="124"/>
      <c r="BZ142" s="124"/>
      <c r="CA142" s="124"/>
      <c r="CB142" s="124"/>
      <c r="CC142" s="124"/>
      <c r="CD142" s="124"/>
      <c r="CE142" s="124"/>
      <c r="CF142" s="124"/>
      <c r="CG142" s="124"/>
      <c r="CH142" s="124"/>
      <c r="CI142" s="124"/>
      <c r="CJ142" s="124"/>
      <c r="CK142" s="124"/>
      <c r="CL142" s="124"/>
      <c r="CM142" s="124"/>
      <c r="CN142" s="124"/>
      <c r="CO142" s="124"/>
      <c r="CP142" s="124"/>
      <c r="CQ142" s="124"/>
      <c r="CR142" s="124"/>
      <c r="CS142" s="124"/>
      <c r="CT142" s="124"/>
      <c r="CU142" s="124"/>
      <c r="CV142" s="124"/>
      <c r="CW142" s="124"/>
      <c r="CX142" s="124"/>
      <c r="CY142" s="124"/>
      <c r="CZ142" s="124"/>
      <c r="DA142" s="124"/>
      <c r="DB142" s="124"/>
      <c r="DC142" s="124"/>
      <c r="DD142" s="124"/>
      <c r="DE142" s="124"/>
      <c r="DF142" s="124"/>
      <c r="DG142" s="124"/>
      <c r="DH142" s="124"/>
      <c r="DI142" s="124"/>
      <c r="DJ142" s="124"/>
      <c r="DK142" s="124"/>
      <c r="DL142" s="124"/>
      <c r="DM142" s="124"/>
      <c r="DN142" s="124"/>
      <c r="DO142" s="124"/>
      <c r="DP142" s="124"/>
      <c r="DQ142" s="124"/>
      <c r="DR142" s="124"/>
      <c r="DS142" s="124"/>
      <c r="DT142" s="124"/>
      <c r="DU142" s="124"/>
      <c r="DV142" s="124"/>
      <c r="DW142" s="124"/>
      <c r="DX142" s="124"/>
      <c r="DY142" s="124"/>
      <c r="DZ142" s="124"/>
      <c r="EA142" s="124"/>
      <c r="EB142" s="124"/>
      <c r="EC142" s="124"/>
      <c r="ED142" s="124"/>
      <c r="EE142" s="124"/>
      <c r="EF142" s="124"/>
      <c r="EG142" s="124"/>
      <c r="EH142" s="124"/>
      <c r="EI142" s="124"/>
      <c r="EJ142" s="124"/>
      <c r="EK142" s="124"/>
      <c r="EL142" s="124"/>
      <c r="EM142" s="124"/>
      <c r="EN142" s="124"/>
      <c r="EO142" s="124"/>
      <c r="EP142" s="124"/>
      <c r="EQ142" s="124"/>
      <c r="ER142" s="124"/>
      <c r="ES142" s="124"/>
      <c r="ET142" s="124"/>
      <c r="EU142" s="124"/>
      <c r="EV142" s="124"/>
      <c r="EW142" s="124"/>
      <c r="EX142" s="124"/>
      <c r="EY142" s="124"/>
      <c r="EZ142" s="124"/>
      <c r="FA142" s="124"/>
      <c r="FB142" s="124"/>
      <c r="FC142" s="124"/>
      <c r="FD142" s="124"/>
      <c r="FE142" s="124"/>
      <c r="FF142" s="124"/>
      <c r="FG142" s="124"/>
      <c r="FH142" s="124"/>
      <c r="FI142" s="124"/>
      <c r="FJ142" s="124"/>
      <c r="FK142" s="124"/>
      <c r="FL142" s="124"/>
      <c r="FM142" s="124"/>
      <c r="FN142" s="124"/>
      <c r="FO142" s="124"/>
      <c r="FP142" s="124"/>
      <c r="FQ142" s="124"/>
      <c r="FR142" s="124"/>
      <c r="FS142" s="124"/>
      <c r="FT142" s="124"/>
      <c r="FU142" s="124"/>
      <c r="FV142" s="124"/>
      <c r="FW142" s="124"/>
      <c r="FX142" s="124"/>
      <c r="FY142" s="124"/>
      <c r="FZ142" s="124"/>
      <c r="GA142" s="124"/>
      <c r="GB142" s="124"/>
      <c r="GC142" s="124"/>
      <c r="GD142" s="124"/>
      <c r="GE142" s="124"/>
      <c r="GF142" s="124"/>
      <c r="GG142" s="124"/>
      <c r="GH142" s="124"/>
      <c r="GI142" s="124"/>
      <c r="GJ142" s="124"/>
      <c r="GK142" s="124"/>
      <c r="GL142" s="124"/>
      <c r="GM142" s="124"/>
      <c r="GN142" s="124"/>
      <c r="GO142" s="124"/>
      <c r="GP142" s="124"/>
      <c r="GQ142" s="124"/>
      <c r="GR142" s="124"/>
      <c r="GS142" s="124"/>
      <c r="GT142" s="124"/>
      <c r="GU142" s="124"/>
      <c r="GV142" s="124"/>
      <c r="GW142" s="124"/>
      <c r="GX142" s="124"/>
      <c r="GY142" s="124"/>
      <c r="GZ142" s="124"/>
      <c r="HA142" s="124"/>
      <c r="HB142" s="124"/>
      <c r="HC142" s="124"/>
      <c r="HD142" s="124"/>
      <c r="HE142" s="124"/>
      <c r="HF142" s="124"/>
      <c r="HG142" s="124"/>
      <c r="HH142" s="124"/>
      <c r="HI142" s="124"/>
      <c r="HJ142" s="124"/>
      <c r="HK142" s="124"/>
      <c r="HL142" s="124"/>
      <c r="HM142" s="124"/>
      <c r="HN142" s="124"/>
      <c r="HO142" s="124"/>
      <c r="HP142" s="124"/>
      <c r="HQ142" s="124"/>
    </row>
    <row r="143" spans="1:225" x14ac:dyDescent="0.2">
      <c r="A143" s="122" t="s">
        <v>774</v>
      </c>
      <c r="B143" s="123">
        <v>67</v>
      </c>
      <c r="C143" s="124" t="s">
        <v>301</v>
      </c>
      <c r="D143" s="123">
        <v>134</v>
      </c>
      <c r="E143" s="124" t="s">
        <v>161</v>
      </c>
      <c r="F143" s="123">
        <v>3</v>
      </c>
      <c r="G143" s="123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  <c r="BJ143" s="124"/>
      <c r="BK143" s="124"/>
      <c r="BL143" s="124"/>
      <c r="BM143" s="124"/>
      <c r="BN143" s="124"/>
      <c r="BO143" s="124"/>
      <c r="BP143" s="124"/>
      <c r="BQ143" s="124"/>
      <c r="BR143" s="124"/>
      <c r="BS143" s="124"/>
      <c r="BT143" s="124"/>
      <c r="BU143" s="124"/>
      <c r="BV143" s="124"/>
      <c r="BW143" s="124"/>
      <c r="BX143" s="124"/>
      <c r="BY143" s="124"/>
      <c r="BZ143" s="124"/>
      <c r="CA143" s="124"/>
      <c r="CB143" s="124"/>
      <c r="CC143" s="124"/>
      <c r="CD143" s="124"/>
      <c r="CE143" s="124"/>
      <c r="CF143" s="124"/>
      <c r="CG143" s="124"/>
      <c r="CH143" s="124"/>
      <c r="CI143" s="124"/>
      <c r="CJ143" s="124"/>
      <c r="CK143" s="124"/>
      <c r="CL143" s="124"/>
      <c r="CM143" s="124"/>
      <c r="CN143" s="124"/>
      <c r="CO143" s="124"/>
      <c r="CP143" s="124"/>
      <c r="CQ143" s="124"/>
      <c r="CR143" s="124"/>
      <c r="CS143" s="124"/>
      <c r="CT143" s="124"/>
      <c r="CU143" s="124"/>
      <c r="CV143" s="124"/>
      <c r="CW143" s="124"/>
      <c r="CX143" s="124"/>
      <c r="CY143" s="124"/>
      <c r="CZ143" s="124"/>
      <c r="DA143" s="124"/>
      <c r="DB143" s="124"/>
      <c r="DC143" s="124"/>
      <c r="DD143" s="124"/>
      <c r="DE143" s="124"/>
      <c r="DF143" s="124"/>
      <c r="DG143" s="124"/>
      <c r="DH143" s="124"/>
      <c r="DI143" s="124"/>
      <c r="DJ143" s="124"/>
      <c r="DK143" s="124"/>
      <c r="DL143" s="124"/>
      <c r="DM143" s="124"/>
      <c r="DN143" s="124"/>
      <c r="DO143" s="124"/>
      <c r="DP143" s="124"/>
      <c r="DQ143" s="124"/>
      <c r="DR143" s="124"/>
      <c r="DS143" s="124"/>
      <c r="DT143" s="124"/>
      <c r="DU143" s="124"/>
      <c r="DV143" s="124"/>
      <c r="DW143" s="124"/>
      <c r="DX143" s="124"/>
      <c r="DY143" s="124"/>
      <c r="DZ143" s="124"/>
      <c r="EA143" s="124"/>
      <c r="EB143" s="124"/>
      <c r="EC143" s="124"/>
      <c r="ED143" s="124"/>
      <c r="EE143" s="124"/>
      <c r="EF143" s="124"/>
      <c r="EG143" s="124"/>
      <c r="EH143" s="124"/>
      <c r="EI143" s="124"/>
      <c r="EJ143" s="124"/>
      <c r="EK143" s="124"/>
      <c r="EL143" s="124"/>
      <c r="EM143" s="124"/>
      <c r="EN143" s="124"/>
      <c r="EO143" s="124"/>
      <c r="EP143" s="124"/>
      <c r="EQ143" s="124"/>
      <c r="ER143" s="124"/>
      <c r="ES143" s="124"/>
      <c r="ET143" s="124"/>
      <c r="EU143" s="124"/>
      <c r="EV143" s="124"/>
      <c r="EW143" s="124"/>
      <c r="EX143" s="124"/>
      <c r="EY143" s="124"/>
      <c r="EZ143" s="124"/>
      <c r="FA143" s="124"/>
      <c r="FB143" s="124"/>
      <c r="FC143" s="124"/>
      <c r="FD143" s="124"/>
      <c r="FE143" s="124"/>
      <c r="FF143" s="124"/>
      <c r="FG143" s="124"/>
      <c r="FH143" s="124"/>
      <c r="FI143" s="124"/>
      <c r="FJ143" s="124"/>
      <c r="FK143" s="124"/>
      <c r="FL143" s="124"/>
      <c r="FM143" s="124"/>
      <c r="FN143" s="124"/>
      <c r="FO143" s="124"/>
      <c r="FP143" s="124"/>
      <c r="FQ143" s="124"/>
      <c r="FR143" s="124"/>
      <c r="FS143" s="124"/>
      <c r="FT143" s="124"/>
      <c r="FU143" s="124"/>
      <c r="FV143" s="124"/>
      <c r="FW143" s="124"/>
      <c r="FX143" s="124"/>
      <c r="FY143" s="124"/>
      <c r="FZ143" s="124"/>
      <c r="GA143" s="124"/>
      <c r="GB143" s="124"/>
      <c r="GC143" s="124"/>
      <c r="GD143" s="124"/>
      <c r="GE143" s="124"/>
      <c r="GF143" s="124"/>
      <c r="GG143" s="124"/>
      <c r="GH143" s="124"/>
      <c r="GI143" s="124"/>
      <c r="GJ143" s="124"/>
      <c r="GK143" s="124"/>
      <c r="GL143" s="124"/>
      <c r="GM143" s="124"/>
      <c r="GN143" s="124"/>
      <c r="GO143" s="124"/>
      <c r="GP143" s="124"/>
      <c r="GQ143" s="124"/>
      <c r="GR143" s="124"/>
      <c r="GS143" s="124"/>
      <c r="GT143" s="124"/>
      <c r="GU143" s="124"/>
      <c r="GV143" s="124"/>
      <c r="GW143" s="124"/>
      <c r="GX143" s="124"/>
      <c r="GY143" s="124"/>
      <c r="GZ143" s="124"/>
      <c r="HA143" s="124"/>
      <c r="HB143" s="124"/>
      <c r="HC143" s="124"/>
      <c r="HD143" s="124"/>
      <c r="HE143" s="124"/>
      <c r="HF143" s="124"/>
      <c r="HG143" s="124"/>
      <c r="HH143" s="124"/>
      <c r="HI143" s="124"/>
      <c r="HJ143" s="124"/>
      <c r="HK143" s="124"/>
      <c r="HL143" s="124"/>
      <c r="HM143" s="124"/>
      <c r="HN143" s="124"/>
      <c r="HO143" s="124"/>
      <c r="HP143" s="124"/>
      <c r="HQ143" s="124"/>
    </row>
    <row r="144" spans="1:225" x14ac:dyDescent="0.2">
      <c r="A144" s="122" t="s">
        <v>775</v>
      </c>
      <c r="B144" s="123">
        <v>68</v>
      </c>
      <c r="C144" s="124" t="s">
        <v>302</v>
      </c>
      <c r="D144" s="123">
        <v>135</v>
      </c>
      <c r="E144" s="124" t="s">
        <v>161</v>
      </c>
      <c r="F144" s="123">
        <v>3</v>
      </c>
      <c r="G144" s="123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  <c r="BJ144" s="124"/>
      <c r="BK144" s="124"/>
      <c r="BL144" s="124"/>
      <c r="BM144" s="124"/>
      <c r="BN144" s="124"/>
      <c r="BO144" s="124"/>
      <c r="BP144" s="124"/>
      <c r="BQ144" s="124"/>
      <c r="BR144" s="124"/>
      <c r="BS144" s="124"/>
      <c r="BT144" s="124"/>
      <c r="BU144" s="124"/>
      <c r="BV144" s="124"/>
      <c r="BW144" s="124"/>
      <c r="BX144" s="124"/>
      <c r="BY144" s="124"/>
      <c r="BZ144" s="124"/>
      <c r="CA144" s="124"/>
      <c r="CB144" s="124"/>
      <c r="CC144" s="124"/>
      <c r="CD144" s="124"/>
      <c r="CE144" s="124"/>
      <c r="CF144" s="124"/>
      <c r="CG144" s="124"/>
      <c r="CH144" s="124"/>
      <c r="CI144" s="124"/>
      <c r="CJ144" s="124"/>
      <c r="CK144" s="124"/>
      <c r="CL144" s="124"/>
      <c r="CM144" s="124"/>
      <c r="CN144" s="124"/>
      <c r="CO144" s="124"/>
      <c r="CP144" s="124"/>
      <c r="CQ144" s="124"/>
      <c r="CR144" s="124"/>
      <c r="CS144" s="124"/>
      <c r="CT144" s="124"/>
      <c r="CU144" s="124"/>
      <c r="CV144" s="124"/>
      <c r="CW144" s="124"/>
      <c r="CX144" s="124"/>
      <c r="CY144" s="124"/>
      <c r="CZ144" s="124"/>
      <c r="DA144" s="124"/>
      <c r="DB144" s="124"/>
      <c r="DC144" s="124"/>
      <c r="DD144" s="124"/>
      <c r="DE144" s="124"/>
      <c r="DF144" s="124"/>
      <c r="DG144" s="124"/>
      <c r="DH144" s="124"/>
      <c r="DI144" s="124"/>
      <c r="DJ144" s="124"/>
      <c r="DK144" s="124"/>
      <c r="DL144" s="124"/>
      <c r="DM144" s="124"/>
      <c r="DN144" s="124"/>
      <c r="DO144" s="124"/>
      <c r="DP144" s="124"/>
      <c r="DQ144" s="124"/>
      <c r="DR144" s="124"/>
      <c r="DS144" s="124"/>
      <c r="DT144" s="124"/>
      <c r="DU144" s="124"/>
      <c r="DV144" s="124"/>
      <c r="DW144" s="124"/>
      <c r="DX144" s="124"/>
      <c r="DY144" s="124"/>
      <c r="DZ144" s="124"/>
      <c r="EA144" s="124"/>
      <c r="EB144" s="124"/>
      <c r="EC144" s="124"/>
      <c r="ED144" s="124"/>
      <c r="EE144" s="124"/>
      <c r="EF144" s="124"/>
      <c r="EG144" s="124"/>
      <c r="EH144" s="124"/>
      <c r="EI144" s="124"/>
      <c r="EJ144" s="124"/>
      <c r="EK144" s="124"/>
      <c r="EL144" s="124"/>
      <c r="EM144" s="124"/>
      <c r="EN144" s="124"/>
      <c r="EO144" s="124"/>
      <c r="EP144" s="124"/>
      <c r="EQ144" s="124"/>
      <c r="ER144" s="124"/>
      <c r="ES144" s="124"/>
      <c r="ET144" s="124"/>
      <c r="EU144" s="124"/>
      <c r="EV144" s="124"/>
      <c r="EW144" s="124"/>
      <c r="EX144" s="124"/>
      <c r="EY144" s="124"/>
      <c r="EZ144" s="124"/>
      <c r="FA144" s="124"/>
      <c r="FB144" s="124"/>
      <c r="FC144" s="124"/>
      <c r="FD144" s="124"/>
      <c r="FE144" s="124"/>
      <c r="FF144" s="124"/>
      <c r="FG144" s="124"/>
      <c r="FH144" s="124"/>
      <c r="FI144" s="124"/>
      <c r="FJ144" s="124"/>
      <c r="FK144" s="124"/>
      <c r="FL144" s="124"/>
      <c r="FM144" s="124"/>
      <c r="FN144" s="124"/>
      <c r="FO144" s="124"/>
      <c r="FP144" s="124"/>
      <c r="FQ144" s="124"/>
      <c r="FR144" s="124"/>
      <c r="FS144" s="124"/>
      <c r="FT144" s="124"/>
      <c r="FU144" s="124"/>
      <c r="FV144" s="124"/>
      <c r="FW144" s="124"/>
      <c r="FX144" s="124"/>
      <c r="FY144" s="124"/>
      <c r="FZ144" s="124"/>
      <c r="GA144" s="124"/>
      <c r="GB144" s="124"/>
      <c r="GC144" s="124"/>
      <c r="GD144" s="124"/>
      <c r="GE144" s="124"/>
      <c r="GF144" s="124"/>
      <c r="GG144" s="124"/>
      <c r="GH144" s="124"/>
      <c r="GI144" s="124"/>
      <c r="GJ144" s="124"/>
      <c r="GK144" s="124"/>
      <c r="GL144" s="124"/>
      <c r="GM144" s="124"/>
      <c r="GN144" s="124"/>
      <c r="GO144" s="124"/>
      <c r="GP144" s="124"/>
      <c r="GQ144" s="124"/>
      <c r="GR144" s="124"/>
      <c r="GS144" s="124"/>
      <c r="GT144" s="124"/>
      <c r="GU144" s="124"/>
      <c r="GV144" s="124"/>
      <c r="GW144" s="124"/>
      <c r="GX144" s="124"/>
      <c r="GY144" s="124"/>
      <c r="GZ144" s="124"/>
      <c r="HA144" s="124"/>
      <c r="HB144" s="124"/>
      <c r="HC144" s="124"/>
      <c r="HD144" s="124"/>
      <c r="HE144" s="124"/>
      <c r="HF144" s="124"/>
      <c r="HG144" s="124"/>
      <c r="HH144" s="124"/>
      <c r="HI144" s="124"/>
      <c r="HJ144" s="124"/>
      <c r="HK144" s="124"/>
      <c r="HL144" s="124"/>
      <c r="HM144" s="124"/>
      <c r="HN144" s="124"/>
      <c r="HO144" s="124"/>
      <c r="HP144" s="124"/>
      <c r="HQ144" s="124"/>
    </row>
    <row r="145" spans="1:225" x14ac:dyDescent="0.2">
      <c r="A145" s="122" t="s">
        <v>776</v>
      </c>
      <c r="B145" s="123">
        <v>68</v>
      </c>
      <c r="C145" s="124" t="s">
        <v>303</v>
      </c>
      <c r="D145" s="123">
        <v>136</v>
      </c>
      <c r="E145" s="124" t="s">
        <v>161</v>
      </c>
      <c r="F145" s="123">
        <v>4</v>
      </c>
      <c r="G145" s="123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  <c r="BJ145" s="124"/>
      <c r="BK145" s="124"/>
      <c r="BL145" s="124"/>
      <c r="BM145" s="124"/>
      <c r="BN145" s="124"/>
      <c r="BO145" s="124"/>
      <c r="BP145" s="124"/>
      <c r="BQ145" s="124"/>
      <c r="BR145" s="124"/>
      <c r="BS145" s="124"/>
      <c r="BT145" s="124"/>
      <c r="BU145" s="124"/>
      <c r="BV145" s="124"/>
      <c r="BW145" s="124"/>
      <c r="BX145" s="124"/>
      <c r="BY145" s="124"/>
      <c r="BZ145" s="124"/>
      <c r="CA145" s="124"/>
      <c r="CB145" s="124"/>
      <c r="CC145" s="124"/>
      <c r="CD145" s="124"/>
      <c r="CE145" s="124"/>
      <c r="CF145" s="124"/>
      <c r="CG145" s="124"/>
      <c r="CH145" s="124"/>
      <c r="CI145" s="124"/>
      <c r="CJ145" s="124"/>
      <c r="CK145" s="124"/>
      <c r="CL145" s="124"/>
      <c r="CM145" s="124"/>
      <c r="CN145" s="124"/>
      <c r="CO145" s="124"/>
      <c r="CP145" s="124"/>
      <c r="CQ145" s="124"/>
      <c r="CR145" s="124"/>
      <c r="CS145" s="124"/>
      <c r="CT145" s="124"/>
      <c r="CU145" s="124"/>
      <c r="CV145" s="124"/>
      <c r="CW145" s="124"/>
      <c r="CX145" s="124"/>
      <c r="CY145" s="124"/>
      <c r="CZ145" s="124"/>
      <c r="DA145" s="124"/>
      <c r="DB145" s="124"/>
      <c r="DC145" s="124"/>
      <c r="DD145" s="124"/>
      <c r="DE145" s="124"/>
      <c r="DF145" s="124"/>
      <c r="DG145" s="124"/>
      <c r="DH145" s="124"/>
      <c r="DI145" s="124"/>
      <c r="DJ145" s="124"/>
      <c r="DK145" s="124"/>
      <c r="DL145" s="124"/>
      <c r="DM145" s="124"/>
      <c r="DN145" s="124"/>
      <c r="DO145" s="124"/>
      <c r="DP145" s="124"/>
      <c r="DQ145" s="124"/>
      <c r="DR145" s="124"/>
      <c r="DS145" s="124"/>
      <c r="DT145" s="124"/>
      <c r="DU145" s="124"/>
      <c r="DV145" s="124"/>
      <c r="DW145" s="124"/>
      <c r="DX145" s="124"/>
      <c r="DY145" s="124"/>
      <c r="DZ145" s="124"/>
      <c r="EA145" s="124"/>
      <c r="EB145" s="124"/>
      <c r="EC145" s="124"/>
      <c r="ED145" s="124"/>
      <c r="EE145" s="124"/>
      <c r="EF145" s="124"/>
      <c r="EG145" s="124"/>
      <c r="EH145" s="124"/>
      <c r="EI145" s="124"/>
      <c r="EJ145" s="124"/>
      <c r="EK145" s="124"/>
      <c r="EL145" s="124"/>
      <c r="EM145" s="124"/>
      <c r="EN145" s="124"/>
      <c r="EO145" s="124"/>
      <c r="EP145" s="124"/>
      <c r="EQ145" s="124"/>
      <c r="ER145" s="124"/>
      <c r="ES145" s="124"/>
      <c r="ET145" s="124"/>
      <c r="EU145" s="124"/>
      <c r="EV145" s="124"/>
      <c r="EW145" s="124"/>
      <c r="EX145" s="124"/>
      <c r="EY145" s="124"/>
      <c r="EZ145" s="124"/>
      <c r="FA145" s="124"/>
      <c r="FB145" s="124"/>
      <c r="FC145" s="124"/>
      <c r="FD145" s="124"/>
      <c r="FE145" s="124"/>
      <c r="FF145" s="124"/>
      <c r="FG145" s="124"/>
      <c r="FH145" s="124"/>
      <c r="FI145" s="124"/>
      <c r="FJ145" s="124"/>
      <c r="FK145" s="124"/>
      <c r="FL145" s="124"/>
      <c r="FM145" s="124"/>
      <c r="FN145" s="124"/>
      <c r="FO145" s="124"/>
      <c r="FP145" s="124"/>
      <c r="FQ145" s="124"/>
      <c r="FR145" s="124"/>
      <c r="FS145" s="124"/>
      <c r="FT145" s="124"/>
      <c r="FU145" s="124"/>
      <c r="FV145" s="124"/>
      <c r="FW145" s="124"/>
      <c r="FX145" s="124"/>
      <c r="FY145" s="124"/>
      <c r="FZ145" s="124"/>
      <c r="GA145" s="124"/>
      <c r="GB145" s="124"/>
      <c r="GC145" s="124"/>
      <c r="GD145" s="124"/>
      <c r="GE145" s="124"/>
      <c r="GF145" s="124"/>
      <c r="GG145" s="124"/>
      <c r="GH145" s="124"/>
      <c r="GI145" s="124"/>
      <c r="GJ145" s="124"/>
      <c r="GK145" s="124"/>
      <c r="GL145" s="124"/>
      <c r="GM145" s="124"/>
      <c r="GN145" s="124"/>
      <c r="GO145" s="124"/>
      <c r="GP145" s="124"/>
      <c r="GQ145" s="124"/>
      <c r="GR145" s="124"/>
      <c r="GS145" s="124"/>
      <c r="GT145" s="124"/>
      <c r="GU145" s="124"/>
      <c r="GV145" s="124"/>
      <c r="GW145" s="124"/>
      <c r="GX145" s="124"/>
      <c r="GY145" s="124"/>
      <c r="GZ145" s="124"/>
      <c r="HA145" s="124"/>
      <c r="HB145" s="124"/>
      <c r="HC145" s="124"/>
      <c r="HD145" s="124"/>
      <c r="HE145" s="124"/>
      <c r="HF145" s="124"/>
      <c r="HG145" s="124"/>
      <c r="HH145" s="124"/>
      <c r="HI145" s="124"/>
      <c r="HJ145" s="124"/>
      <c r="HK145" s="124"/>
      <c r="HL145" s="124"/>
      <c r="HM145" s="124"/>
      <c r="HN145" s="124"/>
      <c r="HO145" s="124"/>
      <c r="HP145" s="124"/>
      <c r="HQ145" s="124"/>
    </row>
    <row r="146" spans="1:225" x14ac:dyDescent="0.2">
      <c r="A146" s="122" t="s">
        <v>777</v>
      </c>
      <c r="B146" s="123">
        <v>69</v>
      </c>
      <c r="C146" s="124" t="s">
        <v>304</v>
      </c>
      <c r="D146" s="123">
        <v>137</v>
      </c>
      <c r="E146" s="124" t="s">
        <v>161</v>
      </c>
      <c r="F146" s="123">
        <v>4</v>
      </c>
      <c r="G146" s="123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24"/>
      <c r="BK146" s="124"/>
      <c r="BL146" s="124"/>
      <c r="BM146" s="124"/>
      <c r="BN146" s="124"/>
      <c r="BO146" s="124"/>
      <c r="BP146" s="124"/>
      <c r="BQ146" s="124"/>
      <c r="BR146" s="124"/>
      <c r="BS146" s="124"/>
      <c r="BT146" s="124"/>
      <c r="BU146" s="124"/>
      <c r="BV146" s="124"/>
      <c r="BW146" s="124"/>
      <c r="BX146" s="124"/>
      <c r="BY146" s="124"/>
      <c r="BZ146" s="124"/>
      <c r="CA146" s="124"/>
      <c r="CB146" s="124"/>
      <c r="CC146" s="124"/>
      <c r="CD146" s="124"/>
      <c r="CE146" s="124"/>
      <c r="CF146" s="124"/>
      <c r="CG146" s="124"/>
      <c r="CH146" s="124"/>
      <c r="CI146" s="124"/>
      <c r="CJ146" s="124"/>
      <c r="CK146" s="124"/>
      <c r="CL146" s="124"/>
      <c r="CM146" s="124"/>
      <c r="CN146" s="124"/>
      <c r="CO146" s="124"/>
      <c r="CP146" s="124"/>
      <c r="CQ146" s="124"/>
      <c r="CR146" s="124"/>
      <c r="CS146" s="124"/>
      <c r="CT146" s="124"/>
      <c r="CU146" s="124"/>
      <c r="CV146" s="124"/>
      <c r="CW146" s="124"/>
      <c r="CX146" s="124"/>
      <c r="CY146" s="124"/>
      <c r="CZ146" s="124"/>
      <c r="DA146" s="124"/>
      <c r="DB146" s="124"/>
      <c r="DC146" s="124"/>
      <c r="DD146" s="124"/>
      <c r="DE146" s="124"/>
      <c r="DF146" s="124"/>
      <c r="DG146" s="124"/>
      <c r="DH146" s="124"/>
      <c r="DI146" s="124"/>
      <c r="DJ146" s="124"/>
      <c r="DK146" s="124"/>
      <c r="DL146" s="124"/>
      <c r="DM146" s="124"/>
      <c r="DN146" s="124"/>
      <c r="DO146" s="124"/>
      <c r="DP146" s="124"/>
      <c r="DQ146" s="124"/>
      <c r="DR146" s="124"/>
      <c r="DS146" s="124"/>
      <c r="DT146" s="124"/>
      <c r="DU146" s="124"/>
      <c r="DV146" s="124"/>
      <c r="DW146" s="124"/>
      <c r="DX146" s="124"/>
      <c r="DY146" s="124"/>
      <c r="DZ146" s="124"/>
      <c r="EA146" s="124"/>
      <c r="EB146" s="124"/>
      <c r="EC146" s="124"/>
      <c r="ED146" s="124"/>
      <c r="EE146" s="124"/>
      <c r="EF146" s="124"/>
      <c r="EG146" s="124"/>
      <c r="EH146" s="124"/>
      <c r="EI146" s="124"/>
      <c r="EJ146" s="124"/>
      <c r="EK146" s="124"/>
      <c r="EL146" s="124"/>
      <c r="EM146" s="124"/>
      <c r="EN146" s="124"/>
      <c r="EO146" s="124"/>
      <c r="EP146" s="124"/>
      <c r="EQ146" s="124"/>
      <c r="ER146" s="124"/>
      <c r="ES146" s="124"/>
      <c r="ET146" s="124"/>
      <c r="EU146" s="124"/>
      <c r="EV146" s="124"/>
      <c r="EW146" s="124"/>
      <c r="EX146" s="124"/>
      <c r="EY146" s="124"/>
      <c r="EZ146" s="124"/>
      <c r="FA146" s="124"/>
      <c r="FB146" s="124"/>
      <c r="FC146" s="124"/>
      <c r="FD146" s="124"/>
      <c r="FE146" s="124"/>
      <c r="FF146" s="124"/>
      <c r="FG146" s="124"/>
      <c r="FH146" s="124"/>
      <c r="FI146" s="124"/>
      <c r="FJ146" s="124"/>
      <c r="FK146" s="124"/>
      <c r="FL146" s="124"/>
      <c r="FM146" s="124"/>
      <c r="FN146" s="124"/>
      <c r="FO146" s="124"/>
      <c r="FP146" s="124"/>
      <c r="FQ146" s="124"/>
      <c r="FR146" s="124"/>
      <c r="FS146" s="124"/>
      <c r="FT146" s="124"/>
      <c r="FU146" s="124"/>
      <c r="FV146" s="124"/>
      <c r="FW146" s="124"/>
      <c r="FX146" s="124"/>
      <c r="FY146" s="124"/>
      <c r="FZ146" s="124"/>
      <c r="GA146" s="124"/>
      <c r="GB146" s="124"/>
      <c r="GC146" s="124"/>
      <c r="GD146" s="124"/>
      <c r="GE146" s="124"/>
      <c r="GF146" s="124"/>
      <c r="GG146" s="124"/>
      <c r="GH146" s="124"/>
      <c r="GI146" s="124"/>
      <c r="GJ146" s="124"/>
      <c r="GK146" s="124"/>
      <c r="GL146" s="124"/>
      <c r="GM146" s="124"/>
      <c r="GN146" s="124"/>
      <c r="GO146" s="124"/>
      <c r="GP146" s="124"/>
      <c r="GQ146" s="124"/>
      <c r="GR146" s="124"/>
      <c r="GS146" s="124"/>
      <c r="GT146" s="124"/>
      <c r="GU146" s="124"/>
      <c r="GV146" s="124"/>
      <c r="GW146" s="124"/>
      <c r="GX146" s="124"/>
      <c r="GY146" s="124"/>
      <c r="GZ146" s="124"/>
      <c r="HA146" s="124"/>
      <c r="HB146" s="124"/>
      <c r="HC146" s="124"/>
      <c r="HD146" s="124"/>
      <c r="HE146" s="124"/>
      <c r="HF146" s="124"/>
      <c r="HG146" s="124"/>
      <c r="HH146" s="124"/>
      <c r="HI146" s="124"/>
      <c r="HJ146" s="124"/>
      <c r="HK146" s="124"/>
      <c r="HL146" s="124"/>
      <c r="HM146" s="124"/>
      <c r="HN146" s="124"/>
      <c r="HO146" s="124"/>
      <c r="HP146" s="124"/>
      <c r="HQ146" s="124"/>
    </row>
    <row r="147" spans="1:225" x14ac:dyDescent="0.2">
      <c r="A147" s="122" t="s">
        <v>778</v>
      </c>
      <c r="B147" s="123">
        <v>69</v>
      </c>
      <c r="C147" s="124" t="s">
        <v>305</v>
      </c>
      <c r="D147" s="123">
        <v>138</v>
      </c>
      <c r="E147" s="124" t="s">
        <v>161</v>
      </c>
      <c r="F147" s="123">
        <v>5</v>
      </c>
      <c r="G147" s="123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/>
      <c r="BB147" s="124"/>
      <c r="BC147" s="124"/>
      <c r="BD147" s="124"/>
      <c r="BE147" s="124"/>
      <c r="BF147" s="124"/>
      <c r="BG147" s="124"/>
      <c r="BH147" s="124"/>
      <c r="BI147" s="124"/>
      <c r="BJ147" s="124"/>
      <c r="BK147" s="124"/>
      <c r="BL147" s="124"/>
      <c r="BM147" s="124"/>
      <c r="BN147" s="124"/>
      <c r="BO147" s="124"/>
      <c r="BP147" s="124"/>
      <c r="BQ147" s="124"/>
      <c r="BR147" s="124"/>
      <c r="BS147" s="124"/>
      <c r="BT147" s="124"/>
      <c r="BU147" s="124"/>
      <c r="BV147" s="124"/>
      <c r="BW147" s="124"/>
      <c r="BX147" s="124"/>
      <c r="BY147" s="124"/>
      <c r="BZ147" s="124"/>
      <c r="CA147" s="124"/>
      <c r="CB147" s="124"/>
      <c r="CC147" s="124"/>
      <c r="CD147" s="124"/>
      <c r="CE147" s="124"/>
      <c r="CF147" s="124"/>
      <c r="CG147" s="124"/>
      <c r="CH147" s="124"/>
      <c r="CI147" s="124"/>
      <c r="CJ147" s="124"/>
      <c r="CK147" s="124"/>
      <c r="CL147" s="124"/>
      <c r="CM147" s="124"/>
      <c r="CN147" s="124"/>
      <c r="CO147" s="124"/>
      <c r="CP147" s="124"/>
      <c r="CQ147" s="124"/>
      <c r="CR147" s="124"/>
      <c r="CS147" s="124"/>
      <c r="CT147" s="124"/>
      <c r="CU147" s="124"/>
      <c r="CV147" s="124"/>
      <c r="CW147" s="124"/>
      <c r="CX147" s="124"/>
      <c r="CY147" s="124"/>
      <c r="CZ147" s="124"/>
      <c r="DA147" s="124"/>
      <c r="DB147" s="124"/>
      <c r="DC147" s="124"/>
      <c r="DD147" s="124"/>
      <c r="DE147" s="124"/>
      <c r="DF147" s="124"/>
      <c r="DG147" s="124"/>
      <c r="DH147" s="124"/>
      <c r="DI147" s="124"/>
      <c r="DJ147" s="124"/>
      <c r="DK147" s="124"/>
      <c r="DL147" s="124"/>
      <c r="DM147" s="124"/>
      <c r="DN147" s="124"/>
      <c r="DO147" s="124"/>
      <c r="DP147" s="124"/>
      <c r="DQ147" s="124"/>
      <c r="DR147" s="124"/>
      <c r="DS147" s="124"/>
      <c r="DT147" s="124"/>
      <c r="DU147" s="124"/>
      <c r="DV147" s="124"/>
      <c r="DW147" s="124"/>
      <c r="DX147" s="124"/>
      <c r="DY147" s="124"/>
      <c r="DZ147" s="124"/>
      <c r="EA147" s="124"/>
      <c r="EB147" s="124"/>
      <c r="EC147" s="124"/>
      <c r="ED147" s="124"/>
      <c r="EE147" s="124"/>
      <c r="EF147" s="124"/>
      <c r="EG147" s="124"/>
      <c r="EH147" s="124"/>
      <c r="EI147" s="124"/>
      <c r="EJ147" s="124"/>
      <c r="EK147" s="124"/>
      <c r="EL147" s="124"/>
      <c r="EM147" s="124"/>
      <c r="EN147" s="124"/>
      <c r="EO147" s="124"/>
      <c r="EP147" s="124"/>
      <c r="EQ147" s="124"/>
      <c r="ER147" s="124"/>
      <c r="ES147" s="124"/>
      <c r="ET147" s="124"/>
      <c r="EU147" s="124"/>
      <c r="EV147" s="124"/>
      <c r="EW147" s="124"/>
      <c r="EX147" s="124"/>
      <c r="EY147" s="124"/>
      <c r="EZ147" s="124"/>
      <c r="FA147" s="124"/>
      <c r="FB147" s="124"/>
      <c r="FC147" s="124"/>
      <c r="FD147" s="124"/>
      <c r="FE147" s="124"/>
      <c r="FF147" s="124"/>
      <c r="FG147" s="124"/>
      <c r="FH147" s="124"/>
      <c r="FI147" s="124"/>
      <c r="FJ147" s="124"/>
      <c r="FK147" s="124"/>
      <c r="FL147" s="124"/>
      <c r="FM147" s="124"/>
      <c r="FN147" s="124"/>
      <c r="FO147" s="124"/>
      <c r="FP147" s="124"/>
      <c r="FQ147" s="124"/>
      <c r="FR147" s="124"/>
      <c r="FS147" s="124"/>
      <c r="FT147" s="124"/>
      <c r="FU147" s="124"/>
      <c r="FV147" s="124"/>
      <c r="FW147" s="124"/>
      <c r="FX147" s="124"/>
      <c r="FY147" s="124"/>
      <c r="FZ147" s="124"/>
      <c r="GA147" s="124"/>
      <c r="GB147" s="124"/>
      <c r="GC147" s="124"/>
      <c r="GD147" s="124"/>
      <c r="GE147" s="124"/>
      <c r="GF147" s="124"/>
      <c r="GG147" s="124"/>
      <c r="GH147" s="124"/>
      <c r="GI147" s="124"/>
      <c r="GJ147" s="124"/>
      <c r="GK147" s="124"/>
      <c r="GL147" s="124"/>
      <c r="GM147" s="124"/>
      <c r="GN147" s="124"/>
      <c r="GO147" s="124"/>
      <c r="GP147" s="124"/>
      <c r="GQ147" s="124"/>
      <c r="GR147" s="124"/>
      <c r="GS147" s="124"/>
      <c r="GT147" s="124"/>
      <c r="GU147" s="124"/>
      <c r="GV147" s="124"/>
      <c r="GW147" s="124"/>
      <c r="GX147" s="124"/>
      <c r="GY147" s="124"/>
      <c r="GZ147" s="124"/>
      <c r="HA147" s="124"/>
      <c r="HB147" s="124"/>
      <c r="HC147" s="124"/>
      <c r="HD147" s="124"/>
      <c r="HE147" s="124"/>
      <c r="HF147" s="124"/>
      <c r="HG147" s="124"/>
      <c r="HH147" s="124"/>
      <c r="HI147" s="124"/>
      <c r="HJ147" s="124"/>
      <c r="HK147" s="124"/>
      <c r="HL147" s="124"/>
      <c r="HM147" s="124"/>
      <c r="HN147" s="124"/>
      <c r="HO147" s="124"/>
      <c r="HP147" s="124"/>
      <c r="HQ147" s="124"/>
    </row>
    <row r="148" spans="1:225" x14ac:dyDescent="0.2">
      <c r="A148" s="122" t="s">
        <v>779</v>
      </c>
      <c r="B148" s="123">
        <v>70</v>
      </c>
      <c r="C148" s="124" t="s">
        <v>306</v>
      </c>
      <c r="D148" s="123">
        <v>139</v>
      </c>
      <c r="E148" s="124" t="s">
        <v>161</v>
      </c>
      <c r="F148" s="123">
        <v>2</v>
      </c>
      <c r="G148" s="123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  <c r="BJ148" s="124"/>
      <c r="BK148" s="124"/>
      <c r="BL148" s="124"/>
      <c r="BM148" s="124"/>
      <c r="BN148" s="124"/>
      <c r="BO148" s="124"/>
      <c r="BP148" s="124"/>
      <c r="BQ148" s="124"/>
      <c r="BR148" s="124"/>
      <c r="BS148" s="124"/>
      <c r="BT148" s="124"/>
      <c r="BU148" s="124"/>
      <c r="BV148" s="124"/>
      <c r="BW148" s="124"/>
      <c r="BX148" s="124"/>
      <c r="BY148" s="124"/>
      <c r="BZ148" s="124"/>
      <c r="CA148" s="124"/>
      <c r="CB148" s="124"/>
      <c r="CC148" s="124"/>
      <c r="CD148" s="124"/>
      <c r="CE148" s="124"/>
      <c r="CF148" s="124"/>
      <c r="CG148" s="124"/>
      <c r="CH148" s="124"/>
      <c r="CI148" s="124"/>
      <c r="CJ148" s="124"/>
      <c r="CK148" s="124"/>
      <c r="CL148" s="124"/>
      <c r="CM148" s="124"/>
      <c r="CN148" s="124"/>
      <c r="CO148" s="124"/>
      <c r="CP148" s="124"/>
      <c r="CQ148" s="124"/>
      <c r="CR148" s="124"/>
      <c r="CS148" s="124"/>
      <c r="CT148" s="124"/>
      <c r="CU148" s="124"/>
      <c r="CV148" s="124"/>
      <c r="CW148" s="124"/>
      <c r="CX148" s="124"/>
      <c r="CY148" s="124"/>
      <c r="CZ148" s="124"/>
      <c r="DA148" s="124"/>
      <c r="DB148" s="124"/>
      <c r="DC148" s="124"/>
      <c r="DD148" s="124"/>
      <c r="DE148" s="124"/>
      <c r="DF148" s="124"/>
      <c r="DG148" s="124"/>
      <c r="DH148" s="124"/>
      <c r="DI148" s="124"/>
      <c r="DJ148" s="124"/>
      <c r="DK148" s="124"/>
      <c r="DL148" s="124"/>
      <c r="DM148" s="124"/>
      <c r="DN148" s="124"/>
      <c r="DO148" s="124"/>
      <c r="DP148" s="124"/>
      <c r="DQ148" s="124"/>
      <c r="DR148" s="124"/>
      <c r="DS148" s="124"/>
      <c r="DT148" s="124"/>
      <c r="DU148" s="124"/>
      <c r="DV148" s="124"/>
      <c r="DW148" s="124"/>
      <c r="DX148" s="124"/>
      <c r="DY148" s="124"/>
      <c r="DZ148" s="124"/>
      <c r="EA148" s="124"/>
      <c r="EB148" s="124"/>
      <c r="EC148" s="124"/>
      <c r="ED148" s="124"/>
      <c r="EE148" s="124"/>
      <c r="EF148" s="124"/>
      <c r="EG148" s="124"/>
      <c r="EH148" s="124"/>
      <c r="EI148" s="124"/>
      <c r="EJ148" s="124"/>
      <c r="EK148" s="124"/>
      <c r="EL148" s="124"/>
      <c r="EM148" s="124"/>
      <c r="EN148" s="124"/>
      <c r="EO148" s="124"/>
      <c r="EP148" s="124"/>
      <c r="EQ148" s="124"/>
      <c r="ER148" s="124"/>
      <c r="ES148" s="124"/>
      <c r="ET148" s="124"/>
      <c r="EU148" s="124"/>
      <c r="EV148" s="124"/>
      <c r="EW148" s="124"/>
      <c r="EX148" s="124"/>
      <c r="EY148" s="124"/>
      <c r="EZ148" s="124"/>
      <c r="FA148" s="124"/>
      <c r="FB148" s="124"/>
      <c r="FC148" s="124"/>
      <c r="FD148" s="124"/>
      <c r="FE148" s="124"/>
      <c r="FF148" s="124"/>
      <c r="FG148" s="124"/>
      <c r="FH148" s="124"/>
      <c r="FI148" s="124"/>
      <c r="FJ148" s="124"/>
      <c r="FK148" s="124"/>
      <c r="FL148" s="124"/>
      <c r="FM148" s="124"/>
      <c r="FN148" s="124"/>
      <c r="FO148" s="124"/>
      <c r="FP148" s="124"/>
      <c r="FQ148" s="124"/>
      <c r="FR148" s="124"/>
      <c r="FS148" s="124"/>
      <c r="FT148" s="124"/>
      <c r="FU148" s="124"/>
      <c r="FV148" s="124"/>
      <c r="FW148" s="124"/>
      <c r="FX148" s="124"/>
      <c r="FY148" s="124"/>
      <c r="FZ148" s="124"/>
      <c r="GA148" s="124"/>
      <c r="GB148" s="124"/>
      <c r="GC148" s="124"/>
      <c r="GD148" s="124"/>
      <c r="GE148" s="124"/>
      <c r="GF148" s="124"/>
      <c r="GG148" s="124"/>
      <c r="GH148" s="124"/>
      <c r="GI148" s="124"/>
      <c r="GJ148" s="124"/>
      <c r="GK148" s="124"/>
      <c r="GL148" s="124"/>
      <c r="GM148" s="124"/>
      <c r="GN148" s="124"/>
      <c r="GO148" s="124"/>
      <c r="GP148" s="124"/>
      <c r="GQ148" s="124"/>
      <c r="GR148" s="124"/>
      <c r="GS148" s="124"/>
      <c r="GT148" s="124"/>
      <c r="GU148" s="124"/>
      <c r="GV148" s="124"/>
      <c r="GW148" s="124"/>
      <c r="GX148" s="124"/>
      <c r="GY148" s="124"/>
      <c r="GZ148" s="124"/>
      <c r="HA148" s="124"/>
      <c r="HB148" s="124"/>
      <c r="HC148" s="124"/>
      <c r="HD148" s="124"/>
      <c r="HE148" s="124"/>
      <c r="HF148" s="124"/>
      <c r="HG148" s="124"/>
      <c r="HH148" s="124"/>
      <c r="HI148" s="124"/>
      <c r="HJ148" s="124"/>
      <c r="HK148" s="124"/>
      <c r="HL148" s="124"/>
      <c r="HM148" s="124"/>
      <c r="HN148" s="124"/>
      <c r="HO148" s="124"/>
      <c r="HP148" s="124"/>
      <c r="HQ148" s="124"/>
    </row>
    <row r="149" spans="1:225" x14ac:dyDescent="0.2">
      <c r="A149" s="122" t="s">
        <v>780</v>
      </c>
      <c r="B149" s="123">
        <v>70</v>
      </c>
      <c r="C149" s="124" t="s">
        <v>307</v>
      </c>
      <c r="D149" s="123">
        <v>140</v>
      </c>
      <c r="E149" s="124" t="s">
        <v>161</v>
      </c>
      <c r="F149" s="123">
        <v>2</v>
      </c>
      <c r="G149" s="123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  <c r="BJ149" s="124"/>
      <c r="BK149" s="124"/>
      <c r="BL149" s="124"/>
      <c r="BM149" s="124"/>
      <c r="BN149" s="124"/>
      <c r="BO149" s="124"/>
      <c r="BP149" s="124"/>
      <c r="BQ149" s="124"/>
      <c r="BR149" s="124"/>
      <c r="BS149" s="124"/>
      <c r="BT149" s="124"/>
      <c r="BU149" s="124"/>
      <c r="BV149" s="124"/>
      <c r="BW149" s="124"/>
      <c r="BX149" s="124"/>
      <c r="BY149" s="124"/>
      <c r="BZ149" s="124"/>
      <c r="CA149" s="124"/>
      <c r="CB149" s="124"/>
      <c r="CC149" s="124"/>
      <c r="CD149" s="124"/>
      <c r="CE149" s="124"/>
      <c r="CF149" s="124"/>
      <c r="CG149" s="124"/>
      <c r="CH149" s="124"/>
      <c r="CI149" s="124"/>
      <c r="CJ149" s="124"/>
      <c r="CK149" s="124"/>
      <c r="CL149" s="124"/>
      <c r="CM149" s="124"/>
      <c r="CN149" s="124"/>
      <c r="CO149" s="124"/>
      <c r="CP149" s="124"/>
      <c r="CQ149" s="124"/>
      <c r="CR149" s="124"/>
      <c r="CS149" s="124"/>
      <c r="CT149" s="124"/>
      <c r="CU149" s="124"/>
      <c r="CV149" s="124"/>
      <c r="CW149" s="124"/>
      <c r="CX149" s="124"/>
      <c r="CY149" s="124"/>
      <c r="CZ149" s="124"/>
      <c r="DA149" s="124"/>
      <c r="DB149" s="124"/>
      <c r="DC149" s="124"/>
      <c r="DD149" s="124"/>
      <c r="DE149" s="124"/>
      <c r="DF149" s="124"/>
      <c r="DG149" s="124"/>
      <c r="DH149" s="124"/>
      <c r="DI149" s="124"/>
      <c r="DJ149" s="124"/>
      <c r="DK149" s="124"/>
      <c r="DL149" s="124"/>
      <c r="DM149" s="124"/>
      <c r="DN149" s="124"/>
      <c r="DO149" s="124"/>
      <c r="DP149" s="124"/>
      <c r="DQ149" s="124"/>
      <c r="DR149" s="124"/>
      <c r="DS149" s="124"/>
      <c r="DT149" s="124"/>
      <c r="DU149" s="124"/>
      <c r="DV149" s="124"/>
      <c r="DW149" s="124"/>
      <c r="DX149" s="124"/>
      <c r="DY149" s="124"/>
      <c r="DZ149" s="124"/>
      <c r="EA149" s="124"/>
      <c r="EB149" s="124"/>
      <c r="EC149" s="124"/>
      <c r="ED149" s="124"/>
      <c r="EE149" s="124"/>
      <c r="EF149" s="124"/>
      <c r="EG149" s="124"/>
      <c r="EH149" s="124"/>
      <c r="EI149" s="124"/>
      <c r="EJ149" s="124"/>
      <c r="EK149" s="124"/>
      <c r="EL149" s="124"/>
      <c r="EM149" s="124"/>
      <c r="EN149" s="124"/>
      <c r="EO149" s="124"/>
      <c r="EP149" s="124"/>
      <c r="EQ149" s="124"/>
      <c r="ER149" s="124"/>
      <c r="ES149" s="124"/>
      <c r="ET149" s="124"/>
      <c r="EU149" s="124"/>
      <c r="EV149" s="124"/>
      <c r="EW149" s="124"/>
      <c r="EX149" s="124"/>
      <c r="EY149" s="124"/>
      <c r="EZ149" s="124"/>
      <c r="FA149" s="124"/>
      <c r="FB149" s="124"/>
      <c r="FC149" s="124"/>
      <c r="FD149" s="124"/>
      <c r="FE149" s="124"/>
      <c r="FF149" s="124"/>
      <c r="FG149" s="124"/>
      <c r="FH149" s="124"/>
      <c r="FI149" s="124"/>
      <c r="FJ149" s="124"/>
      <c r="FK149" s="124"/>
      <c r="FL149" s="124"/>
      <c r="FM149" s="124"/>
      <c r="FN149" s="124"/>
      <c r="FO149" s="124"/>
      <c r="FP149" s="124"/>
      <c r="FQ149" s="124"/>
      <c r="FR149" s="124"/>
      <c r="FS149" s="124"/>
      <c r="FT149" s="124"/>
      <c r="FU149" s="124"/>
      <c r="FV149" s="124"/>
      <c r="FW149" s="124"/>
      <c r="FX149" s="124"/>
      <c r="FY149" s="124"/>
      <c r="FZ149" s="124"/>
      <c r="GA149" s="124"/>
      <c r="GB149" s="124"/>
      <c r="GC149" s="124"/>
      <c r="GD149" s="124"/>
      <c r="GE149" s="124"/>
      <c r="GF149" s="124"/>
      <c r="GG149" s="124"/>
      <c r="GH149" s="124"/>
      <c r="GI149" s="124"/>
      <c r="GJ149" s="124"/>
      <c r="GK149" s="124"/>
      <c r="GL149" s="124"/>
      <c r="GM149" s="124"/>
      <c r="GN149" s="124"/>
      <c r="GO149" s="124"/>
      <c r="GP149" s="124"/>
      <c r="GQ149" s="124"/>
      <c r="GR149" s="124"/>
      <c r="GS149" s="124"/>
      <c r="GT149" s="124"/>
      <c r="GU149" s="124"/>
      <c r="GV149" s="124"/>
      <c r="GW149" s="124"/>
      <c r="GX149" s="124"/>
      <c r="GY149" s="124"/>
      <c r="GZ149" s="124"/>
      <c r="HA149" s="124"/>
      <c r="HB149" s="124"/>
      <c r="HC149" s="124"/>
      <c r="HD149" s="124"/>
      <c r="HE149" s="124"/>
      <c r="HF149" s="124"/>
      <c r="HG149" s="124"/>
      <c r="HH149" s="124"/>
      <c r="HI149" s="124"/>
      <c r="HJ149" s="124"/>
      <c r="HK149" s="124"/>
      <c r="HL149" s="124"/>
      <c r="HM149" s="124"/>
      <c r="HN149" s="124"/>
      <c r="HO149" s="124"/>
      <c r="HP149" s="124"/>
      <c r="HQ149" s="124"/>
    </row>
    <row r="150" spans="1:225" x14ac:dyDescent="0.2">
      <c r="A150" s="122" t="s">
        <v>781</v>
      </c>
      <c r="B150" s="123">
        <v>71</v>
      </c>
      <c r="C150" s="124" t="s">
        <v>308</v>
      </c>
      <c r="D150" s="123">
        <v>141</v>
      </c>
      <c r="E150" s="124" t="s">
        <v>161</v>
      </c>
      <c r="F150" s="123">
        <v>5</v>
      </c>
      <c r="G150" s="123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/>
      <c r="BB150" s="124"/>
      <c r="BC150" s="124"/>
      <c r="BD150" s="124"/>
      <c r="BE150" s="124"/>
      <c r="BF150" s="124"/>
      <c r="BG150" s="124"/>
      <c r="BH150" s="124"/>
      <c r="BI150" s="124"/>
      <c r="BJ150" s="124"/>
      <c r="BK150" s="124"/>
      <c r="BL150" s="124"/>
      <c r="BM150" s="124"/>
      <c r="BN150" s="124"/>
      <c r="BO150" s="124"/>
      <c r="BP150" s="124"/>
      <c r="BQ150" s="124"/>
      <c r="BR150" s="124"/>
      <c r="BS150" s="124"/>
      <c r="BT150" s="124"/>
      <c r="BU150" s="124"/>
      <c r="BV150" s="124"/>
      <c r="BW150" s="124"/>
      <c r="BX150" s="124"/>
      <c r="BY150" s="124"/>
      <c r="BZ150" s="124"/>
      <c r="CA150" s="124"/>
      <c r="CB150" s="124"/>
      <c r="CC150" s="124"/>
      <c r="CD150" s="124"/>
      <c r="CE150" s="124"/>
      <c r="CF150" s="124"/>
      <c r="CG150" s="124"/>
      <c r="CH150" s="124"/>
      <c r="CI150" s="124"/>
      <c r="CJ150" s="124"/>
      <c r="CK150" s="124"/>
      <c r="CL150" s="124"/>
      <c r="CM150" s="124"/>
      <c r="CN150" s="124"/>
      <c r="CO150" s="124"/>
      <c r="CP150" s="124"/>
      <c r="CQ150" s="124"/>
      <c r="CR150" s="124"/>
      <c r="CS150" s="124"/>
      <c r="CT150" s="124"/>
      <c r="CU150" s="124"/>
      <c r="CV150" s="124"/>
      <c r="CW150" s="124"/>
      <c r="CX150" s="124"/>
      <c r="CY150" s="124"/>
      <c r="CZ150" s="124"/>
      <c r="DA150" s="124"/>
      <c r="DB150" s="124"/>
      <c r="DC150" s="124"/>
      <c r="DD150" s="124"/>
      <c r="DE150" s="124"/>
      <c r="DF150" s="124"/>
      <c r="DG150" s="124"/>
      <c r="DH150" s="124"/>
      <c r="DI150" s="124"/>
      <c r="DJ150" s="124"/>
      <c r="DK150" s="124"/>
      <c r="DL150" s="124"/>
      <c r="DM150" s="124"/>
      <c r="DN150" s="124"/>
      <c r="DO150" s="124"/>
      <c r="DP150" s="124"/>
      <c r="DQ150" s="124"/>
      <c r="DR150" s="124"/>
      <c r="DS150" s="124"/>
      <c r="DT150" s="124"/>
      <c r="DU150" s="124"/>
      <c r="DV150" s="124"/>
      <c r="DW150" s="124"/>
      <c r="DX150" s="124"/>
      <c r="DY150" s="124"/>
      <c r="DZ150" s="124"/>
      <c r="EA150" s="124"/>
      <c r="EB150" s="124"/>
      <c r="EC150" s="124"/>
      <c r="ED150" s="124"/>
      <c r="EE150" s="124"/>
      <c r="EF150" s="124"/>
      <c r="EG150" s="124"/>
      <c r="EH150" s="124"/>
      <c r="EI150" s="124"/>
      <c r="EJ150" s="124"/>
      <c r="EK150" s="124"/>
      <c r="EL150" s="124"/>
      <c r="EM150" s="124"/>
      <c r="EN150" s="124"/>
      <c r="EO150" s="124"/>
      <c r="EP150" s="124"/>
      <c r="EQ150" s="124"/>
      <c r="ER150" s="124"/>
      <c r="ES150" s="124"/>
      <c r="ET150" s="124"/>
      <c r="EU150" s="124"/>
      <c r="EV150" s="124"/>
      <c r="EW150" s="124"/>
      <c r="EX150" s="124"/>
      <c r="EY150" s="124"/>
      <c r="EZ150" s="124"/>
      <c r="FA150" s="124"/>
      <c r="FB150" s="124"/>
      <c r="FC150" s="124"/>
      <c r="FD150" s="124"/>
      <c r="FE150" s="124"/>
      <c r="FF150" s="124"/>
      <c r="FG150" s="124"/>
      <c r="FH150" s="124"/>
      <c r="FI150" s="124"/>
      <c r="FJ150" s="124"/>
      <c r="FK150" s="124"/>
      <c r="FL150" s="124"/>
      <c r="FM150" s="124"/>
      <c r="FN150" s="124"/>
      <c r="FO150" s="124"/>
      <c r="FP150" s="124"/>
      <c r="FQ150" s="124"/>
      <c r="FR150" s="124"/>
      <c r="FS150" s="124"/>
      <c r="FT150" s="124"/>
      <c r="FU150" s="124"/>
      <c r="FV150" s="124"/>
      <c r="FW150" s="124"/>
      <c r="FX150" s="124"/>
      <c r="FY150" s="124"/>
      <c r="FZ150" s="124"/>
      <c r="GA150" s="124"/>
      <c r="GB150" s="124"/>
      <c r="GC150" s="124"/>
      <c r="GD150" s="124"/>
      <c r="GE150" s="124"/>
      <c r="GF150" s="124"/>
      <c r="GG150" s="124"/>
      <c r="GH150" s="124"/>
      <c r="GI150" s="124"/>
      <c r="GJ150" s="124"/>
      <c r="GK150" s="124"/>
      <c r="GL150" s="124"/>
      <c r="GM150" s="124"/>
      <c r="GN150" s="124"/>
      <c r="GO150" s="124"/>
      <c r="GP150" s="124"/>
      <c r="GQ150" s="124"/>
      <c r="GR150" s="124"/>
      <c r="GS150" s="124"/>
      <c r="GT150" s="124"/>
      <c r="GU150" s="124"/>
      <c r="GV150" s="124"/>
      <c r="GW150" s="124"/>
      <c r="GX150" s="124"/>
      <c r="GY150" s="124"/>
      <c r="GZ150" s="124"/>
      <c r="HA150" s="124"/>
      <c r="HB150" s="124"/>
      <c r="HC150" s="124"/>
      <c r="HD150" s="124"/>
      <c r="HE150" s="124"/>
      <c r="HF150" s="124"/>
      <c r="HG150" s="124"/>
      <c r="HH150" s="124"/>
      <c r="HI150" s="124"/>
      <c r="HJ150" s="124"/>
      <c r="HK150" s="124"/>
      <c r="HL150" s="124"/>
      <c r="HM150" s="124"/>
      <c r="HN150" s="124"/>
      <c r="HO150" s="124"/>
      <c r="HP150" s="124"/>
      <c r="HQ150" s="124"/>
    </row>
    <row r="151" spans="1:225" x14ac:dyDescent="0.2">
      <c r="A151" s="122" t="s">
        <v>782</v>
      </c>
      <c r="B151" s="123">
        <v>71</v>
      </c>
      <c r="C151" s="124" t="s">
        <v>309</v>
      </c>
      <c r="D151" s="123">
        <v>142</v>
      </c>
      <c r="E151" s="124" t="s">
        <v>161</v>
      </c>
      <c r="F151" s="123">
        <v>5</v>
      </c>
      <c r="G151" s="123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/>
      <c r="BB151" s="124"/>
      <c r="BC151" s="124"/>
      <c r="BD151" s="124"/>
      <c r="BE151" s="124"/>
      <c r="BF151" s="124"/>
      <c r="BG151" s="124"/>
      <c r="BH151" s="124"/>
      <c r="BI151" s="124"/>
      <c r="BJ151" s="124"/>
      <c r="BK151" s="124"/>
      <c r="BL151" s="124"/>
      <c r="BM151" s="124"/>
      <c r="BN151" s="124"/>
      <c r="BO151" s="124"/>
      <c r="BP151" s="124"/>
      <c r="BQ151" s="124"/>
      <c r="BR151" s="124"/>
      <c r="BS151" s="124"/>
      <c r="BT151" s="124"/>
      <c r="BU151" s="124"/>
      <c r="BV151" s="124"/>
      <c r="BW151" s="124"/>
      <c r="BX151" s="124"/>
      <c r="BY151" s="124"/>
      <c r="BZ151" s="124"/>
      <c r="CA151" s="124"/>
      <c r="CB151" s="124"/>
      <c r="CC151" s="124"/>
      <c r="CD151" s="124"/>
      <c r="CE151" s="124"/>
      <c r="CF151" s="124"/>
      <c r="CG151" s="124"/>
      <c r="CH151" s="124"/>
      <c r="CI151" s="124"/>
      <c r="CJ151" s="124"/>
      <c r="CK151" s="124"/>
      <c r="CL151" s="124"/>
      <c r="CM151" s="124"/>
      <c r="CN151" s="124"/>
      <c r="CO151" s="124"/>
      <c r="CP151" s="124"/>
      <c r="CQ151" s="124"/>
      <c r="CR151" s="124"/>
      <c r="CS151" s="124"/>
      <c r="CT151" s="124"/>
      <c r="CU151" s="124"/>
      <c r="CV151" s="124"/>
      <c r="CW151" s="124"/>
      <c r="CX151" s="124"/>
      <c r="CY151" s="124"/>
      <c r="CZ151" s="124"/>
      <c r="DA151" s="124"/>
      <c r="DB151" s="124"/>
      <c r="DC151" s="124"/>
      <c r="DD151" s="124"/>
      <c r="DE151" s="124"/>
      <c r="DF151" s="124"/>
      <c r="DG151" s="124"/>
      <c r="DH151" s="124"/>
      <c r="DI151" s="124"/>
      <c r="DJ151" s="124"/>
      <c r="DK151" s="124"/>
      <c r="DL151" s="124"/>
      <c r="DM151" s="124"/>
      <c r="DN151" s="124"/>
      <c r="DO151" s="124"/>
      <c r="DP151" s="124"/>
      <c r="DQ151" s="124"/>
      <c r="DR151" s="124"/>
      <c r="DS151" s="124"/>
      <c r="DT151" s="124"/>
      <c r="DU151" s="124"/>
      <c r="DV151" s="124"/>
      <c r="DW151" s="124"/>
      <c r="DX151" s="124"/>
      <c r="DY151" s="124"/>
      <c r="DZ151" s="124"/>
      <c r="EA151" s="124"/>
      <c r="EB151" s="124"/>
      <c r="EC151" s="124"/>
      <c r="ED151" s="124"/>
      <c r="EE151" s="124"/>
      <c r="EF151" s="124"/>
      <c r="EG151" s="124"/>
      <c r="EH151" s="124"/>
      <c r="EI151" s="124"/>
      <c r="EJ151" s="124"/>
      <c r="EK151" s="124"/>
      <c r="EL151" s="124"/>
      <c r="EM151" s="124"/>
      <c r="EN151" s="124"/>
      <c r="EO151" s="124"/>
      <c r="EP151" s="124"/>
      <c r="EQ151" s="124"/>
      <c r="ER151" s="124"/>
      <c r="ES151" s="124"/>
      <c r="ET151" s="124"/>
      <c r="EU151" s="124"/>
      <c r="EV151" s="124"/>
      <c r="EW151" s="124"/>
      <c r="EX151" s="124"/>
      <c r="EY151" s="124"/>
      <c r="EZ151" s="124"/>
      <c r="FA151" s="124"/>
      <c r="FB151" s="124"/>
      <c r="FC151" s="124"/>
      <c r="FD151" s="124"/>
      <c r="FE151" s="124"/>
      <c r="FF151" s="124"/>
      <c r="FG151" s="124"/>
      <c r="FH151" s="124"/>
      <c r="FI151" s="124"/>
      <c r="FJ151" s="124"/>
      <c r="FK151" s="124"/>
      <c r="FL151" s="124"/>
      <c r="FM151" s="124"/>
      <c r="FN151" s="124"/>
      <c r="FO151" s="124"/>
      <c r="FP151" s="124"/>
      <c r="FQ151" s="124"/>
      <c r="FR151" s="124"/>
      <c r="FS151" s="124"/>
      <c r="FT151" s="124"/>
      <c r="FU151" s="124"/>
      <c r="FV151" s="124"/>
      <c r="FW151" s="124"/>
      <c r="FX151" s="124"/>
      <c r="FY151" s="124"/>
      <c r="FZ151" s="124"/>
      <c r="GA151" s="124"/>
      <c r="GB151" s="124"/>
      <c r="GC151" s="124"/>
      <c r="GD151" s="124"/>
      <c r="GE151" s="124"/>
      <c r="GF151" s="124"/>
      <c r="GG151" s="124"/>
      <c r="GH151" s="124"/>
      <c r="GI151" s="124"/>
      <c r="GJ151" s="124"/>
      <c r="GK151" s="124"/>
      <c r="GL151" s="124"/>
      <c r="GM151" s="124"/>
      <c r="GN151" s="124"/>
      <c r="GO151" s="124"/>
      <c r="GP151" s="124"/>
      <c r="GQ151" s="124"/>
      <c r="GR151" s="124"/>
      <c r="GS151" s="124"/>
      <c r="GT151" s="124"/>
      <c r="GU151" s="124"/>
      <c r="GV151" s="124"/>
      <c r="GW151" s="124"/>
      <c r="GX151" s="124"/>
      <c r="GY151" s="124"/>
      <c r="GZ151" s="124"/>
      <c r="HA151" s="124"/>
      <c r="HB151" s="124"/>
      <c r="HC151" s="124"/>
      <c r="HD151" s="124"/>
      <c r="HE151" s="124"/>
      <c r="HF151" s="124"/>
      <c r="HG151" s="124"/>
      <c r="HH151" s="124"/>
      <c r="HI151" s="124"/>
      <c r="HJ151" s="124"/>
      <c r="HK151" s="124"/>
      <c r="HL151" s="124"/>
      <c r="HM151" s="124"/>
      <c r="HN151" s="124"/>
      <c r="HO151" s="124"/>
      <c r="HP151" s="124"/>
      <c r="HQ151" s="124"/>
    </row>
    <row r="152" spans="1:225" x14ac:dyDescent="0.2">
      <c r="A152" s="122" t="s">
        <v>783</v>
      </c>
      <c r="B152" s="123">
        <v>72</v>
      </c>
      <c r="C152" s="124" t="s">
        <v>310</v>
      </c>
      <c r="D152" s="123">
        <v>143</v>
      </c>
      <c r="E152" s="124" t="s">
        <v>161</v>
      </c>
      <c r="F152" s="123">
        <v>2</v>
      </c>
      <c r="G152" s="123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  <c r="BJ152" s="124"/>
      <c r="BK152" s="124"/>
      <c r="BL152" s="124"/>
      <c r="BM152" s="124"/>
      <c r="BN152" s="124"/>
      <c r="BO152" s="124"/>
      <c r="BP152" s="124"/>
      <c r="BQ152" s="124"/>
      <c r="BR152" s="124"/>
      <c r="BS152" s="124"/>
      <c r="BT152" s="124"/>
      <c r="BU152" s="124"/>
      <c r="BV152" s="124"/>
      <c r="BW152" s="124"/>
      <c r="BX152" s="124"/>
      <c r="BY152" s="124"/>
      <c r="BZ152" s="124"/>
      <c r="CA152" s="124"/>
      <c r="CB152" s="124"/>
      <c r="CC152" s="124"/>
      <c r="CD152" s="124"/>
      <c r="CE152" s="124"/>
      <c r="CF152" s="124"/>
      <c r="CG152" s="124"/>
      <c r="CH152" s="124"/>
      <c r="CI152" s="124"/>
      <c r="CJ152" s="124"/>
      <c r="CK152" s="124"/>
      <c r="CL152" s="124"/>
      <c r="CM152" s="124"/>
      <c r="CN152" s="124"/>
      <c r="CO152" s="124"/>
      <c r="CP152" s="124"/>
      <c r="CQ152" s="124"/>
      <c r="CR152" s="124"/>
      <c r="CS152" s="124"/>
      <c r="CT152" s="124"/>
      <c r="CU152" s="124"/>
      <c r="CV152" s="124"/>
      <c r="CW152" s="124"/>
      <c r="CX152" s="124"/>
      <c r="CY152" s="124"/>
      <c r="CZ152" s="124"/>
      <c r="DA152" s="124"/>
      <c r="DB152" s="124"/>
      <c r="DC152" s="124"/>
      <c r="DD152" s="124"/>
      <c r="DE152" s="124"/>
      <c r="DF152" s="124"/>
      <c r="DG152" s="124"/>
      <c r="DH152" s="124"/>
      <c r="DI152" s="124"/>
      <c r="DJ152" s="124"/>
      <c r="DK152" s="124"/>
      <c r="DL152" s="124"/>
      <c r="DM152" s="124"/>
      <c r="DN152" s="124"/>
      <c r="DO152" s="124"/>
      <c r="DP152" s="124"/>
      <c r="DQ152" s="124"/>
      <c r="DR152" s="124"/>
      <c r="DS152" s="124"/>
      <c r="DT152" s="124"/>
      <c r="DU152" s="124"/>
      <c r="DV152" s="124"/>
      <c r="DW152" s="124"/>
      <c r="DX152" s="124"/>
      <c r="DY152" s="124"/>
      <c r="DZ152" s="124"/>
      <c r="EA152" s="124"/>
      <c r="EB152" s="124"/>
      <c r="EC152" s="124"/>
      <c r="ED152" s="124"/>
      <c r="EE152" s="124"/>
      <c r="EF152" s="124"/>
      <c r="EG152" s="124"/>
      <c r="EH152" s="124"/>
      <c r="EI152" s="124"/>
      <c r="EJ152" s="124"/>
      <c r="EK152" s="124"/>
      <c r="EL152" s="124"/>
      <c r="EM152" s="124"/>
      <c r="EN152" s="124"/>
      <c r="EO152" s="124"/>
      <c r="EP152" s="124"/>
      <c r="EQ152" s="124"/>
      <c r="ER152" s="124"/>
      <c r="ES152" s="124"/>
      <c r="ET152" s="124"/>
      <c r="EU152" s="124"/>
      <c r="EV152" s="124"/>
      <c r="EW152" s="124"/>
      <c r="EX152" s="124"/>
      <c r="EY152" s="124"/>
      <c r="EZ152" s="124"/>
      <c r="FA152" s="124"/>
      <c r="FB152" s="124"/>
      <c r="FC152" s="124"/>
      <c r="FD152" s="124"/>
      <c r="FE152" s="124"/>
      <c r="FF152" s="124"/>
      <c r="FG152" s="124"/>
      <c r="FH152" s="124"/>
      <c r="FI152" s="124"/>
      <c r="FJ152" s="124"/>
      <c r="FK152" s="124"/>
      <c r="FL152" s="124"/>
      <c r="FM152" s="124"/>
      <c r="FN152" s="124"/>
      <c r="FO152" s="124"/>
      <c r="FP152" s="124"/>
      <c r="FQ152" s="124"/>
      <c r="FR152" s="124"/>
      <c r="FS152" s="124"/>
      <c r="FT152" s="124"/>
      <c r="FU152" s="124"/>
      <c r="FV152" s="124"/>
      <c r="FW152" s="124"/>
      <c r="FX152" s="124"/>
      <c r="FY152" s="124"/>
      <c r="FZ152" s="124"/>
      <c r="GA152" s="124"/>
      <c r="GB152" s="124"/>
      <c r="GC152" s="124"/>
      <c r="GD152" s="124"/>
      <c r="GE152" s="124"/>
      <c r="GF152" s="124"/>
      <c r="GG152" s="124"/>
      <c r="GH152" s="124"/>
      <c r="GI152" s="124"/>
      <c r="GJ152" s="124"/>
      <c r="GK152" s="124"/>
      <c r="GL152" s="124"/>
      <c r="GM152" s="124"/>
      <c r="GN152" s="124"/>
      <c r="GO152" s="124"/>
      <c r="GP152" s="124"/>
      <c r="GQ152" s="124"/>
      <c r="GR152" s="124"/>
      <c r="GS152" s="124"/>
      <c r="GT152" s="124"/>
      <c r="GU152" s="124"/>
      <c r="GV152" s="124"/>
      <c r="GW152" s="124"/>
      <c r="GX152" s="124"/>
      <c r="GY152" s="124"/>
      <c r="GZ152" s="124"/>
      <c r="HA152" s="124"/>
      <c r="HB152" s="124"/>
      <c r="HC152" s="124"/>
      <c r="HD152" s="124"/>
      <c r="HE152" s="124"/>
      <c r="HF152" s="124"/>
      <c r="HG152" s="124"/>
      <c r="HH152" s="124"/>
      <c r="HI152" s="124"/>
      <c r="HJ152" s="124"/>
      <c r="HK152" s="124"/>
      <c r="HL152" s="124"/>
      <c r="HM152" s="124"/>
      <c r="HN152" s="124"/>
      <c r="HO152" s="124"/>
      <c r="HP152" s="124"/>
      <c r="HQ152" s="124"/>
    </row>
    <row r="153" spans="1:225" x14ac:dyDescent="0.2">
      <c r="A153" s="122" t="s">
        <v>784</v>
      </c>
      <c r="B153" s="123">
        <v>72</v>
      </c>
      <c r="C153" s="124" t="s">
        <v>311</v>
      </c>
      <c r="D153" s="123">
        <v>144</v>
      </c>
      <c r="E153" s="124" t="s">
        <v>161</v>
      </c>
      <c r="F153" s="123">
        <v>2</v>
      </c>
      <c r="G153" s="123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  <c r="BJ153" s="124"/>
      <c r="BK153" s="124"/>
      <c r="BL153" s="124"/>
      <c r="BM153" s="124"/>
      <c r="BN153" s="124"/>
      <c r="BO153" s="124"/>
      <c r="BP153" s="124"/>
      <c r="BQ153" s="124"/>
      <c r="BR153" s="124"/>
      <c r="BS153" s="124"/>
      <c r="BT153" s="124"/>
      <c r="BU153" s="124"/>
      <c r="BV153" s="124"/>
      <c r="BW153" s="124"/>
      <c r="BX153" s="124"/>
      <c r="BY153" s="124"/>
      <c r="BZ153" s="124"/>
      <c r="CA153" s="124"/>
      <c r="CB153" s="124"/>
      <c r="CC153" s="124"/>
      <c r="CD153" s="124"/>
      <c r="CE153" s="124"/>
      <c r="CF153" s="124"/>
      <c r="CG153" s="124"/>
      <c r="CH153" s="124"/>
      <c r="CI153" s="124"/>
      <c r="CJ153" s="124"/>
      <c r="CK153" s="124"/>
      <c r="CL153" s="124"/>
      <c r="CM153" s="124"/>
      <c r="CN153" s="124"/>
      <c r="CO153" s="124"/>
      <c r="CP153" s="124"/>
      <c r="CQ153" s="124"/>
      <c r="CR153" s="124"/>
      <c r="CS153" s="124"/>
      <c r="CT153" s="124"/>
      <c r="CU153" s="124"/>
      <c r="CV153" s="124"/>
      <c r="CW153" s="124"/>
      <c r="CX153" s="124"/>
      <c r="CY153" s="124"/>
      <c r="CZ153" s="124"/>
      <c r="DA153" s="124"/>
      <c r="DB153" s="124"/>
      <c r="DC153" s="124"/>
      <c r="DD153" s="124"/>
      <c r="DE153" s="124"/>
      <c r="DF153" s="124"/>
      <c r="DG153" s="124"/>
      <c r="DH153" s="124"/>
      <c r="DI153" s="124"/>
      <c r="DJ153" s="124"/>
      <c r="DK153" s="124"/>
      <c r="DL153" s="124"/>
      <c r="DM153" s="124"/>
      <c r="DN153" s="124"/>
      <c r="DO153" s="124"/>
      <c r="DP153" s="124"/>
      <c r="DQ153" s="124"/>
      <c r="DR153" s="124"/>
      <c r="DS153" s="124"/>
      <c r="DT153" s="124"/>
      <c r="DU153" s="124"/>
      <c r="DV153" s="124"/>
      <c r="DW153" s="124"/>
      <c r="DX153" s="124"/>
      <c r="DY153" s="124"/>
      <c r="DZ153" s="124"/>
      <c r="EA153" s="124"/>
      <c r="EB153" s="124"/>
      <c r="EC153" s="124"/>
      <c r="ED153" s="124"/>
      <c r="EE153" s="124"/>
      <c r="EF153" s="124"/>
      <c r="EG153" s="124"/>
      <c r="EH153" s="124"/>
      <c r="EI153" s="124"/>
      <c r="EJ153" s="124"/>
      <c r="EK153" s="124"/>
      <c r="EL153" s="124"/>
      <c r="EM153" s="124"/>
      <c r="EN153" s="124"/>
      <c r="EO153" s="124"/>
      <c r="EP153" s="124"/>
      <c r="EQ153" s="124"/>
      <c r="ER153" s="124"/>
      <c r="ES153" s="124"/>
      <c r="ET153" s="124"/>
      <c r="EU153" s="124"/>
      <c r="EV153" s="124"/>
      <c r="EW153" s="124"/>
      <c r="EX153" s="124"/>
      <c r="EY153" s="124"/>
      <c r="EZ153" s="124"/>
      <c r="FA153" s="124"/>
      <c r="FB153" s="124"/>
      <c r="FC153" s="124"/>
      <c r="FD153" s="124"/>
      <c r="FE153" s="124"/>
      <c r="FF153" s="124"/>
      <c r="FG153" s="124"/>
      <c r="FH153" s="124"/>
      <c r="FI153" s="124"/>
      <c r="FJ153" s="124"/>
      <c r="FK153" s="124"/>
      <c r="FL153" s="124"/>
      <c r="FM153" s="124"/>
      <c r="FN153" s="124"/>
      <c r="FO153" s="124"/>
      <c r="FP153" s="124"/>
      <c r="FQ153" s="124"/>
      <c r="FR153" s="124"/>
      <c r="FS153" s="124"/>
      <c r="FT153" s="124"/>
      <c r="FU153" s="124"/>
      <c r="FV153" s="124"/>
      <c r="FW153" s="124"/>
      <c r="FX153" s="124"/>
      <c r="FY153" s="124"/>
      <c r="FZ153" s="124"/>
      <c r="GA153" s="124"/>
      <c r="GB153" s="124"/>
      <c r="GC153" s="124"/>
      <c r="GD153" s="124"/>
      <c r="GE153" s="124"/>
      <c r="GF153" s="124"/>
      <c r="GG153" s="124"/>
      <c r="GH153" s="124"/>
      <c r="GI153" s="124"/>
      <c r="GJ153" s="124"/>
      <c r="GK153" s="124"/>
      <c r="GL153" s="124"/>
      <c r="GM153" s="124"/>
      <c r="GN153" s="124"/>
      <c r="GO153" s="124"/>
      <c r="GP153" s="124"/>
      <c r="GQ153" s="124"/>
      <c r="GR153" s="124"/>
      <c r="GS153" s="124"/>
      <c r="GT153" s="124"/>
      <c r="GU153" s="124"/>
      <c r="GV153" s="124"/>
      <c r="GW153" s="124"/>
      <c r="GX153" s="124"/>
      <c r="GY153" s="124"/>
      <c r="GZ153" s="124"/>
      <c r="HA153" s="124"/>
      <c r="HB153" s="124"/>
      <c r="HC153" s="124"/>
      <c r="HD153" s="124"/>
      <c r="HE153" s="124"/>
      <c r="HF153" s="124"/>
      <c r="HG153" s="124"/>
      <c r="HH153" s="124"/>
      <c r="HI153" s="124"/>
      <c r="HJ153" s="124"/>
      <c r="HK153" s="124"/>
      <c r="HL153" s="124"/>
      <c r="HM153" s="124"/>
      <c r="HN153" s="124"/>
      <c r="HO153" s="124"/>
      <c r="HP153" s="124"/>
      <c r="HQ153" s="124"/>
    </row>
    <row r="154" spans="1:225" x14ac:dyDescent="0.2">
      <c r="A154" s="122" t="s">
        <v>785</v>
      </c>
      <c r="B154" s="123">
        <v>73</v>
      </c>
      <c r="C154" s="124" t="s">
        <v>312</v>
      </c>
      <c r="D154" s="123">
        <v>145</v>
      </c>
      <c r="E154" s="124" t="s">
        <v>161</v>
      </c>
      <c r="F154" s="123">
        <v>5</v>
      </c>
      <c r="G154" s="123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  <c r="BJ154" s="124"/>
      <c r="BK154" s="124"/>
      <c r="BL154" s="124"/>
      <c r="BM154" s="124"/>
      <c r="BN154" s="124"/>
      <c r="BO154" s="124"/>
      <c r="BP154" s="124"/>
      <c r="BQ154" s="124"/>
      <c r="BR154" s="124"/>
      <c r="BS154" s="124"/>
      <c r="BT154" s="124"/>
      <c r="BU154" s="124"/>
      <c r="BV154" s="124"/>
      <c r="BW154" s="124"/>
      <c r="BX154" s="124"/>
      <c r="BY154" s="124"/>
      <c r="BZ154" s="124"/>
      <c r="CA154" s="124"/>
      <c r="CB154" s="124"/>
      <c r="CC154" s="124"/>
      <c r="CD154" s="124"/>
      <c r="CE154" s="124"/>
      <c r="CF154" s="124"/>
      <c r="CG154" s="124"/>
      <c r="CH154" s="124"/>
      <c r="CI154" s="124"/>
      <c r="CJ154" s="124"/>
      <c r="CK154" s="124"/>
      <c r="CL154" s="124"/>
      <c r="CM154" s="124"/>
      <c r="CN154" s="124"/>
      <c r="CO154" s="124"/>
      <c r="CP154" s="124"/>
      <c r="CQ154" s="124"/>
      <c r="CR154" s="124"/>
      <c r="CS154" s="124"/>
      <c r="CT154" s="124"/>
      <c r="CU154" s="124"/>
      <c r="CV154" s="124"/>
      <c r="CW154" s="124"/>
      <c r="CX154" s="124"/>
      <c r="CY154" s="124"/>
      <c r="CZ154" s="124"/>
      <c r="DA154" s="124"/>
      <c r="DB154" s="124"/>
      <c r="DC154" s="124"/>
      <c r="DD154" s="124"/>
      <c r="DE154" s="124"/>
      <c r="DF154" s="124"/>
      <c r="DG154" s="124"/>
      <c r="DH154" s="124"/>
      <c r="DI154" s="124"/>
      <c r="DJ154" s="124"/>
      <c r="DK154" s="124"/>
      <c r="DL154" s="124"/>
      <c r="DM154" s="124"/>
      <c r="DN154" s="124"/>
      <c r="DO154" s="124"/>
      <c r="DP154" s="124"/>
      <c r="DQ154" s="124"/>
      <c r="DR154" s="124"/>
      <c r="DS154" s="124"/>
      <c r="DT154" s="124"/>
      <c r="DU154" s="124"/>
      <c r="DV154" s="124"/>
      <c r="DW154" s="124"/>
      <c r="DX154" s="124"/>
      <c r="DY154" s="124"/>
      <c r="DZ154" s="124"/>
      <c r="EA154" s="124"/>
      <c r="EB154" s="124"/>
      <c r="EC154" s="124"/>
      <c r="ED154" s="124"/>
      <c r="EE154" s="124"/>
      <c r="EF154" s="124"/>
      <c r="EG154" s="124"/>
      <c r="EH154" s="124"/>
      <c r="EI154" s="124"/>
      <c r="EJ154" s="124"/>
      <c r="EK154" s="124"/>
      <c r="EL154" s="124"/>
      <c r="EM154" s="124"/>
      <c r="EN154" s="124"/>
      <c r="EO154" s="124"/>
      <c r="EP154" s="124"/>
      <c r="EQ154" s="124"/>
      <c r="ER154" s="124"/>
      <c r="ES154" s="124"/>
      <c r="ET154" s="124"/>
      <c r="EU154" s="124"/>
      <c r="EV154" s="124"/>
      <c r="EW154" s="124"/>
      <c r="EX154" s="124"/>
      <c r="EY154" s="124"/>
      <c r="EZ154" s="124"/>
      <c r="FA154" s="124"/>
      <c r="FB154" s="124"/>
      <c r="FC154" s="124"/>
      <c r="FD154" s="124"/>
      <c r="FE154" s="124"/>
      <c r="FF154" s="124"/>
      <c r="FG154" s="124"/>
      <c r="FH154" s="124"/>
      <c r="FI154" s="124"/>
      <c r="FJ154" s="124"/>
      <c r="FK154" s="124"/>
      <c r="FL154" s="124"/>
      <c r="FM154" s="124"/>
      <c r="FN154" s="124"/>
      <c r="FO154" s="124"/>
      <c r="FP154" s="124"/>
      <c r="FQ154" s="124"/>
      <c r="FR154" s="124"/>
      <c r="FS154" s="124"/>
      <c r="FT154" s="124"/>
      <c r="FU154" s="124"/>
      <c r="FV154" s="124"/>
      <c r="FW154" s="124"/>
      <c r="FX154" s="124"/>
      <c r="FY154" s="124"/>
      <c r="FZ154" s="124"/>
      <c r="GA154" s="124"/>
      <c r="GB154" s="124"/>
      <c r="GC154" s="124"/>
      <c r="GD154" s="124"/>
      <c r="GE154" s="124"/>
      <c r="GF154" s="124"/>
      <c r="GG154" s="124"/>
      <c r="GH154" s="124"/>
      <c r="GI154" s="124"/>
      <c r="GJ154" s="124"/>
      <c r="GK154" s="124"/>
      <c r="GL154" s="124"/>
      <c r="GM154" s="124"/>
      <c r="GN154" s="124"/>
      <c r="GO154" s="124"/>
      <c r="GP154" s="124"/>
      <c r="GQ154" s="124"/>
      <c r="GR154" s="124"/>
      <c r="GS154" s="124"/>
      <c r="GT154" s="124"/>
      <c r="GU154" s="124"/>
      <c r="GV154" s="124"/>
      <c r="GW154" s="124"/>
      <c r="GX154" s="124"/>
      <c r="GY154" s="124"/>
      <c r="GZ154" s="124"/>
      <c r="HA154" s="124"/>
      <c r="HB154" s="124"/>
      <c r="HC154" s="124"/>
      <c r="HD154" s="124"/>
      <c r="HE154" s="124"/>
      <c r="HF154" s="124"/>
      <c r="HG154" s="124"/>
      <c r="HH154" s="124"/>
      <c r="HI154" s="124"/>
      <c r="HJ154" s="124"/>
      <c r="HK154" s="124"/>
      <c r="HL154" s="124"/>
      <c r="HM154" s="124"/>
      <c r="HN154" s="124"/>
      <c r="HO154" s="124"/>
      <c r="HP154" s="124"/>
      <c r="HQ154" s="124"/>
    </row>
    <row r="155" spans="1:225" x14ac:dyDescent="0.2">
      <c r="A155" s="122" t="s">
        <v>786</v>
      </c>
      <c r="B155" s="123">
        <v>73</v>
      </c>
      <c r="C155" s="124" t="s">
        <v>313</v>
      </c>
      <c r="D155" s="123">
        <v>146</v>
      </c>
      <c r="E155" s="124" t="s">
        <v>161</v>
      </c>
      <c r="F155" s="123">
        <v>5</v>
      </c>
      <c r="G155" s="123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  <c r="BJ155" s="124"/>
      <c r="BK155" s="124"/>
      <c r="BL155" s="124"/>
      <c r="BM155" s="124"/>
      <c r="BN155" s="124"/>
      <c r="BO155" s="124"/>
      <c r="BP155" s="124"/>
      <c r="BQ155" s="124"/>
      <c r="BR155" s="124"/>
      <c r="BS155" s="124"/>
      <c r="BT155" s="124"/>
      <c r="BU155" s="124"/>
      <c r="BV155" s="124"/>
      <c r="BW155" s="124"/>
      <c r="BX155" s="124"/>
      <c r="BY155" s="124"/>
      <c r="BZ155" s="124"/>
      <c r="CA155" s="124"/>
      <c r="CB155" s="124"/>
      <c r="CC155" s="124"/>
      <c r="CD155" s="124"/>
      <c r="CE155" s="124"/>
      <c r="CF155" s="124"/>
      <c r="CG155" s="124"/>
      <c r="CH155" s="124"/>
      <c r="CI155" s="124"/>
      <c r="CJ155" s="124"/>
      <c r="CK155" s="124"/>
      <c r="CL155" s="124"/>
      <c r="CM155" s="124"/>
      <c r="CN155" s="124"/>
      <c r="CO155" s="124"/>
      <c r="CP155" s="124"/>
      <c r="CQ155" s="124"/>
      <c r="CR155" s="124"/>
      <c r="CS155" s="124"/>
      <c r="CT155" s="124"/>
      <c r="CU155" s="124"/>
      <c r="CV155" s="124"/>
      <c r="CW155" s="124"/>
      <c r="CX155" s="124"/>
      <c r="CY155" s="124"/>
      <c r="CZ155" s="124"/>
      <c r="DA155" s="124"/>
      <c r="DB155" s="124"/>
      <c r="DC155" s="124"/>
      <c r="DD155" s="124"/>
      <c r="DE155" s="124"/>
      <c r="DF155" s="124"/>
      <c r="DG155" s="124"/>
      <c r="DH155" s="124"/>
      <c r="DI155" s="124"/>
      <c r="DJ155" s="124"/>
      <c r="DK155" s="124"/>
      <c r="DL155" s="124"/>
      <c r="DM155" s="124"/>
      <c r="DN155" s="124"/>
      <c r="DO155" s="124"/>
      <c r="DP155" s="124"/>
      <c r="DQ155" s="124"/>
      <c r="DR155" s="124"/>
      <c r="DS155" s="124"/>
      <c r="DT155" s="124"/>
      <c r="DU155" s="124"/>
      <c r="DV155" s="124"/>
      <c r="DW155" s="124"/>
      <c r="DX155" s="124"/>
      <c r="DY155" s="124"/>
      <c r="DZ155" s="124"/>
      <c r="EA155" s="124"/>
      <c r="EB155" s="124"/>
      <c r="EC155" s="124"/>
      <c r="ED155" s="124"/>
      <c r="EE155" s="124"/>
      <c r="EF155" s="124"/>
      <c r="EG155" s="124"/>
      <c r="EH155" s="124"/>
      <c r="EI155" s="124"/>
      <c r="EJ155" s="124"/>
      <c r="EK155" s="124"/>
      <c r="EL155" s="124"/>
      <c r="EM155" s="124"/>
      <c r="EN155" s="124"/>
      <c r="EO155" s="124"/>
      <c r="EP155" s="124"/>
      <c r="EQ155" s="124"/>
      <c r="ER155" s="124"/>
      <c r="ES155" s="124"/>
      <c r="ET155" s="124"/>
      <c r="EU155" s="124"/>
      <c r="EV155" s="124"/>
      <c r="EW155" s="124"/>
      <c r="EX155" s="124"/>
      <c r="EY155" s="124"/>
      <c r="EZ155" s="124"/>
      <c r="FA155" s="124"/>
      <c r="FB155" s="124"/>
      <c r="FC155" s="124"/>
      <c r="FD155" s="124"/>
      <c r="FE155" s="124"/>
      <c r="FF155" s="124"/>
      <c r="FG155" s="124"/>
      <c r="FH155" s="124"/>
      <c r="FI155" s="124"/>
      <c r="FJ155" s="124"/>
      <c r="FK155" s="124"/>
      <c r="FL155" s="124"/>
      <c r="FM155" s="124"/>
      <c r="FN155" s="124"/>
      <c r="FO155" s="124"/>
      <c r="FP155" s="124"/>
      <c r="FQ155" s="124"/>
      <c r="FR155" s="124"/>
      <c r="FS155" s="124"/>
      <c r="FT155" s="124"/>
      <c r="FU155" s="124"/>
      <c r="FV155" s="124"/>
      <c r="FW155" s="124"/>
      <c r="FX155" s="124"/>
      <c r="FY155" s="124"/>
      <c r="FZ155" s="124"/>
      <c r="GA155" s="124"/>
      <c r="GB155" s="124"/>
      <c r="GC155" s="124"/>
      <c r="GD155" s="124"/>
      <c r="GE155" s="124"/>
      <c r="GF155" s="124"/>
      <c r="GG155" s="124"/>
      <c r="GH155" s="124"/>
      <c r="GI155" s="124"/>
      <c r="GJ155" s="124"/>
      <c r="GK155" s="124"/>
      <c r="GL155" s="124"/>
      <c r="GM155" s="124"/>
      <c r="GN155" s="124"/>
      <c r="GO155" s="124"/>
      <c r="GP155" s="124"/>
      <c r="GQ155" s="124"/>
      <c r="GR155" s="124"/>
      <c r="GS155" s="124"/>
      <c r="GT155" s="124"/>
      <c r="GU155" s="124"/>
      <c r="GV155" s="124"/>
      <c r="GW155" s="124"/>
      <c r="GX155" s="124"/>
      <c r="GY155" s="124"/>
      <c r="GZ155" s="124"/>
      <c r="HA155" s="124"/>
      <c r="HB155" s="124"/>
      <c r="HC155" s="124"/>
      <c r="HD155" s="124"/>
      <c r="HE155" s="124"/>
      <c r="HF155" s="124"/>
      <c r="HG155" s="124"/>
      <c r="HH155" s="124"/>
      <c r="HI155" s="124"/>
      <c r="HJ155" s="124"/>
      <c r="HK155" s="124"/>
      <c r="HL155" s="124"/>
      <c r="HM155" s="124"/>
      <c r="HN155" s="124"/>
      <c r="HO155" s="124"/>
      <c r="HP155" s="124"/>
      <c r="HQ155" s="124"/>
    </row>
    <row r="156" spans="1:225" x14ac:dyDescent="0.2">
      <c r="A156" s="122" t="s">
        <v>787</v>
      </c>
      <c r="B156" s="123">
        <v>74</v>
      </c>
      <c r="C156" s="124" t="s">
        <v>314</v>
      </c>
      <c r="D156" s="123">
        <v>147</v>
      </c>
      <c r="E156" s="124" t="s">
        <v>161</v>
      </c>
      <c r="F156" s="123">
        <v>4</v>
      </c>
      <c r="G156" s="123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24"/>
      <c r="BK156" s="124"/>
      <c r="BL156" s="124"/>
      <c r="BM156" s="124"/>
      <c r="BN156" s="124"/>
      <c r="BO156" s="124"/>
      <c r="BP156" s="124"/>
      <c r="BQ156" s="124"/>
      <c r="BR156" s="124"/>
      <c r="BS156" s="124"/>
      <c r="BT156" s="124"/>
      <c r="BU156" s="124"/>
      <c r="BV156" s="124"/>
      <c r="BW156" s="124"/>
      <c r="BX156" s="124"/>
      <c r="BY156" s="124"/>
      <c r="BZ156" s="124"/>
      <c r="CA156" s="124"/>
      <c r="CB156" s="124"/>
      <c r="CC156" s="124"/>
      <c r="CD156" s="124"/>
      <c r="CE156" s="124"/>
      <c r="CF156" s="124"/>
      <c r="CG156" s="124"/>
      <c r="CH156" s="124"/>
      <c r="CI156" s="124"/>
      <c r="CJ156" s="124"/>
      <c r="CK156" s="124"/>
      <c r="CL156" s="124"/>
      <c r="CM156" s="124"/>
      <c r="CN156" s="124"/>
      <c r="CO156" s="124"/>
      <c r="CP156" s="124"/>
      <c r="CQ156" s="124"/>
      <c r="CR156" s="124"/>
      <c r="CS156" s="124"/>
      <c r="CT156" s="124"/>
      <c r="CU156" s="124"/>
      <c r="CV156" s="124"/>
      <c r="CW156" s="124"/>
      <c r="CX156" s="124"/>
      <c r="CY156" s="124"/>
      <c r="CZ156" s="124"/>
      <c r="DA156" s="124"/>
      <c r="DB156" s="124"/>
      <c r="DC156" s="124"/>
      <c r="DD156" s="124"/>
      <c r="DE156" s="124"/>
      <c r="DF156" s="124"/>
      <c r="DG156" s="124"/>
      <c r="DH156" s="124"/>
      <c r="DI156" s="124"/>
      <c r="DJ156" s="124"/>
      <c r="DK156" s="124"/>
      <c r="DL156" s="124"/>
      <c r="DM156" s="124"/>
      <c r="DN156" s="124"/>
      <c r="DO156" s="124"/>
      <c r="DP156" s="124"/>
      <c r="DQ156" s="124"/>
      <c r="DR156" s="124"/>
      <c r="DS156" s="124"/>
      <c r="DT156" s="124"/>
      <c r="DU156" s="124"/>
      <c r="DV156" s="124"/>
      <c r="DW156" s="124"/>
      <c r="DX156" s="124"/>
      <c r="DY156" s="124"/>
      <c r="DZ156" s="124"/>
      <c r="EA156" s="124"/>
      <c r="EB156" s="124"/>
      <c r="EC156" s="124"/>
      <c r="ED156" s="124"/>
      <c r="EE156" s="124"/>
      <c r="EF156" s="124"/>
      <c r="EG156" s="124"/>
      <c r="EH156" s="124"/>
      <c r="EI156" s="124"/>
      <c r="EJ156" s="124"/>
      <c r="EK156" s="124"/>
      <c r="EL156" s="124"/>
      <c r="EM156" s="124"/>
      <c r="EN156" s="124"/>
      <c r="EO156" s="124"/>
      <c r="EP156" s="124"/>
      <c r="EQ156" s="124"/>
      <c r="ER156" s="124"/>
      <c r="ES156" s="124"/>
      <c r="ET156" s="124"/>
      <c r="EU156" s="124"/>
      <c r="EV156" s="124"/>
      <c r="EW156" s="124"/>
      <c r="EX156" s="124"/>
      <c r="EY156" s="124"/>
      <c r="EZ156" s="124"/>
      <c r="FA156" s="124"/>
      <c r="FB156" s="124"/>
      <c r="FC156" s="124"/>
      <c r="FD156" s="124"/>
      <c r="FE156" s="124"/>
      <c r="FF156" s="124"/>
      <c r="FG156" s="124"/>
      <c r="FH156" s="124"/>
      <c r="FI156" s="124"/>
      <c r="FJ156" s="124"/>
      <c r="FK156" s="124"/>
      <c r="FL156" s="124"/>
      <c r="FM156" s="124"/>
      <c r="FN156" s="124"/>
      <c r="FO156" s="124"/>
      <c r="FP156" s="124"/>
      <c r="FQ156" s="124"/>
      <c r="FR156" s="124"/>
      <c r="FS156" s="124"/>
      <c r="FT156" s="124"/>
      <c r="FU156" s="124"/>
      <c r="FV156" s="124"/>
      <c r="FW156" s="124"/>
      <c r="FX156" s="124"/>
      <c r="FY156" s="124"/>
      <c r="FZ156" s="124"/>
      <c r="GA156" s="124"/>
      <c r="GB156" s="124"/>
      <c r="GC156" s="124"/>
      <c r="GD156" s="124"/>
      <c r="GE156" s="124"/>
      <c r="GF156" s="124"/>
      <c r="GG156" s="124"/>
      <c r="GH156" s="124"/>
      <c r="GI156" s="124"/>
      <c r="GJ156" s="124"/>
      <c r="GK156" s="124"/>
      <c r="GL156" s="124"/>
      <c r="GM156" s="124"/>
      <c r="GN156" s="124"/>
      <c r="GO156" s="124"/>
      <c r="GP156" s="124"/>
      <c r="GQ156" s="124"/>
      <c r="GR156" s="124"/>
      <c r="GS156" s="124"/>
      <c r="GT156" s="124"/>
      <c r="GU156" s="124"/>
      <c r="GV156" s="124"/>
      <c r="GW156" s="124"/>
      <c r="GX156" s="124"/>
      <c r="GY156" s="124"/>
      <c r="GZ156" s="124"/>
      <c r="HA156" s="124"/>
      <c r="HB156" s="124"/>
      <c r="HC156" s="124"/>
      <c r="HD156" s="124"/>
      <c r="HE156" s="124"/>
      <c r="HF156" s="124"/>
      <c r="HG156" s="124"/>
      <c r="HH156" s="124"/>
      <c r="HI156" s="124"/>
      <c r="HJ156" s="124"/>
      <c r="HK156" s="124"/>
      <c r="HL156" s="124"/>
      <c r="HM156" s="124"/>
      <c r="HN156" s="124"/>
      <c r="HO156" s="124"/>
      <c r="HP156" s="124"/>
      <c r="HQ156" s="124"/>
    </row>
    <row r="157" spans="1:225" x14ac:dyDescent="0.2">
      <c r="A157" s="122" t="s">
        <v>788</v>
      </c>
      <c r="B157" s="123">
        <v>74</v>
      </c>
      <c r="C157" s="124" t="s">
        <v>315</v>
      </c>
      <c r="D157" s="123">
        <v>148</v>
      </c>
      <c r="E157" s="124" t="s">
        <v>161</v>
      </c>
      <c r="F157" s="123">
        <v>5</v>
      </c>
      <c r="G157" s="123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  <c r="BJ157" s="124"/>
      <c r="BK157" s="124"/>
      <c r="BL157" s="124"/>
      <c r="BM157" s="124"/>
      <c r="BN157" s="124"/>
      <c r="BO157" s="124"/>
      <c r="BP157" s="124"/>
      <c r="BQ157" s="124"/>
      <c r="BR157" s="124"/>
      <c r="BS157" s="124"/>
      <c r="BT157" s="124"/>
      <c r="BU157" s="124"/>
      <c r="BV157" s="124"/>
      <c r="BW157" s="124"/>
      <c r="BX157" s="124"/>
      <c r="BY157" s="124"/>
      <c r="BZ157" s="124"/>
      <c r="CA157" s="124"/>
      <c r="CB157" s="124"/>
      <c r="CC157" s="124"/>
      <c r="CD157" s="124"/>
      <c r="CE157" s="124"/>
      <c r="CF157" s="124"/>
      <c r="CG157" s="124"/>
      <c r="CH157" s="124"/>
      <c r="CI157" s="124"/>
      <c r="CJ157" s="124"/>
      <c r="CK157" s="124"/>
      <c r="CL157" s="124"/>
      <c r="CM157" s="124"/>
      <c r="CN157" s="124"/>
      <c r="CO157" s="124"/>
      <c r="CP157" s="124"/>
      <c r="CQ157" s="124"/>
      <c r="CR157" s="124"/>
      <c r="CS157" s="124"/>
      <c r="CT157" s="124"/>
      <c r="CU157" s="124"/>
      <c r="CV157" s="124"/>
      <c r="CW157" s="124"/>
      <c r="CX157" s="124"/>
      <c r="CY157" s="124"/>
      <c r="CZ157" s="124"/>
      <c r="DA157" s="124"/>
      <c r="DB157" s="124"/>
      <c r="DC157" s="124"/>
      <c r="DD157" s="124"/>
      <c r="DE157" s="124"/>
      <c r="DF157" s="124"/>
      <c r="DG157" s="124"/>
      <c r="DH157" s="124"/>
      <c r="DI157" s="124"/>
      <c r="DJ157" s="124"/>
      <c r="DK157" s="124"/>
      <c r="DL157" s="124"/>
      <c r="DM157" s="124"/>
      <c r="DN157" s="124"/>
      <c r="DO157" s="124"/>
      <c r="DP157" s="124"/>
      <c r="DQ157" s="124"/>
      <c r="DR157" s="124"/>
      <c r="DS157" s="124"/>
      <c r="DT157" s="124"/>
      <c r="DU157" s="124"/>
      <c r="DV157" s="124"/>
      <c r="DW157" s="124"/>
      <c r="DX157" s="124"/>
      <c r="DY157" s="124"/>
      <c r="DZ157" s="124"/>
      <c r="EA157" s="124"/>
      <c r="EB157" s="124"/>
      <c r="EC157" s="124"/>
      <c r="ED157" s="124"/>
      <c r="EE157" s="124"/>
      <c r="EF157" s="124"/>
      <c r="EG157" s="124"/>
      <c r="EH157" s="124"/>
      <c r="EI157" s="124"/>
      <c r="EJ157" s="124"/>
      <c r="EK157" s="124"/>
      <c r="EL157" s="124"/>
      <c r="EM157" s="124"/>
      <c r="EN157" s="124"/>
      <c r="EO157" s="124"/>
      <c r="EP157" s="124"/>
      <c r="EQ157" s="124"/>
      <c r="ER157" s="124"/>
      <c r="ES157" s="124"/>
      <c r="ET157" s="124"/>
      <c r="EU157" s="124"/>
      <c r="EV157" s="124"/>
      <c r="EW157" s="124"/>
      <c r="EX157" s="124"/>
      <c r="EY157" s="124"/>
      <c r="EZ157" s="124"/>
      <c r="FA157" s="124"/>
      <c r="FB157" s="124"/>
      <c r="FC157" s="124"/>
      <c r="FD157" s="124"/>
      <c r="FE157" s="124"/>
      <c r="FF157" s="124"/>
      <c r="FG157" s="124"/>
      <c r="FH157" s="124"/>
      <c r="FI157" s="124"/>
      <c r="FJ157" s="124"/>
      <c r="FK157" s="124"/>
      <c r="FL157" s="124"/>
      <c r="FM157" s="124"/>
      <c r="FN157" s="124"/>
      <c r="FO157" s="124"/>
      <c r="FP157" s="124"/>
      <c r="FQ157" s="124"/>
      <c r="FR157" s="124"/>
      <c r="FS157" s="124"/>
      <c r="FT157" s="124"/>
      <c r="FU157" s="124"/>
      <c r="FV157" s="124"/>
      <c r="FW157" s="124"/>
      <c r="FX157" s="124"/>
      <c r="FY157" s="124"/>
      <c r="FZ157" s="124"/>
      <c r="GA157" s="124"/>
      <c r="GB157" s="124"/>
      <c r="GC157" s="124"/>
      <c r="GD157" s="124"/>
      <c r="GE157" s="124"/>
      <c r="GF157" s="124"/>
      <c r="GG157" s="124"/>
      <c r="GH157" s="124"/>
      <c r="GI157" s="124"/>
      <c r="GJ157" s="124"/>
      <c r="GK157" s="124"/>
      <c r="GL157" s="124"/>
      <c r="GM157" s="124"/>
      <c r="GN157" s="124"/>
      <c r="GO157" s="124"/>
      <c r="GP157" s="124"/>
      <c r="GQ157" s="124"/>
      <c r="GR157" s="124"/>
      <c r="GS157" s="124"/>
      <c r="GT157" s="124"/>
      <c r="GU157" s="124"/>
      <c r="GV157" s="124"/>
      <c r="GW157" s="124"/>
      <c r="GX157" s="124"/>
      <c r="GY157" s="124"/>
      <c r="GZ157" s="124"/>
      <c r="HA157" s="124"/>
      <c r="HB157" s="124"/>
      <c r="HC157" s="124"/>
      <c r="HD157" s="124"/>
      <c r="HE157" s="124"/>
      <c r="HF157" s="124"/>
      <c r="HG157" s="124"/>
      <c r="HH157" s="124"/>
      <c r="HI157" s="124"/>
      <c r="HJ157" s="124"/>
      <c r="HK157" s="124"/>
      <c r="HL157" s="124"/>
      <c r="HM157" s="124"/>
      <c r="HN157" s="124"/>
      <c r="HO157" s="124"/>
      <c r="HP157" s="124"/>
      <c r="HQ157" s="124"/>
    </row>
    <row r="158" spans="1:225" x14ac:dyDescent="0.2">
      <c r="A158" s="122" t="s">
        <v>789</v>
      </c>
      <c r="B158" s="123">
        <v>75</v>
      </c>
      <c r="C158" s="124" t="s">
        <v>316</v>
      </c>
      <c r="D158" s="123">
        <v>149</v>
      </c>
      <c r="E158" s="124" t="s">
        <v>161</v>
      </c>
      <c r="F158" s="123">
        <v>4</v>
      </c>
      <c r="G158" s="123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24"/>
      <c r="BK158" s="124"/>
      <c r="BL158" s="124"/>
      <c r="BM158" s="124"/>
      <c r="BN158" s="124"/>
      <c r="BO158" s="124"/>
      <c r="BP158" s="124"/>
      <c r="BQ158" s="124"/>
      <c r="BR158" s="124"/>
      <c r="BS158" s="124"/>
      <c r="BT158" s="124"/>
      <c r="BU158" s="124"/>
      <c r="BV158" s="124"/>
      <c r="BW158" s="124"/>
      <c r="BX158" s="124"/>
      <c r="BY158" s="124"/>
      <c r="BZ158" s="124"/>
      <c r="CA158" s="124"/>
      <c r="CB158" s="124"/>
      <c r="CC158" s="124"/>
      <c r="CD158" s="124"/>
      <c r="CE158" s="124"/>
      <c r="CF158" s="124"/>
      <c r="CG158" s="124"/>
      <c r="CH158" s="124"/>
      <c r="CI158" s="124"/>
      <c r="CJ158" s="124"/>
      <c r="CK158" s="124"/>
      <c r="CL158" s="124"/>
      <c r="CM158" s="124"/>
      <c r="CN158" s="124"/>
      <c r="CO158" s="124"/>
      <c r="CP158" s="124"/>
      <c r="CQ158" s="124"/>
      <c r="CR158" s="124"/>
      <c r="CS158" s="124"/>
      <c r="CT158" s="124"/>
      <c r="CU158" s="124"/>
      <c r="CV158" s="124"/>
      <c r="CW158" s="124"/>
      <c r="CX158" s="124"/>
      <c r="CY158" s="124"/>
      <c r="CZ158" s="124"/>
      <c r="DA158" s="124"/>
      <c r="DB158" s="124"/>
      <c r="DC158" s="124"/>
      <c r="DD158" s="124"/>
      <c r="DE158" s="124"/>
      <c r="DF158" s="124"/>
      <c r="DG158" s="124"/>
      <c r="DH158" s="124"/>
      <c r="DI158" s="124"/>
      <c r="DJ158" s="124"/>
      <c r="DK158" s="124"/>
      <c r="DL158" s="124"/>
      <c r="DM158" s="124"/>
      <c r="DN158" s="124"/>
      <c r="DO158" s="124"/>
      <c r="DP158" s="124"/>
      <c r="DQ158" s="124"/>
      <c r="DR158" s="124"/>
      <c r="DS158" s="124"/>
      <c r="DT158" s="124"/>
      <c r="DU158" s="124"/>
      <c r="DV158" s="124"/>
      <c r="DW158" s="124"/>
      <c r="DX158" s="124"/>
      <c r="DY158" s="124"/>
      <c r="DZ158" s="124"/>
      <c r="EA158" s="124"/>
      <c r="EB158" s="124"/>
      <c r="EC158" s="124"/>
      <c r="ED158" s="124"/>
      <c r="EE158" s="124"/>
      <c r="EF158" s="124"/>
      <c r="EG158" s="124"/>
      <c r="EH158" s="124"/>
      <c r="EI158" s="124"/>
      <c r="EJ158" s="124"/>
      <c r="EK158" s="124"/>
      <c r="EL158" s="124"/>
      <c r="EM158" s="124"/>
      <c r="EN158" s="124"/>
      <c r="EO158" s="124"/>
      <c r="EP158" s="124"/>
      <c r="EQ158" s="124"/>
      <c r="ER158" s="124"/>
      <c r="ES158" s="124"/>
      <c r="ET158" s="124"/>
      <c r="EU158" s="124"/>
      <c r="EV158" s="124"/>
      <c r="EW158" s="124"/>
      <c r="EX158" s="124"/>
      <c r="EY158" s="124"/>
      <c r="EZ158" s="124"/>
      <c r="FA158" s="124"/>
      <c r="FB158" s="124"/>
      <c r="FC158" s="124"/>
      <c r="FD158" s="124"/>
      <c r="FE158" s="124"/>
      <c r="FF158" s="124"/>
      <c r="FG158" s="124"/>
      <c r="FH158" s="124"/>
      <c r="FI158" s="124"/>
      <c r="FJ158" s="124"/>
      <c r="FK158" s="124"/>
      <c r="FL158" s="124"/>
      <c r="FM158" s="124"/>
      <c r="FN158" s="124"/>
      <c r="FO158" s="124"/>
      <c r="FP158" s="124"/>
      <c r="FQ158" s="124"/>
      <c r="FR158" s="124"/>
      <c r="FS158" s="124"/>
      <c r="FT158" s="124"/>
      <c r="FU158" s="124"/>
      <c r="FV158" s="124"/>
      <c r="FW158" s="124"/>
      <c r="FX158" s="124"/>
      <c r="FY158" s="124"/>
      <c r="FZ158" s="124"/>
      <c r="GA158" s="124"/>
      <c r="GB158" s="124"/>
      <c r="GC158" s="124"/>
      <c r="GD158" s="124"/>
      <c r="GE158" s="124"/>
      <c r="GF158" s="124"/>
      <c r="GG158" s="124"/>
      <c r="GH158" s="124"/>
      <c r="GI158" s="124"/>
      <c r="GJ158" s="124"/>
      <c r="GK158" s="124"/>
      <c r="GL158" s="124"/>
      <c r="GM158" s="124"/>
      <c r="GN158" s="124"/>
      <c r="GO158" s="124"/>
      <c r="GP158" s="124"/>
      <c r="GQ158" s="124"/>
      <c r="GR158" s="124"/>
      <c r="GS158" s="124"/>
      <c r="GT158" s="124"/>
      <c r="GU158" s="124"/>
      <c r="GV158" s="124"/>
      <c r="GW158" s="124"/>
      <c r="GX158" s="124"/>
      <c r="GY158" s="124"/>
      <c r="GZ158" s="124"/>
      <c r="HA158" s="124"/>
      <c r="HB158" s="124"/>
      <c r="HC158" s="124"/>
      <c r="HD158" s="124"/>
      <c r="HE158" s="124"/>
      <c r="HF158" s="124"/>
      <c r="HG158" s="124"/>
      <c r="HH158" s="124"/>
      <c r="HI158" s="124"/>
      <c r="HJ158" s="124"/>
      <c r="HK158" s="124"/>
      <c r="HL158" s="124"/>
      <c r="HM158" s="124"/>
      <c r="HN158" s="124"/>
      <c r="HO158" s="124"/>
      <c r="HP158" s="124"/>
      <c r="HQ158" s="124"/>
    </row>
    <row r="159" spans="1:225" x14ac:dyDescent="0.2">
      <c r="A159" s="122" t="s">
        <v>790</v>
      </c>
      <c r="B159" s="123">
        <v>75</v>
      </c>
      <c r="C159" s="124" t="s">
        <v>317</v>
      </c>
      <c r="D159" s="123">
        <v>150</v>
      </c>
      <c r="E159" s="124" t="s">
        <v>161</v>
      </c>
      <c r="F159" s="123">
        <v>5</v>
      </c>
      <c r="G159" s="123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  <c r="BJ159" s="124"/>
      <c r="BK159" s="124"/>
      <c r="BL159" s="124"/>
      <c r="BM159" s="124"/>
      <c r="BN159" s="124"/>
      <c r="BO159" s="124"/>
      <c r="BP159" s="124"/>
      <c r="BQ159" s="124"/>
      <c r="BR159" s="124"/>
      <c r="BS159" s="124"/>
      <c r="BT159" s="124"/>
      <c r="BU159" s="124"/>
      <c r="BV159" s="124"/>
      <c r="BW159" s="124"/>
      <c r="BX159" s="124"/>
      <c r="BY159" s="124"/>
      <c r="BZ159" s="124"/>
      <c r="CA159" s="124"/>
      <c r="CB159" s="124"/>
      <c r="CC159" s="124"/>
      <c r="CD159" s="124"/>
      <c r="CE159" s="124"/>
      <c r="CF159" s="124"/>
      <c r="CG159" s="124"/>
      <c r="CH159" s="124"/>
      <c r="CI159" s="124"/>
      <c r="CJ159" s="124"/>
      <c r="CK159" s="124"/>
      <c r="CL159" s="124"/>
      <c r="CM159" s="124"/>
      <c r="CN159" s="124"/>
      <c r="CO159" s="124"/>
      <c r="CP159" s="124"/>
      <c r="CQ159" s="124"/>
      <c r="CR159" s="124"/>
      <c r="CS159" s="124"/>
      <c r="CT159" s="124"/>
      <c r="CU159" s="124"/>
      <c r="CV159" s="124"/>
      <c r="CW159" s="124"/>
      <c r="CX159" s="124"/>
      <c r="CY159" s="124"/>
      <c r="CZ159" s="124"/>
      <c r="DA159" s="124"/>
      <c r="DB159" s="124"/>
      <c r="DC159" s="124"/>
      <c r="DD159" s="124"/>
      <c r="DE159" s="124"/>
      <c r="DF159" s="124"/>
      <c r="DG159" s="124"/>
      <c r="DH159" s="124"/>
      <c r="DI159" s="124"/>
      <c r="DJ159" s="124"/>
      <c r="DK159" s="124"/>
      <c r="DL159" s="124"/>
      <c r="DM159" s="124"/>
      <c r="DN159" s="124"/>
      <c r="DO159" s="124"/>
      <c r="DP159" s="124"/>
      <c r="DQ159" s="124"/>
      <c r="DR159" s="124"/>
      <c r="DS159" s="124"/>
      <c r="DT159" s="124"/>
      <c r="DU159" s="124"/>
      <c r="DV159" s="124"/>
      <c r="DW159" s="124"/>
      <c r="DX159" s="124"/>
      <c r="DY159" s="124"/>
      <c r="DZ159" s="124"/>
      <c r="EA159" s="124"/>
      <c r="EB159" s="124"/>
      <c r="EC159" s="124"/>
      <c r="ED159" s="124"/>
      <c r="EE159" s="124"/>
      <c r="EF159" s="124"/>
      <c r="EG159" s="124"/>
      <c r="EH159" s="124"/>
      <c r="EI159" s="124"/>
      <c r="EJ159" s="124"/>
      <c r="EK159" s="124"/>
      <c r="EL159" s="124"/>
      <c r="EM159" s="124"/>
      <c r="EN159" s="124"/>
      <c r="EO159" s="124"/>
      <c r="EP159" s="124"/>
      <c r="EQ159" s="124"/>
      <c r="ER159" s="124"/>
      <c r="ES159" s="124"/>
      <c r="ET159" s="124"/>
      <c r="EU159" s="124"/>
      <c r="EV159" s="124"/>
      <c r="EW159" s="124"/>
      <c r="EX159" s="124"/>
      <c r="EY159" s="124"/>
      <c r="EZ159" s="124"/>
      <c r="FA159" s="124"/>
      <c r="FB159" s="124"/>
      <c r="FC159" s="124"/>
      <c r="FD159" s="124"/>
      <c r="FE159" s="124"/>
      <c r="FF159" s="124"/>
      <c r="FG159" s="124"/>
      <c r="FH159" s="124"/>
      <c r="FI159" s="124"/>
      <c r="FJ159" s="124"/>
      <c r="FK159" s="124"/>
      <c r="FL159" s="124"/>
      <c r="FM159" s="124"/>
      <c r="FN159" s="124"/>
      <c r="FO159" s="124"/>
      <c r="FP159" s="124"/>
      <c r="FQ159" s="124"/>
      <c r="FR159" s="124"/>
      <c r="FS159" s="124"/>
      <c r="FT159" s="124"/>
      <c r="FU159" s="124"/>
      <c r="FV159" s="124"/>
      <c r="FW159" s="124"/>
      <c r="FX159" s="124"/>
      <c r="FY159" s="124"/>
      <c r="FZ159" s="124"/>
      <c r="GA159" s="124"/>
      <c r="GB159" s="124"/>
      <c r="GC159" s="124"/>
      <c r="GD159" s="124"/>
      <c r="GE159" s="124"/>
      <c r="GF159" s="124"/>
      <c r="GG159" s="124"/>
      <c r="GH159" s="124"/>
      <c r="GI159" s="124"/>
      <c r="GJ159" s="124"/>
      <c r="GK159" s="124"/>
      <c r="GL159" s="124"/>
      <c r="GM159" s="124"/>
      <c r="GN159" s="124"/>
      <c r="GO159" s="124"/>
      <c r="GP159" s="124"/>
      <c r="GQ159" s="124"/>
      <c r="GR159" s="124"/>
      <c r="GS159" s="124"/>
      <c r="GT159" s="124"/>
      <c r="GU159" s="124"/>
      <c r="GV159" s="124"/>
      <c r="GW159" s="124"/>
      <c r="GX159" s="124"/>
      <c r="GY159" s="124"/>
      <c r="GZ159" s="124"/>
      <c r="HA159" s="124"/>
      <c r="HB159" s="124"/>
      <c r="HC159" s="124"/>
      <c r="HD159" s="124"/>
      <c r="HE159" s="124"/>
      <c r="HF159" s="124"/>
      <c r="HG159" s="124"/>
      <c r="HH159" s="124"/>
      <c r="HI159" s="124"/>
      <c r="HJ159" s="124"/>
      <c r="HK159" s="124"/>
      <c r="HL159" s="124"/>
      <c r="HM159" s="124"/>
      <c r="HN159" s="124"/>
      <c r="HO159" s="124"/>
      <c r="HP159" s="124"/>
      <c r="HQ159" s="124"/>
    </row>
    <row r="160" spans="1:225" x14ac:dyDescent="0.2">
      <c r="A160" s="122" t="s">
        <v>791</v>
      </c>
      <c r="B160" s="123">
        <v>76</v>
      </c>
      <c r="C160" s="124" t="s">
        <v>318</v>
      </c>
      <c r="D160" s="123">
        <v>151</v>
      </c>
      <c r="E160" s="124" t="s">
        <v>161</v>
      </c>
      <c r="F160" s="123">
        <v>4</v>
      </c>
      <c r="G160" s="123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24"/>
      <c r="BK160" s="124"/>
      <c r="BL160" s="124"/>
      <c r="BM160" s="124"/>
      <c r="BN160" s="124"/>
      <c r="BO160" s="124"/>
      <c r="BP160" s="124"/>
      <c r="BQ160" s="124"/>
      <c r="BR160" s="124"/>
      <c r="BS160" s="124"/>
      <c r="BT160" s="124"/>
      <c r="BU160" s="124"/>
      <c r="BV160" s="124"/>
      <c r="BW160" s="124"/>
      <c r="BX160" s="124"/>
      <c r="BY160" s="124"/>
      <c r="BZ160" s="124"/>
      <c r="CA160" s="124"/>
      <c r="CB160" s="124"/>
      <c r="CC160" s="124"/>
      <c r="CD160" s="124"/>
      <c r="CE160" s="124"/>
      <c r="CF160" s="124"/>
      <c r="CG160" s="124"/>
      <c r="CH160" s="124"/>
      <c r="CI160" s="124"/>
      <c r="CJ160" s="124"/>
      <c r="CK160" s="124"/>
      <c r="CL160" s="124"/>
      <c r="CM160" s="124"/>
      <c r="CN160" s="124"/>
      <c r="CO160" s="124"/>
      <c r="CP160" s="124"/>
      <c r="CQ160" s="124"/>
      <c r="CR160" s="124"/>
      <c r="CS160" s="124"/>
      <c r="CT160" s="124"/>
      <c r="CU160" s="124"/>
      <c r="CV160" s="124"/>
      <c r="CW160" s="124"/>
      <c r="CX160" s="124"/>
      <c r="CY160" s="124"/>
      <c r="CZ160" s="124"/>
      <c r="DA160" s="124"/>
      <c r="DB160" s="124"/>
      <c r="DC160" s="124"/>
      <c r="DD160" s="124"/>
      <c r="DE160" s="124"/>
      <c r="DF160" s="124"/>
      <c r="DG160" s="124"/>
      <c r="DH160" s="124"/>
      <c r="DI160" s="124"/>
      <c r="DJ160" s="124"/>
      <c r="DK160" s="124"/>
      <c r="DL160" s="124"/>
      <c r="DM160" s="124"/>
      <c r="DN160" s="124"/>
      <c r="DO160" s="124"/>
      <c r="DP160" s="124"/>
      <c r="DQ160" s="124"/>
      <c r="DR160" s="124"/>
      <c r="DS160" s="124"/>
      <c r="DT160" s="124"/>
      <c r="DU160" s="124"/>
      <c r="DV160" s="124"/>
      <c r="DW160" s="124"/>
      <c r="DX160" s="124"/>
      <c r="DY160" s="124"/>
      <c r="DZ160" s="124"/>
      <c r="EA160" s="124"/>
      <c r="EB160" s="124"/>
      <c r="EC160" s="124"/>
      <c r="ED160" s="124"/>
      <c r="EE160" s="124"/>
      <c r="EF160" s="124"/>
      <c r="EG160" s="124"/>
      <c r="EH160" s="124"/>
      <c r="EI160" s="124"/>
      <c r="EJ160" s="124"/>
      <c r="EK160" s="124"/>
      <c r="EL160" s="124"/>
      <c r="EM160" s="124"/>
      <c r="EN160" s="124"/>
      <c r="EO160" s="124"/>
      <c r="EP160" s="124"/>
      <c r="EQ160" s="124"/>
      <c r="ER160" s="124"/>
      <c r="ES160" s="124"/>
      <c r="ET160" s="124"/>
      <c r="EU160" s="124"/>
      <c r="EV160" s="124"/>
      <c r="EW160" s="124"/>
      <c r="EX160" s="124"/>
      <c r="EY160" s="124"/>
      <c r="EZ160" s="124"/>
      <c r="FA160" s="124"/>
      <c r="FB160" s="124"/>
      <c r="FC160" s="124"/>
      <c r="FD160" s="124"/>
      <c r="FE160" s="124"/>
      <c r="FF160" s="124"/>
      <c r="FG160" s="124"/>
      <c r="FH160" s="124"/>
      <c r="FI160" s="124"/>
      <c r="FJ160" s="124"/>
      <c r="FK160" s="124"/>
      <c r="FL160" s="124"/>
      <c r="FM160" s="124"/>
      <c r="FN160" s="124"/>
      <c r="FO160" s="124"/>
      <c r="FP160" s="124"/>
      <c r="FQ160" s="124"/>
      <c r="FR160" s="124"/>
      <c r="FS160" s="124"/>
      <c r="FT160" s="124"/>
      <c r="FU160" s="124"/>
      <c r="FV160" s="124"/>
      <c r="FW160" s="124"/>
      <c r="FX160" s="124"/>
      <c r="FY160" s="124"/>
      <c r="FZ160" s="124"/>
      <c r="GA160" s="124"/>
      <c r="GB160" s="124"/>
      <c r="GC160" s="124"/>
      <c r="GD160" s="124"/>
      <c r="GE160" s="124"/>
      <c r="GF160" s="124"/>
      <c r="GG160" s="124"/>
      <c r="GH160" s="124"/>
      <c r="GI160" s="124"/>
      <c r="GJ160" s="124"/>
      <c r="GK160" s="124"/>
      <c r="GL160" s="124"/>
      <c r="GM160" s="124"/>
      <c r="GN160" s="124"/>
      <c r="GO160" s="124"/>
      <c r="GP160" s="124"/>
      <c r="GQ160" s="124"/>
      <c r="GR160" s="124"/>
      <c r="GS160" s="124"/>
      <c r="GT160" s="124"/>
      <c r="GU160" s="124"/>
      <c r="GV160" s="124"/>
      <c r="GW160" s="124"/>
      <c r="GX160" s="124"/>
      <c r="GY160" s="124"/>
      <c r="GZ160" s="124"/>
      <c r="HA160" s="124"/>
      <c r="HB160" s="124"/>
      <c r="HC160" s="124"/>
      <c r="HD160" s="124"/>
      <c r="HE160" s="124"/>
      <c r="HF160" s="124"/>
      <c r="HG160" s="124"/>
      <c r="HH160" s="124"/>
      <c r="HI160" s="124"/>
      <c r="HJ160" s="124"/>
      <c r="HK160" s="124"/>
      <c r="HL160" s="124"/>
      <c r="HM160" s="124"/>
      <c r="HN160" s="124"/>
      <c r="HO160" s="124"/>
      <c r="HP160" s="124"/>
      <c r="HQ160" s="124"/>
    </row>
    <row r="161" spans="1:225" x14ac:dyDescent="0.2">
      <c r="A161" s="122" t="s">
        <v>792</v>
      </c>
      <c r="B161" s="123">
        <v>76</v>
      </c>
      <c r="C161" s="124" t="s">
        <v>319</v>
      </c>
      <c r="D161" s="123">
        <v>152</v>
      </c>
      <c r="E161" s="124" t="s">
        <v>161</v>
      </c>
      <c r="F161" s="123">
        <v>3</v>
      </c>
      <c r="G161" s="123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  <c r="BJ161" s="124"/>
      <c r="BK161" s="124"/>
      <c r="BL161" s="124"/>
      <c r="BM161" s="124"/>
      <c r="BN161" s="124"/>
      <c r="BO161" s="124"/>
      <c r="BP161" s="124"/>
      <c r="BQ161" s="124"/>
      <c r="BR161" s="124"/>
      <c r="BS161" s="124"/>
      <c r="BT161" s="124"/>
      <c r="BU161" s="124"/>
      <c r="BV161" s="124"/>
      <c r="BW161" s="124"/>
      <c r="BX161" s="124"/>
      <c r="BY161" s="124"/>
      <c r="BZ161" s="124"/>
      <c r="CA161" s="124"/>
      <c r="CB161" s="124"/>
      <c r="CC161" s="124"/>
      <c r="CD161" s="124"/>
      <c r="CE161" s="124"/>
      <c r="CF161" s="124"/>
      <c r="CG161" s="124"/>
      <c r="CH161" s="124"/>
      <c r="CI161" s="124"/>
      <c r="CJ161" s="124"/>
      <c r="CK161" s="124"/>
      <c r="CL161" s="124"/>
      <c r="CM161" s="124"/>
      <c r="CN161" s="124"/>
      <c r="CO161" s="124"/>
      <c r="CP161" s="124"/>
      <c r="CQ161" s="124"/>
      <c r="CR161" s="124"/>
      <c r="CS161" s="124"/>
      <c r="CT161" s="124"/>
      <c r="CU161" s="124"/>
      <c r="CV161" s="124"/>
      <c r="CW161" s="124"/>
      <c r="CX161" s="124"/>
      <c r="CY161" s="124"/>
      <c r="CZ161" s="124"/>
      <c r="DA161" s="124"/>
      <c r="DB161" s="124"/>
      <c r="DC161" s="124"/>
      <c r="DD161" s="124"/>
      <c r="DE161" s="124"/>
      <c r="DF161" s="124"/>
      <c r="DG161" s="124"/>
      <c r="DH161" s="124"/>
      <c r="DI161" s="124"/>
      <c r="DJ161" s="124"/>
      <c r="DK161" s="124"/>
      <c r="DL161" s="124"/>
      <c r="DM161" s="124"/>
      <c r="DN161" s="124"/>
      <c r="DO161" s="124"/>
      <c r="DP161" s="124"/>
      <c r="DQ161" s="124"/>
      <c r="DR161" s="124"/>
      <c r="DS161" s="124"/>
      <c r="DT161" s="124"/>
      <c r="DU161" s="124"/>
      <c r="DV161" s="124"/>
      <c r="DW161" s="124"/>
      <c r="DX161" s="124"/>
      <c r="DY161" s="124"/>
      <c r="DZ161" s="124"/>
      <c r="EA161" s="124"/>
      <c r="EB161" s="124"/>
      <c r="EC161" s="124"/>
      <c r="ED161" s="124"/>
      <c r="EE161" s="124"/>
      <c r="EF161" s="124"/>
      <c r="EG161" s="124"/>
      <c r="EH161" s="124"/>
      <c r="EI161" s="124"/>
      <c r="EJ161" s="124"/>
      <c r="EK161" s="124"/>
      <c r="EL161" s="124"/>
      <c r="EM161" s="124"/>
      <c r="EN161" s="124"/>
      <c r="EO161" s="124"/>
      <c r="EP161" s="124"/>
      <c r="EQ161" s="124"/>
      <c r="ER161" s="124"/>
      <c r="ES161" s="124"/>
      <c r="ET161" s="124"/>
      <c r="EU161" s="124"/>
      <c r="EV161" s="124"/>
      <c r="EW161" s="124"/>
      <c r="EX161" s="124"/>
      <c r="EY161" s="124"/>
      <c r="EZ161" s="124"/>
      <c r="FA161" s="124"/>
      <c r="FB161" s="124"/>
      <c r="FC161" s="124"/>
      <c r="FD161" s="124"/>
      <c r="FE161" s="124"/>
      <c r="FF161" s="124"/>
      <c r="FG161" s="124"/>
      <c r="FH161" s="124"/>
      <c r="FI161" s="124"/>
      <c r="FJ161" s="124"/>
      <c r="FK161" s="124"/>
      <c r="FL161" s="124"/>
      <c r="FM161" s="124"/>
      <c r="FN161" s="124"/>
      <c r="FO161" s="124"/>
      <c r="FP161" s="124"/>
      <c r="FQ161" s="124"/>
      <c r="FR161" s="124"/>
      <c r="FS161" s="124"/>
      <c r="FT161" s="124"/>
      <c r="FU161" s="124"/>
      <c r="FV161" s="124"/>
      <c r="FW161" s="124"/>
      <c r="FX161" s="124"/>
      <c r="FY161" s="124"/>
      <c r="FZ161" s="124"/>
      <c r="GA161" s="124"/>
      <c r="GB161" s="124"/>
      <c r="GC161" s="124"/>
      <c r="GD161" s="124"/>
      <c r="GE161" s="124"/>
      <c r="GF161" s="124"/>
      <c r="GG161" s="124"/>
      <c r="GH161" s="124"/>
      <c r="GI161" s="124"/>
      <c r="GJ161" s="124"/>
      <c r="GK161" s="124"/>
      <c r="GL161" s="124"/>
      <c r="GM161" s="124"/>
      <c r="GN161" s="124"/>
      <c r="GO161" s="124"/>
      <c r="GP161" s="124"/>
      <c r="GQ161" s="124"/>
      <c r="GR161" s="124"/>
      <c r="GS161" s="124"/>
      <c r="GT161" s="124"/>
      <c r="GU161" s="124"/>
      <c r="GV161" s="124"/>
      <c r="GW161" s="124"/>
      <c r="GX161" s="124"/>
      <c r="GY161" s="124"/>
      <c r="GZ161" s="124"/>
      <c r="HA161" s="124"/>
      <c r="HB161" s="124"/>
      <c r="HC161" s="124"/>
      <c r="HD161" s="124"/>
      <c r="HE161" s="124"/>
      <c r="HF161" s="124"/>
      <c r="HG161" s="124"/>
      <c r="HH161" s="124"/>
      <c r="HI161" s="124"/>
      <c r="HJ161" s="124"/>
      <c r="HK161" s="124"/>
      <c r="HL161" s="124"/>
      <c r="HM161" s="124"/>
      <c r="HN161" s="124"/>
      <c r="HO161" s="124"/>
      <c r="HP161" s="124"/>
      <c r="HQ161" s="124"/>
    </row>
    <row r="162" spans="1:225" x14ac:dyDescent="0.2">
      <c r="A162" s="122" t="s">
        <v>793</v>
      </c>
      <c r="B162" s="123">
        <v>77</v>
      </c>
      <c r="C162" s="124" t="s">
        <v>320</v>
      </c>
      <c r="D162" s="123">
        <v>153</v>
      </c>
      <c r="E162" s="124" t="s">
        <v>161</v>
      </c>
      <c r="F162" s="123">
        <v>5</v>
      </c>
      <c r="G162" s="123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24"/>
      <c r="BK162" s="124"/>
      <c r="BL162" s="124"/>
      <c r="BM162" s="124"/>
      <c r="BN162" s="124"/>
      <c r="BO162" s="124"/>
      <c r="BP162" s="124"/>
      <c r="BQ162" s="124"/>
      <c r="BR162" s="124"/>
      <c r="BS162" s="124"/>
      <c r="BT162" s="124"/>
      <c r="BU162" s="124"/>
      <c r="BV162" s="124"/>
      <c r="BW162" s="124"/>
      <c r="BX162" s="124"/>
      <c r="BY162" s="124"/>
      <c r="BZ162" s="124"/>
      <c r="CA162" s="124"/>
      <c r="CB162" s="124"/>
      <c r="CC162" s="124"/>
      <c r="CD162" s="124"/>
      <c r="CE162" s="124"/>
      <c r="CF162" s="124"/>
      <c r="CG162" s="124"/>
      <c r="CH162" s="124"/>
      <c r="CI162" s="124"/>
      <c r="CJ162" s="124"/>
      <c r="CK162" s="124"/>
      <c r="CL162" s="124"/>
      <c r="CM162" s="124"/>
      <c r="CN162" s="124"/>
      <c r="CO162" s="124"/>
      <c r="CP162" s="124"/>
      <c r="CQ162" s="124"/>
      <c r="CR162" s="124"/>
      <c r="CS162" s="124"/>
      <c r="CT162" s="124"/>
      <c r="CU162" s="124"/>
      <c r="CV162" s="124"/>
      <c r="CW162" s="124"/>
      <c r="CX162" s="124"/>
      <c r="CY162" s="124"/>
      <c r="CZ162" s="124"/>
      <c r="DA162" s="124"/>
      <c r="DB162" s="124"/>
      <c r="DC162" s="124"/>
      <c r="DD162" s="124"/>
      <c r="DE162" s="124"/>
      <c r="DF162" s="124"/>
      <c r="DG162" s="124"/>
      <c r="DH162" s="124"/>
      <c r="DI162" s="124"/>
      <c r="DJ162" s="124"/>
      <c r="DK162" s="124"/>
      <c r="DL162" s="124"/>
      <c r="DM162" s="124"/>
      <c r="DN162" s="124"/>
      <c r="DO162" s="124"/>
      <c r="DP162" s="124"/>
      <c r="DQ162" s="124"/>
      <c r="DR162" s="124"/>
      <c r="DS162" s="124"/>
      <c r="DT162" s="124"/>
      <c r="DU162" s="124"/>
      <c r="DV162" s="124"/>
      <c r="DW162" s="124"/>
      <c r="DX162" s="124"/>
      <c r="DY162" s="124"/>
      <c r="DZ162" s="124"/>
      <c r="EA162" s="124"/>
      <c r="EB162" s="124"/>
      <c r="EC162" s="124"/>
      <c r="ED162" s="124"/>
      <c r="EE162" s="124"/>
      <c r="EF162" s="124"/>
      <c r="EG162" s="124"/>
      <c r="EH162" s="124"/>
      <c r="EI162" s="124"/>
      <c r="EJ162" s="124"/>
      <c r="EK162" s="124"/>
      <c r="EL162" s="124"/>
      <c r="EM162" s="124"/>
      <c r="EN162" s="124"/>
      <c r="EO162" s="124"/>
      <c r="EP162" s="124"/>
      <c r="EQ162" s="124"/>
      <c r="ER162" s="124"/>
      <c r="ES162" s="124"/>
      <c r="ET162" s="124"/>
      <c r="EU162" s="124"/>
      <c r="EV162" s="124"/>
      <c r="EW162" s="124"/>
      <c r="EX162" s="124"/>
      <c r="EY162" s="124"/>
      <c r="EZ162" s="124"/>
      <c r="FA162" s="124"/>
      <c r="FB162" s="124"/>
      <c r="FC162" s="124"/>
      <c r="FD162" s="124"/>
      <c r="FE162" s="124"/>
      <c r="FF162" s="124"/>
      <c r="FG162" s="124"/>
      <c r="FH162" s="124"/>
      <c r="FI162" s="124"/>
      <c r="FJ162" s="124"/>
      <c r="FK162" s="124"/>
      <c r="FL162" s="124"/>
      <c r="FM162" s="124"/>
      <c r="FN162" s="124"/>
      <c r="FO162" s="124"/>
      <c r="FP162" s="124"/>
      <c r="FQ162" s="124"/>
      <c r="FR162" s="124"/>
      <c r="FS162" s="124"/>
      <c r="FT162" s="124"/>
      <c r="FU162" s="124"/>
      <c r="FV162" s="124"/>
      <c r="FW162" s="124"/>
      <c r="FX162" s="124"/>
      <c r="FY162" s="124"/>
      <c r="FZ162" s="124"/>
      <c r="GA162" s="124"/>
      <c r="GB162" s="124"/>
      <c r="GC162" s="124"/>
      <c r="GD162" s="124"/>
      <c r="GE162" s="124"/>
      <c r="GF162" s="124"/>
      <c r="GG162" s="124"/>
      <c r="GH162" s="124"/>
      <c r="GI162" s="124"/>
      <c r="GJ162" s="124"/>
      <c r="GK162" s="124"/>
      <c r="GL162" s="124"/>
      <c r="GM162" s="124"/>
      <c r="GN162" s="124"/>
      <c r="GO162" s="124"/>
      <c r="GP162" s="124"/>
      <c r="GQ162" s="124"/>
      <c r="GR162" s="124"/>
      <c r="GS162" s="124"/>
      <c r="GT162" s="124"/>
      <c r="GU162" s="124"/>
      <c r="GV162" s="124"/>
      <c r="GW162" s="124"/>
      <c r="GX162" s="124"/>
      <c r="GY162" s="124"/>
      <c r="GZ162" s="124"/>
      <c r="HA162" s="124"/>
      <c r="HB162" s="124"/>
      <c r="HC162" s="124"/>
      <c r="HD162" s="124"/>
      <c r="HE162" s="124"/>
      <c r="HF162" s="124"/>
      <c r="HG162" s="124"/>
      <c r="HH162" s="124"/>
      <c r="HI162" s="124"/>
      <c r="HJ162" s="124"/>
      <c r="HK162" s="124"/>
      <c r="HL162" s="124"/>
      <c r="HM162" s="124"/>
      <c r="HN162" s="124"/>
      <c r="HO162" s="124"/>
      <c r="HP162" s="124"/>
      <c r="HQ162" s="124"/>
    </row>
    <row r="163" spans="1:225" x14ac:dyDescent="0.2">
      <c r="A163" s="122" t="s">
        <v>794</v>
      </c>
      <c r="B163" s="123">
        <v>77</v>
      </c>
      <c r="C163" s="124" t="s">
        <v>321</v>
      </c>
      <c r="D163" s="123">
        <v>154</v>
      </c>
      <c r="E163" s="124" t="s">
        <v>161</v>
      </c>
      <c r="F163" s="123">
        <v>3</v>
      </c>
      <c r="G163" s="123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  <c r="BJ163" s="124"/>
      <c r="BK163" s="124"/>
      <c r="BL163" s="124"/>
      <c r="BM163" s="124"/>
      <c r="BN163" s="124"/>
      <c r="BO163" s="124"/>
      <c r="BP163" s="124"/>
      <c r="BQ163" s="124"/>
      <c r="BR163" s="124"/>
      <c r="BS163" s="124"/>
      <c r="BT163" s="124"/>
      <c r="BU163" s="124"/>
      <c r="BV163" s="124"/>
      <c r="BW163" s="124"/>
      <c r="BX163" s="124"/>
      <c r="BY163" s="124"/>
      <c r="BZ163" s="124"/>
      <c r="CA163" s="124"/>
      <c r="CB163" s="124"/>
      <c r="CC163" s="124"/>
      <c r="CD163" s="124"/>
      <c r="CE163" s="124"/>
      <c r="CF163" s="124"/>
      <c r="CG163" s="124"/>
      <c r="CH163" s="124"/>
      <c r="CI163" s="124"/>
      <c r="CJ163" s="124"/>
      <c r="CK163" s="124"/>
      <c r="CL163" s="124"/>
      <c r="CM163" s="124"/>
      <c r="CN163" s="124"/>
      <c r="CO163" s="124"/>
      <c r="CP163" s="124"/>
      <c r="CQ163" s="124"/>
      <c r="CR163" s="124"/>
      <c r="CS163" s="124"/>
      <c r="CT163" s="124"/>
      <c r="CU163" s="124"/>
      <c r="CV163" s="124"/>
      <c r="CW163" s="124"/>
      <c r="CX163" s="124"/>
      <c r="CY163" s="124"/>
      <c r="CZ163" s="124"/>
      <c r="DA163" s="124"/>
      <c r="DB163" s="124"/>
      <c r="DC163" s="124"/>
      <c r="DD163" s="124"/>
      <c r="DE163" s="124"/>
      <c r="DF163" s="124"/>
      <c r="DG163" s="124"/>
      <c r="DH163" s="124"/>
      <c r="DI163" s="124"/>
      <c r="DJ163" s="124"/>
      <c r="DK163" s="124"/>
      <c r="DL163" s="124"/>
      <c r="DM163" s="124"/>
      <c r="DN163" s="124"/>
      <c r="DO163" s="124"/>
      <c r="DP163" s="124"/>
      <c r="DQ163" s="124"/>
      <c r="DR163" s="124"/>
      <c r="DS163" s="124"/>
      <c r="DT163" s="124"/>
      <c r="DU163" s="124"/>
      <c r="DV163" s="124"/>
      <c r="DW163" s="124"/>
      <c r="DX163" s="124"/>
      <c r="DY163" s="124"/>
      <c r="DZ163" s="124"/>
      <c r="EA163" s="124"/>
      <c r="EB163" s="124"/>
      <c r="EC163" s="124"/>
      <c r="ED163" s="124"/>
      <c r="EE163" s="124"/>
      <c r="EF163" s="124"/>
      <c r="EG163" s="124"/>
      <c r="EH163" s="124"/>
      <c r="EI163" s="124"/>
      <c r="EJ163" s="124"/>
      <c r="EK163" s="124"/>
      <c r="EL163" s="124"/>
      <c r="EM163" s="124"/>
      <c r="EN163" s="124"/>
      <c r="EO163" s="124"/>
      <c r="EP163" s="124"/>
      <c r="EQ163" s="124"/>
      <c r="ER163" s="124"/>
      <c r="ES163" s="124"/>
      <c r="ET163" s="124"/>
      <c r="EU163" s="124"/>
      <c r="EV163" s="124"/>
      <c r="EW163" s="124"/>
      <c r="EX163" s="124"/>
      <c r="EY163" s="124"/>
      <c r="EZ163" s="124"/>
      <c r="FA163" s="124"/>
      <c r="FB163" s="124"/>
      <c r="FC163" s="124"/>
      <c r="FD163" s="124"/>
      <c r="FE163" s="124"/>
      <c r="FF163" s="124"/>
      <c r="FG163" s="124"/>
      <c r="FH163" s="124"/>
      <c r="FI163" s="124"/>
      <c r="FJ163" s="124"/>
      <c r="FK163" s="124"/>
      <c r="FL163" s="124"/>
      <c r="FM163" s="124"/>
      <c r="FN163" s="124"/>
      <c r="FO163" s="124"/>
      <c r="FP163" s="124"/>
      <c r="FQ163" s="124"/>
      <c r="FR163" s="124"/>
      <c r="FS163" s="124"/>
      <c r="FT163" s="124"/>
      <c r="FU163" s="124"/>
      <c r="FV163" s="124"/>
      <c r="FW163" s="124"/>
      <c r="FX163" s="124"/>
      <c r="FY163" s="124"/>
      <c r="FZ163" s="124"/>
      <c r="GA163" s="124"/>
      <c r="GB163" s="124"/>
      <c r="GC163" s="124"/>
      <c r="GD163" s="124"/>
      <c r="GE163" s="124"/>
      <c r="GF163" s="124"/>
      <c r="GG163" s="124"/>
      <c r="GH163" s="124"/>
      <c r="GI163" s="124"/>
      <c r="GJ163" s="124"/>
      <c r="GK163" s="124"/>
      <c r="GL163" s="124"/>
      <c r="GM163" s="124"/>
      <c r="GN163" s="124"/>
      <c r="GO163" s="124"/>
      <c r="GP163" s="124"/>
      <c r="GQ163" s="124"/>
      <c r="GR163" s="124"/>
      <c r="GS163" s="124"/>
      <c r="GT163" s="124"/>
      <c r="GU163" s="124"/>
      <c r="GV163" s="124"/>
      <c r="GW163" s="124"/>
      <c r="GX163" s="124"/>
      <c r="GY163" s="124"/>
      <c r="GZ163" s="124"/>
      <c r="HA163" s="124"/>
      <c r="HB163" s="124"/>
      <c r="HC163" s="124"/>
      <c r="HD163" s="124"/>
      <c r="HE163" s="124"/>
      <c r="HF163" s="124"/>
      <c r="HG163" s="124"/>
      <c r="HH163" s="124"/>
      <c r="HI163" s="124"/>
      <c r="HJ163" s="124"/>
      <c r="HK163" s="124"/>
      <c r="HL163" s="124"/>
      <c r="HM163" s="124"/>
      <c r="HN163" s="124"/>
      <c r="HO163" s="124"/>
      <c r="HP163" s="124"/>
      <c r="HQ163" s="124"/>
    </row>
    <row r="164" spans="1:225" x14ac:dyDescent="0.2">
      <c r="A164" s="122" t="s">
        <v>795</v>
      </c>
      <c r="B164" s="123">
        <v>78</v>
      </c>
      <c r="C164" s="124" t="s">
        <v>322</v>
      </c>
      <c r="D164" s="123">
        <v>155</v>
      </c>
      <c r="E164" s="124" t="s">
        <v>161</v>
      </c>
      <c r="F164" s="123">
        <v>2</v>
      </c>
      <c r="G164" s="123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  <c r="BJ164" s="124"/>
      <c r="BK164" s="124"/>
      <c r="BL164" s="124"/>
      <c r="BM164" s="124"/>
      <c r="BN164" s="124"/>
      <c r="BO164" s="124"/>
      <c r="BP164" s="124"/>
      <c r="BQ164" s="124"/>
      <c r="BR164" s="124"/>
      <c r="BS164" s="124"/>
      <c r="BT164" s="124"/>
      <c r="BU164" s="124"/>
      <c r="BV164" s="124"/>
      <c r="BW164" s="124"/>
      <c r="BX164" s="124"/>
      <c r="BY164" s="124"/>
      <c r="BZ164" s="124"/>
      <c r="CA164" s="124"/>
      <c r="CB164" s="124"/>
      <c r="CC164" s="124"/>
      <c r="CD164" s="124"/>
      <c r="CE164" s="124"/>
      <c r="CF164" s="124"/>
      <c r="CG164" s="124"/>
      <c r="CH164" s="124"/>
      <c r="CI164" s="124"/>
      <c r="CJ164" s="124"/>
      <c r="CK164" s="124"/>
      <c r="CL164" s="124"/>
      <c r="CM164" s="124"/>
      <c r="CN164" s="124"/>
      <c r="CO164" s="124"/>
      <c r="CP164" s="124"/>
      <c r="CQ164" s="124"/>
      <c r="CR164" s="124"/>
      <c r="CS164" s="124"/>
      <c r="CT164" s="124"/>
      <c r="CU164" s="124"/>
      <c r="CV164" s="124"/>
      <c r="CW164" s="124"/>
      <c r="CX164" s="124"/>
      <c r="CY164" s="124"/>
      <c r="CZ164" s="124"/>
      <c r="DA164" s="124"/>
      <c r="DB164" s="124"/>
      <c r="DC164" s="124"/>
      <c r="DD164" s="124"/>
      <c r="DE164" s="124"/>
      <c r="DF164" s="124"/>
      <c r="DG164" s="124"/>
      <c r="DH164" s="124"/>
      <c r="DI164" s="124"/>
      <c r="DJ164" s="124"/>
      <c r="DK164" s="124"/>
      <c r="DL164" s="124"/>
      <c r="DM164" s="124"/>
      <c r="DN164" s="124"/>
      <c r="DO164" s="124"/>
      <c r="DP164" s="124"/>
      <c r="DQ164" s="124"/>
      <c r="DR164" s="124"/>
      <c r="DS164" s="124"/>
      <c r="DT164" s="124"/>
      <c r="DU164" s="124"/>
      <c r="DV164" s="124"/>
      <c r="DW164" s="124"/>
      <c r="DX164" s="124"/>
      <c r="DY164" s="124"/>
      <c r="DZ164" s="124"/>
      <c r="EA164" s="124"/>
      <c r="EB164" s="124"/>
      <c r="EC164" s="124"/>
      <c r="ED164" s="124"/>
      <c r="EE164" s="124"/>
      <c r="EF164" s="124"/>
      <c r="EG164" s="124"/>
      <c r="EH164" s="124"/>
      <c r="EI164" s="124"/>
      <c r="EJ164" s="124"/>
      <c r="EK164" s="124"/>
      <c r="EL164" s="124"/>
      <c r="EM164" s="124"/>
      <c r="EN164" s="124"/>
      <c r="EO164" s="124"/>
      <c r="EP164" s="124"/>
      <c r="EQ164" s="124"/>
      <c r="ER164" s="124"/>
      <c r="ES164" s="124"/>
      <c r="ET164" s="124"/>
      <c r="EU164" s="124"/>
      <c r="EV164" s="124"/>
      <c r="EW164" s="124"/>
      <c r="EX164" s="124"/>
      <c r="EY164" s="124"/>
      <c r="EZ164" s="124"/>
      <c r="FA164" s="124"/>
      <c r="FB164" s="124"/>
      <c r="FC164" s="124"/>
      <c r="FD164" s="124"/>
      <c r="FE164" s="124"/>
      <c r="FF164" s="124"/>
      <c r="FG164" s="124"/>
      <c r="FH164" s="124"/>
      <c r="FI164" s="124"/>
      <c r="FJ164" s="124"/>
      <c r="FK164" s="124"/>
      <c r="FL164" s="124"/>
      <c r="FM164" s="124"/>
      <c r="FN164" s="124"/>
      <c r="FO164" s="124"/>
      <c r="FP164" s="124"/>
      <c r="FQ164" s="124"/>
      <c r="FR164" s="124"/>
      <c r="FS164" s="124"/>
      <c r="FT164" s="124"/>
      <c r="FU164" s="124"/>
      <c r="FV164" s="124"/>
      <c r="FW164" s="124"/>
      <c r="FX164" s="124"/>
      <c r="FY164" s="124"/>
      <c r="FZ164" s="124"/>
      <c r="GA164" s="124"/>
      <c r="GB164" s="124"/>
      <c r="GC164" s="124"/>
      <c r="GD164" s="124"/>
      <c r="GE164" s="124"/>
      <c r="GF164" s="124"/>
      <c r="GG164" s="124"/>
      <c r="GH164" s="124"/>
      <c r="GI164" s="124"/>
      <c r="GJ164" s="124"/>
      <c r="GK164" s="124"/>
      <c r="GL164" s="124"/>
      <c r="GM164" s="124"/>
      <c r="GN164" s="124"/>
      <c r="GO164" s="124"/>
      <c r="GP164" s="124"/>
      <c r="GQ164" s="124"/>
      <c r="GR164" s="124"/>
      <c r="GS164" s="124"/>
      <c r="GT164" s="124"/>
      <c r="GU164" s="124"/>
      <c r="GV164" s="124"/>
      <c r="GW164" s="124"/>
      <c r="GX164" s="124"/>
      <c r="GY164" s="124"/>
      <c r="GZ164" s="124"/>
      <c r="HA164" s="124"/>
      <c r="HB164" s="124"/>
      <c r="HC164" s="124"/>
      <c r="HD164" s="124"/>
      <c r="HE164" s="124"/>
      <c r="HF164" s="124"/>
      <c r="HG164" s="124"/>
      <c r="HH164" s="124"/>
      <c r="HI164" s="124"/>
      <c r="HJ164" s="124"/>
      <c r="HK164" s="124"/>
      <c r="HL164" s="124"/>
      <c r="HM164" s="124"/>
      <c r="HN164" s="124"/>
      <c r="HO164" s="124"/>
      <c r="HP164" s="124"/>
      <c r="HQ164" s="124"/>
    </row>
    <row r="165" spans="1:225" x14ac:dyDescent="0.2">
      <c r="A165" s="122" t="s">
        <v>796</v>
      </c>
      <c r="B165" s="123">
        <v>78</v>
      </c>
      <c r="C165" s="124" t="s">
        <v>323</v>
      </c>
      <c r="D165" s="123">
        <v>156</v>
      </c>
      <c r="E165" s="124" t="s">
        <v>161</v>
      </c>
      <c r="F165" s="123">
        <v>3</v>
      </c>
      <c r="G165" s="123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  <c r="BJ165" s="124"/>
      <c r="BK165" s="124"/>
      <c r="BL165" s="124"/>
      <c r="BM165" s="124"/>
      <c r="BN165" s="124"/>
      <c r="BO165" s="124"/>
      <c r="BP165" s="124"/>
      <c r="BQ165" s="124"/>
      <c r="BR165" s="124"/>
      <c r="BS165" s="124"/>
      <c r="BT165" s="124"/>
      <c r="BU165" s="124"/>
      <c r="BV165" s="124"/>
      <c r="BW165" s="124"/>
      <c r="BX165" s="124"/>
      <c r="BY165" s="124"/>
      <c r="BZ165" s="124"/>
      <c r="CA165" s="124"/>
      <c r="CB165" s="124"/>
      <c r="CC165" s="124"/>
      <c r="CD165" s="124"/>
      <c r="CE165" s="124"/>
      <c r="CF165" s="124"/>
      <c r="CG165" s="124"/>
      <c r="CH165" s="124"/>
      <c r="CI165" s="124"/>
      <c r="CJ165" s="124"/>
      <c r="CK165" s="124"/>
      <c r="CL165" s="124"/>
      <c r="CM165" s="124"/>
      <c r="CN165" s="124"/>
      <c r="CO165" s="124"/>
      <c r="CP165" s="124"/>
      <c r="CQ165" s="124"/>
      <c r="CR165" s="124"/>
      <c r="CS165" s="124"/>
      <c r="CT165" s="124"/>
      <c r="CU165" s="124"/>
      <c r="CV165" s="124"/>
      <c r="CW165" s="124"/>
      <c r="CX165" s="124"/>
      <c r="CY165" s="124"/>
      <c r="CZ165" s="124"/>
      <c r="DA165" s="124"/>
      <c r="DB165" s="124"/>
      <c r="DC165" s="124"/>
      <c r="DD165" s="124"/>
      <c r="DE165" s="124"/>
      <c r="DF165" s="124"/>
      <c r="DG165" s="124"/>
      <c r="DH165" s="124"/>
      <c r="DI165" s="124"/>
      <c r="DJ165" s="124"/>
      <c r="DK165" s="124"/>
      <c r="DL165" s="124"/>
      <c r="DM165" s="124"/>
      <c r="DN165" s="124"/>
      <c r="DO165" s="124"/>
      <c r="DP165" s="124"/>
      <c r="DQ165" s="124"/>
      <c r="DR165" s="124"/>
      <c r="DS165" s="124"/>
      <c r="DT165" s="124"/>
      <c r="DU165" s="124"/>
      <c r="DV165" s="124"/>
      <c r="DW165" s="124"/>
      <c r="DX165" s="124"/>
      <c r="DY165" s="124"/>
      <c r="DZ165" s="124"/>
      <c r="EA165" s="124"/>
      <c r="EB165" s="124"/>
      <c r="EC165" s="124"/>
      <c r="ED165" s="124"/>
      <c r="EE165" s="124"/>
      <c r="EF165" s="124"/>
      <c r="EG165" s="124"/>
      <c r="EH165" s="124"/>
      <c r="EI165" s="124"/>
      <c r="EJ165" s="124"/>
      <c r="EK165" s="124"/>
      <c r="EL165" s="124"/>
      <c r="EM165" s="124"/>
      <c r="EN165" s="124"/>
      <c r="EO165" s="124"/>
      <c r="EP165" s="124"/>
      <c r="EQ165" s="124"/>
      <c r="ER165" s="124"/>
      <c r="ES165" s="124"/>
      <c r="ET165" s="124"/>
      <c r="EU165" s="124"/>
      <c r="EV165" s="124"/>
      <c r="EW165" s="124"/>
      <c r="EX165" s="124"/>
      <c r="EY165" s="124"/>
      <c r="EZ165" s="124"/>
      <c r="FA165" s="124"/>
      <c r="FB165" s="124"/>
      <c r="FC165" s="124"/>
      <c r="FD165" s="124"/>
      <c r="FE165" s="124"/>
      <c r="FF165" s="124"/>
      <c r="FG165" s="124"/>
      <c r="FH165" s="124"/>
      <c r="FI165" s="124"/>
      <c r="FJ165" s="124"/>
      <c r="FK165" s="124"/>
      <c r="FL165" s="124"/>
      <c r="FM165" s="124"/>
      <c r="FN165" s="124"/>
      <c r="FO165" s="124"/>
      <c r="FP165" s="124"/>
      <c r="FQ165" s="124"/>
      <c r="FR165" s="124"/>
      <c r="FS165" s="124"/>
      <c r="FT165" s="124"/>
      <c r="FU165" s="124"/>
      <c r="FV165" s="124"/>
      <c r="FW165" s="124"/>
      <c r="FX165" s="124"/>
      <c r="FY165" s="124"/>
      <c r="FZ165" s="124"/>
      <c r="GA165" s="124"/>
      <c r="GB165" s="124"/>
      <c r="GC165" s="124"/>
      <c r="GD165" s="124"/>
      <c r="GE165" s="124"/>
      <c r="GF165" s="124"/>
      <c r="GG165" s="124"/>
      <c r="GH165" s="124"/>
      <c r="GI165" s="124"/>
      <c r="GJ165" s="124"/>
      <c r="GK165" s="124"/>
      <c r="GL165" s="124"/>
      <c r="GM165" s="124"/>
      <c r="GN165" s="124"/>
      <c r="GO165" s="124"/>
      <c r="GP165" s="124"/>
      <c r="GQ165" s="124"/>
      <c r="GR165" s="124"/>
      <c r="GS165" s="124"/>
      <c r="GT165" s="124"/>
      <c r="GU165" s="124"/>
      <c r="GV165" s="124"/>
      <c r="GW165" s="124"/>
      <c r="GX165" s="124"/>
      <c r="GY165" s="124"/>
      <c r="GZ165" s="124"/>
      <c r="HA165" s="124"/>
      <c r="HB165" s="124"/>
      <c r="HC165" s="124"/>
      <c r="HD165" s="124"/>
      <c r="HE165" s="124"/>
      <c r="HF165" s="124"/>
      <c r="HG165" s="124"/>
      <c r="HH165" s="124"/>
      <c r="HI165" s="124"/>
      <c r="HJ165" s="124"/>
      <c r="HK165" s="124"/>
      <c r="HL165" s="124"/>
      <c r="HM165" s="124"/>
      <c r="HN165" s="124"/>
      <c r="HO165" s="124"/>
      <c r="HP165" s="124"/>
      <c r="HQ165" s="124"/>
    </row>
    <row r="166" spans="1:225" x14ac:dyDescent="0.2">
      <c r="A166" s="122" t="s">
        <v>797</v>
      </c>
      <c r="B166" s="123">
        <v>79</v>
      </c>
      <c r="C166" s="124" t="s">
        <v>324</v>
      </c>
      <c r="D166" s="123">
        <v>157</v>
      </c>
      <c r="E166" s="124" t="s">
        <v>161</v>
      </c>
      <c r="F166" s="123">
        <v>2</v>
      </c>
      <c r="G166" s="123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  <c r="BJ166" s="124"/>
      <c r="BK166" s="124"/>
      <c r="BL166" s="124"/>
      <c r="BM166" s="124"/>
      <c r="BN166" s="124"/>
      <c r="BO166" s="124"/>
      <c r="BP166" s="124"/>
      <c r="BQ166" s="124"/>
      <c r="BR166" s="124"/>
      <c r="BS166" s="124"/>
      <c r="BT166" s="124"/>
      <c r="BU166" s="124"/>
      <c r="BV166" s="124"/>
      <c r="BW166" s="124"/>
      <c r="BX166" s="124"/>
      <c r="BY166" s="124"/>
      <c r="BZ166" s="124"/>
      <c r="CA166" s="124"/>
      <c r="CB166" s="124"/>
      <c r="CC166" s="124"/>
      <c r="CD166" s="124"/>
      <c r="CE166" s="124"/>
      <c r="CF166" s="124"/>
      <c r="CG166" s="124"/>
      <c r="CH166" s="124"/>
      <c r="CI166" s="124"/>
      <c r="CJ166" s="124"/>
      <c r="CK166" s="124"/>
      <c r="CL166" s="124"/>
      <c r="CM166" s="124"/>
      <c r="CN166" s="124"/>
      <c r="CO166" s="124"/>
      <c r="CP166" s="124"/>
      <c r="CQ166" s="124"/>
      <c r="CR166" s="124"/>
      <c r="CS166" s="124"/>
      <c r="CT166" s="124"/>
      <c r="CU166" s="124"/>
      <c r="CV166" s="124"/>
      <c r="CW166" s="124"/>
      <c r="CX166" s="124"/>
      <c r="CY166" s="124"/>
      <c r="CZ166" s="124"/>
      <c r="DA166" s="124"/>
      <c r="DB166" s="124"/>
      <c r="DC166" s="124"/>
      <c r="DD166" s="124"/>
      <c r="DE166" s="124"/>
      <c r="DF166" s="124"/>
      <c r="DG166" s="124"/>
      <c r="DH166" s="124"/>
      <c r="DI166" s="124"/>
      <c r="DJ166" s="124"/>
      <c r="DK166" s="124"/>
      <c r="DL166" s="124"/>
      <c r="DM166" s="124"/>
      <c r="DN166" s="124"/>
      <c r="DO166" s="124"/>
      <c r="DP166" s="124"/>
      <c r="DQ166" s="124"/>
      <c r="DR166" s="124"/>
      <c r="DS166" s="124"/>
      <c r="DT166" s="124"/>
      <c r="DU166" s="124"/>
      <c r="DV166" s="124"/>
      <c r="DW166" s="124"/>
      <c r="DX166" s="124"/>
      <c r="DY166" s="124"/>
      <c r="DZ166" s="124"/>
      <c r="EA166" s="124"/>
      <c r="EB166" s="124"/>
      <c r="EC166" s="124"/>
      <c r="ED166" s="124"/>
      <c r="EE166" s="124"/>
      <c r="EF166" s="124"/>
      <c r="EG166" s="124"/>
      <c r="EH166" s="124"/>
      <c r="EI166" s="124"/>
      <c r="EJ166" s="124"/>
      <c r="EK166" s="124"/>
      <c r="EL166" s="124"/>
      <c r="EM166" s="124"/>
      <c r="EN166" s="124"/>
      <c r="EO166" s="124"/>
      <c r="EP166" s="124"/>
      <c r="EQ166" s="124"/>
      <c r="ER166" s="124"/>
      <c r="ES166" s="124"/>
      <c r="ET166" s="124"/>
      <c r="EU166" s="124"/>
      <c r="EV166" s="124"/>
      <c r="EW166" s="124"/>
      <c r="EX166" s="124"/>
      <c r="EY166" s="124"/>
      <c r="EZ166" s="124"/>
      <c r="FA166" s="124"/>
      <c r="FB166" s="124"/>
      <c r="FC166" s="124"/>
      <c r="FD166" s="124"/>
      <c r="FE166" s="124"/>
      <c r="FF166" s="124"/>
      <c r="FG166" s="124"/>
      <c r="FH166" s="124"/>
      <c r="FI166" s="124"/>
      <c r="FJ166" s="124"/>
      <c r="FK166" s="124"/>
      <c r="FL166" s="124"/>
      <c r="FM166" s="124"/>
      <c r="FN166" s="124"/>
      <c r="FO166" s="124"/>
      <c r="FP166" s="124"/>
      <c r="FQ166" s="124"/>
      <c r="FR166" s="124"/>
      <c r="FS166" s="124"/>
      <c r="FT166" s="124"/>
      <c r="FU166" s="124"/>
      <c r="FV166" s="124"/>
      <c r="FW166" s="124"/>
      <c r="FX166" s="124"/>
      <c r="FY166" s="124"/>
      <c r="FZ166" s="124"/>
      <c r="GA166" s="124"/>
      <c r="GB166" s="124"/>
      <c r="GC166" s="124"/>
      <c r="GD166" s="124"/>
      <c r="GE166" s="124"/>
      <c r="GF166" s="124"/>
      <c r="GG166" s="124"/>
      <c r="GH166" s="124"/>
      <c r="GI166" s="124"/>
      <c r="GJ166" s="124"/>
      <c r="GK166" s="124"/>
      <c r="GL166" s="124"/>
      <c r="GM166" s="124"/>
      <c r="GN166" s="124"/>
      <c r="GO166" s="124"/>
      <c r="GP166" s="124"/>
      <c r="GQ166" s="124"/>
      <c r="GR166" s="124"/>
      <c r="GS166" s="124"/>
      <c r="GT166" s="124"/>
      <c r="GU166" s="124"/>
      <c r="GV166" s="124"/>
      <c r="GW166" s="124"/>
      <c r="GX166" s="124"/>
      <c r="GY166" s="124"/>
      <c r="GZ166" s="124"/>
      <c r="HA166" s="124"/>
      <c r="HB166" s="124"/>
      <c r="HC166" s="124"/>
      <c r="HD166" s="124"/>
      <c r="HE166" s="124"/>
      <c r="HF166" s="124"/>
      <c r="HG166" s="124"/>
      <c r="HH166" s="124"/>
      <c r="HI166" s="124"/>
      <c r="HJ166" s="124"/>
      <c r="HK166" s="124"/>
      <c r="HL166" s="124"/>
      <c r="HM166" s="124"/>
      <c r="HN166" s="124"/>
      <c r="HO166" s="124"/>
      <c r="HP166" s="124"/>
      <c r="HQ166" s="124"/>
    </row>
    <row r="167" spans="1:225" x14ac:dyDescent="0.2">
      <c r="A167" s="122" t="s">
        <v>798</v>
      </c>
      <c r="B167" s="123">
        <v>79</v>
      </c>
      <c r="C167" s="124" t="s">
        <v>325</v>
      </c>
      <c r="D167" s="123">
        <v>158</v>
      </c>
      <c r="E167" s="124" t="s">
        <v>161</v>
      </c>
      <c r="F167" s="123">
        <v>4</v>
      </c>
      <c r="G167" s="123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  <c r="BJ167" s="124"/>
      <c r="BK167" s="124"/>
      <c r="BL167" s="124"/>
      <c r="BM167" s="124"/>
      <c r="BN167" s="124"/>
      <c r="BO167" s="124"/>
      <c r="BP167" s="124"/>
      <c r="BQ167" s="124"/>
      <c r="BR167" s="124"/>
      <c r="BS167" s="124"/>
      <c r="BT167" s="124"/>
      <c r="BU167" s="124"/>
      <c r="BV167" s="124"/>
      <c r="BW167" s="124"/>
      <c r="BX167" s="124"/>
      <c r="BY167" s="124"/>
      <c r="BZ167" s="124"/>
      <c r="CA167" s="124"/>
      <c r="CB167" s="124"/>
      <c r="CC167" s="124"/>
      <c r="CD167" s="124"/>
      <c r="CE167" s="124"/>
      <c r="CF167" s="124"/>
      <c r="CG167" s="124"/>
      <c r="CH167" s="124"/>
      <c r="CI167" s="124"/>
      <c r="CJ167" s="124"/>
      <c r="CK167" s="124"/>
      <c r="CL167" s="124"/>
      <c r="CM167" s="124"/>
      <c r="CN167" s="124"/>
      <c r="CO167" s="124"/>
      <c r="CP167" s="124"/>
      <c r="CQ167" s="124"/>
      <c r="CR167" s="124"/>
      <c r="CS167" s="124"/>
      <c r="CT167" s="124"/>
      <c r="CU167" s="124"/>
      <c r="CV167" s="124"/>
      <c r="CW167" s="124"/>
      <c r="CX167" s="124"/>
      <c r="CY167" s="124"/>
      <c r="CZ167" s="124"/>
      <c r="DA167" s="124"/>
      <c r="DB167" s="124"/>
      <c r="DC167" s="124"/>
      <c r="DD167" s="124"/>
      <c r="DE167" s="124"/>
      <c r="DF167" s="124"/>
      <c r="DG167" s="124"/>
      <c r="DH167" s="124"/>
      <c r="DI167" s="124"/>
      <c r="DJ167" s="124"/>
      <c r="DK167" s="124"/>
      <c r="DL167" s="124"/>
      <c r="DM167" s="124"/>
      <c r="DN167" s="124"/>
      <c r="DO167" s="124"/>
      <c r="DP167" s="124"/>
      <c r="DQ167" s="124"/>
      <c r="DR167" s="124"/>
      <c r="DS167" s="124"/>
      <c r="DT167" s="124"/>
      <c r="DU167" s="124"/>
      <c r="DV167" s="124"/>
      <c r="DW167" s="124"/>
      <c r="DX167" s="124"/>
      <c r="DY167" s="124"/>
      <c r="DZ167" s="124"/>
      <c r="EA167" s="124"/>
      <c r="EB167" s="124"/>
      <c r="EC167" s="124"/>
      <c r="ED167" s="124"/>
      <c r="EE167" s="124"/>
      <c r="EF167" s="124"/>
      <c r="EG167" s="124"/>
      <c r="EH167" s="124"/>
      <c r="EI167" s="124"/>
      <c r="EJ167" s="124"/>
      <c r="EK167" s="124"/>
      <c r="EL167" s="124"/>
      <c r="EM167" s="124"/>
      <c r="EN167" s="124"/>
      <c r="EO167" s="124"/>
      <c r="EP167" s="124"/>
      <c r="EQ167" s="124"/>
      <c r="ER167" s="124"/>
      <c r="ES167" s="124"/>
      <c r="ET167" s="124"/>
      <c r="EU167" s="124"/>
      <c r="EV167" s="124"/>
      <c r="EW167" s="124"/>
      <c r="EX167" s="124"/>
      <c r="EY167" s="124"/>
      <c r="EZ167" s="124"/>
      <c r="FA167" s="124"/>
      <c r="FB167" s="124"/>
      <c r="FC167" s="124"/>
      <c r="FD167" s="124"/>
      <c r="FE167" s="124"/>
      <c r="FF167" s="124"/>
      <c r="FG167" s="124"/>
      <c r="FH167" s="124"/>
      <c r="FI167" s="124"/>
      <c r="FJ167" s="124"/>
      <c r="FK167" s="124"/>
      <c r="FL167" s="124"/>
      <c r="FM167" s="124"/>
      <c r="FN167" s="124"/>
      <c r="FO167" s="124"/>
      <c r="FP167" s="124"/>
      <c r="FQ167" s="124"/>
      <c r="FR167" s="124"/>
      <c r="FS167" s="124"/>
      <c r="FT167" s="124"/>
      <c r="FU167" s="124"/>
      <c r="FV167" s="124"/>
      <c r="FW167" s="124"/>
      <c r="FX167" s="124"/>
      <c r="FY167" s="124"/>
      <c r="FZ167" s="124"/>
      <c r="GA167" s="124"/>
      <c r="GB167" s="124"/>
      <c r="GC167" s="124"/>
      <c r="GD167" s="124"/>
      <c r="GE167" s="124"/>
      <c r="GF167" s="124"/>
      <c r="GG167" s="124"/>
      <c r="GH167" s="124"/>
      <c r="GI167" s="124"/>
      <c r="GJ167" s="124"/>
      <c r="GK167" s="124"/>
      <c r="GL167" s="124"/>
      <c r="GM167" s="124"/>
      <c r="GN167" s="124"/>
      <c r="GO167" s="124"/>
      <c r="GP167" s="124"/>
      <c r="GQ167" s="124"/>
      <c r="GR167" s="124"/>
      <c r="GS167" s="124"/>
      <c r="GT167" s="124"/>
      <c r="GU167" s="124"/>
      <c r="GV167" s="124"/>
      <c r="GW167" s="124"/>
      <c r="GX167" s="124"/>
      <c r="GY167" s="124"/>
      <c r="GZ167" s="124"/>
      <c r="HA167" s="124"/>
      <c r="HB167" s="124"/>
      <c r="HC167" s="124"/>
      <c r="HD167" s="124"/>
      <c r="HE167" s="124"/>
      <c r="HF167" s="124"/>
      <c r="HG167" s="124"/>
      <c r="HH167" s="124"/>
      <c r="HI167" s="124"/>
      <c r="HJ167" s="124"/>
      <c r="HK167" s="124"/>
      <c r="HL167" s="124"/>
      <c r="HM167" s="124"/>
      <c r="HN167" s="124"/>
      <c r="HO167" s="124"/>
      <c r="HP167" s="124"/>
      <c r="HQ167" s="124"/>
    </row>
    <row r="168" spans="1:225" x14ac:dyDescent="0.2">
      <c r="A168" s="122" t="s">
        <v>799</v>
      </c>
      <c r="B168" s="123">
        <v>80</v>
      </c>
      <c r="C168" s="124" t="s">
        <v>326</v>
      </c>
      <c r="D168" s="123">
        <v>159</v>
      </c>
      <c r="E168" s="124" t="s">
        <v>161</v>
      </c>
      <c r="F168" s="123">
        <v>2</v>
      </c>
      <c r="G168" s="123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  <c r="BJ168" s="124"/>
      <c r="BK168" s="124"/>
      <c r="BL168" s="124"/>
      <c r="BM168" s="124"/>
      <c r="BN168" s="124"/>
      <c r="BO168" s="124"/>
      <c r="BP168" s="124"/>
      <c r="BQ168" s="124"/>
      <c r="BR168" s="124"/>
      <c r="BS168" s="124"/>
      <c r="BT168" s="124"/>
      <c r="BU168" s="124"/>
      <c r="BV168" s="124"/>
      <c r="BW168" s="124"/>
      <c r="BX168" s="124"/>
      <c r="BY168" s="124"/>
      <c r="BZ168" s="124"/>
      <c r="CA168" s="124"/>
      <c r="CB168" s="124"/>
      <c r="CC168" s="124"/>
      <c r="CD168" s="124"/>
      <c r="CE168" s="124"/>
      <c r="CF168" s="124"/>
      <c r="CG168" s="124"/>
      <c r="CH168" s="124"/>
      <c r="CI168" s="124"/>
      <c r="CJ168" s="124"/>
      <c r="CK168" s="124"/>
      <c r="CL168" s="124"/>
      <c r="CM168" s="124"/>
      <c r="CN168" s="124"/>
      <c r="CO168" s="124"/>
      <c r="CP168" s="124"/>
      <c r="CQ168" s="124"/>
      <c r="CR168" s="124"/>
      <c r="CS168" s="124"/>
      <c r="CT168" s="124"/>
      <c r="CU168" s="124"/>
      <c r="CV168" s="124"/>
      <c r="CW168" s="124"/>
      <c r="CX168" s="124"/>
      <c r="CY168" s="124"/>
      <c r="CZ168" s="124"/>
      <c r="DA168" s="124"/>
      <c r="DB168" s="124"/>
      <c r="DC168" s="124"/>
      <c r="DD168" s="124"/>
      <c r="DE168" s="124"/>
      <c r="DF168" s="124"/>
      <c r="DG168" s="124"/>
      <c r="DH168" s="124"/>
      <c r="DI168" s="124"/>
      <c r="DJ168" s="124"/>
      <c r="DK168" s="124"/>
      <c r="DL168" s="124"/>
      <c r="DM168" s="124"/>
      <c r="DN168" s="124"/>
      <c r="DO168" s="124"/>
      <c r="DP168" s="124"/>
      <c r="DQ168" s="124"/>
      <c r="DR168" s="124"/>
      <c r="DS168" s="124"/>
      <c r="DT168" s="124"/>
      <c r="DU168" s="124"/>
      <c r="DV168" s="124"/>
      <c r="DW168" s="124"/>
      <c r="DX168" s="124"/>
      <c r="DY168" s="124"/>
      <c r="DZ168" s="124"/>
      <c r="EA168" s="124"/>
      <c r="EB168" s="124"/>
      <c r="EC168" s="124"/>
      <c r="ED168" s="124"/>
      <c r="EE168" s="124"/>
      <c r="EF168" s="124"/>
      <c r="EG168" s="124"/>
      <c r="EH168" s="124"/>
      <c r="EI168" s="124"/>
      <c r="EJ168" s="124"/>
      <c r="EK168" s="124"/>
      <c r="EL168" s="124"/>
      <c r="EM168" s="124"/>
      <c r="EN168" s="124"/>
      <c r="EO168" s="124"/>
      <c r="EP168" s="124"/>
      <c r="EQ168" s="124"/>
      <c r="ER168" s="124"/>
      <c r="ES168" s="124"/>
      <c r="ET168" s="124"/>
      <c r="EU168" s="124"/>
      <c r="EV168" s="124"/>
      <c r="EW168" s="124"/>
      <c r="EX168" s="124"/>
      <c r="EY168" s="124"/>
      <c r="EZ168" s="124"/>
      <c r="FA168" s="124"/>
      <c r="FB168" s="124"/>
      <c r="FC168" s="124"/>
      <c r="FD168" s="124"/>
      <c r="FE168" s="124"/>
      <c r="FF168" s="124"/>
      <c r="FG168" s="124"/>
      <c r="FH168" s="124"/>
      <c r="FI168" s="124"/>
      <c r="FJ168" s="124"/>
      <c r="FK168" s="124"/>
      <c r="FL168" s="124"/>
      <c r="FM168" s="124"/>
      <c r="FN168" s="124"/>
      <c r="FO168" s="124"/>
      <c r="FP168" s="124"/>
      <c r="FQ168" s="124"/>
      <c r="FR168" s="124"/>
      <c r="FS168" s="124"/>
      <c r="FT168" s="124"/>
      <c r="FU168" s="124"/>
      <c r="FV168" s="124"/>
      <c r="FW168" s="124"/>
      <c r="FX168" s="124"/>
      <c r="FY168" s="124"/>
      <c r="FZ168" s="124"/>
      <c r="GA168" s="124"/>
      <c r="GB168" s="124"/>
      <c r="GC168" s="124"/>
      <c r="GD168" s="124"/>
      <c r="GE168" s="124"/>
      <c r="GF168" s="124"/>
      <c r="GG168" s="124"/>
      <c r="GH168" s="124"/>
      <c r="GI168" s="124"/>
      <c r="GJ168" s="124"/>
      <c r="GK168" s="124"/>
      <c r="GL168" s="124"/>
      <c r="GM168" s="124"/>
      <c r="GN168" s="124"/>
      <c r="GO168" s="124"/>
      <c r="GP168" s="124"/>
      <c r="GQ168" s="124"/>
      <c r="GR168" s="124"/>
      <c r="GS168" s="124"/>
      <c r="GT168" s="124"/>
      <c r="GU168" s="124"/>
      <c r="GV168" s="124"/>
      <c r="GW168" s="124"/>
      <c r="GX168" s="124"/>
      <c r="GY168" s="124"/>
      <c r="GZ168" s="124"/>
      <c r="HA168" s="124"/>
      <c r="HB168" s="124"/>
      <c r="HC168" s="124"/>
      <c r="HD168" s="124"/>
      <c r="HE168" s="124"/>
      <c r="HF168" s="124"/>
      <c r="HG168" s="124"/>
      <c r="HH168" s="124"/>
      <c r="HI168" s="124"/>
      <c r="HJ168" s="124"/>
      <c r="HK168" s="124"/>
      <c r="HL168" s="124"/>
      <c r="HM168" s="124"/>
      <c r="HN168" s="124"/>
      <c r="HO168" s="124"/>
      <c r="HP168" s="124"/>
      <c r="HQ168" s="124"/>
    </row>
    <row r="169" spans="1:225" x14ac:dyDescent="0.2">
      <c r="A169" s="122" t="s">
        <v>800</v>
      </c>
      <c r="B169" s="123">
        <v>80</v>
      </c>
      <c r="C169" s="124" t="s">
        <v>327</v>
      </c>
      <c r="D169" s="123">
        <v>160</v>
      </c>
      <c r="E169" s="124" t="s">
        <v>161</v>
      </c>
      <c r="F169" s="123">
        <v>2</v>
      </c>
      <c r="G169" s="123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  <c r="BJ169" s="124"/>
      <c r="BK169" s="124"/>
      <c r="BL169" s="124"/>
      <c r="BM169" s="124"/>
      <c r="BN169" s="124"/>
      <c r="BO169" s="124"/>
      <c r="BP169" s="124"/>
      <c r="BQ169" s="124"/>
      <c r="BR169" s="124"/>
      <c r="BS169" s="124"/>
      <c r="BT169" s="124"/>
      <c r="BU169" s="124"/>
      <c r="BV169" s="124"/>
      <c r="BW169" s="124"/>
      <c r="BX169" s="124"/>
      <c r="BY169" s="124"/>
      <c r="BZ169" s="124"/>
      <c r="CA169" s="124"/>
      <c r="CB169" s="124"/>
      <c r="CC169" s="124"/>
      <c r="CD169" s="124"/>
      <c r="CE169" s="124"/>
      <c r="CF169" s="124"/>
      <c r="CG169" s="124"/>
      <c r="CH169" s="124"/>
      <c r="CI169" s="124"/>
      <c r="CJ169" s="124"/>
      <c r="CK169" s="124"/>
      <c r="CL169" s="124"/>
      <c r="CM169" s="124"/>
      <c r="CN169" s="124"/>
      <c r="CO169" s="124"/>
      <c r="CP169" s="124"/>
      <c r="CQ169" s="124"/>
      <c r="CR169" s="124"/>
      <c r="CS169" s="124"/>
      <c r="CT169" s="124"/>
      <c r="CU169" s="124"/>
      <c r="CV169" s="124"/>
      <c r="CW169" s="124"/>
      <c r="CX169" s="124"/>
      <c r="CY169" s="124"/>
      <c r="CZ169" s="124"/>
      <c r="DA169" s="124"/>
      <c r="DB169" s="124"/>
      <c r="DC169" s="124"/>
      <c r="DD169" s="124"/>
      <c r="DE169" s="124"/>
      <c r="DF169" s="124"/>
      <c r="DG169" s="124"/>
      <c r="DH169" s="124"/>
      <c r="DI169" s="124"/>
      <c r="DJ169" s="124"/>
      <c r="DK169" s="124"/>
      <c r="DL169" s="124"/>
      <c r="DM169" s="124"/>
      <c r="DN169" s="124"/>
      <c r="DO169" s="124"/>
      <c r="DP169" s="124"/>
      <c r="DQ169" s="124"/>
      <c r="DR169" s="124"/>
      <c r="DS169" s="124"/>
      <c r="DT169" s="124"/>
      <c r="DU169" s="124"/>
      <c r="DV169" s="124"/>
      <c r="DW169" s="124"/>
      <c r="DX169" s="124"/>
      <c r="DY169" s="124"/>
      <c r="DZ169" s="124"/>
      <c r="EA169" s="124"/>
      <c r="EB169" s="124"/>
      <c r="EC169" s="124"/>
      <c r="ED169" s="124"/>
      <c r="EE169" s="124"/>
      <c r="EF169" s="124"/>
      <c r="EG169" s="124"/>
      <c r="EH169" s="124"/>
      <c r="EI169" s="124"/>
      <c r="EJ169" s="124"/>
      <c r="EK169" s="124"/>
      <c r="EL169" s="124"/>
      <c r="EM169" s="124"/>
      <c r="EN169" s="124"/>
      <c r="EO169" s="124"/>
      <c r="EP169" s="124"/>
      <c r="EQ169" s="124"/>
      <c r="ER169" s="124"/>
      <c r="ES169" s="124"/>
      <c r="ET169" s="124"/>
      <c r="EU169" s="124"/>
      <c r="EV169" s="124"/>
      <c r="EW169" s="124"/>
      <c r="EX169" s="124"/>
      <c r="EY169" s="124"/>
      <c r="EZ169" s="124"/>
      <c r="FA169" s="124"/>
      <c r="FB169" s="124"/>
      <c r="FC169" s="124"/>
      <c r="FD169" s="124"/>
      <c r="FE169" s="124"/>
      <c r="FF169" s="124"/>
      <c r="FG169" s="124"/>
      <c r="FH169" s="124"/>
      <c r="FI169" s="124"/>
      <c r="FJ169" s="124"/>
      <c r="FK169" s="124"/>
      <c r="FL169" s="124"/>
      <c r="FM169" s="124"/>
      <c r="FN169" s="124"/>
      <c r="FO169" s="124"/>
      <c r="FP169" s="124"/>
      <c r="FQ169" s="124"/>
      <c r="FR169" s="124"/>
      <c r="FS169" s="124"/>
      <c r="FT169" s="124"/>
      <c r="FU169" s="124"/>
      <c r="FV169" s="124"/>
      <c r="FW169" s="124"/>
      <c r="FX169" s="124"/>
      <c r="FY169" s="124"/>
      <c r="FZ169" s="124"/>
      <c r="GA169" s="124"/>
      <c r="GB169" s="124"/>
      <c r="GC169" s="124"/>
      <c r="GD169" s="124"/>
      <c r="GE169" s="124"/>
      <c r="GF169" s="124"/>
      <c r="GG169" s="124"/>
      <c r="GH169" s="124"/>
      <c r="GI169" s="124"/>
      <c r="GJ169" s="124"/>
      <c r="GK169" s="124"/>
      <c r="GL169" s="124"/>
      <c r="GM169" s="124"/>
      <c r="GN169" s="124"/>
      <c r="GO169" s="124"/>
      <c r="GP169" s="124"/>
      <c r="GQ169" s="124"/>
      <c r="GR169" s="124"/>
      <c r="GS169" s="124"/>
      <c r="GT169" s="124"/>
      <c r="GU169" s="124"/>
      <c r="GV169" s="124"/>
      <c r="GW169" s="124"/>
      <c r="GX169" s="124"/>
      <c r="GY169" s="124"/>
      <c r="GZ169" s="124"/>
      <c r="HA169" s="124"/>
      <c r="HB169" s="124"/>
      <c r="HC169" s="124"/>
      <c r="HD169" s="124"/>
      <c r="HE169" s="124"/>
      <c r="HF169" s="124"/>
      <c r="HG169" s="124"/>
      <c r="HH169" s="124"/>
      <c r="HI169" s="124"/>
      <c r="HJ169" s="124"/>
      <c r="HK169" s="124"/>
      <c r="HL169" s="124"/>
      <c r="HM169" s="124"/>
      <c r="HN169" s="124"/>
      <c r="HO169" s="124"/>
      <c r="HP169" s="124"/>
      <c r="HQ169" s="124"/>
    </row>
    <row r="170" spans="1:225" x14ac:dyDescent="0.2">
      <c r="A170" s="122" t="s">
        <v>801</v>
      </c>
      <c r="B170" s="123">
        <v>81</v>
      </c>
      <c r="C170" s="124" t="s">
        <v>328</v>
      </c>
      <c r="D170" s="123">
        <v>161</v>
      </c>
      <c r="E170" s="124" t="s">
        <v>161</v>
      </c>
      <c r="F170" s="123">
        <v>4</v>
      </c>
      <c r="G170" s="123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  <c r="BJ170" s="124"/>
      <c r="BK170" s="124"/>
      <c r="BL170" s="124"/>
      <c r="BM170" s="124"/>
      <c r="BN170" s="124"/>
      <c r="BO170" s="124"/>
      <c r="BP170" s="124"/>
      <c r="BQ170" s="124"/>
      <c r="BR170" s="124"/>
      <c r="BS170" s="124"/>
      <c r="BT170" s="124"/>
      <c r="BU170" s="124"/>
      <c r="BV170" s="124"/>
      <c r="BW170" s="124"/>
      <c r="BX170" s="124"/>
      <c r="BY170" s="124"/>
      <c r="BZ170" s="124"/>
      <c r="CA170" s="124"/>
      <c r="CB170" s="124"/>
      <c r="CC170" s="124"/>
      <c r="CD170" s="124"/>
      <c r="CE170" s="124"/>
      <c r="CF170" s="124"/>
      <c r="CG170" s="124"/>
      <c r="CH170" s="124"/>
      <c r="CI170" s="124"/>
      <c r="CJ170" s="124"/>
      <c r="CK170" s="124"/>
      <c r="CL170" s="124"/>
      <c r="CM170" s="124"/>
      <c r="CN170" s="124"/>
      <c r="CO170" s="124"/>
      <c r="CP170" s="124"/>
      <c r="CQ170" s="124"/>
      <c r="CR170" s="124"/>
      <c r="CS170" s="124"/>
      <c r="CT170" s="124"/>
      <c r="CU170" s="124"/>
      <c r="CV170" s="124"/>
      <c r="CW170" s="124"/>
      <c r="CX170" s="124"/>
      <c r="CY170" s="124"/>
      <c r="CZ170" s="124"/>
      <c r="DA170" s="124"/>
      <c r="DB170" s="124"/>
      <c r="DC170" s="124"/>
      <c r="DD170" s="124"/>
      <c r="DE170" s="124"/>
      <c r="DF170" s="124"/>
      <c r="DG170" s="124"/>
      <c r="DH170" s="124"/>
      <c r="DI170" s="124"/>
      <c r="DJ170" s="124"/>
      <c r="DK170" s="124"/>
      <c r="DL170" s="124"/>
      <c r="DM170" s="124"/>
      <c r="DN170" s="124"/>
      <c r="DO170" s="124"/>
      <c r="DP170" s="124"/>
      <c r="DQ170" s="124"/>
      <c r="DR170" s="124"/>
      <c r="DS170" s="124"/>
      <c r="DT170" s="124"/>
      <c r="DU170" s="124"/>
      <c r="DV170" s="124"/>
      <c r="DW170" s="124"/>
      <c r="DX170" s="124"/>
      <c r="DY170" s="124"/>
      <c r="DZ170" s="124"/>
      <c r="EA170" s="124"/>
      <c r="EB170" s="124"/>
      <c r="EC170" s="124"/>
      <c r="ED170" s="124"/>
      <c r="EE170" s="124"/>
      <c r="EF170" s="124"/>
      <c r="EG170" s="124"/>
      <c r="EH170" s="124"/>
      <c r="EI170" s="124"/>
      <c r="EJ170" s="124"/>
      <c r="EK170" s="124"/>
      <c r="EL170" s="124"/>
      <c r="EM170" s="124"/>
      <c r="EN170" s="124"/>
      <c r="EO170" s="124"/>
      <c r="EP170" s="124"/>
      <c r="EQ170" s="124"/>
      <c r="ER170" s="124"/>
      <c r="ES170" s="124"/>
      <c r="ET170" s="124"/>
      <c r="EU170" s="124"/>
      <c r="EV170" s="124"/>
      <c r="EW170" s="124"/>
      <c r="EX170" s="124"/>
      <c r="EY170" s="124"/>
      <c r="EZ170" s="124"/>
      <c r="FA170" s="124"/>
      <c r="FB170" s="124"/>
      <c r="FC170" s="124"/>
      <c r="FD170" s="124"/>
      <c r="FE170" s="124"/>
      <c r="FF170" s="124"/>
      <c r="FG170" s="124"/>
      <c r="FH170" s="124"/>
      <c r="FI170" s="124"/>
      <c r="FJ170" s="124"/>
      <c r="FK170" s="124"/>
      <c r="FL170" s="124"/>
      <c r="FM170" s="124"/>
      <c r="FN170" s="124"/>
      <c r="FO170" s="124"/>
      <c r="FP170" s="124"/>
      <c r="FQ170" s="124"/>
      <c r="FR170" s="124"/>
      <c r="FS170" s="124"/>
      <c r="FT170" s="124"/>
      <c r="FU170" s="124"/>
      <c r="FV170" s="124"/>
      <c r="FW170" s="124"/>
      <c r="FX170" s="124"/>
      <c r="FY170" s="124"/>
      <c r="FZ170" s="124"/>
      <c r="GA170" s="124"/>
      <c r="GB170" s="124"/>
      <c r="GC170" s="124"/>
      <c r="GD170" s="124"/>
      <c r="GE170" s="124"/>
      <c r="GF170" s="124"/>
      <c r="GG170" s="124"/>
      <c r="GH170" s="124"/>
      <c r="GI170" s="124"/>
      <c r="GJ170" s="124"/>
      <c r="GK170" s="124"/>
      <c r="GL170" s="124"/>
      <c r="GM170" s="124"/>
      <c r="GN170" s="124"/>
      <c r="GO170" s="124"/>
      <c r="GP170" s="124"/>
      <c r="GQ170" s="124"/>
      <c r="GR170" s="124"/>
      <c r="GS170" s="124"/>
      <c r="GT170" s="124"/>
      <c r="GU170" s="124"/>
      <c r="GV170" s="124"/>
      <c r="GW170" s="124"/>
      <c r="GX170" s="124"/>
      <c r="GY170" s="124"/>
      <c r="GZ170" s="124"/>
      <c r="HA170" s="124"/>
      <c r="HB170" s="124"/>
      <c r="HC170" s="124"/>
      <c r="HD170" s="124"/>
      <c r="HE170" s="124"/>
      <c r="HF170" s="124"/>
      <c r="HG170" s="124"/>
      <c r="HH170" s="124"/>
      <c r="HI170" s="124"/>
      <c r="HJ170" s="124"/>
      <c r="HK170" s="124"/>
      <c r="HL170" s="124"/>
      <c r="HM170" s="124"/>
      <c r="HN170" s="124"/>
      <c r="HO170" s="124"/>
      <c r="HP170" s="124"/>
      <c r="HQ170" s="124"/>
    </row>
    <row r="171" spans="1:225" x14ac:dyDescent="0.2">
      <c r="A171" s="122" t="s">
        <v>802</v>
      </c>
      <c r="B171" s="123">
        <v>81</v>
      </c>
      <c r="C171" s="124" t="s">
        <v>329</v>
      </c>
      <c r="D171" s="123">
        <v>162</v>
      </c>
      <c r="E171" s="124" t="s">
        <v>161</v>
      </c>
      <c r="F171" s="123">
        <v>4</v>
      </c>
      <c r="G171" s="123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  <c r="BJ171" s="124"/>
      <c r="BK171" s="124"/>
      <c r="BL171" s="124"/>
      <c r="BM171" s="124"/>
      <c r="BN171" s="124"/>
      <c r="BO171" s="124"/>
      <c r="BP171" s="124"/>
      <c r="BQ171" s="124"/>
      <c r="BR171" s="124"/>
      <c r="BS171" s="124"/>
      <c r="BT171" s="124"/>
      <c r="BU171" s="124"/>
      <c r="BV171" s="124"/>
      <c r="BW171" s="124"/>
      <c r="BX171" s="124"/>
      <c r="BY171" s="124"/>
      <c r="BZ171" s="124"/>
      <c r="CA171" s="124"/>
      <c r="CB171" s="124"/>
      <c r="CC171" s="124"/>
      <c r="CD171" s="124"/>
      <c r="CE171" s="124"/>
      <c r="CF171" s="124"/>
      <c r="CG171" s="124"/>
      <c r="CH171" s="124"/>
      <c r="CI171" s="124"/>
      <c r="CJ171" s="124"/>
      <c r="CK171" s="124"/>
      <c r="CL171" s="124"/>
      <c r="CM171" s="124"/>
      <c r="CN171" s="124"/>
      <c r="CO171" s="124"/>
      <c r="CP171" s="124"/>
      <c r="CQ171" s="124"/>
      <c r="CR171" s="124"/>
      <c r="CS171" s="124"/>
      <c r="CT171" s="124"/>
      <c r="CU171" s="124"/>
      <c r="CV171" s="124"/>
      <c r="CW171" s="124"/>
      <c r="CX171" s="124"/>
      <c r="CY171" s="124"/>
      <c r="CZ171" s="124"/>
      <c r="DA171" s="124"/>
      <c r="DB171" s="124"/>
      <c r="DC171" s="124"/>
      <c r="DD171" s="124"/>
      <c r="DE171" s="124"/>
      <c r="DF171" s="124"/>
      <c r="DG171" s="124"/>
      <c r="DH171" s="124"/>
      <c r="DI171" s="124"/>
      <c r="DJ171" s="124"/>
      <c r="DK171" s="124"/>
      <c r="DL171" s="124"/>
      <c r="DM171" s="124"/>
      <c r="DN171" s="124"/>
      <c r="DO171" s="124"/>
      <c r="DP171" s="124"/>
      <c r="DQ171" s="124"/>
      <c r="DR171" s="124"/>
      <c r="DS171" s="124"/>
      <c r="DT171" s="124"/>
      <c r="DU171" s="124"/>
      <c r="DV171" s="124"/>
      <c r="DW171" s="124"/>
      <c r="DX171" s="124"/>
      <c r="DY171" s="124"/>
      <c r="DZ171" s="124"/>
      <c r="EA171" s="124"/>
      <c r="EB171" s="124"/>
      <c r="EC171" s="124"/>
      <c r="ED171" s="124"/>
      <c r="EE171" s="124"/>
      <c r="EF171" s="124"/>
      <c r="EG171" s="124"/>
      <c r="EH171" s="124"/>
      <c r="EI171" s="124"/>
      <c r="EJ171" s="124"/>
      <c r="EK171" s="124"/>
      <c r="EL171" s="124"/>
      <c r="EM171" s="124"/>
      <c r="EN171" s="124"/>
      <c r="EO171" s="124"/>
      <c r="EP171" s="124"/>
      <c r="EQ171" s="124"/>
      <c r="ER171" s="124"/>
      <c r="ES171" s="124"/>
      <c r="ET171" s="124"/>
      <c r="EU171" s="124"/>
      <c r="EV171" s="124"/>
      <c r="EW171" s="124"/>
      <c r="EX171" s="124"/>
      <c r="EY171" s="124"/>
      <c r="EZ171" s="124"/>
      <c r="FA171" s="124"/>
      <c r="FB171" s="124"/>
      <c r="FC171" s="124"/>
      <c r="FD171" s="124"/>
      <c r="FE171" s="124"/>
      <c r="FF171" s="124"/>
      <c r="FG171" s="124"/>
      <c r="FH171" s="124"/>
      <c r="FI171" s="124"/>
      <c r="FJ171" s="124"/>
      <c r="FK171" s="124"/>
      <c r="FL171" s="124"/>
      <c r="FM171" s="124"/>
      <c r="FN171" s="124"/>
      <c r="FO171" s="124"/>
      <c r="FP171" s="124"/>
      <c r="FQ171" s="124"/>
      <c r="FR171" s="124"/>
      <c r="FS171" s="124"/>
      <c r="FT171" s="124"/>
      <c r="FU171" s="124"/>
      <c r="FV171" s="124"/>
      <c r="FW171" s="124"/>
      <c r="FX171" s="124"/>
      <c r="FY171" s="124"/>
      <c r="FZ171" s="124"/>
      <c r="GA171" s="124"/>
      <c r="GB171" s="124"/>
      <c r="GC171" s="124"/>
      <c r="GD171" s="124"/>
      <c r="GE171" s="124"/>
      <c r="GF171" s="124"/>
      <c r="GG171" s="124"/>
      <c r="GH171" s="124"/>
      <c r="GI171" s="124"/>
      <c r="GJ171" s="124"/>
      <c r="GK171" s="124"/>
      <c r="GL171" s="124"/>
      <c r="GM171" s="124"/>
      <c r="GN171" s="124"/>
      <c r="GO171" s="124"/>
      <c r="GP171" s="124"/>
      <c r="GQ171" s="124"/>
      <c r="GR171" s="124"/>
      <c r="GS171" s="124"/>
      <c r="GT171" s="124"/>
      <c r="GU171" s="124"/>
      <c r="GV171" s="124"/>
      <c r="GW171" s="124"/>
      <c r="GX171" s="124"/>
      <c r="GY171" s="124"/>
      <c r="GZ171" s="124"/>
      <c r="HA171" s="124"/>
      <c r="HB171" s="124"/>
      <c r="HC171" s="124"/>
      <c r="HD171" s="124"/>
      <c r="HE171" s="124"/>
      <c r="HF171" s="124"/>
      <c r="HG171" s="124"/>
      <c r="HH171" s="124"/>
      <c r="HI171" s="124"/>
      <c r="HJ171" s="124"/>
      <c r="HK171" s="124"/>
      <c r="HL171" s="124"/>
      <c r="HM171" s="124"/>
      <c r="HN171" s="124"/>
      <c r="HO171" s="124"/>
      <c r="HP171" s="124"/>
      <c r="HQ171" s="124"/>
    </row>
    <row r="172" spans="1:225" x14ac:dyDescent="0.2">
      <c r="A172" s="122" t="s">
        <v>803</v>
      </c>
      <c r="B172" s="123">
        <v>82</v>
      </c>
      <c r="C172" s="124" t="s">
        <v>330</v>
      </c>
      <c r="D172" s="123">
        <v>163</v>
      </c>
      <c r="E172" s="124" t="s">
        <v>161</v>
      </c>
      <c r="F172" s="123">
        <v>2</v>
      </c>
      <c r="G172" s="123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  <c r="BJ172" s="124"/>
      <c r="BK172" s="124"/>
      <c r="BL172" s="124"/>
      <c r="BM172" s="124"/>
      <c r="BN172" s="124"/>
      <c r="BO172" s="124"/>
      <c r="BP172" s="124"/>
      <c r="BQ172" s="124"/>
      <c r="BR172" s="124"/>
      <c r="BS172" s="124"/>
      <c r="BT172" s="124"/>
      <c r="BU172" s="124"/>
      <c r="BV172" s="124"/>
      <c r="BW172" s="124"/>
      <c r="BX172" s="124"/>
      <c r="BY172" s="124"/>
      <c r="BZ172" s="124"/>
      <c r="CA172" s="124"/>
      <c r="CB172" s="124"/>
      <c r="CC172" s="124"/>
      <c r="CD172" s="124"/>
      <c r="CE172" s="124"/>
      <c r="CF172" s="124"/>
      <c r="CG172" s="124"/>
      <c r="CH172" s="124"/>
      <c r="CI172" s="124"/>
      <c r="CJ172" s="124"/>
      <c r="CK172" s="124"/>
      <c r="CL172" s="124"/>
      <c r="CM172" s="124"/>
      <c r="CN172" s="124"/>
      <c r="CO172" s="124"/>
      <c r="CP172" s="124"/>
      <c r="CQ172" s="124"/>
      <c r="CR172" s="124"/>
      <c r="CS172" s="124"/>
      <c r="CT172" s="124"/>
      <c r="CU172" s="124"/>
      <c r="CV172" s="124"/>
      <c r="CW172" s="124"/>
      <c r="CX172" s="124"/>
      <c r="CY172" s="124"/>
      <c r="CZ172" s="124"/>
      <c r="DA172" s="124"/>
      <c r="DB172" s="124"/>
      <c r="DC172" s="124"/>
      <c r="DD172" s="124"/>
      <c r="DE172" s="124"/>
      <c r="DF172" s="124"/>
      <c r="DG172" s="124"/>
      <c r="DH172" s="124"/>
      <c r="DI172" s="124"/>
      <c r="DJ172" s="124"/>
      <c r="DK172" s="124"/>
      <c r="DL172" s="124"/>
      <c r="DM172" s="124"/>
      <c r="DN172" s="124"/>
      <c r="DO172" s="124"/>
      <c r="DP172" s="124"/>
      <c r="DQ172" s="124"/>
      <c r="DR172" s="124"/>
      <c r="DS172" s="124"/>
      <c r="DT172" s="124"/>
      <c r="DU172" s="124"/>
      <c r="DV172" s="124"/>
      <c r="DW172" s="124"/>
      <c r="DX172" s="124"/>
      <c r="DY172" s="124"/>
      <c r="DZ172" s="124"/>
      <c r="EA172" s="124"/>
      <c r="EB172" s="124"/>
      <c r="EC172" s="124"/>
      <c r="ED172" s="124"/>
      <c r="EE172" s="124"/>
      <c r="EF172" s="124"/>
      <c r="EG172" s="124"/>
      <c r="EH172" s="124"/>
      <c r="EI172" s="124"/>
      <c r="EJ172" s="124"/>
      <c r="EK172" s="124"/>
      <c r="EL172" s="124"/>
      <c r="EM172" s="124"/>
      <c r="EN172" s="124"/>
      <c r="EO172" s="124"/>
      <c r="EP172" s="124"/>
      <c r="EQ172" s="124"/>
      <c r="ER172" s="124"/>
      <c r="ES172" s="124"/>
      <c r="ET172" s="124"/>
      <c r="EU172" s="124"/>
      <c r="EV172" s="124"/>
      <c r="EW172" s="124"/>
      <c r="EX172" s="124"/>
      <c r="EY172" s="124"/>
      <c r="EZ172" s="124"/>
      <c r="FA172" s="124"/>
      <c r="FB172" s="124"/>
      <c r="FC172" s="124"/>
      <c r="FD172" s="124"/>
      <c r="FE172" s="124"/>
      <c r="FF172" s="124"/>
      <c r="FG172" s="124"/>
      <c r="FH172" s="124"/>
      <c r="FI172" s="124"/>
      <c r="FJ172" s="124"/>
      <c r="FK172" s="124"/>
      <c r="FL172" s="124"/>
      <c r="FM172" s="124"/>
      <c r="FN172" s="124"/>
      <c r="FO172" s="124"/>
      <c r="FP172" s="124"/>
      <c r="FQ172" s="124"/>
      <c r="FR172" s="124"/>
      <c r="FS172" s="124"/>
      <c r="FT172" s="124"/>
      <c r="FU172" s="124"/>
      <c r="FV172" s="124"/>
      <c r="FW172" s="124"/>
      <c r="FX172" s="124"/>
      <c r="FY172" s="124"/>
      <c r="FZ172" s="124"/>
      <c r="GA172" s="124"/>
      <c r="GB172" s="124"/>
      <c r="GC172" s="124"/>
      <c r="GD172" s="124"/>
      <c r="GE172" s="124"/>
      <c r="GF172" s="124"/>
      <c r="GG172" s="124"/>
      <c r="GH172" s="124"/>
      <c r="GI172" s="124"/>
      <c r="GJ172" s="124"/>
      <c r="GK172" s="124"/>
      <c r="GL172" s="124"/>
      <c r="GM172" s="124"/>
      <c r="GN172" s="124"/>
      <c r="GO172" s="124"/>
      <c r="GP172" s="124"/>
      <c r="GQ172" s="124"/>
      <c r="GR172" s="124"/>
      <c r="GS172" s="124"/>
      <c r="GT172" s="124"/>
      <c r="GU172" s="124"/>
      <c r="GV172" s="124"/>
      <c r="GW172" s="124"/>
      <c r="GX172" s="124"/>
      <c r="GY172" s="124"/>
      <c r="GZ172" s="124"/>
      <c r="HA172" s="124"/>
      <c r="HB172" s="124"/>
      <c r="HC172" s="124"/>
      <c r="HD172" s="124"/>
      <c r="HE172" s="124"/>
      <c r="HF172" s="124"/>
      <c r="HG172" s="124"/>
      <c r="HH172" s="124"/>
      <c r="HI172" s="124"/>
      <c r="HJ172" s="124"/>
      <c r="HK172" s="124"/>
      <c r="HL172" s="124"/>
      <c r="HM172" s="124"/>
      <c r="HN172" s="124"/>
      <c r="HO172" s="124"/>
      <c r="HP172" s="124"/>
      <c r="HQ172" s="124"/>
    </row>
    <row r="173" spans="1:225" x14ac:dyDescent="0.2">
      <c r="A173" s="122" t="s">
        <v>804</v>
      </c>
      <c r="B173" s="123">
        <v>82</v>
      </c>
      <c r="C173" s="124" t="s">
        <v>331</v>
      </c>
      <c r="D173" s="123">
        <v>164</v>
      </c>
      <c r="E173" s="124" t="s">
        <v>161</v>
      </c>
      <c r="F173" s="123">
        <v>3</v>
      </c>
      <c r="G173" s="123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  <c r="BJ173" s="124"/>
      <c r="BK173" s="124"/>
      <c r="BL173" s="124"/>
      <c r="BM173" s="124"/>
      <c r="BN173" s="124"/>
      <c r="BO173" s="124"/>
      <c r="BP173" s="124"/>
      <c r="BQ173" s="124"/>
      <c r="BR173" s="124"/>
      <c r="BS173" s="124"/>
      <c r="BT173" s="124"/>
      <c r="BU173" s="124"/>
      <c r="BV173" s="124"/>
      <c r="BW173" s="124"/>
      <c r="BX173" s="124"/>
      <c r="BY173" s="124"/>
      <c r="BZ173" s="124"/>
      <c r="CA173" s="124"/>
      <c r="CB173" s="124"/>
      <c r="CC173" s="124"/>
      <c r="CD173" s="124"/>
      <c r="CE173" s="124"/>
      <c r="CF173" s="124"/>
      <c r="CG173" s="124"/>
      <c r="CH173" s="124"/>
      <c r="CI173" s="124"/>
      <c r="CJ173" s="124"/>
      <c r="CK173" s="124"/>
      <c r="CL173" s="124"/>
      <c r="CM173" s="124"/>
      <c r="CN173" s="124"/>
      <c r="CO173" s="124"/>
      <c r="CP173" s="124"/>
      <c r="CQ173" s="124"/>
      <c r="CR173" s="124"/>
      <c r="CS173" s="124"/>
      <c r="CT173" s="124"/>
      <c r="CU173" s="124"/>
      <c r="CV173" s="124"/>
      <c r="CW173" s="124"/>
      <c r="CX173" s="124"/>
      <c r="CY173" s="124"/>
      <c r="CZ173" s="124"/>
      <c r="DA173" s="124"/>
      <c r="DB173" s="124"/>
      <c r="DC173" s="124"/>
      <c r="DD173" s="124"/>
      <c r="DE173" s="124"/>
      <c r="DF173" s="124"/>
      <c r="DG173" s="124"/>
      <c r="DH173" s="124"/>
      <c r="DI173" s="124"/>
      <c r="DJ173" s="124"/>
      <c r="DK173" s="124"/>
      <c r="DL173" s="124"/>
      <c r="DM173" s="124"/>
      <c r="DN173" s="124"/>
      <c r="DO173" s="124"/>
      <c r="DP173" s="124"/>
      <c r="DQ173" s="124"/>
      <c r="DR173" s="124"/>
      <c r="DS173" s="124"/>
      <c r="DT173" s="124"/>
      <c r="DU173" s="124"/>
      <c r="DV173" s="124"/>
      <c r="DW173" s="124"/>
      <c r="DX173" s="124"/>
      <c r="DY173" s="124"/>
      <c r="DZ173" s="124"/>
      <c r="EA173" s="124"/>
      <c r="EB173" s="124"/>
      <c r="EC173" s="124"/>
      <c r="ED173" s="124"/>
      <c r="EE173" s="124"/>
      <c r="EF173" s="124"/>
      <c r="EG173" s="124"/>
      <c r="EH173" s="124"/>
      <c r="EI173" s="124"/>
      <c r="EJ173" s="124"/>
      <c r="EK173" s="124"/>
      <c r="EL173" s="124"/>
      <c r="EM173" s="124"/>
      <c r="EN173" s="124"/>
      <c r="EO173" s="124"/>
      <c r="EP173" s="124"/>
      <c r="EQ173" s="124"/>
      <c r="ER173" s="124"/>
      <c r="ES173" s="124"/>
      <c r="ET173" s="124"/>
      <c r="EU173" s="124"/>
      <c r="EV173" s="124"/>
      <c r="EW173" s="124"/>
      <c r="EX173" s="124"/>
      <c r="EY173" s="124"/>
      <c r="EZ173" s="124"/>
      <c r="FA173" s="124"/>
      <c r="FB173" s="124"/>
      <c r="FC173" s="124"/>
      <c r="FD173" s="124"/>
      <c r="FE173" s="124"/>
      <c r="FF173" s="124"/>
      <c r="FG173" s="124"/>
      <c r="FH173" s="124"/>
      <c r="FI173" s="124"/>
      <c r="FJ173" s="124"/>
      <c r="FK173" s="124"/>
      <c r="FL173" s="124"/>
      <c r="FM173" s="124"/>
      <c r="FN173" s="124"/>
      <c r="FO173" s="124"/>
      <c r="FP173" s="124"/>
      <c r="FQ173" s="124"/>
      <c r="FR173" s="124"/>
      <c r="FS173" s="124"/>
      <c r="FT173" s="124"/>
      <c r="FU173" s="124"/>
      <c r="FV173" s="124"/>
      <c r="FW173" s="124"/>
      <c r="FX173" s="124"/>
      <c r="FY173" s="124"/>
      <c r="FZ173" s="124"/>
      <c r="GA173" s="124"/>
      <c r="GB173" s="124"/>
      <c r="GC173" s="124"/>
      <c r="GD173" s="124"/>
      <c r="GE173" s="124"/>
      <c r="GF173" s="124"/>
      <c r="GG173" s="124"/>
      <c r="GH173" s="124"/>
      <c r="GI173" s="124"/>
      <c r="GJ173" s="124"/>
      <c r="GK173" s="124"/>
      <c r="GL173" s="124"/>
      <c r="GM173" s="124"/>
      <c r="GN173" s="124"/>
      <c r="GO173" s="124"/>
      <c r="GP173" s="124"/>
      <c r="GQ173" s="124"/>
      <c r="GR173" s="124"/>
      <c r="GS173" s="124"/>
      <c r="GT173" s="124"/>
      <c r="GU173" s="124"/>
      <c r="GV173" s="124"/>
      <c r="GW173" s="124"/>
      <c r="GX173" s="124"/>
      <c r="GY173" s="124"/>
      <c r="GZ173" s="124"/>
      <c r="HA173" s="124"/>
      <c r="HB173" s="124"/>
      <c r="HC173" s="124"/>
      <c r="HD173" s="124"/>
      <c r="HE173" s="124"/>
      <c r="HF173" s="124"/>
      <c r="HG173" s="124"/>
      <c r="HH173" s="124"/>
      <c r="HI173" s="124"/>
      <c r="HJ173" s="124"/>
      <c r="HK173" s="124"/>
      <c r="HL173" s="124"/>
      <c r="HM173" s="124"/>
      <c r="HN173" s="124"/>
      <c r="HO173" s="124"/>
      <c r="HP173" s="124"/>
      <c r="HQ173" s="124"/>
    </row>
    <row r="174" spans="1:225" x14ac:dyDescent="0.2">
      <c r="A174" s="122" t="s">
        <v>805</v>
      </c>
      <c r="B174" s="123">
        <v>83</v>
      </c>
      <c r="C174" s="124" t="s">
        <v>332</v>
      </c>
      <c r="D174" s="123">
        <v>165</v>
      </c>
      <c r="E174" s="124" t="s">
        <v>161</v>
      </c>
      <c r="F174" s="123">
        <v>4</v>
      </c>
      <c r="G174" s="123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  <c r="BJ174" s="124"/>
      <c r="BK174" s="124"/>
      <c r="BL174" s="124"/>
      <c r="BM174" s="124"/>
      <c r="BN174" s="124"/>
      <c r="BO174" s="124"/>
      <c r="BP174" s="124"/>
      <c r="BQ174" s="124"/>
      <c r="BR174" s="124"/>
      <c r="BS174" s="124"/>
      <c r="BT174" s="124"/>
      <c r="BU174" s="124"/>
      <c r="BV174" s="124"/>
      <c r="BW174" s="124"/>
      <c r="BX174" s="124"/>
      <c r="BY174" s="124"/>
      <c r="BZ174" s="124"/>
      <c r="CA174" s="124"/>
      <c r="CB174" s="124"/>
      <c r="CC174" s="124"/>
      <c r="CD174" s="124"/>
      <c r="CE174" s="124"/>
      <c r="CF174" s="124"/>
      <c r="CG174" s="124"/>
      <c r="CH174" s="124"/>
      <c r="CI174" s="124"/>
      <c r="CJ174" s="124"/>
      <c r="CK174" s="124"/>
      <c r="CL174" s="124"/>
      <c r="CM174" s="124"/>
      <c r="CN174" s="124"/>
      <c r="CO174" s="124"/>
      <c r="CP174" s="124"/>
      <c r="CQ174" s="124"/>
      <c r="CR174" s="124"/>
      <c r="CS174" s="124"/>
      <c r="CT174" s="124"/>
      <c r="CU174" s="124"/>
      <c r="CV174" s="124"/>
      <c r="CW174" s="124"/>
      <c r="CX174" s="124"/>
      <c r="CY174" s="124"/>
      <c r="CZ174" s="124"/>
      <c r="DA174" s="124"/>
      <c r="DB174" s="124"/>
      <c r="DC174" s="124"/>
      <c r="DD174" s="124"/>
      <c r="DE174" s="124"/>
      <c r="DF174" s="124"/>
      <c r="DG174" s="124"/>
      <c r="DH174" s="124"/>
      <c r="DI174" s="124"/>
      <c r="DJ174" s="124"/>
      <c r="DK174" s="124"/>
      <c r="DL174" s="124"/>
      <c r="DM174" s="124"/>
      <c r="DN174" s="124"/>
      <c r="DO174" s="124"/>
      <c r="DP174" s="124"/>
      <c r="DQ174" s="124"/>
      <c r="DR174" s="124"/>
      <c r="DS174" s="124"/>
      <c r="DT174" s="124"/>
      <c r="DU174" s="124"/>
      <c r="DV174" s="124"/>
      <c r="DW174" s="124"/>
      <c r="DX174" s="124"/>
      <c r="DY174" s="124"/>
      <c r="DZ174" s="124"/>
      <c r="EA174" s="124"/>
      <c r="EB174" s="124"/>
      <c r="EC174" s="124"/>
      <c r="ED174" s="124"/>
      <c r="EE174" s="124"/>
      <c r="EF174" s="124"/>
      <c r="EG174" s="124"/>
      <c r="EH174" s="124"/>
      <c r="EI174" s="124"/>
      <c r="EJ174" s="124"/>
      <c r="EK174" s="124"/>
      <c r="EL174" s="124"/>
      <c r="EM174" s="124"/>
      <c r="EN174" s="124"/>
      <c r="EO174" s="124"/>
      <c r="EP174" s="124"/>
      <c r="EQ174" s="124"/>
      <c r="ER174" s="124"/>
      <c r="ES174" s="124"/>
      <c r="ET174" s="124"/>
      <c r="EU174" s="124"/>
      <c r="EV174" s="124"/>
      <c r="EW174" s="124"/>
      <c r="EX174" s="124"/>
      <c r="EY174" s="124"/>
      <c r="EZ174" s="124"/>
      <c r="FA174" s="124"/>
      <c r="FB174" s="124"/>
      <c r="FC174" s="124"/>
      <c r="FD174" s="124"/>
      <c r="FE174" s="124"/>
      <c r="FF174" s="124"/>
      <c r="FG174" s="124"/>
      <c r="FH174" s="124"/>
      <c r="FI174" s="124"/>
      <c r="FJ174" s="124"/>
      <c r="FK174" s="124"/>
      <c r="FL174" s="124"/>
      <c r="FM174" s="124"/>
      <c r="FN174" s="124"/>
      <c r="FO174" s="124"/>
      <c r="FP174" s="124"/>
      <c r="FQ174" s="124"/>
      <c r="FR174" s="124"/>
      <c r="FS174" s="124"/>
      <c r="FT174" s="124"/>
      <c r="FU174" s="124"/>
      <c r="FV174" s="124"/>
      <c r="FW174" s="124"/>
      <c r="FX174" s="124"/>
      <c r="FY174" s="124"/>
      <c r="FZ174" s="124"/>
      <c r="GA174" s="124"/>
      <c r="GB174" s="124"/>
      <c r="GC174" s="124"/>
      <c r="GD174" s="124"/>
      <c r="GE174" s="124"/>
      <c r="GF174" s="124"/>
      <c r="GG174" s="124"/>
      <c r="GH174" s="124"/>
      <c r="GI174" s="124"/>
      <c r="GJ174" s="124"/>
      <c r="GK174" s="124"/>
      <c r="GL174" s="124"/>
      <c r="GM174" s="124"/>
      <c r="GN174" s="124"/>
      <c r="GO174" s="124"/>
      <c r="GP174" s="124"/>
      <c r="GQ174" s="124"/>
      <c r="GR174" s="124"/>
      <c r="GS174" s="124"/>
      <c r="GT174" s="124"/>
      <c r="GU174" s="124"/>
      <c r="GV174" s="124"/>
      <c r="GW174" s="124"/>
      <c r="GX174" s="124"/>
      <c r="GY174" s="124"/>
      <c r="GZ174" s="124"/>
      <c r="HA174" s="124"/>
      <c r="HB174" s="124"/>
      <c r="HC174" s="124"/>
      <c r="HD174" s="124"/>
      <c r="HE174" s="124"/>
      <c r="HF174" s="124"/>
      <c r="HG174" s="124"/>
      <c r="HH174" s="124"/>
      <c r="HI174" s="124"/>
      <c r="HJ174" s="124"/>
      <c r="HK174" s="124"/>
      <c r="HL174" s="124"/>
      <c r="HM174" s="124"/>
      <c r="HN174" s="124"/>
      <c r="HO174" s="124"/>
      <c r="HP174" s="124"/>
      <c r="HQ174" s="124"/>
    </row>
    <row r="175" spans="1:225" x14ac:dyDescent="0.2">
      <c r="A175" s="122" t="s">
        <v>806</v>
      </c>
      <c r="B175" s="123">
        <v>83</v>
      </c>
      <c r="C175" s="124" t="s">
        <v>333</v>
      </c>
      <c r="D175" s="123">
        <v>166</v>
      </c>
      <c r="E175" s="124" t="s">
        <v>161</v>
      </c>
      <c r="F175" s="123">
        <v>4</v>
      </c>
      <c r="G175" s="123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  <c r="BJ175" s="124"/>
      <c r="BK175" s="124"/>
      <c r="BL175" s="124"/>
      <c r="BM175" s="124"/>
      <c r="BN175" s="124"/>
      <c r="BO175" s="124"/>
      <c r="BP175" s="124"/>
      <c r="BQ175" s="124"/>
      <c r="BR175" s="124"/>
      <c r="BS175" s="124"/>
      <c r="BT175" s="124"/>
      <c r="BU175" s="124"/>
      <c r="BV175" s="124"/>
      <c r="BW175" s="124"/>
      <c r="BX175" s="124"/>
      <c r="BY175" s="124"/>
      <c r="BZ175" s="124"/>
      <c r="CA175" s="124"/>
      <c r="CB175" s="124"/>
      <c r="CC175" s="124"/>
      <c r="CD175" s="124"/>
      <c r="CE175" s="124"/>
      <c r="CF175" s="124"/>
      <c r="CG175" s="124"/>
      <c r="CH175" s="124"/>
      <c r="CI175" s="124"/>
      <c r="CJ175" s="124"/>
      <c r="CK175" s="124"/>
      <c r="CL175" s="124"/>
      <c r="CM175" s="124"/>
      <c r="CN175" s="124"/>
      <c r="CO175" s="124"/>
      <c r="CP175" s="124"/>
      <c r="CQ175" s="124"/>
      <c r="CR175" s="124"/>
      <c r="CS175" s="124"/>
      <c r="CT175" s="124"/>
      <c r="CU175" s="124"/>
      <c r="CV175" s="124"/>
      <c r="CW175" s="124"/>
      <c r="CX175" s="124"/>
      <c r="CY175" s="124"/>
      <c r="CZ175" s="124"/>
      <c r="DA175" s="124"/>
      <c r="DB175" s="124"/>
      <c r="DC175" s="124"/>
      <c r="DD175" s="124"/>
      <c r="DE175" s="124"/>
      <c r="DF175" s="124"/>
      <c r="DG175" s="124"/>
      <c r="DH175" s="124"/>
      <c r="DI175" s="124"/>
      <c r="DJ175" s="124"/>
      <c r="DK175" s="124"/>
      <c r="DL175" s="124"/>
      <c r="DM175" s="124"/>
      <c r="DN175" s="124"/>
      <c r="DO175" s="124"/>
      <c r="DP175" s="124"/>
      <c r="DQ175" s="124"/>
      <c r="DR175" s="124"/>
      <c r="DS175" s="124"/>
      <c r="DT175" s="124"/>
      <c r="DU175" s="124"/>
      <c r="DV175" s="124"/>
      <c r="DW175" s="124"/>
      <c r="DX175" s="124"/>
      <c r="DY175" s="124"/>
      <c r="DZ175" s="124"/>
      <c r="EA175" s="124"/>
      <c r="EB175" s="124"/>
      <c r="EC175" s="124"/>
      <c r="ED175" s="124"/>
      <c r="EE175" s="124"/>
      <c r="EF175" s="124"/>
      <c r="EG175" s="124"/>
      <c r="EH175" s="124"/>
      <c r="EI175" s="124"/>
      <c r="EJ175" s="124"/>
      <c r="EK175" s="124"/>
      <c r="EL175" s="124"/>
      <c r="EM175" s="124"/>
      <c r="EN175" s="124"/>
      <c r="EO175" s="124"/>
      <c r="EP175" s="124"/>
      <c r="EQ175" s="124"/>
      <c r="ER175" s="124"/>
      <c r="ES175" s="124"/>
      <c r="ET175" s="124"/>
      <c r="EU175" s="124"/>
      <c r="EV175" s="124"/>
      <c r="EW175" s="124"/>
      <c r="EX175" s="124"/>
      <c r="EY175" s="124"/>
      <c r="EZ175" s="124"/>
      <c r="FA175" s="124"/>
      <c r="FB175" s="124"/>
      <c r="FC175" s="124"/>
      <c r="FD175" s="124"/>
      <c r="FE175" s="124"/>
      <c r="FF175" s="124"/>
      <c r="FG175" s="124"/>
      <c r="FH175" s="124"/>
      <c r="FI175" s="124"/>
      <c r="FJ175" s="124"/>
      <c r="FK175" s="124"/>
      <c r="FL175" s="124"/>
      <c r="FM175" s="124"/>
      <c r="FN175" s="124"/>
      <c r="FO175" s="124"/>
      <c r="FP175" s="124"/>
      <c r="FQ175" s="124"/>
      <c r="FR175" s="124"/>
      <c r="FS175" s="124"/>
      <c r="FT175" s="124"/>
      <c r="FU175" s="124"/>
      <c r="FV175" s="124"/>
      <c r="FW175" s="124"/>
      <c r="FX175" s="124"/>
      <c r="FY175" s="124"/>
      <c r="FZ175" s="124"/>
      <c r="GA175" s="124"/>
      <c r="GB175" s="124"/>
      <c r="GC175" s="124"/>
      <c r="GD175" s="124"/>
      <c r="GE175" s="124"/>
      <c r="GF175" s="124"/>
      <c r="GG175" s="124"/>
      <c r="GH175" s="124"/>
      <c r="GI175" s="124"/>
      <c r="GJ175" s="124"/>
      <c r="GK175" s="124"/>
      <c r="GL175" s="124"/>
      <c r="GM175" s="124"/>
      <c r="GN175" s="124"/>
      <c r="GO175" s="124"/>
      <c r="GP175" s="124"/>
      <c r="GQ175" s="124"/>
      <c r="GR175" s="124"/>
      <c r="GS175" s="124"/>
      <c r="GT175" s="124"/>
      <c r="GU175" s="124"/>
      <c r="GV175" s="124"/>
      <c r="GW175" s="124"/>
      <c r="GX175" s="124"/>
      <c r="GY175" s="124"/>
      <c r="GZ175" s="124"/>
      <c r="HA175" s="124"/>
      <c r="HB175" s="124"/>
      <c r="HC175" s="124"/>
      <c r="HD175" s="124"/>
      <c r="HE175" s="124"/>
      <c r="HF175" s="124"/>
      <c r="HG175" s="124"/>
      <c r="HH175" s="124"/>
      <c r="HI175" s="124"/>
      <c r="HJ175" s="124"/>
      <c r="HK175" s="124"/>
      <c r="HL175" s="124"/>
      <c r="HM175" s="124"/>
      <c r="HN175" s="124"/>
      <c r="HO175" s="124"/>
      <c r="HP175" s="124"/>
      <c r="HQ175" s="124"/>
    </row>
    <row r="176" spans="1:225" x14ac:dyDescent="0.2">
      <c r="A176" s="122" t="s">
        <v>807</v>
      </c>
      <c r="B176" s="123">
        <v>84</v>
      </c>
      <c r="C176" s="124" t="s">
        <v>334</v>
      </c>
      <c r="D176" s="123">
        <v>167</v>
      </c>
      <c r="E176" s="124" t="s">
        <v>161</v>
      </c>
      <c r="F176" s="123">
        <v>5</v>
      </c>
      <c r="G176" s="123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  <c r="BJ176" s="124"/>
      <c r="BK176" s="124"/>
      <c r="BL176" s="124"/>
      <c r="BM176" s="124"/>
      <c r="BN176" s="124"/>
      <c r="BO176" s="124"/>
      <c r="BP176" s="124"/>
      <c r="BQ176" s="124"/>
      <c r="BR176" s="124"/>
      <c r="BS176" s="124"/>
      <c r="BT176" s="124"/>
      <c r="BU176" s="124"/>
      <c r="BV176" s="124"/>
      <c r="BW176" s="124"/>
      <c r="BX176" s="124"/>
      <c r="BY176" s="124"/>
      <c r="BZ176" s="124"/>
      <c r="CA176" s="124"/>
      <c r="CB176" s="124"/>
      <c r="CC176" s="124"/>
      <c r="CD176" s="124"/>
      <c r="CE176" s="124"/>
      <c r="CF176" s="124"/>
      <c r="CG176" s="124"/>
      <c r="CH176" s="124"/>
      <c r="CI176" s="124"/>
      <c r="CJ176" s="124"/>
      <c r="CK176" s="124"/>
      <c r="CL176" s="124"/>
      <c r="CM176" s="124"/>
      <c r="CN176" s="124"/>
      <c r="CO176" s="124"/>
      <c r="CP176" s="124"/>
      <c r="CQ176" s="124"/>
      <c r="CR176" s="124"/>
      <c r="CS176" s="124"/>
      <c r="CT176" s="124"/>
      <c r="CU176" s="124"/>
      <c r="CV176" s="124"/>
      <c r="CW176" s="124"/>
      <c r="CX176" s="124"/>
      <c r="CY176" s="124"/>
      <c r="CZ176" s="124"/>
      <c r="DA176" s="124"/>
      <c r="DB176" s="124"/>
      <c r="DC176" s="124"/>
      <c r="DD176" s="124"/>
      <c r="DE176" s="124"/>
      <c r="DF176" s="124"/>
      <c r="DG176" s="124"/>
      <c r="DH176" s="124"/>
      <c r="DI176" s="124"/>
      <c r="DJ176" s="124"/>
      <c r="DK176" s="124"/>
      <c r="DL176" s="124"/>
      <c r="DM176" s="124"/>
      <c r="DN176" s="124"/>
      <c r="DO176" s="124"/>
      <c r="DP176" s="124"/>
      <c r="DQ176" s="124"/>
      <c r="DR176" s="124"/>
      <c r="DS176" s="124"/>
      <c r="DT176" s="124"/>
      <c r="DU176" s="124"/>
      <c r="DV176" s="124"/>
      <c r="DW176" s="124"/>
      <c r="DX176" s="124"/>
      <c r="DY176" s="124"/>
      <c r="DZ176" s="124"/>
      <c r="EA176" s="124"/>
      <c r="EB176" s="124"/>
      <c r="EC176" s="124"/>
      <c r="ED176" s="124"/>
      <c r="EE176" s="124"/>
      <c r="EF176" s="124"/>
      <c r="EG176" s="124"/>
      <c r="EH176" s="124"/>
      <c r="EI176" s="124"/>
      <c r="EJ176" s="124"/>
      <c r="EK176" s="124"/>
      <c r="EL176" s="124"/>
      <c r="EM176" s="124"/>
      <c r="EN176" s="124"/>
      <c r="EO176" s="124"/>
      <c r="EP176" s="124"/>
      <c r="EQ176" s="124"/>
      <c r="ER176" s="124"/>
      <c r="ES176" s="124"/>
      <c r="ET176" s="124"/>
      <c r="EU176" s="124"/>
      <c r="EV176" s="124"/>
      <c r="EW176" s="124"/>
      <c r="EX176" s="124"/>
      <c r="EY176" s="124"/>
      <c r="EZ176" s="124"/>
      <c r="FA176" s="124"/>
      <c r="FB176" s="124"/>
      <c r="FC176" s="124"/>
      <c r="FD176" s="124"/>
      <c r="FE176" s="124"/>
      <c r="FF176" s="124"/>
      <c r="FG176" s="124"/>
      <c r="FH176" s="124"/>
      <c r="FI176" s="124"/>
      <c r="FJ176" s="124"/>
      <c r="FK176" s="124"/>
      <c r="FL176" s="124"/>
      <c r="FM176" s="124"/>
      <c r="FN176" s="124"/>
      <c r="FO176" s="124"/>
      <c r="FP176" s="124"/>
      <c r="FQ176" s="124"/>
      <c r="FR176" s="124"/>
      <c r="FS176" s="124"/>
      <c r="FT176" s="124"/>
      <c r="FU176" s="124"/>
      <c r="FV176" s="124"/>
      <c r="FW176" s="124"/>
      <c r="FX176" s="124"/>
      <c r="FY176" s="124"/>
      <c r="FZ176" s="124"/>
      <c r="GA176" s="124"/>
      <c r="GB176" s="124"/>
      <c r="GC176" s="124"/>
      <c r="GD176" s="124"/>
      <c r="GE176" s="124"/>
      <c r="GF176" s="124"/>
      <c r="GG176" s="124"/>
      <c r="GH176" s="124"/>
      <c r="GI176" s="124"/>
      <c r="GJ176" s="124"/>
      <c r="GK176" s="124"/>
      <c r="GL176" s="124"/>
      <c r="GM176" s="124"/>
      <c r="GN176" s="124"/>
      <c r="GO176" s="124"/>
      <c r="GP176" s="124"/>
      <c r="GQ176" s="124"/>
      <c r="GR176" s="124"/>
      <c r="GS176" s="124"/>
      <c r="GT176" s="124"/>
      <c r="GU176" s="124"/>
      <c r="GV176" s="124"/>
      <c r="GW176" s="124"/>
      <c r="GX176" s="124"/>
      <c r="GY176" s="124"/>
      <c r="GZ176" s="124"/>
      <c r="HA176" s="124"/>
      <c r="HB176" s="124"/>
      <c r="HC176" s="124"/>
      <c r="HD176" s="124"/>
      <c r="HE176" s="124"/>
      <c r="HF176" s="124"/>
      <c r="HG176" s="124"/>
      <c r="HH176" s="124"/>
      <c r="HI176" s="124"/>
      <c r="HJ176" s="124"/>
      <c r="HK176" s="124"/>
      <c r="HL176" s="124"/>
      <c r="HM176" s="124"/>
      <c r="HN176" s="124"/>
      <c r="HO176" s="124"/>
      <c r="HP176" s="124"/>
      <c r="HQ176" s="124"/>
    </row>
    <row r="177" spans="1:225" x14ac:dyDescent="0.2">
      <c r="A177" s="122" t="s">
        <v>808</v>
      </c>
      <c r="B177" s="123">
        <v>84</v>
      </c>
      <c r="C177" s="124" t="s">
        <v>335</v>
      </c>
      <c r="D177" s="123">
        <v>168</v>
      </c>
      <c r="E177" s="124" t="s">
        <v>161</v>
      </c>
      <c r="F177" s="123">
        <v>5</v>
      </c>
      <c r="G177" s="123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  <c r="BJ177" s="124"/>
      <c r="BK177" s="124"/>
      <c r="BL177" s="124"/>
      <c r="BM177" s="124"/>
      <c r="BN177" s="124"/>
      <c r="BO177" s="124"/>
      <c r="BP177" s="124"/>
      <c r="BQ177" s="124"/>
      <c r="BR177" s="124"/>
      <c r="BS177" s="124"/>
      <c r="BT177" s="124"/>
      <c r="BU177" s="124"/>
      <c r="BV177" s="124"/>
      <c r="BW177" s="124"/>
      <c r="BX177" s="124"/>
      <c r="BY177" s="124"/>
      <c r="BZ177" s="124"/>
      <c r="CA177" s="124"/>
      <c r="CB177" s="124"/>
      <c r="CC177" s="124"/>
      <c r="CD177" s="124"/>
      <c r="CE177" s="124"/>
      <c r="CF177" s="124"/>
      <c r="CG177" s="124"/>
      <c r="CH177" s="124"/>
      <c r="CI177" s="124"/>
      <c r="CJ177" s="124"/>
      <c r="CK177" s="124"/>
      <c r="CL177" s="124"/>
      <c r="CM177" s="124"/>
      <c r="CN177" s="124"/>
      <c r="CO177" s="124"/>
      <c r="CP177" s="124"/>
      <c r="CQ177" s="124"/>
      <c r="CR177" s="124"/>
      <c r="CS177" s="124"/>
      <c r="CT177" s="124"/>
      <c r="CU177" s="124"/>
      <c r="CV177" s="124"/>
      <c r="CW177" s="124"/>
      <c r="CX177" s="124"/>
      <c r="CY177" s="124"/>
      <c r="CZ177" s="124"/>
      <c r="DA177" s="124"/>
      <c r="DB177" s="124"/>
      <c r="DC177" s="124"/>
      <c r="DD177" s="124"/>
      <c r="DE177" s="124"/>
      <c r="DF177" s="124"/>
      <c r="DG177" s="124"/>
      <c r="DH177" s="124"/>
      <c r="DI177" s="124"/>
      <c r="DJ177" s="124"/>
      <c r="DK177" s="124"/>
      <c r="DL177" s="124"/>
      <c r="DM177" s="124"/>
      <c r="DN177" s="124"/>
      <c r="DO177" s="124"/>
      <c r="DP177" s="124"/>
      <c r="DQ177" s="124"/>
      <c r="DR177" s="124"/>
      <c r="DS177" s="124"/>
      <c r="DT177" s="124"/>
      <c r="DU177" s="124"/>
      <c r="DV177" s="124"/>
      <c r="DW177" s="124"/>
      <c r="DX177" s="124"/>
      <c r="DY177" s="124"/>
      <c r="DZ177" s="124"/>
      <c r="EA177" s="124"/>
      <c r="EB177" s="124"/>
      <c r="EC177" s="124"/>
      <c r="ED177" s="124"/>
      <c r="EE177" s="124"/>
      <c r="EF177" s="124"/>
      <c r="EG177" s="124"/>
      <c r="EH177" s="124"/>
      <c r="EI177" s="124"/>
      <c r="EJ177" s="124"/>
      <c r="EK177" s="124"/>
      <c r="EL177" s="124"/>
      <c r="EM177" s="124"/>
      <c r="EN177" s="124"/>
      <c r="EO177" s="124"/>
      <c r="EP177" s="124"/>
      <c r="EQ177" s="124"/>
      <c r="ER177" s="124"/>
      <c r="ES177" s="124"/>
      <c r="ET177" s="124"/>
      <c r="EU177" s="124"/>
      <c r="EV177" s="124"/>
      <c r="EW177" s="124"/>
      <c r="EX177" s="124"/>
      <c r="EY177" s="124"/>
      <c r="EZ177" s="124"/>
      <c r="FA177" s="124"/>
      <c r="FB177" s="124"/>
      <c r="FC177" s="124"/>
      <c r="FD177" s="124"/>
      <c r="FE177" s="124"/>
      <c r="FF177" s="124"/>
      <c r="FG177" s="124"/>
      <c r="FH177" s="124"/>
      <c r="FI177" s="124"/>
      <c r="FJ177" s="124"/>
      <c r="FK177" s="124"/>
      <c r="FL177" s="124"/>
      <c r="FM177" s="124"/>
      <c r="FN177" s="124"/>
      <c r="FO177" s="124"/>
      <c r="FP177" s="124"/>
      <c r="FQ177" s="124"/>
      <c r="FR177" s="124"/>
      <c r="FS177" s="124"/>
      <c r="FT177" s="124"/>
      <c r="FU177" s="124"/>
      <c r="FV177" s="124"/>
      <c r="FW177" s="124"/>
      <c r="FX177" s="124"/>
      <c r="FY177" s="124"/>
      <c r="FZ177" s="124"/>
      <c r="GA177" s="124"/>
      <c r="GB177" s="124"/>
      <c r="GC177" s="124"/>
      <c r="GD177" s="124"/>
      <c r="GE177" s="124"/>
      <c r="GF177" s="124"/>
      <c r="GG177" s="124"/>
      <c r="GH177" s="124"/>
      <c r="GI177" s="124"/>
      <c r="GJ177" s="124"/>
      <c r="GK177" s="124"/>
      <c r="GL177" s="124"/>
      <c r="GM177" s="124"/>
      <c r="GN177" s="124"/>
      <c r="GO177" s="124"/>
      <c r="GP177" s="124"/>
      <c r="GQ177" s="124"/>
      <c r="GR177" s="124"/>
      <c r="GS177" s="124"/>
      <c r="GT177" s="124"/>
      <c r="GU177" s="124"/>
      <c r="GV177" s="124"/>
      <c r="GW177" s="124"/>
      <c r="GX177" s="124"/>
      <c r="GY177" s="124"/>
      <c r="GZ177" s="124"/>
      <c r="HA177" s="124"/>
      <c r="HB177" s="124"/>
      <c r="HC177" s="124"/>
      <c r="HD177" s="124"/>
      <c r="HE177" s="124"/>
      <c r="HF177" s="124"/>
      <c r="HG177" s="124"/>
      <c r="HH177" s="124"/>
      <c r="HI177" s="124"/>
      <c r="HJ177" s="124"/>
      <c r="HK177" s="124"/>
      <c r="HL177" s="124"/>
      <c r="HM177" s="124"/>
      <c r="HN177" s="124"/>
      <c r="HO177" s="124"/>
      <c r="HP177" s="124"/>
      <c r="HQ177" s="124"/>
    </row>
    <row r="178" spans="1:225" x14ac:dyDescent="0.2">
      <c r="A178" s="122" t="s">
        <v>809</v>
      </c>
      <c r="B178" s="123">
        <v>85</v>
      </c>
      <c r="C178" s="124" t="s">
        <v>336</v>
      </c>
      <c r="D178" s="123">
        <v>169</v>
      </c>
      <c r="E178" s="124" t="s">
        <v>161</v>
      </c>
      <c r="F178" s="123">
        <v>4</v>
      </c>
      <c r="G178" s="123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  <c r="BJ178" s="124"/>
      <c r="BK178" s="124"/>
      <c r="BL178" s="124"/>
      <c r="BM178" s="124"/>
      <c r="BN178" s="124"/>
      <c r="BO178" s="124"/>
      <c r="BP178" s="124"/>
      <c r="BQ178" s="124"/>
      <c r="BR178" s="124"/>
      <c r="BS178" s="124"/>
      <c r="BT178" s="124"/>
      <c r="BU178" s="124"/>
      <c r="BV178" s="124"/>
      <c r="BW178" s="124"/>
      <c r="BX178" s="124"/>
      <c r="BY178" s="124"/>
      <c r="BZ178" s="124"/>
      <c r="CA178" s="124"/>
      <c r="CB178" s="124"/>
      <c r="CC178" s="124"/>
      <c r="CD178" s="124"/>
      <c r="CE178" s="124"/>
      <c r="CF178" s="124"/>
      <c r="CG178" s="124"/>
      <c r="CH178" s="124"/>
      <c r="CI178" s="124"/>
      <c r="CJ178" s="124"/>
      <c r="CK178" s="124"/>
      <c r="CL178" s="124"/>
      <c r="CM178" s="124"/>
      <c r="CN178" s="124"/>
      <c r="CO178" s="124"/>
      <c r="CP178" s="124"/>
      <c r="CQ178" s="124"/>
      <c r="CR178" s="124"/>
      <c r="CS178" s="124"/>
      <c r="CT178" s="124"/>
      <c r="CU178" s="124"/>
      <c r="CV178" s="124"/>
      <c r="CW178" s="124"/>
      <c r="CX178" s="124"/>
      <c r="CY178" s="124"/>
      <c r="CZ178" s="124"/>
      <c r="DA178" s="124"/>
      <c r="DB178" s="124"/>
      <c r="DC178" s="124"/>
      <c r="DD178" s="124"/>
      <c r="DE178" s="124"/>
      <c r="DF178" s="124"/>
      <c r="DG178" s="124"/>
      <c r="DH178" s="124"/>
      <c r="DI178" s="124"/>
      <c r="DJ178" s="124"/>
      <c r="DK178" s="124"/>
      <c r="DL178" s="124"/>
      <c r="DM178" s="124"/>
      <c r="DN178" s="124"/>
      <c r="DO178" s="124"/>
      <c r="DP178" s="124"/>
      <c r="DQ178" s="124"/>
      <c r="DR178" s="124"/>
      <c r="DS178" s="124"/>
      <c r="DT178" s="124"/>
      <c r="DU178" s="124"/>
      <c r="DV178" s="124"/>
      <c r="DW178" s="124"/>
      <c r="DX178" s="124"/>
      <c r="DY178" s="124"/>
      <c r="DZ178" s="124"/>
      <c r="EA178" s="124"/>
      <c r="EB178" s="124"/>
      <c r="EC178" s="124"/>
      <c r="ED178" s="124"/>
      <c r="EE178" s="124"/>
      <c r="EF178" s="124"/>
      <c r="EG178" s="124"/>
      <c r="EH178" s="124"/>
      <c r="EI178" s="124"/>
      <c r="EJ178" s="124"/>
      <c r="EK178" s="124"/>
      <c r="EL178" s="124"/>
      <c r="EM178" s="124"/>
      <c r="EN178" s="124"/>
      <c r="EO178" s="124"/>
      <c r="EP178" s="124"/>
      <c r="EQ178" s="124"/>
      <c r="ER178" s="124"/>
      <c r="ES178" s="124"/>
      <c r="ET178" s="124"/>
      <c r="EU178" s="124"/>
      <c r="EV178" s="124"/>
      <c r="EW178" s="124"/>
      <c r="EX178" s="124"/>
      <c r="EY178" s="124"/>
      <c r="EZ178" s="124"/>
      <c r="FA178" s="124"/>
      <c r="FB178" s="124"/>
      <c r="FC178" s="124"/>
      <c r="FD178" s="124"/>
      <c r="FE178" s="124"/>
      <c r="FF178" s="124"/>
      <c r="FG178" s="124"/>
      <c r="FH178" s="124"/>
      <c r="FI178" s="124"/>
      <c r="FJ178" s="124"/>
      <c r="FK178" s="124"/>
      <c r="FL178" s="124"/>
      <c r="FM178" s="124"/>
      <c r="FN178" s="124"/>
      <c r="FO178" s="124"/>
      <c r="FP178" s="124"/>
      <c r="FQ178" s="124"/>
      <c r="FR178" s="124"/>
      <c r="FS178" s="124"/>
      <c r="FT178" s="124"/>
      <c r="FU178" s="124"/>
      <c r="FV178" s="124"/>
      <c r="FW178" s="124"/>
      <c r="FX178" s="124"/>
      <c r="FY178" s="124"/>
      <c r="FZ178" s="124"/>
      <c r="GA178" s="124"/>
      <c r="GB178" s="124"/>
      <c r="GC178" s="124"/>
      <c r="GD178" s="124"/>
      <c r="GE178" s="124"/>
      <c r="GF178" s="124"/>
      <c r="GG178" s="124"/>
      <c r="GH178" s="124"/>
      <c r="GI178" s="124"/>
      <c r="GJ178" s="124"/>
      <c r="GK178" s="124"/>
      <c r="GL178" s="124"/>
      <c r="GM178" s="124"/>
      <c r="GN178" s="124"/>
      <c r="GO178" s="124"/>
      <c r="GP178" s="124"/>
      <c r="GQ178" s="124"/>
      <c r="GR178" s="124"/>
      <c r="GS178" s="124"/>
      <c r="GT178" s="124"/>
      <c r="GU178" s="124"/>
      <c r="GV178" s="124"/>
      <c r="GW178" s="124"/>
      <c r="GX178" s="124"/>
      <c r="GY178" s="124"/>
      <c r="GZ178" s="124"/>
      <c r="HA178" s="124"/>
      <c r="HB178" s="124"/>
      <c r="HC178" s="124"/>
      <c r="HD178" s="124"/>
      <c r="HE178" s="124"/>
      <c r="HF178" s="124"/>
      <c r="HG178" s="124"/>
      <c r="HH178" s="124"/>
      <c r="HI178" s="124"/>
      <c r="HJ178" s="124"/>
      <c r="HK178" s="124"/>
      <c r="HL178" s="124"/>
      <c r="HM178" s="124"/>
      <c r="HN178" s="124"/>
      <c r="HO178" s="124"/>
      <c r="HP178" s="124"/>
      <c r="HQ178" s="124"/>
    </row>
    <row r="179" spans="1:225" x14ac:dyDescent="0.2">
      <c r="A179" s="122" t="s">
        <v>810</v>
      </c>
      <c r="B179" s="123">
        <v>85</v>
      </c>
      <c r="C179" s="124" t="s">
        <v>337</v>
      </c>
      <c r="D179" s="123">
        <v>170</v>
      </c>
      <c r="E179" s="124" t="s">
        <v>161</v>
      </c>
      <c r="F179" s="123">
        <v>3</v>
      </c>
      <c r="G179" s="123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  <c r="BJ179" s="124"/>
      <c r="BK179" s="124"/>
      <c r="BL179" s="124"/>
      <c r="BM179" s="124"/>
      <c r="BN179" s="124"/>
      <c r="BO179" s="124"/>
      <c r="BP179" s="124"/>
      <c r="BQ179" s="124"/>
      <c r="BR179" s="124"/>
      <c r="BS179" s="124"/>
      <c r="BT179" s="124"/>
      <c r="BU179" s="124"/>
      <c r="BV179" s="124"/>
      <c r="BW179" s="124"/>
      <c r="BX179" s="124"/>
      <c r="BY179" s="124"/>
      <c r="BZ179" s="124"/>
      <c r="CA179" s="124"/>
      <c r="CB179" s="124"/>
      <c r="CC179" s="124"/>
      <c r="CD179" s="124"/>
      <c r="CE179" s="124"/>
      <c r="CF179" s="124"/>
      <c r="CG179" s="124"/>
      <c r="CH179" s="124"/>
      <c r="CI179" s="124"/>
      <c r="CJ179" s="124"/>
      <c r="CK179" s="124"/>
      <c r="CL179" s="124"/>
      <c r="CM179" s="124"/>
      <c r="CN179" s="124"/>
      <c r="CO179" s="124"/>
      <c r="CP179" s="124"/>
      <c r="CQ179" s="124"/>
      <c r="CR179" s="124"/>
      <c r="CS179" s="124"/>
      <c r="CT179" s="124"/>
      <c r="CU179" s="124"/>
      <c r="CV179" s="124"/>
      <c r="CW179" s="124"/>
      <c r="CX179" s="124"/>
      <c r="CY179" s="124"/>
      <c r="CZ179" s="124"/>
      <c r="DA179" s="124"/>
      <c r="DB179" s="124"/>
      <c r="DC179" s="124"/>
      <c r="DD179" s="124"/>
      <c r="DE179" s="124"/>
      <c r="DF179" s="124"/>
      <c r="DG179" s="124"/>
      <c r="DH179" s="124"/>
      <c r="DI179" s="124"/>
      <c r="DJ179" s="124"/>
      <c r="DK179" s="124"/>
      <c r="DL179" s="124"/>
      <c r="DM179" s="124"/>
      <c r="DN179" s="124"/>
      <c r="DO179" s="124"/>
      <c r="DP179" s="124"/>
      <c r="DQ179" s="124"/>
      <c r="DR179" s="124"/>
      <c r="DS179" s="124"/>
      <c r="DT179" s="124"/>
      <c r="DU179" s="124"/>
      <c r="DV179" s="124"/>
      <c r="DW179" s="124"/>
      <c r="DX179" s="124"/>
      <c r="DY179" s="124"/>
      <c r="DZ179" s="124"/>
      <c r="EA179" s="124"/>
      <c r="EB179" s="124"/>
      <c r="EC179" s="124"/>
      <c r="ED179" s="124"/>
      <c r="EE179" s="124"/>
      <c r="EF179" s="124"/>
      <c r="EG179" s="124"/>
      <c r="EH179" s="124"/>
      <c r="EI179" s="124"/>
      <c r="EJ179" s="124"/>
      <c r="EK179" s="124"/>
      <c r="EL179" s="124"/>
      <c r="EM179" s="124"/>
      <c r="EN179" s="124"/>
      <c r="EO179" s="124"/>
      <c r="EP179" s="124"/>
      <c r="EQ179" s="124"/>
      <c r="ER179" s="124"/>
      <c r="ES179" s="124"/>
      <c r="ET179" s="124"/>
      <c r="EU179" s="124"/>
      <c r="EV179" s="124"/>
      <c r="EW179" s="124"/>
      <c r="EX179" s="124"/>
      <c r="EY179" s="124"/>
      <c r="EZ179" s="124"/>
      <c r="FA179" s="124"/>
      <c r="FB179" s="124"/>
      <c r="FC179" s="124"/>
      <c r="FD179" s="124"/>
      <c r="FE179" s="124"/>
      <c r="FF179" s="124"/>
      <c r="FG179" s="124"/>
      <c r="FH179" s="124"/>
      <c r="FI179" s="124"/>
      <c r="FJ179" s="124"/>
      <c r="FK179" s="124"/>
      <c r="FL179" s="124"/>
      <c r="FM179" s="124"/>
      <c r="FN179" s="124"/>
      <c r="FO179" s="124"/>
      <c r="FP179" s="124"/>
      <c r="FQ179" s="124"/>
      <c r="FR179" s="124"/>
      <c r="FS179" s="124"/>
      <c r="FT179" s="124"/>
      <c r="FU179" s="124"/>
      <c r="FV179" s="124"/>
      <c r="FW179" s="124"/>
      <c r="FX179" s="124"/>
      <c r="FY179" s="124"/>
      <c r="FZ179" s="124"/>
      <c r="GA179" s="124"/>
      <c r="GB179" s="124"/>
      <c r="GC179" s="124"/>
      <c r="GD179" s="124"/>
      <c r="GE179" s="124"/>
      <c r="GF179" s="124"/>
      <c r="GG179" s="124"/>
      <c r="GH179" s="124"/>
      <c r="GI179" s="124"/>
      <c r="GJ179" s="124"/>
      <c r="GK179" s="124"/>
      <c r="GL179" s="124"/>
      <c r="GM179" s="124"/>
      <c r="GN179" s="124"/>
      <c r="GO179" s="124"/>
      <c r="GP179" s="124"/>
      <c r="GQ179" s="124"/>
      <c r="GR179" s="124"/>
      <c r="GS179" s="124"/>
      <c r="GT179" s="124"/>
      <c r="GU179" s="124"/>
      <c r="GV179" s="124"/>
      <c r="GW179" s="124"/>
      <c r="GX179" s="124"/>
      <c r="GY179" s="124"/>
      <c r="GZ179" s="124"/>
      <c r="HA179" s="124"/>
      <c r="HB179" s="124"/>
      <c r="HC179" s="124"/>
      <c r="HD179" s="124"/>
      <c r="HE179" s="124"/>
      <c r="HF179" s="124"/>
      <c r="HG179" s="124"/>
      <c r="HH179" s="124"/>
      <c r="HI179" s="124"/>
      <c r="HJ179" s="124"/>
      <c r="HK179" s="124"/>
      <c r="HL179" s="124"/>
      <c r="HM179" s="124"/>
      <c r="HN179" s="124"/>
      <c r="HO179" s="124"/>
      <c r="HP179" s="124"/>
      <c r="HQ179" s="124"/>
    </row>
    <row r="180" spans="1:225" x14ac:dyDescent="0.2">
      <c r="A180" s="122" t="s">
        <v>811</v>
      </c>
      <c r="B180" s="123">
        <v>86</v>
      </c>
      <c r="C180" s="124" t="s">
        <v>338</v>
      </c>
      <c r="D180" s="123">
        <v>171</v>
      </c>
      <c r="E180" s="124" t="s">
        <v>161</v>
      </c>
      <c r="F180" s="123">
        <v>2</v>
      </c>
      <c r="G180" s="123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  <c r="BJ180" s="124"/>
      <c r="BK180" s="124"/>
      <c r="BL180" s="124"/>
      <c r="BM180" s="124"/>
      <c r="BN180" s="124"/>
      <c r="BO180" s="124"/>
      <c r="BP180" s="124"/>
      <c r="BQ180" s="124"/>
      <c r="BR180" s="124"/>
      <c r="BS180" s="124"/>
      <c r="BT180" s="124"/>
      <c r="BU180" s="124"/>
      <c r="BV180" s="124"/>
      <c r="BW180" s="124"/>
      <c r="BX180" s="124"/>
      <c r="BY180" s="124"/>
      <c r="BZ180" s="124"/>
      <c r="CA180" s="124"/>
      <c r="CB180" s="124"/>
      <c r="CC180" s="124"/>
      <c r="CD180" s="124"/>
      <c r="CE180" s="124"/>
      <c r="CF180" s="124"/>
      <c r="CG180" s="124"/>
      <c r="CH180" s="124"/>
      <c r="CI180" s="124"/>
      <c r="CJ180" s="124"/>
      <c r="CK180" s="124"/>
      <c r="CL180" s="124"/>
      <c r="CM180" s="124"/>
      <c r="CN180" s="124"/>
      <c r="CO180" s="124"/>
      <c r="CP180" s="124"/>
      <c r="CQ180" s="124"/>
      <c r="CR180" s="124"/>
      <c r="CS180" s="124"/>
      <c r="CT180" s="124"/>
      <c r="CU180" s="124"/>
      <c r="CV180" s="124"/>
      <c r="CW180" s="124"/>
      <c r="CX180" s="124"/>
      <c r="CY180" s="124"/>
      <c r="CZ180" s="124"/>
      <c r="DA180" s="124"/>
      <c r="DB180" s="124"/>
      <c r="DC180" s="124"/>
      <c r="DD180" s="124"/>
      <c r="DE180" s="124"/>
      <c r="DF180" s="124"/>
      <c r="DG180" s="124"/>
      <c r="DH180" s="124"/>
      <c r="DI180" s="124"/>
      <c r="DJ180" s="124"/>
      <c r="DK180" s="124"/>
      <c r="DL180" s="124"/>
      <c r="DM180" s="124"/>
      <c r="DN180" s="124"/>
      <c r="DO180" s="124"/>
      <c r="DP180" s="124"/>
      <c r="DQ180" s="124"/>
      <c r="DR180" s="124"/>
      <c r="DS180" s="124"/>
      <c r="DT180" s="124"/>
      <c r="DU180" s="124"/>
      <c r="DV180" s="124"/>
      <c r="DW180" s="124"/>
      <c r="DX180" s="124"/>
      <c r="DY180" s="124"/>
      <c r="DZ180" s="124"/>
      <c r="EA180" s="124"/>
      <c r="EB180" s="124"/>
      <c r="EC180" s="124"/>
      <c r="ED180" s="124"/>
      <c r="EE180" s="124"/>
      <c r="EF180" s="124"/>
      <c r="EG180" s="124"/>
      <c r="EH180" s="124"/>
      <c r="EI180" s="124"/>
      <c r="EJ180" s="124"/>
      <c r="EK180" s="124"/>
      <c r="EL180" s="124"/>
      <c r="EM180" s="124"/>
      <c r="EN180" s="124"/>
      <c r="EO180" s="124"/>
      <c r="EP180" s="124"/>
      <c r="EQ180" s="124"/>
      <c r="ER180" s="124"/>
      <c r="ES180" s="124"/>
      <c r="ET180" s="124"/>
      <c r="EU180" s="124"/>
      <c r="EV180" s="124"/>
      <c r="EW180" s="124"/>
      <c r="EX180" s="124"/>
      <c r="EY180" s="124"/>
      <c r="EZ180" s="124"/>
      <c r="FA180" s="124"/>
      <c r="FB180" s="124"/>
      <c r="FC180" s="124"/>
      <c r="FD180" s="124"/>
      <c r="FE180" s="124"/>
      <c r="FF180" s="124"/>
      <c r="FG180" s="124"/>
      <c r="FH180" s="124"/>
      <c r="FI180" s="124"/>
      <c r="FJ180" s="124"/>
      <c r="FK180" s="124"/>
      <c r="FL180" s="124"/>
      <c r="FM180" s="124"/>
      <c r="FN180" s="124"/>
      <c r="FO180" s="124"/>
      <c r="FP180" s="124"/>
      <c r="FQ180" s="124"/>
      <c r="FR180" s="124"/>
      <c r="FS180" s="124"/>
      <c r="FT180" s="124"/>
      <c r="FU180" s="124"/>
      <c r="FV180" s="124"/>
      <c r="FW180" s="124"/>
      <c r="FX180" s="124"/>
      <c r="FY180" s="124"/>
      <c r="FZ180" s="124"/>
      <c r="GA180" s="124"/>
      <c r="GB180" s="124"/>
      <c r="GC180" s="124"/>
      <c r="GD180" s="124"/>
      <c r="GE180" s="124"/>
      <c r="GF180" s="124"/>
      <c r="GG180" s="124"/>
      <c r="GH180" s="124"/>
      <c r="GI180" s="124"/>
      <c r="GJ180" s="124"/>
      <c r="GK180" s="124"/>
      <c r="GL180" s="124"/>
      <c r="GM180" s="124"/>
      <c r="GN180" s="124"/>
      <c r="GO180" s="124"/>
      <c r="GP180" s="124"/>
      <c r="GQ180" s="124"/>
      <c r="GR180" s="124"/>
      <c r="GS180" s="124"/>
      <c r="GT180" s="124"/>
      <c r="GU180" s="124"/>
      <c r="GV180" s="124"/>
      <c r="GW180" s="124"/>
      <c r="GX180" s="124"/>
      <c r="GY180" s="124"/>
      <c r="GZ180" s="124"/>
      <c r="HA180" s="124"/>
      <c r="HB180" s="124"/>
      <c r="HC180" s="124"/>
      <c r="HD180" s="124"/>
      <c r="HE180" s="124"/>
      <c r="HF180" s="124"/>
      <c r="HG180" s="124"/>
      <c r="HH180" s="124"/>
      <c r="HI180" s="124"/>
      <c r="HJ180" s="124"/>
      <c r="HK180" s="124"/>
      <c r="HL180" s="124"/>
      <c r="HM180" s="124"/>
      <c r="HN180" s="124"/>
      <c r="HO180" s="124"/>
      <c r="HP180" s="124"/>
      <c r="HQ180" s="124"/>
    </row>
    <row r="181" spans="1:225" x14ac:dyDescent="0.2">
      <c r="A181" s="122" t="s">
        <v>812</v>
      </c>
      <c r="B181" s="123">
        <v>86</v>
      </c>
      <c r="C181" s="124" t="s">
        <v>339</v>
      </c>
      <c r="D181" s="123">
        <v>172</v>
      </c>
      <c r="E181" s="124" t="s">
        <v>161</v>
      </c>
      <c r="F181" s="123">
        <v>2</v>
      </c>
      <c r="G181" s="123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24"/>
      <c r="BK181" s="124"/>
      <c r="BL181" s="124"/>
      <c r="BM181" s="124"/>
      <c r="BN181" s="124"/>
      <c r="BO181" s="124"/>
      <c r="BP181" s="124"/>
      <c r="BQ181" s="124"/>
      <c r="BR181" s="124"/>
      <c r="BS181" s="124"/>
      <c r="BT181" s="124"/>
      <c r="BU181" s="124"/>
      <c r="BV181" s="124"/>
      <c r="BW181" s="124"/>
      <c r="BX181" s="124"/>
      <c r="BY181" s="124"/>
      <c r="BZ181" s="124"/>
      <c r="CA181" s="124"/>
      <c r="CB181" s="124"/>
      <c r="CC181" s="124"/>
      <c r="CD181" s="124"/>
      <c r="CE181" s="124"/>
      <c r="CF181" s="124"/>
      <c r="CG181" s="124"/>
      <c r="CH181" s="124"/>
      <c r="CI181" s="124"/>
      <c r="CJ181" s="124"/>
      <c r="CK181" s="124"/>
      <c r="CL181" s="124"/>
      <c r="CM181" s="124"/>
      <c r="CN181" s="124"/>
      <c r="CO181" s="124"/>
      <c r="CP181" s="124"/>
      <c r="CQ181" s="124"/>
      <c r="CR181" s="124"/>
      <c r="CS181" s="124"/>
      <c r="CT181" s="124"/>
      <c r="CU181" s="124"/>
      <c r="CV181" s="124"/>
      <c r="CW181" s="124"/>
      <c r="CX181" s="124"/>
      <c r="CY181" s="124"/>
      <c r="CZ181" s="124"/>
      <c r="DA181" s="124"/>
      <c r="DB181" s="124"/>
      <c r="DC181" s="124"/>
      <c r="DD181" s="124"/>
      <c r="DE181" s="124"/>
      <c r="DF181" s="124"/>
      <c r="DG181" s="124"/>
      <c r="DH181" s="124"/>
      <c r="DI181" s="124"/>
      <c r="DJ181" s="124"/>
      <c r="DK181" s="124"/>
      <c r="DL181" s="124"/>
      <c r="DM181" s="124"/>
      <c r="DN181" s="124"/>
      <c r="DO181" s="124"/>
      <c r="DP181" s="124"/>
      <c r="DQ181" s="124"/>
      <c r="DR181" s="124"/>
      <c r="DS181" s="124"/>
      <c r="DT181" s="124"/>
      <c r="DU181" s="124"/>
      <c r="DV181" s="124"/>
      <c r="DW181" s="124"/>
      <c r="DX181" s="124"/>
      <c r="DY181" s="124"/>
      <c r="DZ181" s="124"/>
      <c r="EA181" s="124"/>
      <c r="EB181" s="124"/>
      <c r="EC181" s="124"/>
      <c r="ED181" s="124"/>
      <c r="EE181" s="124"/>
      <c r="EF181" s="124"/>
      <c r="EG181" s="124"/>
      <c r="EH181" s="124"/>
      <c r="EI181" s="124"/>
      <c r="EJ181" s="124"/>
      <c r="EK181" s="124"/>
      <c r="EL181" s="124"/>
      <c r="EM181" s="124"/>
      <c r="EN181" s="124"/>
      <c r="EO181" s="124"/>
      <c r="EP181" s="124"/>
      <c r="EQ181" s="124"/>
      <c r="ER181" s="124"/>
      <c r="ES181" s="124"/>
      <c r="ET181" s="124"/>
      <c r="EU181" s="124"/>
      <c r="EV181" s="124"/>
      <c r="EW181" s="124"/>
      <c r="EX181" s="124"/>
      <c r="EY181" s="124"/>
      <c r="EZ181" s="124"/>
      <c r="FA181" s="124"/>
      <c r="FB181" s="124"/>
      <c r="FC181" s="124"/>
      <c r="FD181" s="124"/>
      <c r="FE181" s="124"/>
      <c r="FF181" s="124"/>
      <c r="FG181" s="124"/>
      <c r="FH181" s="124"/>
      <c r="FI181" s="124"/>
      <c r="FJ181" s="124"/>
      <c r="FK181" s="124"/>
      <c r="FL181" s="124"/>
      <c r="FM181" s="124"/>
      <c r="FN181" s="124"/>
      <c r="FO181" s="124"/>
      <c r="FP181" s="124"/>
      <c r="FQ181" s="124"/>
      <c r="FR181" s="124"/>
      <c r="FS181" s="124"/>
      <c r="FT181" s="124"/>
      <c r="FU181" s="124"/>
      <c r="FV181" s="124"/>
      <c r="FW181" s="124"/>
      <c r="FX181" s="124"/>
      <c r="FY181" s="124"/>
      <c r="FZ181" s="124"/>
      <c r="GA181" s="124"/>
      <c r="GB181" s="124"/>
      <c r="GC181" s="124"/>
      <c r="GD181" s="124"/>
      <c r="GE181" s="124"/>
      <c r="GF181" s="124"/>
      <c r="GG181" s="124"/>
      <c r="GH181" s="124"/>
      <c r="GI181" s="124"/>
      <c r="GJ181" s="124"/>
      <c r="GK181" s="124"/>
      <c r="GL181" s="124"/>
      <c r="GM181" s="124"/>
      <c r="GN181" s="124"/>
      <c r="GO181" s="124"/>
      <c r="GP181" s="124"/>
      <c r="GQ181" s="124"/>
      <c r="GR181" s="124"/>
      <c r="GS181" s="124"/>
      <c r="GT181" s="124"/>
      <c r="GU181" s="124"/>
      <c r="GV181" s="124"/>
      <c r="GW181" s="124"/>
      <c r="GX181" s="124"/>
      <c r="GY181" s="124"/>
      <c r="GZ181" s="124"/>
      <c r="HA181" s="124"/>
      <c r="HB181" s="124"/>
      <c r="HC181" s="124"/>
      <c r="HD181" s="124"/>
      <c r="HE181" s="124"/>
      <c r="HF181" s="124"/>
      <c r="HG181" s="124"/>
      <c r="HH181" s="124"/>
      <c r="HI181" s="124"/>
      <c r="HJ181" s="124"/>
      <c r="HK181" s="124"/>
      <c r="HL181" s="124"/>
      <c r="HM181" s="124"/>
      <c r="HN181" s="124"/>
      <c r="HO181" s="124"/>
      <c r="HP181" s="124"/>
      <c r="HQ181" s="124"/>
    </row>
    <row r="182" spans="1:225" x14ac:dyDescent="0.2">
      <c r="A182" s="122" t="s">
        <v>813</v>
      </c>
      <c r="B182" s="123">
        <v>87</v>
      </c>
      <c r="C182" s="124" t="s">
        <v>340</v>
      </c>
      <c r="D182" s="123">
        <v>173</v>
      </c>
      <c r="E182" s="124" t="s">
        <v>161</v>
      </c>
      <c r="F182" s="123">
        <v>4</v>
      </c>
      <c r="G182" s="123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  <c r="BJ182" s="124"/>
      <c r="BK182" s="124"/>
      <c r="BL182" s="124"/>
      <c r="BM182" s="124"/>
      <c r="BN182" s="124"/>
      <c r="BO182" s="124"/>
      <c r="BP182" s="124"/>
      <c r="BQ182" s="124"/>
      <c r="BR182" s="124"/>
      <c r="BS182" s="124"/>
      <c r="BT182" s="124"/>
      <c r="BU182" s="124"/>
      <c r="BV182" s="124"/>
      <c r="BW182" s="124"/>
      <c r="BX182" s="124"/>
      <c r="BY182" s="124"/>
      <c r="BZ182" s="124"/>
      <c r="CA182" s="124"/>
      <c r="CB182" s="124"/>
      <c r="CC182" s="124"/>
      <c r="CD182" s="124"/>
      <c r="CE182" s="124"/>
      <c r="CF182" s="124"/>
      <c r="CG182" s="124"/>
      <c r="CH182" s="124"/>
      <c r="CI182" s="124"/>
      <c r="CJ182" s="124"/>
      <c r="CK182" s="124"/>
      <c r="CL182" s="124"/>
      <c r="CM182" s="124"/>
      <c r="CN182" s="124"/>
      <c r="CO182" s="124"/>
      <c r="CP182" s="124"/>
      <c r="CQ182" s="124"/>
      <c r="CR182" s="124"/>
      <c r="CS182" s="124"/>
      <c r="CT182" s="124"/>
      <c r="CU182" s="124"/>
      <c r="CV182" s="124"/>
      <c r="CW182" s="124"/>
      <c r="CX182" s="124"/>
      <c r="CY182" s="124"/>
      <c r="CZ182" s="124"/>
      <c r="DA182" s="124"/>
      <c r="DB182" s="124"/>
      <c r="DC182" s="124"/>
      <c r="DD182" s="124"/>
      <c r="DE182" s="124"/>
      <c r="DF182" s="124"/>
      <c r="DG182" s="124"/>
      <c r="DH182" s="124"/>
      <c r="DI182" s="124"/>
      <c r="DJ182" s="124"/>
      <c r="DK182" s="124"/>
      <c r="DL182" s="124"/>
      <c r="DM182" s="124"/>
      <c r="DN182" s="124"/>
      <c r="DO182" s="124"/>
      <c r="DP182" s="124"/>
      <c r="DQ182" s="124"/>
      <c r="DR182" s="124"/>
      <c r="DS182" s="124"/>
      <c r="DT182" s="124"/>
      <c r="DU182" s="124"/>
      <c r="DV182" s="124"/>
      <c r="DW182" s="124"/>
      <c r="DX182" s="124"/>
      <c r="DY182" s="124"/>
      <c r="DZ182" s="124"/>
      <c r="EA182" s="124"/>
      <c r="EB182" s="124"/>
      <c r="EC182" s="124"/>
      <c r="ED182" s="124"/>
      <c r="EE182" s="124"/>
      <c r="EF182" s="124"/>
      <c r="EG182" s="124"/>
      <c r="EH182" s="124"/>
      <c r="EI182" s="124"/>
      <c r="EJ182" s="124"/>
      <c r="EK182" s="124"/>
      <c r="EL182" s="124"/>
      <c r="EM182" s="124"/>
      <c r="EN182" s="124"/>
      <c r="EO182" s="124"/>
      <c r="EP182" s="124"/>
      <c r="EQ182" s="124"/>
      <c r="ER182" s="124"/>
      <c r="ES182" s="124"/>
      <c r="ET182" s="124"/>
      <c r="EU182" s="124"/>
      <c r="EV182" s="124"/>
      <c r="EW182" s="124"/>
      <c r="EX182" s="124"/>
      <c r="EY182" s="124"/>
      <c r="EZ182" s="124"/>
      <c r="FA182" s="124"/>
      <c r="FB182" s="124"/>
      <c r="FC182" s="124"/>
      <c r="FD182" s="124"/>
      <c r="FE182" s="124"/>
      <c r="FF182" s="124"/>
      <c r="FG182" s="124"/>
      <c r="FH182" s="124"/>
      <c r="FI182" s="124"/>
      <c r="FJ182" s="124"/>
      <c r="FK182" s="124"/>
      <c r="FL182" s="124"/>
      <c r="FM182" s="124"/>
      <c r="FN182" s="124"/>
      <c r="FO182" s="124"/>
      <c r="FP182" s="124"/>
      <c r="FQ182" s="124"/>
      <c r="FR182" s="124"/>
      <c r="FS182" s="124"/>
      <c r="FT182" s="124"/>
      <c r="FU182" s="124"/>
      <c r="FV182" s="124"/>
      <c r="FW182" s="124"/>
      <c r="FX182" s="124"/>
      <c r="FY182" s="124"/>
      <c r="FZ182" s="124"/>
      <c r="GA182" s="124"/>
      <c r="GB182" s="124"/>
      <c r="GC182" s="124"/>
      <c r="GD182" s="124"/>
      <c r="GE182" s="124"/>
      <c r="GF182" s="124"/>
      <c r="GG182" s="124"/>
      <c r="GH182" s="124"/>
      <c r="GI182" s="124"/>
      <c r="GJ182" s="124"/>
      <c r="GK182" s="124"/>
      <c r="GL182" s="124"/>
      <c r="GM182" s="124"/>
      <c r="GN182" s="124"/>
      <c r="GO182" s="124"/>
      <c r="GP182" s="124"/>
      <c r="GQ182" s="124"/>
      <c r="GR182" s="124"/>
      <c r="GS182" s="124"/>
      <c r="GT182" s="124"/>
      <c r="GU182" s="124"/>
      <c r="GV182" s="124"/>
      <c r="GW182" s="124"/>
      <c r="GX182" s="124"/>
      <c r="GY182" s="124"/>
      <c r="GZ182" s="124"/>
      <c r="HA182" s="124"/>
      <c r="HB182" s="124"/>
      <c r="HC182" s="124"/>
      <c r="HD182" s="124"/>
      <c r="HE182" s="124"/>
      <c r="HF182" s="124"/>
      <c r="HG182" s="124"/>
      <c r="HH182" s="124"/>
      <c r="HI182" s="124"/>
      <c r="HJ182" s="124"/>
      <c r="HK182" s="124"/>
      <c r="HL182" s="124"/>
      <c r="HM182" s="124"/>
      <c r="HN182" s="124"/>
      <c r="HO182" s="124"/>
      <c r="HP182" s="124"/>
      <c r="HQ182" s="124"/>
    </row>
    <row r="183" spans="1:225" x14ac:dyDescent="0.2">
      <c r="A183" s="122" t="s">
        <v>814</v>
      </c>
      <c r="B183" s="123">
        <v>87</v>
      </c>
      <c r="C183" s="124" t="s">
        <v>341</v>
      </c>
      <c r="D183" s="123">
        <v>174</v>
      </c>
      <c r="E183" s="124" t="s">
        <v>161</v>
      </c>
      <c r="F183" s="123">
        <v>2</v>
      </c>
      <c r="G183" s="123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  <c r="BJ183" s="124"/>
      <c r="BK183" s="124"/>
      <c r="BL183" s="124"/>
      <c r="BM183" s="124"/>
      <c r="BN183" s="124"/>
      <c r="BO183" s="124"/>
      <c r="BP183" s="124"/>
      <c r="BQ183" s="124"/>
      <c r="BR183" s="124"/>
      <c r="BS183" s="124"/>
      <c r="BT183" s="124"/>
      <c r="BU183" s="124"/>
      <c r="BV183" s="124"/>
      <c r="BW183" s="124"/>
      <c r="BX183" s="124"/>
      <c r="BY183" s="124"/>
      <c r="BZ183" s="124"/>
      <c r="CA183" s="124"/>
      <c r="CB183" s="124"/>
      <c r="CC183" s="124"/>
      <c r="CD183" s="124"/>
      <c r="CE183" s="124"/>
      <c r="CF183" s="124"/>
      <c r="CG183" s="124"/>
      <c r="CH183" s="124"/>
      <c r="CI183" s="124"/>
      <c r="CJ183" s="124"/>
      <c r="CK183" s="124"/>
      <c r="CL183" s="124"/>
      <c r="CM183" s="124"/>
      <c r="CN183" s="124"/>
      <c r="CO183" s="124"/>
      <c r="CP183" s="124"/>
      <c r="CQ183" s="124"/>
      <c r="CR183" s="124"/>
      <c r="CS183" s="124"/>
      <c r="CT183" s="124"/>
      <c r="CU183" s="124"/>
      <c r="CV183" s="124"/>
      <c r="CW183" s="124"/>
      <c r="CX183" s="124"/>
      <c r="CY183" s="124"/>
      <c r="CZ183" s="124"/>
      <c r="DA183" s="124"/>
      <c r="DB183" s="124"/>
      <c r="DC183" s="124"/>
      <c r="DD183" s="124"/>
      <c r="DE183" s="124"/>
      <c r="DF183" s="124"/>
      <c r="DG183" s="124"/>
      <c r="DH183" s="124"/>
      <c r="DI183" s="124"/>
      <c r="DJ183" s="124"/>
      <c r="DK183" s="124"/>
      <c r="DL183" s="124"/>
      <c r="DM183" s="124"/>
      <c r="DN183" s="124"/>
      <c r="DO183" s="124"/>
      <c r="DP183" s="124"/>
      <c r="DQ183" s="124"/>
      <c r="DR183" s="124"/>
      <c r="DS183" s="124"/>
      <c r="DT183" s="124"/>
      <c r="DU183" s="124"/>
      <c r="DV183" s="124"/>
      <c r="DW183" s="124"/>
      <c r="DX183" s="124"/>
      <c r="DY183" s="124"/>
      <c r="DZ183" s="124"/>
      <c r="EA183" s="124"/>
      <c r="EB183" s="124"/>
      <c r="EC183" s="124"/>
      <c r="ED183" s="124"/>
      <c r="EE183" s="124"/>
      <c r="EF183" s="124"/>
      <c r="EG183" s="124"/>
      <c r="EH183" s="124"/>
      <c r="EI183" s="124"/>
      <c r="EJ183" s="124"/>
      <c r="EK183" s="124"/>
      <c r="EL183" s="124"/>
      <c r="EM183" s="124"/>
      <c r="EN183" s="124"/>
      <c r="EO183" s="124"/>
      <c r="EP183" s="124"/>
      <c r="EQ183" s="124"/>
      <c r="ER183" s="124"/>
      <c r="ES183" s="124"/>
      <c r="ET183" s="124"/>
      <c r="EU183" s="124"/>
      <c r="EV183" s="124"/>
      <c r="EW183" s="124"/>
      <c r="EX183" s="124"/>
      <c r="EY183" s="124"/>
      <c r="EZ183" s="124"/>
      <c r="FA183" s="124"/>
      <c r="FB183" s="124"/>
      <c r="FC183" s="124"/>
      <c r="FD183" s="124"/>
      <c r="FE183" s="124"/>
      <c r="FF183" s="124"/>
      <c r="FG183" s="124"/>
      <c r="FH183" s="124"/>
      <c r="FI183" s="124"/>
      <c r="FJ183" s="124"/>
      <c r="FK183" s="124"/>
      <c r="FL183" s="124"/>
      <c r="FM183" s="124"/>
      <c r="FN183" s="124"/>
      <c r="FO183" s="124"/>
      <c r="FP183" s="124"/>
      <c r="FQ183" s="124"/>
      <c r="FR183" s="124"/>
      <c r="FS183" s="124"/>
      <c r="FT183" s="124"/>
      <c r="FU183" s="124"/>
      <c r="FV183" s="124"/>
      <c r="FW183" s="124"/>
      <c r="FX183" s="124"/>
      <c r="FY183" s="124"/>
      <c r="FZ183" s="124"/>
      <c r="GA183" s="124"/>
      <c r="GB183" s="124"/>
      <c r="GC183" s="124"/>
      <c r="GD183" s="124"/>
      <c r="GE183" s="124"/>
      <c r="GF183" s="124"/>
      <c r="GG183" s="124"/>
      <c r="GH183" s="124"/>
      <c r="GI183" s="124"/>
      <c r="GJ183" s="124"/>
      <c r="GK183" s="124"/>
      <c r="GL183" s="124"/>
      <c r="GM183" s="124"/>
      <c r="GN183" s="124"/>
      <c r="GO183" s="124"/>
      <c r="GP183" s="124"/>
      <c r="GQ183" s="124"/>
      <c r="GR183" s="124"/>
      <c r="GS183" s="124"/>
      <c r="GT183" s="124"/>
      <c r="GU183" s="124"/>
      <c r="GV183" s="124"/>
      <c r="GW183" s="124"/>
      <c r="GX183" s="124"/>
      <c r="GY183" s="124"/>
      <c r="GZ183" s="124"/>
      <c r="HA183" s="124"/>
      <c r="HB183" s="124"/>
      <c r="HC183" s="124"/>
      <c r="HD183" s="124"/>
      <c r="HE183" s="124"/>
      <c r="HF183" s="124"/>
      <c r="HG183" s="124"/>
      <c r="HH183" s="124"/>
      <c r="HI183" s="124"/>
      <c r="HJ183" s="124"/>
      <c r="HK183" s="124"/>
      <c r="HL183" s="124"/>
      <c r="HM183" s="124"/>
      <c r="HN183" s="124"/>
      <c r="HO183" s="124"/>
      <c r="HP183" s="124"/>
      <c r="HQ183" s="124"/>
    </row>
    <row r="184" spans="1:225" x14ac:dyDescent="0.2">
      <c r="A184" s="122" t="s">
        <v>815</v>
      </c>
      <c r="B184" s="123">
        <v>88</v>
      </c>
      <c r="C184" s="124" t="s">
        <v>342</v>
      </c>
      <c r="D184" s="123">
        <v>175</v>
      </c>
      <c r="E184" s="124" t="s">
        <v>161</v>
      </c>
      <c r="F184" s="123">
        <v>2</v>
      </c>
      <c r="G184" s="123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  <c r="BJ184" s="124"/>
      <c r="BK184" s="124"/>
      <c r="BL184" s="124"/>
      <c r="BM184" s="124"/>
      <c r="BN184" s="124"/>
      <c r="BO184" s="124"/>
      <c r="BP184" s="124"/>
      <c r="BQ184" s="124"/>
      <c r="BR184" s="124"/>
      <c r="BS184" s="124"/>
      <c r="BT184" s="124"/>
      <c r="BU184" s="124"/>
      <c r="BV184" s="124"/>
      <c r="BW184" s="124"/>
      <c r="BX184" s="124"/>
      <c r="BY184" s="124"/>
      <c r="BZ184" s="124"/>
      <c r="CA184" s="124"/>
      <c r="CB184" s="124"/>
      <c r="CC184" s="124"/>
      <c r="CD184" s="124"/>
      <c r="CE184" s="124"/>
      <c r="CF184" s="124"/>
      <c r="CG184" s="124"/>
      <c r="CH184" s="124"/>
      <c r="CI184" s="124"/>
      <c r="CJ184" s="124"/>
      <c r="CK184" s="124"/>
      <c r="CL184" s="124"/>
      <c r="CM184" s="124"/>
      <c r="CN184" s="124"/>
      <c r="CO184" s="124"/>
      <c r="CP184" s="124"/>
      <c r="CQ184" s="124"/>
      <c r="CR184" s="124"/>
      <c r="CS184" s="124"/>
      <c r="CT184" s="124"/>
      <c r="CU184" s="124"/>
      <c r="CV184" s="124"/>
      <c r="CW184" s="124"/>
      <c r="CX184" s="124"/>
      <c r="CY184" s="124"/>
      <c r="CZ184" s="124"/>
      <c r="DA184" s="124"/>
      <c r="DB184" s="124"/>
      <c r="DC184" s="124"/>
      <c r="DD184" s="124"/>
      <c r="DE184" s="124"/>
      <c r="DF184" s="124"/>
      <c r="DG184" s="124"/>
      <c r="DH184" s="124"/>
      <c r="DI184" s="124"/>
      <c r="DJ184" s="124"/>
      <c r="DK184" s="124"/>
      <c r="DL184" s="124"/>
      <c r="DM184" s="124"/>
      <c r="DN184" s="124"/>
      <c r="DO184" s="124"/>
      <c r="DP184" s="124"/>
      <c r="DQ184" s="124"/>
      <c r="DR184" s="124"/>
      <c r="DS184" s="124"/>
      <c r="DT184" s="124"/>
      <c r="DU184" s="124"/>
      <c r="DV184" s="124"/>
      <c r="DW184" s="124"/>
      <c r="DX184" s="124"/>
      <c r="DY184" s="124"/>
      <c r="DZ184" s="124"/>
      <c r="EA184" s="124"/>
      <c r="EB184" s="124"/>
      <c r="EC184" s="124"/>
      <c r="ED184" s="124"/>
      <c r="EE184" s="124"/>
      <c r="EF184" s="124"/>
      <c r="EG184" s="124"/>
      <c r="EH184" s="124"/>
      <c r="EI184" s="124"/>
      <c r="EJ184" s="124"/>
      <c r="EK184" s="124"/>
      <c r="EL184" s="124"/>
      <c r="EM184" s="124"/>
      <c r="EN184" s="124"/>
      <c r="EO184" s="124"/>
      <c r="EP184" s="124"/>
      <c r="EQ184" s="124"/>
      <c r="ER184" s="124"/>
      <c r="ES184" s="124"/>
      <c r="ET184" s="124"/>
      <c r="EU184" s="124"/>
      <c r="EV184" s="124"/>
      <c r="EW184" s="124"/>
      <c r="EX184" s="124"/>
      <c r="EY184" s="124"/>
      <c r="EZ184" s="124"/>
      <c r="FA184" s="124"/>
      <c r="FB184" s="124"/>
      <c r="FC184" s="124"/>
      <c r="FD184" s="124"/>
      <c r="FE184" s="124"/>
      <c r="FF184" s="124"/>
      <c r="FG184" s="124"/>
      <c r="FH184" s="124"/>
      <c r="FI184" s="124"/>
      <c r="FJ184" s="124"/>
      <c r="FK184" s="124"/>
      <c r="FL184" s="124"/>
      <c r="FM184" s="124"/>
      <c r="FN184" s="124"/>
      <c r="FO184" s="124"/>
      <c r="FP184" s="124"/>
      <c r="FQ184" s="124"/>
      <c r="FR184" s="124"/>
      <c r="FS184" s="124"/>
      <c r="FT184" s="124"/>
      <c r="FU184" s="124"/>
      <c r="FV184" s="124"/>
      <c r="FW184" s="124"/>
      <c r="FX184" s="124"/>
      <c r="FY184" s="124"/>
      <c r="FZ184" s="124"/>
      <c r="GA184" s="124"/>
      <c r="GB184" s="124"/>
      <c r="GC184" s="124"/>
      <c r="GD184" s="124"/>
      <c r="GE184" s="124"/>
      <c r="GF184" s="124"/>
      <c r="GG184" s="124"/>
      <c r="GH184" s="124"/>
      <c r="GI184" s="124"/>
      <c r="GJ184" s="124"/>
      <c r="GK184" s="124"/>
      <c r="GL184" s="124"/>
      <c r="GM184" s="124"/>
      <c r="GN184" s="124"/>
      <c r="GO184" s="124"/>
      <c r="GP184" s="124"/>
      <c r="GQ184" s="124"/>
      <c r="GR184" s="124"/>
      <c r="GS184" s="124"/>
      <c r="GT184" s="124"/>
      <c r="GU184" s="124"/>
      <c r="GV184" s="124"/>
      <c r="GW184" s="124"/>
      <c r="GX184" s="124"/>
      <c r="GY184" s="124"/>
      <c r="GZ184" s="124"/>
      <c r="HA184" s="124"/>
      <c r="HB184" s="124"/>
      <c r="HC184" s="124"/>
      <c r="HD184" s="124"/>
      <c r="HE184" s="124"/>
      <c r="HF184" s="124"/>
      <c r="HG184" s="124"/>
      <c r="HH184" s="124"/>
      <c r="HI184" s="124"/>
      <c r="HJ184" s="124"/>
      <c r="HK184" s="124"/>
      <c r="HL184" s="124"/>
      <c r="HM184" s="124"/>
      <c r="HN184" s="124"/>
      <c r="HO184" s="124"/>
      <c r="HP184" s="124"/>
      <c r="HQ184" s="124"/>
    </row>
    <row r="185" spans="1:225" x14ac:dyDescent="0.2">
      <c r="A185" s="122" t="s">
        <v>816</v>
      </c>
      <c r="B185" s="123">
        <v>88</v>
      </c>
      <c r="C185" s="124" t="s">
        <v>343</v>
      </c>
      <c r="D185" s="123">
        <v>176</v>
      </c>
      <c r="E185" s="124" t="s">
        <v>161</v>
      </c>
      <c r="F185" s="123">
        <v>2</v>
      </c>
      <c r="G185" s="123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  <c r="BJ185" s="124"/>
      <c r="BK185" s="124"/>
      <c r="BL185" s="124"/>
      <c r="BM185" s="124"/>
      <c r="BN185" s="124"/>
      <c r="BO185" s="124"/>
      <c r="BP185" s="124"/>
      <c r="BQ185" s="124"/>
      <c r="BR185" s="124"/>
      <c r="BS185" s="124"/>
      <c r="BT185" s="124"/>
      <c r="BU185" s="124"/>
      <c r="BV185" s="124"/>
      <c r="BW185" s="124"/>
      <c r="BX185" s="124"/>
      <c r="BY185" s="124"/>
      <c r="BZ185" s="124"/>
      <c r="CA185" s="124"/>
      <c r="CB185" s="124"/>
      <c r="CC185" s="124"/>
      <c r="CD185" s="124"/>
      <c r="CE185" s="124"/>
      <c r="CF185" s="124"/>
      <c r="CG185" s="124"/>
      <c r="CH185" s="124"/>
      <c r="CI185" s="124"/>
      <c r="CJ185" s="124"/>
      <c r="CK185" s="124"/>
      <c r="CL185" s="124"/>
      <c r="CM185" s="124"/>
      <c r="CN185" s="124"/>
      <c r="CO185" s="124"/>
      <c r="CP185" s="124"/>
      <c r="CQ185" s="124"/>
      <c r="CR185" s="124"/>
      <c r="CS185" s="124"/>
      <c r="CT185" s="124"/>
      <c r="CU185" s="124"/>
      <c r="CV185" s="124"/>
      <c r="CW185" s="124"/>
      <c r="CX185" s="124"/>
      <c r="CY185" s="124"/>
      <c r="CZ185" s="124"/>
      <c r="DA185" s="124"/>
      <c r="DB185" s="124"/>
      <c r="DC185" s="124"/>
      <c r="DD185" s="124"/>
      <c r="DE185" s="124"/>
      <c r="DF185" s="124"/>
      <c r="DG185" s="124"/>
      <c r="DH185" s="124"/>
      <c r="DI185" s="124"/>
      <c r="DJ185" s="124"/>
      <c r="DK185" s="124"/>
      <c r="DL185" s="124"/>
      <c r="DM185" s="124"/>
      <c r="DN185" s="124"/>
      <c r="DO185" s="124"/>
      <c r="DP185" s="124"/>
      <c r="DQ185" s="124"/>
      <c r="DR185" s="124"/>
      <c r="DS185" s="124"/>
      <c r="DT185" s="124"/>
      <c r="DU185" s="124"/>
      <c r="DV185" s="124"/>
      <c r="DW185" s="124"/>
      <c r="DX185" s="124"/>
      <c r="DY185" s="124"/>
      <c r="DZ185" s="124"/>
      <c r="EA185" s="124"/>
      <c r="EB185" s="124"/>
      <c r="EC185" s="124"/>
      <c r="ED185" s="124"/>
      <c r="EE185" s="124"/>
      <c r="EF185" s="124"/>
      <c r="EG185" s="124"/>
      <c r="EH185" s="124"/>
      <c r="EI185" s="124"/>
      <c r="EJ185" s="124"/>
      <c r="EK185" s="124"/>
      <c r="EL185" s="124"/>
      <c r="EM185" s="124"/>
      <c r="EN185" s="124"/>
      <c r="EO185" s="124"/>
      <c r="EP185" s="124"/>
      <c r="EQ185" s="124"/>
      <c r="ER185" s="124"/>
      <c r="ES185" s="124"/>
      <c r="ET185" s="124"/>
      <c r="EU185" s="124"/>
      <c r="EV185" s="124"/>
      <c r="EW185" s="124"/>
      <c r="EX185" s="124"/>
      <c r="EY185" s="124"/>
      <c r="EZ185" s="124"/>
      <c r="FA185" s="124"/>
      <c r="FB185" s="124"/>
      <c r="FC185" s="124"/>
      <c r="FD185" s="124"/>
      <c r="FE185" s="124"/>
      <c r="FF185" s="124"/>
      <c r="FG185" s="124"/>
      <c r="FH185" s="124"/>
      <c r="FI185" s="124"/>
      <c r="FJ185" s="124"/>
      <c r="FK185" s="124"/>
      <c r="FL185" s="124"/>
      <c r="FM185" s="124"/>
      <c r="FN185" s="124"/>
      <c r="FO185" s="124"/>
      <c r="FP185" s="124"/>
      <c r="FQ185" s="124"/>
      <c r="FR185" s="124"/>
      <c r="FS185" s="124"/>
      <c r="FT185" s="124"/>
      <c r="FU185" s="124"/>
      <c r="FV185" s="124"/>
      <c r="FW185" s="124"/>
      <c r="FX185" s="124"/>
      <c r="FY185" s="124"/>
      <c r="FZ185" s="124"/>
      <c r="GA185" s="124"/>
      <c r="GB185" s="124"/>
      <c r="GC185" s="124"/>
      <c r="GD185" s="124"/>
      <c r="GE185" s="124"/>
      <c r="GF185" s="124"/>
      <c r="GG185" s="124"/>
      <c r="GH185" s="124"/>
      <c r="GI185" s="124"/>
      <c r="GJ185" s="124"/>
      <c r="GK185" s="124"/>
      <c r="GL185" s="124"/>
      <c r="GM185" s="124"/>
      <c r="GN185" s="124"/>
      <c r="GO185" s="124"/>
      <c r="GP185" s="124"/>
      <c r="GQ185" s="124"/>
      <c r="GR185" s="124"/>
      <c r="GS185" s="124"/>
      <c r="GT185" s="124"/>
      <c r="GU185" s="124"/>
      <c r="GV185" s="124"/>
      <c r="GW185" s="124"/>
      <c r="GX185" s="124"/>
      <c r="GY185" s="124"/>
      <c r="GZ185" s="124"/>
      <c r="HA185" s="124"/>
      <c r="HB185" s="124"/>
      <c r="HC185" s="124"/>
      <c r="HD185" s="124"/>
      <c r="HE185" s="124"/>
      <c r="HF185" s="124"/>
      <c r="HG185" s="124"/>
      <c r="HH185" s="124"/>
      <c r="HI185" s="124"/>
      <c r="HJ185" s="124"/>
      <c r="HK185" s="124"/>
      <c r="HL185" s="124"/>
      <c r="HM185" s="124"/>
      <c r="HN185" s="124"/>
      <c r="HO185" s="124"/>
      <c r="HP185" s="124"/>
      <c r="HQ185" s="124"/>
    </row>
    <row r="186" spans="1:225" x14ac:dyDescent="0.2">
      <c r="A186" s="122" t="s">
        <v>817</v>
      </c>
      <c r="B186" s="123">
        <v>89</v>
      </c>
      <c r="C186" s="124" t="s">
        <v>344</v>
      </c>
      <c r="D186" s="123">
        <v>177</v>
      </c>
      <c r="E186" s="124" t="s">
        <v>161</v>
      </c>
      <c r="F186" s="123">
        <v>3</v>
      </c>
      <c r="G186" s="123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4"/>
      <c r="BH186" s="124"/>
      <c r="BI186" s="124"/>
      <c r="BJ186" s="124"/>
      <c r="BK186" s="124"/>
      <c r="BL186" s="124"/>
      <c r="BM186" s="124"/>
      <c r="BN186" s="124"/>
      <c r="BO186" s="124"/>
      <c r="BP186" s="124"/>
      <c r="BQ186" s="124"/>
      <c r="BR186" s="124"/>
      <c r="BS186" s="124"/>
      <c r="BT186" s="124"/>
      <c r="BU186" s="124"/>
      <c r="BV186" s="124"/>
      <c r="BW186" s="124"/>
      <c r="BX186" s="124"/>
      <c r="BY186" s="124"/>
      <c r="BZ186" s="124"/>
      <c r="CA186" s="124"/>
      <c r="CB186" s="124"/>
      <c r="CC186" s="124"/>
      <c r="CD186" s="124"/>
      <c r="CE186" s="124"/>
      <c r="CF186" s="124"/>
      <c r="CG186" s="124"/>
      <c r="CH186" s="124"/>
      <c r="CI186" s="124"/>
      <c r="CJ186" s="124"/>
      <c r="CK186" s="124"/>
      <c r="CL186" s="124"/>
      <c r="CM186" s="124"/>
      <c r="CN186" s="124"/>
      <c r="CO186" s="124"/>
      <c r="CP186" s="124"/>
      <c r="CQ186" s="124"/>
      <c r="CR186" s="124"/>
      <c r="CS186" s="124"/>
      <c r="CT186" s="124"/>
      <c r="CU186" s="124"/>
      <c r="CV186" s="124"/>
      <c r="CW186" s="124"/>
      <c r="CX186" s="124"/>
      <c r="CY186" s="124"/>
      <c r="CZ186" s="124"/>
      <c r="DA186" s="124"/>
      <c r="DB186" s="124"/>
      <c r="DC186" s="124"/>
      <c r="DD186" s="124"/>
      <c r="DE186" s="124"/>
      <c r="DF186" s="124"/>
      <c r="DG186" s="124"/>
      <c r="DH186" s="124"/>
      <c r="DI186" s="124"/>
      <c r="DJ186" s="124"/>
      <c r="DK186" s="124"/>
      <c r="DL186" s="124"/>
      <c r="DM186" s="124"/>
      <c r="DN186" s="124"/>
      <c r="DO186" s="124"/>
      <c r="DP186" s="124"/>
      <c r="DQ186" s="124"/>
      <c r="DR186" s="124"/>
      <c r="DS186" s="124"/>
      <c r="DT186" s="124"/>
      <c r="DU186" s="124"/>
      <c r="DV186" s="124"/>
      <c r="DW186" s="124"/>
      <c r="DX186" s="124"/>
      <c r="DY186" s="124"/>
      <c r="DZ186" s="124"/>
      <c r="EA186" s="124"/>
      <c r="EB186" s="124"/>
      <c r="EC186" s="124"/>
      <c r="ED186" s="124"/>
      <c r="EE186" s="124"/>
      <c r="EF186" s="124"/>
      <c r="EG186" s="124"/>
      <c r="EH186" s="124"/>
      <c r="EI186" s="124"/>
      <c r="EJ186" s="124"/>
      <c r="EK186" s="124"/>
      <c r="EL186" s="124"/>
      <c r="EM186" s="124"/>
      <c r="EN186" s="124"/>
      <c r="EO186" s="124"/>
      <c r="EP186" s="124"/>
      <c r="EQ186" s="124"/>
      <c r="ER186" s="124"/>
      <c r="ES186" s="124"/>
      <c r="ET186" s="124"/>
      <c r="EU186" s="124"/>
      <c r="EV186" s="124"/>
      <c r="EW186" s="124"/>
      <c r="EX186" s="124"/>
      <c r="EY186" s="124"/>
      <c r="EZ186" s="124"/>
      <c r="FA186" s="124"/>
      <c r="FB186" s="124"/>
      <c r="FC186" s="124"/>
      <c r="FD186" s="124"/>
      <c r="FE186" s="124"/>
      <c r="FF186" s="124"/>
      <c r="FG186" s="124"/>
      <c r="FH186" s="124"/>
      <c r="FI186" s="124"/>
      <c r="FJ186" s="124"/>
      <c r="FK186" s="124"/>
      <c r="FL186" s="124"/>
      <c r="FM186" s="124"/>
      <c r="FN186" s="124"/>
      <c r="FO186" s="124"/>
      <c r="FP186" s="124"/>
      <c r="FQ186" s="124"/>
      <c r="FR186" s="124"/>
      <c r="FS186" s="124"/>
      <c r="FT186" s="124"/>
      <c r="FU186" s="124"/>
      <c r="FV186" s="124"/>
      <c r="FW186" s="124"/>
      <c r="FX186" s="124"/>
      <c r="FY186" s="124"/>
      <c r="FZ186" s="124"/>
      <c r="GA186" s="124"/>
      <c r="GB186" s="124"/>
      <c r="GC186" s="124"/>
      <c r="GD186" s="124"/>
      <c r="GE186" s="124"/>
      <c r="GF186" s="124"/>
      <c r="GG186" s="124"/>
      <c r="GH186" s="124"/>
      <c r="GI186" s="124"/>
      <c r="GJ186" s="124"/>
      <c r="GK186" s="124"/>
      <c r="GL186" s="124"/>
      <c r="GM186" s="124"/>
      <c r="GN186" s="124"/>
      <c r="GO186" s="124"/>
      <c r="GP186" s="124"/>
      <c r="GQ186" s="124"/>
      <c r="GR186" s="124"/>
      <c r="GS186" s="124"/>
      <c r="GT186" s="124"/>
      <c r="GU186" s="124"/>
      <c r="GV186" s="124"/>
      <c r="GW186" s="124"/>
      <c r="GX186" s="124"/>
      <c r="GY186" s="124"/>
      <c r="GZ186" s="124"/>
      <c r="HA186" s="124"/>
      <c r="HB186" s="124"/>
      <c r="HC186" s="124"/>
      <c r="HD186" s="124"/>
      <c r="HE186" s="124"/>
      <c r="HF186" s="124"/>
      <c r="HG186" s="124"/>
      <c r="HH186" s="124"/>
      <c r="HI186" s="124"/>
      <c r="HJ186" s="124"/>
      <c r="HK186" s="124"/>
      <c r="HL186" s="124"/>
      <c r="HM186" s="124"/>
      <c r="HN186" s="124"/>
      <c r="HO186" s="124"/>
      <c r="HP186" s="124"/>
      <c r="HQ186" s="124"/>
    </row>
    <row r="187" spans="1:225" x14ac:dyDescent="0.2">
      <c r="A187" s="122" t="s">
        <v>818</v>
      </c>
      <c r="B187" s="123">
        <v>89</v>
      </c>
      <c r="C187" s="124" t="s">
        <v>345</v>
      </c>
      <c r="D187" s="123">
        <v>178</v>
      </c>
      <c r="E187" s="124" t="s">
        <v>161</v>
      </c>
      <c r="F187" s="123">
        <v>3</v>
      </c>
      <c r="G187" s="123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  <c r="BJ187" s="124"/>
      <c r="BK187" s="124"/>
      <c r="BL187" s="124"/>
      <c r="BM187" s="124"/>
      <c r="BN187" s="124"/>
      <c r="BO187" s="124"/>
      <c r="BP187" s="124"/>
      <c r="BQ187" s="124"/>
      <c r="BR187" s="124"/>
      <c r="BS187" s="124"/>
      <c r="BT187" s="124"/>
      <c r="BU187" s="124"/>
      <c r="BV187" s="124"/>
      <c r="BW187" s="124"/>
      <c r="BX187" s="124"/>
      <c r="BY187" s="124"/>
      <c r="BZ187" s="124"/>
      <c r="CA187" s="124"/>
      <c r="CB187" s="124"/>
      <c r="CC187" s="124"/>
      <c r="CD187" s="124"/>
      <c r="CE187" s="124"/>
      <c r="CF187" s="124"/>
      <c r="CG187" s="124"/>
      <c r="CH187" s="124"/>
      <c r="CI187" s="124"/>
      <c r="CJ187" s="124"/>
      <c r="CK187" s="124"/>
      <c r="CL187" s="124"/>
      <c r="CM187" s="124"/>
      <c r="CN187" s="124"/>
      <c r="CO187" s="124"/>
      <c r="CP187" s="124"/>
      <c r="CQ187" s="124"/>
      <c r="CR187" s="124"/>
      <c r="CS187" s="124"/>
      <c r="CT187" s="124"/>
      <c r="CU187" s="124"/>
      <c r="CV187" s="124"/>
      <c r="CW187" s="124"/>
      <c r="CX187" s="124"/>
      <c r="CY187" s="124"/>
      <c r="CZ187" s="124"/>
      <c r="DA187" s="124"/>
      <c r="DB187" s="124"/>
      <c r="DC187" s="124"/>
      <c r="DD187" s="124"/>
      <c r="DE187" s="124"/>
      <c r="DF187" s="124"/>
      <c r="DG187" s="124"/>
      <c r="DH187" s="124"/>
      <c r="DI187" s="124"/>
      <c r="DJ187" s="124"/>
      <c r="DK187" s="124"/>
      <c r="DL187" s="124"/>
      <c r="DM187" s="124"/>
      <c r="DN187" s="124"/>
      <c r="DO187" s="124"/>
      <c r="DP187" s="124"/>
      <c r="DQ187" s="124"/>
      <c r="DR187" s="124"/>
      <c r="DS187" s="124"/>
      <c r="DT187" s="124"/>
      <c r="DU187" s="124"/>
      <c r="DV187" s="124"/>
      <c r="DW187" s="124"/>
      <c r="DX187" s="124"/>
      <c r="DY187" s="124"/>
      <c r="DZ187" s="124"/>
      <c r="EA187" s="124"/>
      <c r="EB187" s="124"/>
      <c r="EC187" s="124"/>
      <c r="ED187" s="124"/>
      <c r="EE187" s="124"/>
      <c r="EF187" s="124"/>
      <c r="EG187" s="124"/>
      <c r="EH187" s="124"/>
      <c r="EI187" s="124"/>
      <c r="EJ187" s="124"/>
      <c r="EK187" s="124"/>
      <c r="EL187" s="124"/>
      <c r="EM187" s="124"/>
      <c r="EN187" s="124"/>
      <c r="EO187" s="124"/>
      <c r="EP187" s="124"/>
      <c r="EQ187" s="124"/>
      <c r="ER187" s="124"/>
      <c r="ES187" s="124"/>
      <c r="ET187" s="124"/>
      <c r="EU187" s="124"/>
      <c r="EV187" s="124"/>
      <c r="EW187" s="124"/>
      <c r="EX187" s="124"/>
      <c r="EY187" s="124"/>
      <c r="EZ187" s="124"/>
      <c r="FA187" s="124"/>
      <c r="FB187" s="124"/>
      <c r="FC187" s="124"/>
      <c r="FD187" s="124"/>
      <c r="FE187" s="124"/>
      <c r="FF187" s="124"/>
      <c r="FG187" s="124"/>
      <c r="FH187" s="124"/>
      <c r="FI187" s="124"/>
      <c r="FJ187" s="124"/>
      <c r="FK187" s="124"/>
      <c r="FL187" s="124"/>
      <c r="FM187" s="124"/>
      <c r="FN187" s="124"/>
      <c r="FO187" s="124"/>
      <c r="FP187" s="124"/>
      <c r="FQ187" s="124"/>
      <c r="FR187" s="124"/>
      <c r="FS187" s="124"/>
      <c r="FT187" s="124"/>
      <c r="FU187" s="124"/>
      <c r="FV187" s="124"/>
      <c r="FW187" s="124"/>
      <c r="FX187" s="124"/>
      <c r="FY187" s="124"/>
      <c r="FZ187" s="124"/>
      <c r="GA187" s="124"/>
      <c r="GB187" s="124"/>
      <c r="GC187" s="124"/>
      <c r="GD187" s="124"/>
      <c r="GE187" s="124"/>
      <c r="GF187" s="124"/>
      <c r="GG187" s="124"/>
      <c r="GH187" s="124"/>
      <c r="GI187" s="124"/>
      <c r="GJ187" s="124"/>
      <c r="GK187" s="124"/>
      <c r="GL187" s="124"/>
      <c r="GM187" s="124"/>
      <c r="GN187" s="124"/>
      <c r="GO187" s="124"/>
      <c r="GP187" s="124"/>
      <c r="GQ187" s="124"/>
      <c r="GR187" s="124"/>
      <c r="GS187" s="124"/>
      <c r="GT187" s="124"/>
      <c r="GU187" s="124"/>
      <c r="GV187" s="124"/>
      <c r="GW187" s="124"/>
      <c r="GX187" s="124"/>
      <c r="GY187" s="124"/>
      <c r="GZ187" s="124"/>
      <c r="HA187" s="124"/>
      <c r="HB187" s="124"/>
      <c r="HC187" s="124"/>
      <c r="HD187" s="124"/>
      <c r="HE187" s="124"/>
      <c r="HF187" s="124"/>
      <c r="HG187" s="124"/>
      <c r="HH187" s="124"/>
      <c r="HI187" s="124"/>
      <c r="HJ187" s="124"/>
      <c r="HK187" s="124"/>
      <c r="HL187" s="124"/>
      <c r="HM187" s="124"/>
      <c r="HN187" s="124"/>
      <c r="HO187" s="124"/>
      <c r="HP187" s="124"/>
      <c r="HQ187" s="124"/>
    </row>
    <row r="188" spans="1:225" x14ac:dyDescent="0.2">
      <c r="A188" s="122" t="s">
        <v>819</v>
      </c>
      <c r="B188" s="123">
        <v>90</v>
      </c>
      <c r="C188" s="124" t="s">
        <v>346</v>
      </c>
      <c r="D188" s="123">
        <v>179</v>
      </c>
      <c r="E188" s="124" t="s">
        <v>161</v>
      </c>
      <c r="F188" s="123">
        <v>5</v>
      </c>
      <c r="G188" s="123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  <c r="BJ188" s="124"/>
      <c r="BK188" s="124"/>
      <c r="BL188" s="124"/>
      <c r="BM188" s="124"/>
      <c r="BN188" s="124"/>
      <c r="BO188" s="124"/>
      <c r="BP188" s="124"/>
      <c r="BQ188" s="124"/>
      <c r="BR188" s="124"/>
      <c r="BS188" s="124"/>
      <c r="BT188" s="124"/>
      <c r="BU188" s="124"/>
      <c r="BV188" s="124"/>
      <c r="BW188" s="124"/>
      <c r="BX188" s="124"/>
      <c r="BY188" s="124"/>
      <c r="BZ188" s="124"/>
      <c r="CA188" s="124"/>
      <c r="CB188" s="124"/>
      <c r="CC188" s="124"/>
      <c r="CD188" s="124"/>
      <c r="CE188" s="124"/>
      <c r="CF188" s="124"/>
      <c r="CG188" s="124"/>
      <c r="CH188" s="124"/>
      <c r="CI188" s="124"/>
      <c r="CJ188" s="124"/>
      <c r="CK188" s="124"/>
      <c r="CL188" s="124"/>
      <c r="CM188" s="124"/>
      <c r="CN188" s="124"/>
      <c r="CO188" s="124"/>
      <c r="CP188" s="124"/>
      <c r="CQ188" s="124"/>
      <c r="CR188" s="124"/>
      <c r="CS188" s="124"/>
      <c r="CT188" s="124"/>
      <c r="CU188" s="124"/>
      <c r="CV188" s="124"/>
      <c r="CW188" s="124"/>
      <c r="CX188" s="124"/>
      <c r="CY188" s="124"/>
      <c r="CZ188" s="124"/>
      <c r="DA188" s="124"/>
      <c r="DB188" s="124"/>
      <c r="DC188" s="124"/>
      <c r="DD188" s="124"/>
      <c r="DE188" s="124"/>
      <c r="DF188" s="124"/>
      <c r="DG188" s="124"/>
      <c r="DH188" s="124"/>
      <c r="DI188" s="124"/>
      <c r="DJ188" s="124"/>
      <c r="DK188" s="124"/>
      <c r="DL188" s="124"/>
      <c r="DM188" s="124"/>
      <c r="DN188" s="124"/>
      <c r="DO188" s="124"/>
      <c r="DP188" s="124"/>
      <c r="DQ188" s="124"/>
      <c r="DR188" s="124"/>
      <c r="DS188" s="124"/>
      <c r="DT188" s="124"/>
      <c r="DU188" s="124"/>
      <c r="DV188" s="124"/>
      <c r="DW188" s="124"/>
      <c r="DX188" s="124"/>
      <c r="DY188" s="124"/>
      <c r="DZ188" s="124"/>
      <c r="EA188" s="124"/>
      <c r="EB188" s="124"/>
      <c r="EC188" s="124"/>
      <c r="ED188" s="124"/>
      <c r="EE188" s="124"/>
      <c r="EF188" s="124"/>
      <c r="EG188" s="124"/>
      <c r="EH188" s="124"/>
      <c r="EI188" s="124"/>
      <c r="EJ188" s="124"/>
      <c r="EK188" s="124"/>
      <c r="EL188" s="124"/>
      <c r="EM188" s="124"/>
      <c r="EN188" s="124"/>
      <c r="EO188" s="124"/>
      <c r="EP188" s="124"/>
      <c r="EQ188" s="124"/>
      <c r="ER188" s="124"/>
      <c r="ES188" s="124"/>
      <c r="ET188" s="124"/>
      <c r="EU188" s="124"/>
      <c r="EV188" s="124"/>
      <c r="EW188" s="124"/>
      <c r="EX188" s="124"/>
      <c r="EY188" s="124"/>
      <c r="EZ188" s="124"/>
      <c r="FA188" s="124"/>
      <c r="FB188" s="124"/>
      <c r="FC188" s="124"/>
      <c r="FD188" s="124"/>
      <c r="FE188" s="124"/>
      <c r="FF188" s="124"/>
      <c r="FG188" s="124"/>
      <c r="FH188" s="124"/>
      <c r="FI188" s="124"/>
      <c r="FJ188" s="124"/>
      <c r="FK188" s="124"/>
      <c r="FL188" s="124"/>
      <c r="FM188" s="124"/>
      <c r="FN188" s="124"/>
      <c r="FO188" s="124"/>
      <c r="FP188" s="124"/>
      <c r="FQ188" s="124"/>
      <c r="FR188" s="124"/>
      <c r="FS188" s="124"/>
      <c r="FT188" s="124"/>
      <c r="FU188" s="124"/>
      <c r="FV188" s="124"/>
      <c r="FW188" s="124"/>
      <c r="FX188" s="124"/>
      <c r="FY188" s="124"/>
      <c r="FZ188" s="124"/>
      <c r="GA188" s="124"/>
      <c r="GB188" s="124"/>
      <c r="GC188" s="124"/>
      <c r="GD188" s="124"/>
      <c r="GE188" s="124"/>
      <c r="GF188" s="124"/>
      <c r="GG188" s="124"/>
      <c r="GH188" s="124"/>
      <c r="GI188" s="124"/>
      <c r="GJ188" s="124"/>
      <c r="GK188" s="124"/>
      <c r="GL188" s="124"/>
      <c r="GM188" s="124"/>
      <c r="GN188" s="124"/>
      <c r="GO188" s="124"/>
      <c r="GP188" s="124"/>
      <c r="GQ188" s="124"/>
      <c r="GR188" s="124"/>
      <c r="GS188" s="124"/>
      <c r="GT188" s="124"/>
      <c r="GU188" s="124"/>
      <c r="GV188" s="124"/>
      <c r="GW188" s="124"/>
      <c r="GX188" s="124"/>
      <c r="GY188" s="124"/>
      <c r="GZ188" s="124"/>
      <c r="HA188" s="124"/>
      <c r="HB188" s="124"/>
      <c r="HC188" s="124"/>
      <c r="HD188" s="124"/>
      <c r="HE188" s="124"/>
      <c r="HF188" s="124"/>
      <c r="HG188" s="124"/>
      <c r="HH188" s="124"/>
      <c r="HI188" s="124"/>
      <c r="HJ188" s="124"/>
      <c r="HK188" s="124"/>
      <c r="HL188" s="124"/>
      <c r="HM188" s="124"/>
      <c r="HN188" s="124"/>
      <c r="HO188" s="124"/>
      <c r="HP188" s="124"/>
      <c r="HQ188" s="124"/>
    </row>
    <row r="189" spans="1:225" x14ac:dyDescent="0.2">
      <c r="A189" s="122" t="s">
        <v>820</v>
      </c>
      <c r="B189" s="123">
        <v>90</v>
      </c>
      <c r="C189" s="124" t="s">
        <v>347</v>
      </c>
      <c r="D189" s="123">
        <v>180</v>
      </c>
      <c r="E189" s="124" t="s">
        <v>161</v>
      </c>
      <c r="F189" s="123">
        <v>4</v>
      </c>
      <c r="G189" s="123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  <c r="BJ189" s="124"/>
      <c r="BK189" s="124"/>
      <c r="BL189" s="124"/>
      <c r="BM189" s="124"/>
      <c r="BN189" s="124"/>
      <c r="BO189" s="124"/>
      <c r="BP189" s="124"/>
      <c r="BQ189" s="124"/>
      <c r="BR189" s="124"/>
      <c r="BS189" s="124"/>
      <c r="BT189" s="124"/>
      <c r="BU189" s="124"/>
      <c r="BV189" s="124"/>
      <c r="BW189" s="124"/>
      <c r="BX189" s="124"/>
      <c r="BY189" s="124"/>
      <c r="BZ189" s="124"/>
      <c r="CA189" s="124"/>
      <c r="CB189" s="124"/>
      <c r="CC189" s="124"/>
      <c r="CD189" s="124"/>
      <c r="CE189" s="124"/>
      <c r="CF189" s="124"/>
      <c r="CG189" s="124"/>
      <c r="CH189" s="124"/>
      <c r="CI189" s="124"/>
      <c r="CJ189" s="124"/>
      <c r="CK189" s="124"/>
      <c r="CL189" s="124"/>
      <c r="CM189" s="124"/>
      <c r="CN189" s="124"/>
      <c r="CO189" s="124"/>
      <c r="CP189" s="124"/>
      <c r="CQ189" s="124"/>
      <c r="CR189" s="124"/>
      <c r="CS189" s="124"/>
      <c r="CT189" s="124"/>
      <c r="CU189" s="124"/>
      <c r="CV189" s="124"/>
      <c r="CW189" s="124"/>
      <c r="CX189" s="124"/>
      <c r="CY189" s="124"/>
      <c r="CZ189" s="124"/>
      <c r="DA189" s="124"/>
      <c r="DB189" s="124"/>
      <c r="DC189" s="124"/>
      <c r="DD189" s="124"/>
      <c r="DE189" s="124"/>
      <c r="DF189" s="124"/>
      <c r="DG189" s="124"/>
      <c r="DH189" s="124"/>
      <c r="DI189" s="124"/>
      <c r="DJ189" s="124"/>
      <c r="DK189" s="124"/>
      <c r="DL189" s="124"/>
      <c r="DM189" s="124"/>
      <c r="DN189" s="124"/>
      <c r="DO189" s="124"/>
      <c r="DP189" s="124"/>
      <c r="DQ189" s="124"/>
      <c r="DR189" s="124"/>
      <c r="DS189" s="124"/>
      <c r="DT189" s="124"/>
      <c r="DU189" s="124"/>
      <c r="DV189" s="124"/>
      <c r="DW189" s="124"/>
      <c r="DX189" s="124"/>
      <c r="DY189" s="124"/>
      <c r="DZ189" s="124"/>
      <c r="EA189" s="124"/>
      <c r="EB189" s="124"/>
      <c r="EC189" s="124"/>
      <c r="ED189" s="124"/>
      <c r="EE189" s="124"/>
      <c r="EF189" s="124"/>
      <c r="EG189" s="124"/>
      <c r="EH189" s="124"/>
      <c r="EI189" s="124"/>
      <c r="EJ189" s="124"/>
      <c r="EK189" s="124"/>
      <c r="EL189" s="124"/>
      <c r="EM189" s="124"/>
      <c r="EN189" s="124"/>
      <c r="EO189" s="124"/>
      <c r="EP189" s="124"/>
      <c r="EQ189" s="124"/>
      <c r="ER189" s="124"/>
      <c r="ES189" s="124"/>
      <c r="ET189" s="124"/>
      <c r="EU189" s="124"/>
      <c r="EV189" s="124"/>
      <c r="EW189" s="124"/>
      <c r="EX189" s="124"/>
      <c r="EY189" s="124"/>
      <c r="EZ189" s="124"/>
      <c r="FA189" s="124"/>
      <c r="FB189" s="124"/>
      <c r="FC189" s="124"/>
      <c r="FD189" s="124"/>
      <c r="FE189" s="124"/>
      <c r="FF189" s="124"/>
      <c r="FG189" s="124"/>
      <c r="FH189" s="124"/>
      <c r="FI189" s="124"/>
      <c r="FJ189" s="124"/>
      <c r="FK189" s="124"/>
      <c r="FL189" s="124"/>
      <c r="FM189" s="124"/>
      <c r="FN189" s="124"/>
      <c r="FO189" s="124"/>
      <c r="FP189" s="124"/>
      <c r="FQ189" s="124"/>
      <c r="FR189" s="124"/>
      <c r="FS189" s="124"/>
      <c r="FT189" s="124"/>
      <c r="FU189" s="124"/>
      <c r="FV189" s="124"/>
      <c r="FW189" s="124"/>
      <c r="FX189" s="124"/>
      <c r="FY189" s="124"/>
      <c r="FZ189" s="124"/>
      <c r="GA189" s="124"/>
      <c r="GB189" s="124"/>
      <c r="GC189" s="124"/>
      <c r="GD189" s="124"/>
      <c r="GE189" s="124"/>
      <c r="GF189" s="124"/>
      <c r="GG189" s="124"/>
      <c r="GH189" s="124"/>
      <c r="GI189" s="124"/>
      <c r="GJ189" s="124"/>
      <c r="GK189" s="124"/>
      <c r="GL189" s="124"/>
      <c r="GM189" s="124"/>
      <c r="GN189" s="124"/>
      <c r="GO189" s="124"/>
      <c r="GP189" s="124"/>
      <c r="GQ189" s="124"/>
      <c r="GR189" s="124"/>
      <c r="GS189" s="124"/>
      <c r="GT189" s="124"/>
      <c r="GU189" s="124"/>
      <c r="GV189" s="124"/>
      <c r="GW189" s="124"/>
      <c r="GX189" s="124"/>
      <c r="GY189" s="124"/>
      <c r="GZ189" s="124"/>
      <c r="HA189" s="124"/>
      <c r="HB189" s="124"/>
      <c r="HC189" s="124"/>
      <c r="HD189" s="124"/>
      <c r="HE189" s="124"/>
      <c r="HF189" s="124"/>
      <c r="HG189" s="124"/>
      <c r="HH189" s="124"/>
      <c r="HI189" s="124"/>
      <c r="HJ189" s="124"/>
      <c r="HK189" s="124"/>
      <c r="HL189" s="124"/>
      <c r="HM189" s="124"/>
      <c r="HN189" s="124"/>
      <c r="HO189" s="124"/>
      <c r="HP189" s="124"/>
      <c r="HQ189" s="124"/>
    </row>
    <row r="190" spans="1:225" x14ac:dyDescent="0.2">
      <c r="A190" s="122" t="s">
        <v>821</v>
      </c>
      <c r="B190" s="123">
        <v>91</v>
      </c>
      <c r="C190" s="124" t="s">
        <v>348</v>
      </c>
      <c r="D190" s="123">
        <v>181</v>
      </c>
      <c r="E190" s="124" t="s">
        <v>161</v>
      </c>
      <c r="F190" s="123">
        <v>2</v>
      </c>
      <c r="G190" s="123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  <c r="BJ190" s="124"/>
      <c r="BK190" s="124"/>
      <c r="BL190" s="124"/>
      <c r="BM190" s="124"/>
      <c r="BN190" s="124"/>
      <c r="BO190" s="124"/>
      <c r="BP190" s="124"/>
      <c r="BQ190" s="124"/>
      <c r="BR190" s="124"/>
      <c r="BS190" s="124"/>
      <c r="BT190" s="124"/>
      <c r="BU190" s="124"/>
      <c r="BV190" s="124"/>
      <c r="BW190" s="124"/>
      <c r="BX190" s="124"/>
      <c r="BY190" s="124"/>
      <c r="BZ190" s="124"/>
      <c r="CA190" s="124"/>
      <c r="CB190" s="124"/>
      <c r="CC190" s="124"/>
      <c r="CD190" s="124"/>
      <c r="CE190" s="124"/>
      <c r="CF190" s="124"/>
      <c r="CG190" s="124"/>
      <c r="CH190" s="124"/>
      <c r="CI190" s="124"/>
      <c r="CJ190" s="124"/>
      <c r="CK190" s="124"/>
      <c r="CL190" s="124"/>
      <c r="CM190" s="124"/>
      <c r="CN190" s="124"/>
      <c r="CO190" s="124"/>
      <c r="CP190" s="124"/>
      <c r="CQ190" s="124"/>
      <c r="CR190" s="124"/>
      <c r="CS190" s="124"/>
      <c r="CT190" s="124"/>
      <c r="CU190" s="124"/>
      <c r="CV190" s="124"/>
      <c r="CW190" s="124"/>
      <c r="CX190" s="124"/>
      <c r="CY190" s="124"/>
      <c r="CZ190" s="124"/>
      <c r="DA190" s="124"/>
      <c r="DB190" s="124"/>
      <c r="DC190" s="124"/>
      <c r="DD190" s="124"/>
      <c r="DE190" s="124"/>
      <c r="DF190" s="124"/>
      <c r="DG190" s="124"/>
      <c r="DH190" s="124"/>
      <c r="DI190" s="124"/>
      <c r="DJ190" s="124"/>
      <c r="DK190" s="124"/>
      <c r="DL190" s="124"/>
      <c r="DM190" s="124"/>
      <c r="DN190" s="124"/>
      <c r="DO190" s="124"/>
      <c r="DP190" s="124"/>
      <c r="DQ190" s="124"/>
      <c r="DR190" s="124"/>
      <c r="DS190" s="124"/>
      <c r="DT190" s="124"/>
      <c r="DU190" s="124"/>
      <c r="DV190" s="124"/>
      <c r="DW190" s="124"/>
      <c r="DX190" s="124"/>
      <c r="DY190" s="124"/>
      <c r="DZ190" s="124"/>
      <c r="EA190" s="124"/>
      <c r="EB190" s="124"/>
      <c r="EC190" s="124"/>
      <c r="ED190" s="124"/>
      <c r="EE190" s="124"/>
      <c r="EF190" s="124"/>
      <c r="EG190" s="124"/>
      <c r="EH190" s="124"/>
      <c r="EI190" s="124"/>
      <c r="EJ190" s="124"/>
      <c r="EK190" s="124"/>
      <c r="EL190" s="124"/>
      <c r="EM190" s="124"/>
      <c r="EN190" s="124"/>
      <c r="EO190" s="124"/>
      <c r="EP190" s="124"/>
      <c r="EQ190" s="124"/>
      <c r="ER190" s="124"/>
      <c r="ES190" s="124"/>
      <c r="ET190" s="124"/>
      <c r="EU190" s="124"/>
      <c r="EV190" s="124"/>
      <c r="EW190" s="124"/>
      <c r="EX190" s="124"/>
      <c r="EY190" s="124"/>
      <c r="EZ190" s="124"/>
      <c r="FA190" s="124"/>
      <c r="FB190" s="124"/>
      <c r="FC190" s="124"/>
      <c r="FD190" s="124"/>
      <c r="FE190" s="124"/>
      <c r="FF190" s="124"/>
      <c r="FG190" s="124"/>
      <c r="FH190" s="124"/>
      <c r="FI190" s="124"/>
      <c r="FJ190" s="124"/>
      <c r="FK190" s="124"/>
      <c r="FL190" s="124"/>
      <c r="FM190" s="124"/>
      <c r="FN190" s="124"/>
      <c r="FO190" s="124"/>
      <c r="FP190" s="124"/>
      <c r="FQ190" s="124"/>
      <c r="FR190" s="124"/>
      <c r="FS190" s="124"/>
      <c r="FT190" s="124"/>
      <c r="FU190" s="124"/>
      <c r="FV190" s="124"/>
      <c r="FW190" s="124"/>
      <c r="FX190" s="124"/>
      <c r="FY190" s="124"/>
      <c r="FZ190" s="124"/>
      <c r="GA190" s="124"/>
      <c r="GB190" s="124"/>
      <c r="GC190" s="124"/>
      <c r="GD190" s="124"/>
      <c r="GE190" s="124"/>
      <c r="GF190" s="124"/>
      <c r="GG190" s="124"/>
      <c r="GH190" s="124"/>
      <c r="GI190" s="124"/>
      <c r="GJ190" s="124"/>
      <c r="GK190" s="124"/>
      <c r="GL190" s="124"/>
      <c r="GM190" s="124"/>
      <c r="GN190" s="124"/>
      <c r="GO190" s="124"/>
      <c r="GP190" s="124"/>
      <c r="GQ190" s="124"/>
      <c r="GR190" s="124"/>
      <c r="GS190" s="124"/>
      <c r="GT190" s="124"/>
      <c r="GU190" s="124"/>
      <c r="GV190" s="124"/>
      <c r="GW190" s="124"/>
      <c r="GX190" s="124"/>
      <c r="GY190" s="124"/>
      <c r="GZ190" s="124"/>
      <c r="HA190" s="124"/>
      <c r="HB190" s="124"/>
      <c r="HC190" s="124"/>
      <c r="HD190" s="124"/>
      <c r="HE190" s="124"/>
      <c r="HF190" s="124"/>
      <c r="HG190" s="124"/>
      <c r="HH190" s="124"/>
      <c r="HI190" s="124"/>
      <c r="HJ190" s="124"/>
      <c r="HK190" s="124"/>
      <c r="HL190" s="124"/>
      <c r="HM190" s="124"/>
      <c r="HN190" s="124"/>
      <c r="HO190" s="124"/>
      <c r="HP190" s="124"/>
      <c r="HQ190" s="124"/>
    </row>
    <row r="191" spans="1:225" x14ac:dyDescent="0.2">
      <c r="A191" s="122" t="s">
        <v>822</v>
      </c>
      <c r="B191" s="123">
        <v>91</v>
      </c>
      <c r="C191" s="124" t="s">
        <v>349</v>
      </c>
      <c r="D191" s="123">
        <v>182</v>
      </c>
      <c r="E191" s="124" t="s">
        <v>161</v>
      </c>
      <c r="F191" s="123">
        <v>3</v>
      </c>
      <c r="G191" s="123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  <c r="BJ191" s="124"/>
      <c r="BK191" s="124"/>
      <c r="BL191" s="124"/>
      <c r="BM191" s="124"/>
      <c r="BN191" s="124"/>
      <c r="BO191" s="124"/>
      <c r="BP191" s="124"/>
      <c r="BQ191" s="124"/>
      <c r="BR191" s="124"/>
      <c r="BS191" s="124"/>
      <c r="BT191" s="124"/>
      <c r="BU191" s="124"/>
      <c r="BV191" s="124"/>
      <c r="BW191" s="124"/>
      <c r="BX191" s="124"/>
      <c r="BY191" s="124"/>
      <c r="BZ191" s="124"/>
      <c r="CA191" s="124"/>
      <c r="CB191" s="124"/>
      <c r="CC191" s="124"/>
      <c r="CD191" s="124"/>
      <c r="CE191" s="124"/>
      <c r="CF191" s="124"/>
      <c r="CG191" s="124"/>
      <c r="CH191" s="124"/>
      <c r="CI191" s="124"/>
      <c r="CJ191" s="124"/>
      <c r="CK191" s="124"/>
      <c r="CL191" s="124"/>
      <c r="CM191" s="124"/>
      <c r="CN191" s="124"/>
      <c r="CO191" s="124"/>
      <c r="CP191" s="124"/>
      <c r="CQ191" s="124"/>
      <c r="CR191" s="124"/>
      <c r="CS191" s="124"/>
      <c r="CT191" s="124"/>
      <c r="CU191" s="124"/>
      <c r="CV191" s="124"/>
      <c r="CW191" s="124"/>
      <c r="CX191" s="124"/>
      <c r="CY191" s="124"/>
      <c r="CZ191" s="124"/>
      <c r="DA191" s="124"/>
      <c r="DB191" s="124"/>
      <c r="DC191" s="124"/>
      <c r="DD191" s="124"/>
      <c r="DE191" s="124"/>
      <c r="DF191" s="124"/>
      <c r="DG191" s="124"/>
      <c r="DH191" s="124"/>
      <c r="DI191" s="124"/>
      <c r="DJ191" s="124"/>
      <c r="DK191" s="124"/>
      <c r="DL191" s="124"/>
      <c r="DM191" s="124"/>
      <c r="DN191" s="124"/>
      <c r="DO191" s="124"/>
      <c r="DP191" s="124"/>
      <c r="DQ191" s="124"/>
      <c r="DR191" s="124"/>
      <c r="DS191" s="124"/>
      <c r="DT191" s="124"/>
      <c r="DU191" s="124"/>
      <c r="DV191" s="124"/>
      <c r="DW191" s="124"/>
      <c r="DX191" s="124"/>
      <c r="DY191" s="124"/>
      <c r="DZ191" s="124"/>
      <c r="EA191" s="124"/>
      <c r="EB191" s="124"/>
      <c r="EC191" s="124"/>
      <c r="ED191" s="124"/>
      <c r="EE191" s="124"/>
      <c r="EF191" s="124"/>
      <c r="EG191" s="124"/>
      <c r="EH191" s="124"/>
      <c r="EI191" s="124"/>
      <c r="EJ191" s="124"/>
      <c r="EK191" s="124"/>
      <c r="EL191" s="124"/>
      <c r="EM191" s="124"/>
      <c r="EN191" s="124"/>
      <c r="EO191" s="124"/>
      <c r="EP191" s="124"/>
      <c r="EQ191" s="124"/>
      <c r="ER191" s="124"/>
      <c r="ES191" s="124"/>
      <c r="ET191" s="124"/>
      <c r="EU191" s="124"/>
      <c r="EV191" s="124"/>
      <c r="EW191" s="124"/>
      <c r="EX191" s="124"/>
      <c r="EY191" s="124"/>
      <c r="EZ191" s="124"/>
      <c r="FA191" s="124"/>
      <c r="FB191" s="124"/>
      <c r="FC191" s="124"/>
      <c r="FD191" s="124"/>
      <c r="FE191" s="124"/>
      <c r="FF191" s="124"/>
      <c r="FG191" s="124"/>
      <c r="FH191" s="124"/>
      <c r="FI191" s="124"/>
      <c r="FJ191" s="124"/>
      <c r="FK191" s="124"/>
      <c r="FL191" s="124"/>
      <c r="FM191" s="124"/>
      <c r="FN191" s="124"/>
      <c r="FO191" s="124"/>
      <c r="FP191" s="124"/>
      <c r="FQ191" s="124"/>
      <c r="FR191" s="124"/>
      <c r="FS191" s="124"/>
      <c r="FT191" s="124"/>
      <c r="FU191" s="124"/>
      <c r="FV191" s="124"/>
      <c r="FW191" s="124"/>
      <c r="FX191" s="124"/>
      <c r="FY191" s="124"/>
      <c r="FZ191" s="124"/>
      <c r="GA191" s="124"/>
      <c r="GB191" s="124"/>
      <c r="GC191" s="124"/>
      <c r="GD191" s="124"/>
      <c r="GE191" s="124"/>
      <c r="GF191" s="124"/>
      <c r="GG191" s="124"/>
      <c r="GH191" s="124"/>
      <c r="GI191" s="124"/>
      <c r="GJ191" s="124"/>
      <c r="GK191" s="124"/>
      <c r="GL191" s="124"/>
      <c r="GM191" s="124"/>
      <c r="GN191" s="124"/>
      <c r="GO191" s="124"/>
      <c r="GP191" s="124"/>
      <c r="GQ191" s="124"/>
      <c r="GR191" s="124"/>
      <c r="GS191" s="124"/>
      <c r="GT191" s="124"/>
      <c r="GU191" s="124"/>
      <c r="GV191" s="124"/>
      <c r="GW191" s="124"/>
      <c r="GX191" s="124"/>
      <c r="GY191" s="124"/>
      <c r="GZ191" s="124"/>
      <c r="HA191" s="124"/>
      <c r="HB191" s="124"/>
      <c r="HC191" s="124"/>
      <c r="HD191" s="124"/>
      <c r="HE191" s="124"/>
      <c r="HF191" s="124"/>
      <c r="HG191" s="124"/>
      <c r="HH191" s="124"/>
      <c r="HI191" s="124"/>
      <c r="HJ191" s="124"/>
      <c r="HK191" s="124"/>
      <c r="HL191" s="124"/>
      <c r="HM191" s="124"/>
      <c r="HN191" s="124"/>
      <c r="HO191" s="124"/>
      <c r="HP191" s="124"/>
      <c r="HQ191" s="124"/>
    </row>
    <row r="192" spans="1:225" x14ac:dyDescent="0.2">
      <c r="A192" s="122" t="s">
        <v>823</v>
      </c>
      <c r="B192" s="123">
        <v>92</v>
      </c>
      <c r="C192" s="124" t="s">
        <v>350</v>
      </c>
      <c r="D192" s="123">
        <v>183</v>
      </c>
      <c r="E192" s="124" t="s">
        <v>161</v>
      </c>
      <c r="F192" s="123">
        <v>5</v>
      </c>
      <c r="G192" s="123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  <c r="BJ192" s="124"/>
      <c r="BK192" s="124"/>
      <c r="BL192" s="124"/>
      <c r="BM192" s="124"/>
      <c r="BN192" s="124"/>
      <c r="BO192" s="124"/>
      <c r="BP192" s="124"/>
      <c r="BQ192" s="124"/>
      <c r="BR192" s="124"/>
      <c r="BS192" s="124"/>
      <c r="BT192" s="124"/>
      <c r="BU192" s="124"/>
      <c r="BV192" s="124"/>
      <c r="BW192" s="124"/>
      <c r="BX192" s="124"/>
      <c r="BY192" s="124"/>
      <c r="BZ192" s="124"/>
      <c r="CA192" s="124"/>
      <c r="CB192" s="124"/>
      <c r="CC192" s="124"/>
      <c r="CD192" s="124"/>
      <c r="CE192" s="124"/>
      <c r="CF192" s="124"/>
      <c r="CG192" s="124"/>
      <c r="CH192" s="124"/>
      <c r="CI192" s="124"/>
      <c r="CJ192" s="124"/>
      <c r="CK192" s="124"/>
      <c r="CL192" s="124"/>
      <c r="CM192" s="124"/>
      <c r="CN192" s="124"/>
      <c r="CO192" s="124"/>
      <c r="CP192" s="124"/>
      <c r="CQ192" s="124"/>
      <c r="CR192" s="124"/>
      <c r="CS192" s="124"/>
      <c r="CT192" s="124"/>
      <c r="CU192" s="124"/>
      <c r="CV192" s="124"/>
      <c r="CW192" s="124"/>
      <c r="CX192" s="124"/>
      <c r="CY192" s="124"/>
      <c r="CZ192" s="124"/>
      <c r="DA192" s="124"/>
      <c r="DB192" s="124"/>
      <c r="DC192" s="124"/>
      <c r="DD192" s="124"/>
      <c r="DE192" s="124"/>
      <c r="DF192" s="124"/>
      <c r="DG192" s="124"/>
      <c r="DH192" s="124"/>
      <c r="DI192" s="124"/>
      <c r="DJ192" s="124"/>
      <c r="DK192" s="124"/>
      <c r="DL192" s="124"/>
      <c r="DM192" s="124"/>
      <c r="DN192" s="124"/>
      <c r="DO192" s="124"/>
      <c r="DP192" s="124"/>
      <c r="DQ192" s="124"/>
      <c r="DR192" s="124"/>
      <c r="DS192" s="124"/>
      <c r="DT192" s="124"/>
      <c r="DU192" s="124"/>
      <c r="DV192" s="124"/>
      <c r="DW192" s="124"/>
      <c r="DX192" s="124"/>
      <c r="DY192" s="124"/>
      <c r="DZ192" s="124"/>
      <c r="EA192" s="124"/>
      <c r="EB192" s="124"/>
      <c r="EC192" s="124"/>
      <c r="ED192" s="124"/>
      <c r="EE192" s="124"/>
      <c r="EF192" s="124"/>
      <c r="EG192" s="124"/>
      <c r="EH192" s="124"/>
      <c r="EI192" s="124"/>
      <c r="EJ192" s="124"/>
      <c r="EK192" s="124"/>
      <c r="EL192" s="124"/>
      <c r="EM192" s="124"/>
      <c r="EN192" s="124"/>
      <c r="EO192" s="124"/>
      <c r="EP192" s="124"/>
      <c r="EQ192" s="124"/>
      <c r="ER192" s="124"/>
      <c r="ES192" s="124"/>
      <c r="ET192" s="124"/>
      <c r="EU192" s="124"/>
      <c r="EV192" s="124"/>
      <c r="EW192" s="124"/>
      <c r="EX192" s="124"/>
      <c r="EY192" s="124"/>
      <c r="EZ192" s="124"/>
      <c r="FA192" s="124"/>
      <c r="FB192" s="124"/>
      <c r="FC192" s="124"/>
      <c r="FD192" s="124"/>
      <c r="FE192" s="124"/>
      <c r="FF192" s="124"/>
      <c r="FG192" s="124"/>
      <c r="FH192" s="124"/>
      <c r="FI192" s="124"/>
      <c r="FJ192" s="124"/>
      <c r="FK192" s="124"/>
      <c r="FL192" s="124"/>
      <c r="FM192" s="124"/>
      <c r="FN192" s="124"/>
      <c r="FO192" s="124"/>
      <c r="FP192" s="124"/>
      <c r="FQ192" s="124"/>
      <c r="FR192" s="124"/>
      <c r="FS192" s="124"/>
      <c r="FT192" s="124"/>
      <c r="FU192" s="124"/>
      <c r="FV192" s="124"/>
      <c r="FW192" s="124"/>
      <c r="FX192" s="124"/>
      <c r="FY192" s="124"/>
      <c r="FZ192" s="124"/>
      <c r="GA192" s="124"/>
      <c r="GB192" s="124"/>
      <c r="GC192" s="124"/>
      <c r="GD192" s="124"/>
      <c r="GE192" s="124"/>
      <c r="GF192" s="124"/>
      <c r="GG192" s="124"/>
      <c r="GH192" s="124"/>
      <c r="GI192" s="124"/>
      <c r="GJ192" s="124"/>
      <c r="GK192" s="124"/>
      <c r="GL192" s="124"/>
      <c r="GM192" s="124"/>
      <c r="GN192" s="124"/>
      <c r="GO192" s="124"/>
      <c r="GP192" s="124"/>
      <c r="GQ192" s="124"/>
      <c r="GR192" s="124"/>
      <c r="GS192" s="124"/>
      <c r="GT192" s="124"/>
      <c r="GU192" s="124"/>
      <c r="GV192" s="124"/>
      <c r="GW192" s="124"/>
      <c r="GX192" s="124"/>
      <c r="GY192" s="124"/>
      <c r="GZ192" s="124"/>
      <c r="HA192" s="124"/>
      <c r="HB192" s="124"/>
      <c r="HC192" s="124"/>
      <c r="HD192" s="124"/>
      <c r="HE192" s="124"/>
      <c r="HF192" s="124"/>
      <c r="HG192" s="124"/>
      <c r="HH192" s="124"/>
      <c r="HI192" s="124"/>
      <c r="HJ192" s="124"/>
      <c r="HK192" s="124"/>
      <c r="HL192" s="124"/>
      <c r="HM192" s="124"/>
      <c r="HN192" s="124"/>
      <c r="HO192" s="124"/>
      <c r="HP192" s="124"/>
      <c r="HQ192" s="124"/>
    </row>
    <row r="193" spans="1:225" x14ac:dyDescent="0.2">
      <c r="A193" s="122" t="s">
        <v>824</v>
      </c>
      <c r="B193" s="123">
        <v>92</v>
      </c>
      <c r="C193" s="124" t="s">
        <v>351</v>
      </c>
      <c r="D193" s="123">
        <v>184</v>
      </c>
      <c r="E193" s="124" t="s">
        <v>161</v>
      </c>
      <c r="F193" s="123">
        <v>5</v>
      </c>
      <c r="G193" s="123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  <c r="BJ193" s="124"/>
      <c r="BK193" s="124"/>
      <c r="BL193" s="124"/>
      <c r="BM193" s="124"/>
      <c r="BN193" s="124"/>
      <c r="BO193" s="124"/>
      <c r="BP193" s="124"/>
      <c r="BQ193" s="124"/>
      <c r="BR193" s="124"/>
      <c r="BS193" s="124"/>
      <c r="BT193" s="124"/>
      <c r="BU193" s="124"/>
      <c r="BV193" s="124"/>
      <c r="BW193" s="124"/>
      <c r="BX193" s="124"/>
      <c r="BY193" s="124"/>
      <c r="BZ193" s="124"/>
      <c r="CA193" s="124"/>
      <c r="CB193" s="124"/>
      <c r="CC193" s="124"/>
      <c r="CD193" s="124"/>
      <c r="CE193" s="124"/>
      <c r="CF193" s="124"/>
      <c r="CG193" s="124"/>
      <c r="CH193" s="124"/>
      <c r="CI193" s="124"/>
      <c r="CJ193" s="124"/>
      <c r="CK193" s="124"/>
      <c r="CL193" s="124"/>
      <c r="CM193" s="124"/>
      <c r="CN193" s="124"/>
      <c r="CO193" s="124"/>
      <c r="CP193" s="124"/>
      <c r="CQ193" s="124"/>
      <c r="CR193" s="124"/>
      <c r="CS193" s="124"/>
      <c r="CT193" s="124"/>
      <c r="CU193" s="124"/>
      <c r="CV193" s="124"/>
      <c r="CW193" s="124"/>
      <c r="CX193" s="124"/>
      <c r="CY193" s="124"/>
      <c r="CZ193" s="124"/>
      <c r="DA193" s="124"/>
      <c r="DB193" s="124"/>
      <c r="DC193" s="124"/>
      <c r="DD193" s="124"/>
      <c r="DE193" s="124"/>
      <c r="DF193" s="124"/>
      <c r="DG193" s="124"/>
      <c r="DH193" s="124"/>
      <c r="DI193" s="124"/>
      <c r="DJ193" s="124"/>
      <c r="DK193" s="124"/>
      <c r="DL193" s="124"/>
      <c r="DM193" s="124"/>
      <c r="DN193" s="124"/>
      <c r="DO193" s="124"/>
      <c r="DP193" s="124"/>
      <c r="DQ193" s="124"/>
      <c r="DR193" s="124"/>
      <c r="DS193" s="124"/>
      <c r="DT193" s="124"/>
      <c r="DU193" s="124"/>
      <c r="DV193" s="124"/>
      <c r="DW193" s="124"/>
      <c r="DX193" s="124"/>
      <c r="DY193" s="124"/>
      <c r="DZ193" s="124"/>
      <c r="EA193" s="124"/>
      <c r="EB193" s="124"/>
      <c r="EC193" s="124"/>
      <c r="ED193" s="124"/>
      <c r="EE193" s="124"/>
      <c r="EF193" s="124"/>
      <c r="EG193" s="124"/>
      <c r="EH193" s="124"/>
      <c r="EI193" s="124"/>
      <c r="EJ193" s="124"/>
      <c r="EK193" s="124"/>
      <c r="EL193" s="124"/>
      <c r="EM193" s="124"/>
      <c r="EN193" s="124"/>
      <c r="EO193" s="124"/>
      <c r="EP193" s="124"/>
      <c r="EQ193" s="124"/>
      <c r="ER193" s="124"/>
      <c r="ES193" s="124"/>
      <c r="ET193" s="124"/>
      <c r="EU193" s="124"/>
      <c r="EV193" s="124"/>
      <c r="EW193" s="124"/>
      <c r="EX193" s="124"/>
      <c r="EY193" s="124"/>
      <c r="EZ193" s="124"/>
      <c r="FA193" s="124"/>
      <c r="FB193" s="124"/>
      <c r="FC193" s="124"/>
      <c r="FD193" s="124"/>
      <c r="FE193" s="124"/>
      <c r="FF193" s="124"/>
      <c r="FG193" s="124"/>
      <c r="FH193" s="124"/>
      <c r="FI193" s="124"/>
      <c r="FJ193" s="124"/>
      <c r="FK193" s="124"/>
      <c r="FL193" s="124"/>
      <c r="FM193" s="124"/>
      <c r="FN193" s="124"/>
      <c r="FO193" s="124"/>
      <c r="FP193" s="124"/>
      <c r="FQ193" s="124"/>
      <c r="FR193" s="124"/>
      <c r="FS193" s="124"/>
      <c r="FT193" s="124"/>
      <c r="FU193" s="124"/>
      <c r="FV193" s="124"/>
      <c r="FW193" s="124"/>
      <c r="FX193" s="124"/>
      <c r="FY193" s="124"/>
      <c r="FZ193" s="124"/>
      <c r="GA193" s="124"/>
      <c r="GB193" s="124"/>
      <c r="GC193" s="124"/>
      <c r="GD193" s="124"/>
      <c r="GE193" s="124"/>
      <c r="GF193" s="124"/>
      <c r="GG193" s="124"/>
      <c r="GH193" s="124"/>
      <c r="GI193" s="124"/>
      <c r="GJ193" s="124"/>
      <c r="GK193" s="124"/>
      <c r="GL193" s="124"/>
      <c r="GM193" s="124"/>
      <c r="GN193" s="124"/>
      <c r="GO193" s="124"/>
      <c r="GP193" s="124"/>
      <c r="GQ193" s="124"/>
      <c r="GR193" s="124"/>
      <c r="GS193" s="124"/>
      <c r="GT193" s="124"/>
      <c r="GU193" s="124"/>
      <c r="GV193" s="124"/>
      <c r="GW193" s="124"/>
      <c r="GX193" s="124"/>
      <c r="GY193" s="124"/>
      <c r="GZ193" s="124"/>
      <c r="HA193" s="124"/>
      <c r="HB193" s="124"/>
      <c r="HC193" s="124"/>
      <c r="HD193" s="124"/>
      <c r="HE193" s="124"/>
      <c r="HF193" s="124"/>
      <c r="HG193" s="124"/>
      <c r="HH193" s="124"/>
      <c r="HI193" s="124"/>
      <c r="HJ193" s="124"/>
      <c r="HK193" s="124"/>
      <c r="HL193" s="124"/>
      <c r="HM193" s="124"/>
      <c r="HN193" s="124"/>
      <c r="HO193" s="124"/>
      <c r="HP193" s="124"/>
      <c r="HQ193" s="124"/>
    </row>
    <row r="194" spans="1:225" x14ac:dyDescent="0.2">
      <c r="A194" s="122" t="s">
        <v>825</v>
      </c>
      <c r="B194" s="123">
        <v>93</v>
      </c>
      <c r="C194" s="124" t="s">
        <v>352</v>
      </c>
      <c r="D194" s="123">
        <v>185</v>
      </c>
      <c r="E194" s="124" t="s">
        <v>161</v>
      </c>
      <c r="F194" s="123">
        <v>2</v>
      </c>
      <c r="G194" s="123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  <c r="BJ194" s="124"/>
      <c r="BK194" s="124"/>
      <c r="BL194" s="124"/>
      <c r="BM194" s="124"/>
      <c r="BN194" s="124"/>
      <c r="BO194" s="124"/>
      <c r="BP194" s="124"/>
      <c r="BQ194" s="124"/>
      <c r="BR194" s="124"/>
      <c r="BS194" s="124"/>
      <c r="BT194" s="124"/>
      <c r="BU194" s="124"/>
      <c r="BV194" s="124"/>
      <c r="BW194" s="124"/>
      <c r="BX194" s="124"/>
      <c r="BY194" s="124"/>
      <c r="BZ194" s="124"/>
      <c r="CA194" s="124"/>
      <c r="CB194" s="124"/>
      <c r="CC194" s="124"/>
      <c r="CD194" s="124"/>
      <c r="CE194" s="124"/>
      <c r="CF194" s="124"/>
      <c r="CG194" s="124"/>
      <c r="CH194" s="124"/>
      <c r="CI194" s="124"/>
      <c r="CJ194" s="124"/>
      <c r="CK194" s="124"/>
      <c r="CL194" s="124"/>
      <c r="CM194" s="124"/>
      <c r="CN194" s="124"/>
      <c r="CO194" s="124"/>
      <c r="CP194" s="124"/>
      <c r="CQ194" s="124"/>
      <c r="CR194" s="124"/>
      <c r="CS194" s="124"/>
      <c r="CT194" s="124"/>
      <c r="CU194" s="124"/>
      <c r="CV194" s="124"/>
      <c r="CW194" s="124"/>
      <c r="CX194" s="124"/>
      <c r="CY194" s="124"/>
      <c r="CZ194" s="124"/>
      <c r="DA194" s="124"/>
      <c r="DB194" s="124"/>
      <c r="DC194" s="124"/>
      <c r="DD194" s="124"/>
      <c r="DE194" s="124"/>
      <c r="DF194" s="124"/>
      <c r="DG194" s="124"/>
      <c r="DH194" s="124"/>
      <c r="DI194" s="124"/>
      <c r="DJ194" s="124"/>
      <c r="DK194" s="124"/>
      <c r="DL194" s="124"/>
      <c r="DM194" s="124"/>
      <c r="DN194" s="124"/>
      <c r="DO194" s="124"/>
      <c r="DP194" s="124"/>
      <c r="DQ194" s="124"/>
      <c r="DR194" s="124"/>
      <c r="DS194" s="124"/>
      <c r="DT194" s="124"/>
      <c r="DU194" s="124"/>
      <c r="DV194" s="124"/>
      <c r="DW194" s="124"/>
      <c r="DX194" s="124"/>
      <c r="DY194" s="124"/>
      <c r="DZ194" s="124"/>
      <c r="EA194" s="124"/>
      <c r="EB194" s="124"/>
      <c r="EC194" s="124"/>
      <c r="ED194" s="124"/>
      <c r="EE194" s="124"/>
      <c r="EF194" s="124"/>
      <c r="EG194" s="124"/>
      <c r="EH194" s="124"/>
      <c r="EI194" s="124"/>
      <c r="EJ194" s="124"/>
      <c r="EK194" s="124"/>
      <c r="EL194" s="124"/>
      <c r="EM194" s="124"/>
      <c r="EN194" s="124"/>
      <c r="EO194" s="124"/>
      <c r="EP194" s="124"/>
      <c r="EQ194" s="124"/>
      <c r="ER194" s="124"/>
      <c r="ES194" s="124"/>
      <c r="ET194" s="124"/>
      <c r="EU194" s="124"/>
      <c r="EV194" s="124"/>
      <c r="EW194" s="124"/>
      <c r="EX194" s="124"/>
      <c r="EY194" s="124"/>
      <c r="EZ194" s="124"/>
      <c r="FA194" s="124"/>
      <c r="FB194" s="124"/>
      <c r="FC194" s="124"/>
      <c r="FD194" s="124"/>
      <c r="FE194" s="124"/>
      <c r="FF194" s="124"/>
      <c r="FG194" s="124"/>
      <c r="FH194" s="124"/>
      <c r="FI194" s="124"/>
      <c r="FJ194" s="124"/>
      <c r="FK194" s="124"/>
      <c r="FL194" s="124"/>
      <c r="FM194" s="124"/>
      <c r="FN194" s="124"/>
      <c r="FO194" s="124"/>
      <c r="FP194" s="124"/>
      <c r="FQ194" s="124"/>
      <c r="FR194" s="124"/>
      <c r="FS194" s="124"/>
      <c r="FT194" s="124"/>
      <c r="FU194" s="124"/>
      <c r="FV194" s="124"/>
      <c r="FW194" s="124"/>
      <c r="FX194" s="124"/>
      <c r="FY194" s="124"/>
      <c r="FZ194" s="124"/>
      <c r="GA194" s="124"/>
      <c r="GB194" s="124"/>
      <c r="GC194" s="124"/>
      <c r="GD194" s="124"/>
      <c r="GE194" s="124"/>
      <c r="GF194" s="124"/>
      <c r="GG194" s="124"/>
      <c r="GH194" s="124"/>
      <c r="GI194" s="124"/>
      <c r="GJ194" s="124"/>
      <c r="GK194" s="124"/>
      <c r="GL194" s="124"/>
      <c r="GM194" s="124"/>
      <c r="GN194" s="124"/>
      <c r="GO194" s="124"/>
      <c r="GP194" s="124"/>
      <c r="GQ194" s="124"/>
      <c r="GR194" s="124"/>
      <c r="GS194" s="124"/>
      <c r="GT194" s="124"/>
      <c r="GU194" s="124"/>
      <c r="GV194" s="124"/>
      <c r="GW194" s="124"/>
      <c r="GX194" s="124"/>
      <c r="GY194" s="124"/>
      <c r="GZ194" s="124"/>
      <c r="HA194" s="124"/>
      <c r="HB194" s="124"/>
      <c r="HC194" s="124"/>
      <c r="HD194" s="124"/>
      <c r="HE194" s="124"/>
      <c r="HF194" s="124"/>
      <c r="HG194" s="124"/>
      <c r="HH194" s="124"/>
      <c r="HI194" s="124"/>
      <c r="HJ194" s="124"/>
      <c r="HK194" s="124"/>
      <c r="HL194" s="124"/>
      <c r="HM194" s="124"/>
      <c r="HN194" s="124"/>
      <c r="HO194" s="124"/>
      <c r="HP194" s="124"/>
      <c r="HQ194" s="124"/>
    </row>
    <row r="195" spans="1:225" x14ac:dyDescent="0.2">
      <c r="A195" s="122" t="s">
        <v>826</v>
      </c>
      <c r="B195" s="123">
        <v>93</v>
      </c>
      <c r="C195" s="124" t="s">
        <v>353</v>
      </c>
      <c r="D195" s="123">
        <v>186</v>
      </c>
      <c r="E195" s="124" t="s">
        <v>161</v>
      </c>
      <c r="F195" s="123">
        <v>3</v>
      </c>
      <c r="G195" s="123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24"/>
      <c r="BK195" s="124"/>
      <c r="BL195" s="124"/>
      <c r="BM195" s="124"/>
      <c r="BN195" s="124"/>
      <c r="BO195" s="124"/>
      <c r="BP195" s="124"/>
      <c r="BQ195" s="124"/>
      <c r="BR195" s="124"/>
      <c r="BS195" s="124"/>
      <c r="BT195" s="124"/>
      <c r="BU195" s="124"/>
      <c r="BV195" s="124"/>
      <c r="BW195" s="124"/>
      <c r="BX195" s="124"/>
      <c r="BY195" s="124"/>
      <c r="BZ195" s="124"/>
      <c r="CA195" s="124"/>
      <c r="CB195" s="124"/>
      <c r="CC195" s="124"/>
      <c r="CD195" s="124"/>
      <c r="CE195" s="124"/>
      <c r="CF195" s="124"/>
      <c r="CG195" s="124"/>
      <c r="CH195" s="124"/>
      <c r="CI195" s="124"/>
      <c r="CJ195" s="124"/>
      <c r="CK195" s="124"/>
      <c r="CL195" s="124"/>
      <c r="CM195" s="124"/>
      <c r="CN195" s="124"/>
      <c r="CO195" s="124"/>
      <c r="CP195" s="124"/>
      <c r="CQ195" s="124"/>
      <c r="CR195" s="124"/>
      <c r="CS195" s="124"/>
      <c r="CT195" s="124"/>
      <c r="CU195" s="124"/>
      <c r="CV195" s="124"/>
      <c r="CW195" s="124"/>
      <c r="CX195" s="124"/>
      <c r="CY195" s="124"/>
      <c r="CZ195" s="124"/>
      <c r="DA195" s="124"/>
      <c r="DB195" s="124"/>
      <c r="DC195" s="124"/>
      <c r="DD195" s="124"/>
      <c r="DE195" s="124"/>
      <c r="DF195" s="124"/>
      <c r="DG195" s="124"/>
      <c r="DH195" s="124"/>
      <c r="DI195" s="124"/>
      <c r="DJ195" s="124"/>
      <c r="DK195" s="124"/>
      <c r="DL195" s="124"/>
      <c r="DM195" s="124"/>
      <c r="DN195" s="124"/>
      <c r="DO195" s="124"/>
      <c r="DP195" s="124"/>
      <c r="DQ195" s="124"/>
      <c r="DR195" s="124"/>
      <c r="DS195" s="124"/>
      <c r="DT195" s="124"/>
      <c r="DU195" s="124"/>
      <c r="DV195" s="124"/>
      <c r="DW195" s="124"/>
      <c r="DX195" s="124"/>
      <c r="DY195" s="124"/>
      <c r="DZ195" s="124"/>
      <c r="EA195" s="124"/>
      <c r="EB195" s="124"/>
      <c r="EC195" s="124"/>
      <c r="ED195" s="124"/>
      <c r="EE195" s="124"/>
      <c r="EF195" s="124"/>
      <c r="EG195" s="124"/>
      <c r="EH195" s="124"/>
      <c r="EI195" s="124"/>
      <c r="EJ195" s="124"/>
      <c r="EK195" s="124"/>
      <c r="EL195" s="124"/>
      <c r="EM195" s="124"/>
      <c r="EN195" s="124"/>
      <c r="EO195" s="124"/>
      <c r="EP195" s="124"/>
      <c r="EQ195" s="124"/>
      <c r="ER195" s="124"/>
      <c r="ES195" s="124"/>
      <c r="ET195" s="124"/>
      <c r="EU195" s="124"/>
      <c r="EV195" s="124"/>
      <c r="EW195" s="124"/>
      <c r="EX195" s="124"/>
      <c r="EY195" s="124"/>
      <c r="EZ195" s="124"/>
      <c r="FA195" s="124"/>
      <c r="FB195" s="124"/>
      <c r="FC195" s="124"/>
      <c r="FD195" s="124"/>
      <c r="FE195" s="124"/>
      <c r="FF195" s="124"/>
      <c r="FG195" s="124"/>
      <c r="FH195" s="124"/>
      <c r="FI195" s="124"/>
      <c r="FJ195" s="124"/>
      <c r="FK195" s="124"/>
      <c r="FL195" s="124"/>
      <c r="FM195" s="124"/>
      <c r="FN195" s="124"/>
      <c r="FO195" s="124"/>
      <c r="FP195" s="124"/>
      <c r="FQ195" s="124"/>
      <c r="FR195" s="124"/>
      <c r="FS195" s="124"/>
      <c r="FT195" s="124"/>
      <c r="FU195" s="124"/>
      <c r="FV195" s="124"/>
      <c r="FW195" s="124"/>
      <c r="FX195" s="124"/>
      <c r="FY195" s="124"/>
      <c r="FZ195" s="124"/>
      <c r="GA195" s="124"/>
      <c r="GB195" s="124"/>
      <c r="GC195" s="124"/>
      <c r="GD195" s="124"/>
      <c r="GE195" s="124"/>
      <c r="GF195" s="124"/>
      <c r="GG195" s="124"/>
      <c r="GH195" s="124"/>
      <c r="GI195" s="124"/>
      <c r="GJ195" s="124"/>
      <c r="GK195" s="124"/>
      <c r="GL195" s="124"/>
      <c r="GM195" s="124"/>
      <c r="GN195" s="124"/>
      <c r="GO195" s="124"/>
      <c r="GP195" s="124"/>
      <c r="GQ195" s="124"/>
      <c r="GR195" s="124"/>
      <c r="GS195" s="124"/>
      <c r="GT195" s="124"/>
      <c r="GU195" s="124"/>
      <c r="GV195" s="124"/>
      <c r="GW195" s="124"/>
      <c r="GX195" s="124"/>
      <c r="GY195" s="124"/>
      <c r="GZ195" s="124"/>
      <c r="HA195" s="124"/>
      <c r="HB195" s="124"/>
      <c r="HC195" s="124"/>
      <c r="HD195" s="124"/>
      <c r="HE195" s="124"/>
      <c r="HF195" s="124"/>
      <c r="HG195" s="124"/>
      <c r="HH195" s="124"/>
      <c r="HI195" s="124"/>
      <c r="HJ195" s="124"/>
      <c r="HK195" s="124"/>
      <c r="HL195" s="124"/>
      <c r="HM195" s="124"/>
      <c r="HN195" s="124"/>
      <c r="HO195" s="124"/>
      <c r="HP195" s="124"/>
      <c r="HQ195" s="124"/>
    </row>
    <row r="196" spans="1:225" x14ac:dyDescent="0.2">
      <c r="A196" s="122" t="s">
        <v>827</v>
      </c>
      <c r="B196" s="123">
        <v>94</v>
      </c>
      <c r="C196" s="124" t="s">
        <v>354</v>
      </c>
      <c r="D196" s="123">
        <v>187</v>
      </c>
      <c r="E196" s="124" t="s">
        <v>161</v>
      </c>
      <c r="F196" s="123">
        <v>2</v>
      </c>
      <c r="G196" s="123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  <c r="BJ196" s="124"/>
      <c r="BK196" s="124"/>
      <c r="BL196" s="124"/>
      <c r="BM196" s="124"/>
      <c r="BN196" s="124"/>
      <c r="BO196" s="124"/>
      <c r="BP196" s="124"/>
      <c r="BQ196" s="124"/>
      <c r="BR196" s="124"/>
      <c r="BS196" s="124"/>
      <c r="BT196" s="124"/>
      <c r="BU196" s="124"/>
      <c r="BV196" s="124"/>
      <c r="BW196" s="124"/>
      <c r="BX196" s="124"/>
      <c r="BY196" s="124"/>
      <c r="BZ196" s="124"/>
      <c r="CA196" s="124"/>
      <c r="CB196" s="124"/>
      <c r="CC196" s="124"/>
      <c r="CD196" s="124"/>
      <c r="CE196" s="124"/>
      <c r="CF196" s="124"/>
      <c r="CG196" s="124"/>
      <c r="CH196" s="124"/>
      <c r="CI196" s="124"/>
      <c r="CJ196" s="124"/>
      <c r="CK196" s="124"/>
      <c r="CL196" s="124"/>
      <c r="CM196" s="124"/>
      <c r="CN196" s="124"/>
      <c r="CO196" s="124"/>
      <c r="CP196" s="124"/>
      <c r="CQ196" s="124"/>
      <c r="CR196" s="124"/>
      <c r="CS196" s="124"/>
      <c r="CT196" s="124"/>
      <c r="CU196" s="124"/>
      <c r="CV196" s="124"/>
      <c r="CW196" s="124"/>
      <c r="CX196" s="124"/>
      <c r="CY196" s="124"/>
      <c r="CZ196" s="124"/>
      <c r="DA196" s="124"/>
      <c r="DB196" s="124"/>
      <c r="DC196" s="124"/>
      <c r="DD196" s="124"/>
      <c r="DE196" s="124"/>
      <c r="DF196" s="124"/>
      <c r="DG196" s="124"/>
      <c r="DH196" s="124"/>
      <c r="DI196" s="124"/>
      <c r="DJ196" s="124"/>
      <c r="DK196" s="124"/>
      <c r="DL196" s="124"/>
      <c r="DM196" s="124"/>
      <c r="DN196" s="124"/>
      <c r="DO196" s="124"/>
      <c r="DP196" s="124"/>
      <c r="DQ196" s="124"/>
      <c r="DR196" s="124"/>
      <c r="DS196" s="124"/>
      <c r="DT196" s="124"/>
      <c r="DU196" s="124"/>
      <c r="DV196" s="124"/>
      <c r="DW196" s="124"/>
      <c r="DX196" s="124"/>
      <c r="DY196" s="124"/>
      <c r="DZ196" s="124"/>
      <c r="EA196" s="124"/>
      <c r="EB196" s="124"/>
      <c r="EC196" s="124"/>
      <c r="ED196" s="124"/>
      <c r="EE196" s="124"/>
      <c r="EF196" s="124"/>
      <c r="EG196" s="124"/>
      <c r="EH196" s="124"/>
      <c r="EI196" s="124"/>
      <c r="EJ196" s="124"/>
      <c r="EK196" s="124"/>
      <c r="EL196" s="124"/>
      <c r="EM196" s="124"/>
      <c r="EN196" s="124"/>
      <c r="EO196" s="124"/>
      <c r="EP196" s="124"/>
      <c r="EQ196" s="124"/>
      <c r="ER196" s="124"/>
      <c r="ES196" s="124"/>
      <c r="ET196" s="124"/>
      <c r="EU196" s="124"/>
      <c r="EV196" s="124"/>
      <c r="EW196" s="124"/>
      <c r="EX196" s="124"/>
      <c r="EY196" s="124"/>
      <c r="EZ196" s="124"/>
      <c r="FA196" s="124"/>
      <c r="FB196" s="124"/>
      <c r="FC196" s="124"/>
      <c r="FD196" s="124"/>
      <c r="FE196" s="124"/>
      <c r="FF196" s="124"/>
      <c r="FG196" s="124"/>
      <c r="FH196" s="124"/>
      <c r="FI196" s="124"/>
      <c r="FJ196" s="124"/>
      <c r="FK196" s="124"/>
      <c r="FL196" s="124"/>
      <c r="FM196" s="124"/>
      <c r="FN196" s="124"/>
      <c r="FO196" s="124"/>
      <c r="FP196" s="124"/>
      <c r="FQ196" s="124"/>
      <c r="FR196" s="124"/>
      <c r="FS196" s="124"/>
      <c r="FT196" s="124"/>
      <c r="FU196" s="124"/>
      <c r="FV196" s="124"/>
      <c r="FW196" s="124"/>
      <c r="FX196" s="124"/>
      <c r="FY196" s="124"/>
      <c r="FZ196" s="124"/>
      <c r="GA196" s="124"/>
      <c r="GB196" s="124"/>
      <c r="GC196" s="124"/>
      <c r="GD196" s="124"/>
      <c r="GE196" s="124"/>
      <c r="GF196" s="124"/>
      <c r="GG196" s="124"/>
      <c r="GH196" s="124"/>
      <c r="GI196" s="124"/>
      <c r="GJ196" s="124"/>
      <c r="GK196" s="124"/>
      <c r="GL196" s="124"/>
      <c r="GM196" s="124"/>
      <c r="GN196" s="124"/>
      <c r="GO196" s="124"/>
      <c r="GP196" s="124"/>
      <c r="GQ196" s="124"/>
      <c r="GR196" s="124"/>
      <c r="GS196" s="124"/>
      <c r="GT196" s="124"/>
      <c r="GU196" s="124"/>
      <c r="GV196" s="124"/>
      <c r="GW196" s="124"/>
      <c r="GX196" s="124"/>
      <c r="GY196" s="124"/>
      <c r="GZ196" s="124"/>
      <c r="HA196" s="124"/>
      <c r="HB196" s="124"/>
      <c r="HC196" s="124"/>
      <c r="HD196" s="124"/>
      <c r="HE196" s="124"/>
      <c r="HF196" s="124"/>
      <c r="HG196" s="124"/>
      <c r="HH196" s="124"/>
      <c r="HI196" s="124"/>
      <c r="HJ196" s="124"/>
      <c r="HK196" s="124"/>
      <c r="HL196" s="124"/>
      <c r="HM196" s="124"/>
      <c r="HN196" s="124"/>
      <c r="HO196" s="124"/>
      <c r="HP196" s="124"/>
      <c r="HQ196" s="124"/>
    </row>
    <row r="197" spans="1:225" x14ac:dyDescent="0.2">
      <c r="A197" s="122" t="s">
        <v>828</v>
      </c>
      <c r="B197" s="123">
        <v>94</v>
      </c>
      <c r="C197" s="124" t="s">
        <v>355</v>
      </c>
      <c r="D197" s="123">
        <v>188</v>
      </c>
      <c r="E197" s="124" t="s">
        <v>161</v>
      </c>
      <c r="F197" s="123">
        <v>3</v>
      </c>
      <c r="G197" s="123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24"/>
      <c r="BK197" s="124"/>
      <c r="BL197" s="124"/>
      <c r="BM197" s="124"/>
      <c r="BN197" s="124"/>
      <c r="BO197" s="124"/>
      <c r="BP197" s="124"/>
      <c r="BQ197" s="124"/>
      <c r="BR197" s="124"/>
      <c r="BS197" s="124"/>
      <c r="BT197" s="124"/>
      <c r="BU197" s="124"/>
      <c r="BV197" s="124"/>
      <c r="BW197" s="124"/>
      <c r="BX197" s="124"/>
      <c r="BY197" s="124"/>
      <c r="BZ197" s="124"/>
      <c r="CA197" s="124"/>
      <c r="CB197" s="124"/>
      <c r="CC197" s="124"/>
      <c r="CD197" s="124"/>
      <c r="CE197" s="124"/>
      <c r="CF197" s="124"/>
      <c r="CG197" s="124"/>
      <c r="CH197" s="124"/>
      <c r="CI197" s="124"/>
      <c r="CJ197" s="124"/>
      <c r="CK197" s="124"/>
      <c r="CL197" s="124"/>
      <c r="CM197" s="124"/>
      <c r="CN197" s="124"/>
      <c r="CO197" s="124"/>
      <c r="CP197" s="124"/>
      <c r="CQ197" s="124"/>
      <c r="CR197" s="124"/>
      <c r="CS197" s="124"/>
      <c r="CT197" s="124"/>
      <c r="CU197" s="124"/>
      <c r="CV197" s="124"/>
      <c r="CW197" s="124"/>
      <c r="CX197" s="124"/>
      <c r="CY197" s="124"/>
      <c r="CZ197" s="124"/>
      <c r="DA197" s="124"/>
      <c r="DB197" s="124"/>
      <c r="DC197" s="124"/>
      <c r="DD197" s="124"/>
      <c r="DE197" s="124"/>
      <c r="DF197" s="124"/>
      <c r="DG197" s="124"/>
      <c r="DH197" s="124"/>
      <c r="DI197" s="124"/>
      <c r="DJ197" s="124"/>
      <c r="DK197" s="124"/>
      <c r="DL197" s="124"/>
      <c r="DM197" s="124"/>
      <c r="DN197" s="124"/>
      <c r="DO197" s="124"/>
      <c r="DP197" s="124"/>
      <c r="DQ197" s="124"/>
      <c r="DR197" s="124"/>
      <c r="DS197" s="124"/>
      <c r="DT197" s="124"/>
      <c r="DU197" s="124"/>
      <c r="DV197" s="124"/>
      <c r="DW197" s="124"/>
      <c r="DX197" s="124"/>
      <c r="DY197" s="124"/>
      <c r="DZ197" s="124"/>
      <c r="EA197" s="124"/>
      <c r="EB197" s="124"/>
      <c r="EC197" s="124"/>
      <c r="ED197" s="124"/>
      <c r="EE197" s="124"/>
      <c r="EF197" s="124"/>
      <c r="EG197" s="124"/>
      <c r="EH197" s="124"/>
      <c r="EI197" s="124"/>
      <c r="EJ197" s="124"/>
      <c r="EK197" s="124"/>
      <c r="EL197" s="124"/>
      <c r="EM197" s="124"/>
      <c r="EN197" s="124"/>
      <c r="EO197" s="124"/>
      <c r="EP197" s="124"/>
      <c r="EQ197" s="124"/>
      <c r="ER197" s="124"/>
      <c r="ES197" s="124"/>
      <c r="ET197" s="124"/>
      <c r="EU197" s="124"/>
      <c r="EV197" s="124"/>
      <c r="EW197" s="124"/>
      <c r="EX197" s="124"/>
      <c r="EY197" s="124"/>
      <c r="EZ197" s="124"/>
      <c r="FA197" s="124"/>
      <c r="FB197" s="124"/>
      <c r="FC197" s="124"/>
      <c r="FD197" s="124"/>
      <c r="FE197" s="124"/>
      <c r="FF197" s="124"/>
      <c r="FG197" s="124"/>
      <c r="FH197" s="124"/>
      <c r="FI197" s="124"/>
      <c r="FJ197" s="124"/>
      <c r="FK197" s="124"/>
      <c r="FL197" s="124"/>
      <c r="FM197" s="124"/>
      <c r="FN197" s="124"/>
      <c r="FO197" s="124"/>
      <c r="FP197" s="124"/>
      <c r="FQ197" s="124"/>
      <c r="FR197" s="124"/>
      <c r="FS197" s="124"/>
      <c r="FT197" s="124"/>
      <c r="FU197" s="124"/>
      <c r="FV197" s="124"/>
      <c r="FW197" s="124"/>
      <c r="FX197" s="124"/>
      <c r="FY197" s="124"/>
      <c r="FZ197" s="124"/>
      <c r="GA197" s="124"/>
      <c r="GB197" s="124"/>
      <c r="GC197" s="124"/>
      <c r="GD197" s="124"/>
      <c r="GE197" s="124"/>
      <c r="GF197" s="124"/>
      <c r="GG197" s="124"/>
      <c r="GH197" s="124"/>
      <c r="GI197" s="124"/>
      <c r="GJ197" s="124"/>
      <c r="GK197" s="124"/>
      <c r="GL197" s="124"/>
      <c r="GM197" s="124"/>
      <c r="GN197" s="124"/>
      <c r="GO197" s="124"/>
      <c r="GP197" s="124"/>
      <c r="GQ197" s="124"/>
      <c r="GR197" s="124"/>
      <c r="GS197" s="124"/>
      <c r="GT197" s="124"/>
      <c r="GU197" s="124"/>
      <c r="GV197" s="124"/>
      <c r="GW197" s="124"/>
      <c r="GX197" s="124"/>
      <c r="GY197" s="124"/>
      <c r="GZ197" s="124"/>
      <c r="HA197" s="124"/>
      <c r="HB197" s="124"/>
      <c r="HC197" s="124"/>
      <c r="HD197" s="124"/>
      <c r="HE197" s="124"/>
      <c r="HF197" s="124"/>
      <c r="HG197" s="124"/>
      <c r="HH197" s="124"/>
      <c r="HI197" s="124"/>
      <c r="HJ197" s="124"/>
      <c r="HK197" s="124"/>
      <c r="HL197" s="124"/>
      <c r="HM197" s="124"/>
      <c r="HN197" s="124"/>
      <c r="HO197" s="124"/>
      <c r="HP197" s="124"/>
      <c r="HQ197" s="124"/>
    </row>
    <row r="198" spans="1:225" x14ac:dyDescent="0.2">
      <c r="A198" s="122" t="s">
        <v>829</v>
      </c>
      <c r="B198" s="123">
        <v>95</v>
      </c>
      <c r="C198" s="124" t="s">
        <v>356</v>
      </c>
      <c r="D198" s="123">
        <v>189</v>
      </c>
      <c r="E198" s="124" t="s">
        <v>161</v>
      </c>
      <c r="F198" s="123">
        <v>3</v>
      </c>
      <c r="G198" s="123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  <c r="BJ198" s="124"/>
      <c r="BK198" s="124"/>
      <c r="BL198" s="124"/>
      <c r="BM198" s="124"/>
      <c r="BN198" s="124"/>
      <c r="BO198" s="124"/>
      <c r="BP198" s="124"/>
      <c r="BQ198" s="124"/>
      <c r="BR198" s="124"/>
      <c r="BS198" s="124"/>
      <c r="BT198" s="124"/>
      <c r="BU198" s="124"/>
      <c r="BV198" s="124"/>
      <c r="BW198" s="124"/>
      <c r="BX198" s="124"/>
      <c r="BY198" s="124"/>
      <c r="BZ198" s="124"/>
      <c r="CA198" s="124"/>
      <c r="CB198" s="124"/>
      <c r="CC198" s="124"/>
      <c r="CD198" s="124"/>
      <c r="CE198" s="124"/>
      <c r="CF198" s="124"/>
      <c r="CG198" s="124"/>
      <c r="CH198" s="124"/>
      <c r="CI198" s="124"/>
      <c r="CJ198" s="124"/>
      <c r="CK198" s="124"/>
      <c r="CL198" s="124"/>
      <c r="CM198" s="124"/>
      <c r="CN198" s="124"/>
      <c r="CO198" s="124"/>
      <c r="CP198" s="124"/>
      <c r="CQ198" s="124"/>
      <c r="CR198" s="124"/>
      <c r="CS198" s="124"/>
      <c r="CT198" s="124"/>
      <c r="CU198" s="124"/>
      <c r="CV198" s="124"/>
      <c r="CW198" s="124"/>
      <c r="CX198" s="124"/>
      <c r="CY198" s="124"/>
      <c r="CZ198" s="124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4"/>
      <c r="DL198" s="124"/>
      <c r="DM198" s="124"/>
      <c r="DN198" s="124"/>
      <c r="DO198" s="124"/>
      <c r="DP198" s="124"/>
      <c r="DQ198" s="124"/>
      <c r="DR198" s="124"/>
      <c r="DS198" s="124"/>
      <c r="DT198" s="124"/>
      <c r="DU198" s="124"/>
      <c r="DV198" s="124"/>
      <c r="DW198" s="124"/>
      <c r="DX198" s="124"/>
      <c r="DY198" s="124"/>
      <c r="DZ198" s="124"/>
      <c r="EA198" s="124"/>
      <c r="EB198" s="124"/>
      <c r="EC198" s="124"/>
      <c r="ED198" s="124"/>
      <c r="EE198" s="124"/>
      <c r="EF198" s="124"/>
      <c r="EG198" s="124"/>
      <c r="EH198" s="124"/>
      <c r="EI198" s="124"/>
      <c r="EJ198" s="124"/>
      <c r="EK198" s="124"/>
      <c r="EL198" s="124"/>
      <c r="EM198" s="124"/>
      <c r="EN198" s="124"/>
      <c r="EO198" s="124"/>
      <c r="EP198" s="124"/>
      <c r="EQ198" s="124"/>
      <c r="ER198" s="124"/>
      <c r="ES198" s="124"/>
      <c r="ET198" s="124"/>
      <c r="EU198" s="124"/>
      <c r="EV198" s="124"/>
      <c r="EW198" s="124"/>
      <c r="EX198" s="124"/>
      <c r="EY198" s="124"/>
      <c r="EZ198" s="124"/>
      <c r="FA198" s="124"/>
      <c r="FB198" s="124"/>
      <c r="FC198" s="124"/>
      <c r="FD198" s="124"/>
      <c r="FE198" s="124"/>
      <c r="FF198" s="124"/>
      <c r="FG198" s="124"/>
      <c r="FH198" s="124"/>
      <c r="FI198" s="124"/>
      <c r="FJ198" s="124"/>
      <c r="FK198" s="124"/>
      <c r="FL198" s="124"/>
      <c r="FM198" s="124"/>
      <c r="FN198" s="124"/>
      <c r="FO198" s="124"/>
      <c r="FP198" s="124"/>
      <c r="FQ198" s="124"/>
      <c r="FR198" s="124"/>
      <c r="FS198" s="124"/>
      <c r="FT198" s="124"/>
      <c r="FU198" s="124"/>
      <c r="FV198" s="124"/>
      <c r="FW198" s="124"/>
      <c r="FX198" s="124"/>
      <c r="FY198" s="124"/>
      <c r="FZ198" s="124"/>
      <c r="GA198" s="124"/>
      <c r="GB198" s="124"/>
      <c r="GC198" s="124"/>
      <c r="GD198" s="124"/>
      <c r="GE198" s="124"/>
      <c r="GF198" s="124"/>
      <c r="GG198" s="124"/>
      <c r="GH198" s="124"/>
      <c r="GI198" s="124"/>
      <c r="GJ198" s="124"/>
      <c r="GK198" s="124"/>
      <c r="GL198" s="124"/>
      <c r="GM198" s="124"/>
      <c r="GN198" s="124"/>
      <c r="GO198" s="124"/>
      <c r="GP198" s="124"/>
      <c r="GQ198" s="124"/>
      <c r="GR198" s="124"/>
      <c r="GS198" s="124"/>
      <c r="GT198" s="124"/>
      <c r="GU198" s="124"/>
      <c r="GV198" s="124"/>
      <c r="GW198" s="124"/>
      <c r="GX198" s="124"/>
      <c r="GY198" s="124"/>
      <c r="GZ198" s="124"/>
      <c r="HA198" s="124"/>
      <c r="HB198" s="124"/>
      <c r="HC198" s="124"/>
      <c r="HD198" s="124"/>
      <c r="HE198" s="124"/>
      <c r="HF198" s="124"/>
      <c r="HG198" s="124"/>
      <c r="HH198" s="124"/>
      <c r="HI198" s="124"/>
      <c r="HJ198" s="124"/>
      <c r="HK198" s="124"/>
      <c r="HL198" s="124"/>
      <c r="HM198" s="124"/>
      <c r="HN198" s="124"/>
      <c r="HO198" s="124"/>
      <c r="HP198" s="124"/>
      <c r="HQ198" s="124"/>
    </row>
    <row r="199" spans="1:225" x14ac:dyDescent="0.2">
      <c r="A199" s="122" t="s">
        <v>830</v>
      </c>
      <c r="B199" s="123">
        <v>95</v>
      </c>
      <c r="C199" s="124" t="s">
        <v>357</v>
      </c>
      <c r="D199" s="123">
        <v>190</v>
      </c>
      <c r="E199" s="124" t="s">
        <v>161</v>
      </c>
      <c r="F199" s="123">
        <v>2</v>
      </c>
      <c r="G199" s="123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24"/>
      <c r="BK199" s="124"/>
      <c r="BL199" s="124"/>
      <c r="BM199" s="124"/>
      <c r="BN199" s="124"/>
      <c r="BO199" s="124"/>
      <c r="BP199" s="124"/>
      <c r="BQ199" s="124"/>
      <c r="BR199" s="124"/>
      <c r="BS199" s="124"/>
      <c r="BT199" s="124"/>
      <c r="BU199" s="124"/>
      <c r="BV199" s="124"/>
      <c r="BW199" s="124"/>
      <c r="BX199" s="124"/>
      <c r="BY199" s="124"/>
      <c r="BZ199" s="124"/>
      <c r="CA199" s="124"/>
      <c r="CB199" s="124"/>
      <c r="CC199" s="124"/>
      <c r="CD199" s="124"/>
      <c r="CE199" s="124"/>
      <c r="CF199" s="124"/>
      <c r="CG199" s="124"/>
      <c r="CH199" s="124"/>
      <c r="CI199" s="124"/>
      <c r="CJ199" s="124"/>
      <c r="CK199" s="124"/>
      <c r="CL199" s="124"/>
      <c r="CM199" s="124"/>
      <c r="CN199" s="124"/>
      <c r="CO199" s="124"/>
      <c r="CP199" s="124"/>
      <c r="CQ199" s="124"/>
      <c r="CR199" s="124"/>
      <c r="CS199" s="124"/>
      <c r="CT199" s="124"/>
      <c r="CU199" s="124"/>
      <c r="CV199" s="124"/>
      <c r="CW199" s="124"/>
      <c r="CX199" s="124"/>
      <c r="CY199" s="124"/>
      <c r="CZ199" s="124"/>
      <c r="DA199" s="124"/>
      <c r="DB199" s="124"/>
      <c r="DC199" s="124"/>
      <c r="DD199" s="124"/>
      <c r="DE199" s="124"/>
      <c r="DF199" s="124"/>
      <c r="DG199" s="124"/>
      <c r="DH199" s="124"/>
      <c r="DI199" s="124"/>
      <c r="DJ199" s="124"/>
      <c r="DK199" s="124"/>
      <c r="DL199" s="124"/>
      <c r="DM199" s="124"/>
      <c r="DN199" s="124"/>
      <c r="DO199" s="124"/>
      <c r="DP199" s="124"/>
      <c r="DQ199" s="124"/>
      <c r="DR199" s="124"/>
      <c r="DS199" s="124"/>
      <c r="DT199" s="124"/>
      <c r="DU199" s="124"/>
      <c r="DV199" s="124"/>
      <c r="DW199" s="124"/>
      <c r="DX199" s="124"/>
      <c r="DY199" s="124"/>
      <c r="DZ199" s="124"/>
      <c r="EA199" s="124"/>
      <c r="EB199" s="124"/>
      <c r="EC199" s="124"/>
      <c r="ED199" s="124"/>
      <c r="EE199" s="124"/>
      <c r="EF199" s="124"/>
      <c r="EG199" s="124"/>
      <c r="EH199" s="124"/>
      <c r="EI199" s="124"/>
      <c r="EJ199" s="124"/>
      <c r="EK199" s="124"/>
      <c r="EL199" s="124"/>
      <c r="EM199" s="124"/>
      <c r="EN199" s="124"/>
      <c r="EO199" s="124"/>
      <c r="EP199" s="124"/>
      <c r="EQ199" s="124"/>
      <c r="ER199" s="124"/>
      <c r="ES199" s="124"/>
      <c r="ET199" s="124"/>
      <c r="EU199" s="124"/>
      <c r="EV199" s="124"/>
      <c r="EW199" s="124"/>
      <c r="EX199" s="124"/>
      <c r="EY199" s="124"/>
      <c r="EZ199" s="124"/>
      <c r="FA199" s="124"/>
      <c r="FB199" s="124"/>
      <c r="FC199" s="124"/>
      <c r="FD199" s="124"/>
      <c r="FE199" s="124"/>
      <c r="FF199" s="124"/>
      <c r="FG199" s="124"/>
      <c r="FH199" s="124"/>
      <c r="FI199" s="124"/>
      <c r="FJ199" s="124"/>
      <c r="FK199" s="124"/>
      <c r="FL199" s="124"/>
      <c r="FM199" s="124"/>
      <c r="FN199" s="124"/>
      <c r="FO199" s="124"/>
      <c r="FP199" s="124"/>
      <c r="FQ199" s="124"/>
      <c r="FR199" s="124"/>
      <c r="FS199" s="124"/>
      <c r="FT199" s="124"/>
      <c r="FU199" s="124"/>
      <c r="FV199" s="124"/>
      <c r="FW199" s="124"/>
      <c r="FX199" s="124"/>
      <c r="FY199" s="124"/>
      <c r="FZ199" s="124"/>
      <c r="GA199" s="124"/>
      <c r="GB199" s="124"/>
      <c r="GC199" s="124"/>
      <c r="GD199" s="124"/>
      <c r="GE199" s="124"/>
      <c r="GF199" s="124"/>
      <c r="GG199" s="124"/>
      <c r="GH199" s="124"/>
      <c r="GI199" s="124"/>
      <c r="GJ199" s="124"/>
      <c r="GK199" s="124"/>
      <c r="GL199" s="124"/>
      <c r="GM199" s="124"/>
      <c r="GN199" s="124"/>
      <c r="GO199" s="124"/>
      <c r="GP199" s="124"/>
      <c r="GQ199" s="124"/>
      <c r="GR199" s="124"/>
      <c r="GS199" s="124"/>
      <c r="GT199" s="124"/>
      <c r="GU199" s="124"/>
      <c r="GV199" s="124"/>
      <c r="GW199" s="124"/>
      <c r="GX199" s="124"/>
      <c r="GY199" s="124"/>
      <c r="GZ199" s="124"/>
      <c r="HA199" s="124"/>
      <c r="HB199" s="124"/>
      <c r="HC199" s="124"/>
      <c r="HD199" s="124"/>
      <c r="HE199" s="124"/>
      <c r="HF199" s="124"/>
      <c r="HG199" s="124"/>
      <c r="HH199" s="124"/>
      <c r="HI199" s="124"/>
      <c r="HJ199" s="124"/>
      <c r="HK199" s="124"/>
      <c r="HL199" s="124"/>
      <c r="HM199" s="124"/>
      <c r="HN199" s="124"/>
      <c r="HO199" s="124"/>
      <c r="HP199" s="124"/>
      <c r="HQ199" s="124"/>
    </row>
    <row r="200" spans="1:225" x14ac:dyDescent="0.2">
      <c r="A200" s="122" t="s">
        <v>831</v>
      </c>
      <c r="B200" s="123">
        <v>96</v>
      </c>
      <c r="C200" s="124" t="s">
        <v>358</v>
      </c>
      <c r="D200" s="123">
        <v>191</v>
      </c>
      <c r="E200" s="124" t="s">
        <v>161</v>
      </c>
      <c r="F200" s="123">
        <v>5</v>
      </c>
      <c r="G200" s="123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  <c r="BJ200" s="124"/>
      <c r="BK200" s="124"/>
      <c r="BL200" s="124"/>
      <c r="BM200" s="124"/>
      <c r="BN200" s="124"/>
      <c r="BO200" s="124"/>
      <c r="BP200" s="124"/>
      <c r="BQ200" s="124"/>
      <c r="BR200" s="124"/>
      <c r="BS200" s="124"/>
      <c r="BT200" s="124"/>
      <c r="BU200" s="124"/>
      <c r="BV200" s="124"/>
      <c r="BW200" s="124"/>
      <c r="BX200" s="124"/>
      <c r="BY200" s="124"/>
      <c r="BZ200" s="124"/>
      <c r="CA200" s="124"/>
      <c r="CB200" s="124"/>
      <c r="CC200" s="124"/>
      <c r="CD200" s="124"/>
      <c r="CE200" s="124"/>
      <c r="CF200" s="124"/>
      <c r="CG200" s="124"/>
      <c r="CH200" s="124"/>
      <c r="CI200" s="124"/>
      <c r="CJ200" s="124"/>
      <c r="CK200" s="124"/>
      <c r="CL200" s="124"/>
      <c r="CM200" s="124"/>
      <c r="CN200" s="124"/>
      <c r="CO200" s="124"/>
      <c r="CP200" s="124"/>
      <c r="CQ200" s="124"/>
      <c r="CR200" s="124"/>
      <c r="CS200" s="124"/>
      <c r="CT200" s="124"/>
      <c r="CU200" s="124"/>
      <c r="CV200" s="124"/>
      <c r="CW200" s="124"/>
      <c r="CX200" s="124"/>
      <c r="CY200" s="124"/>
      <c r="CZ200" s="124"/>
      <c r="DA200" s="124"/>
      <c r="DB200" s="124"/>
      <c r="DC200" s="124"/>
      <c r="DD200" s="124"/>
      <c r="DE200" s="124"/>
      <c r="DF200" s="124"/>
      <c r="DG200" s="124"/>
      <c r="DH200" s="124"/>
      <c r="DI200" s="124"/>
      <c r="DJ200" s="124"/>
      <c r="DK200" s="124"/>
      <c r="DL200" s="124"/>
      <c r="DM200" s="124"/>
      <c r="DN200" s="124"/>
      <c r="DO200" s="124"/>
      <c r="DP200" s="124"/>
      <c r="DQ200" s="124"/>
      <c r="DR200" s="124"/>
      <c r="DS200" s="124"/>
      <c r="DT200" s="124"/>
      <c r="DU200" s="124"/>
      <c r="DV200" s="124"/>
      <c r="DW200" s="124"/>
      <c r="DX200" s="124"/>
      <c r="DY200" s="124"/>
      <c r="DZ200" s="124"/>
      <c r="EA200" s="124"/>
      <c r="EB200" s="124"/>
      <c r="EC200" s="124"/>
      <c r="ED200" s="124"/>
      <c r="EE200" s="124"/>
      <c r="EF200" s="124"/>
      <c r="EG200" s="124"/>
      <c r="EH200" s="124"/>
      <c r="EI200" s="124"/>
      <c r="EJ200" s="124"/>
      <c r="EK200" s="124"/>
      <c r="EL200" s="124"/>
      <c r="EM200" s="124"/>
      <c r="EN200" s="124"/>
      <c r="EO200" s="124"/>
      <c r="EP200" s="124"/>
      <c r="EQ200" s="124"/>
      <c r="ER200" s="124"/>
      <c r="ES200" s="124"/>
      <c r="ET200" s="124"/>
      <c r="EU200" s="124"/>
      <c r="EV200" s="124"/>
      <c r="EW200" s="124"/>
      <c r="EX200" s="124"/>
      <c r="EY200" s="124"/>
      <c r="EZ200" s="124"/>
      <c r="FA200" s="124"/>
      <c r="FB200" s="124"/>
      <c r="FC200" s="124"/>
      <c r="FD200" s="124"/>
      <c r="FE200" s="124"/>
      <c r="FF200" s="124"/>
      <c r="FG200" s="124"/>
      <c r="FH200" s="124"/>
      <c r="FI200" s="124"/>
      <c r="FJ200" s="124"/>
      <c r="FK200" s="124"/>
      <c r="FL200" s="124"/>
      <c r="FM200" s="124"/>
      <c r="FN200" s="124"/>
      <c r="FO200" s="124"/>
      <c r="FP200" s="124"/>
      <c r="FQ200" s="124"/>
      <c r="FR200" s="124"/>
      <c r="FS200" s="124"/>
      <c r="FT200" s="124"/>
      <c r="FU200" s="124"/>
      <c r="FV200" s="124"/>
      <c r="FW200" s="124"/>
      <c r="FX200" s="124"/>
      <c r="FY200" s="124"/>
      <c r="FZ200" s="124"/>
      <c r="GA200" s="124"/>
      <c r="GB200" s="124"/>
      <c r="GC200" s="124"/>
      <c r="GD200" s="124"/>
      <c r="GE200" s="124"/>
      <c r="GF200" s="124"/>
      <c r="GG200" s="124"/>
      <c r="GH200" s="124"/>
      <c r="GI200" s="124"/>
      <c r="GJ200" s="124"/>
      <c r="GK200" s="124"/>
      <c r="GL200" s="124"/>
      <c r="GM200" s="124"/>
      <c r="GN200" s="124"/>
      <c r="GO200" s="124"/>
      <c r="GP200" s="124"/>
      <c r="GQ200" s="124"/>
      <c r="GR200" s="124"/>
      <c r="GS200" s="124"/>
      <c r="GT200" s="124"/>
      <c r="GU200" s="124"/>
      <c r="GV200" s="124"/>
      <c r="GW200" s="124"/>
      <c r="GX200" s="124"/>
      <c r="GY200" s="124"/>
      <c r="GZ200" s="124"/>
      <c r="HA200" s="124"/>
      <c r="HB200" s="124"/>
      <c r="HC200" s="124"/>
      <c r="HD200" s="124"/>
      <c r="HE200" s="124"/>
      <c r="HF200" s="124"/>
      <c r="HG200" s="124"/>
      <c r="HH200" s="124"/>
      <c r="HI200" s="124"/>
      <c r="HJ200" s="124"/>
      <c r="HK200" s="124"/>
      <c r="HL200" s="124"/>
      <c r="HM200" s="124"/>
      <c r="HN200" s="124"/>
      <c r="HO200" s="124"/>
      <c r="HP200" s="124"/>
      <c r="HQ200" s="124"/>
    </row>
    <row r="201" spans="1:225" x14ac:dyDescent="0.2">
      <c r="A201" s="122" t="s">
        <v>832</v>
      </c>
      <c r="B201" s="123">
        <v>96</v>
      </c>
      <c r="C201" s="138" t="s">
        <v>359</v>
      </c>
      <c r="D201" s="123">
        <v>192</v>
      </c>
      <c r="E201" s="124" t="s">
        <v>161</v>
      </c>
      <c r="F201" s="123">
        <v>5</v>
      </c>
      <c r="G201" s="123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24"/>
      <c r="BK201" s="124"/>
      <c r="BL201" s="124"/>
      <c r="BM201" s="124"/>
      <c r="BN201" s="124"/>
      <c r="BO201" s="124"/>
      <c r="BP201" s="124"/>
      <c r="BQ201" s="124"/>
      <c r="BR201" s="124"/>
      <c r="BS201" s="124"/>
      <c r="BT201" s="124"/>
      <c r="BU201" s="124"/>
      <c r="BV201" s="124"/>
      <c r="BW201" s="124"/>
      <c r="BX201" s="124"/>
      <c r="BY201" s="124"/>
      <c r="BZ201" s="124"/>
      <c r="CA201" s="124"/>
      <c r="CB201" s="124"/>
      <c r="CC201" s="124"/>
      <c r="CD201" s="124"/>
      <c r="CE201" s="124"/>
      <c r="CF201" s="124"/>
      <c r="CG201" s="124"/>
      <c r="CH201" s="124"/>
      <c r="CI201" s="124"/>
      <c r="CJ201" s="124"/>
      <c r="CK201" s="124"/>
      <c r="CL201" s="124"/>
      <c r="CM201" s="124"/>
      <c r="CN201" s="124"/>
      <c r="CO201" s="124"/>
      <c r="CP201" s="124"/>
      <c r="CQ201" s="124"/>
      <c r="CR201" s="124"/>
      <c r="CS201" s="124"/>
      <c r="CT201" s="124"/>
      <c r="CU201" s="124"/>
      <c r="CV201" s="124"/>
      <c r="CW201" s="124"/>
      <c r="CX201" s="124"/>
      <c r="CY201" s="124"/>
      <c r="CZ201" s="124"/>
      <c r="DA201" s="124"/>
      <c r="DB201" s="124"/>
      <c r="DC201" s="124"/>
      <c r="DD201" s="124"/>
      <c r="DE201" s="124"/>
      <c r="DF201" s="124"/>
      <c r="DG201" s="124"/>
      <c r="DH201" s="124"/>
      <c r="DI201" s="124"/>
      <c r="DJ201" s="124"/>
      <c r="DK201" s="124"/>
      <c r="DL201" s="124"/>
      <c r="DM201" s="124"/>
      <c r="DN201" s="124"/>
      <c r="DO201" s="124"/>
      <c r="DP201" s="124"/>
      <c r="DQ201" s="124"/>
      <c r="DR201" s="124"/>
      <c r="DS201" s="124"/>
      <c r="DT201" s="124"/>
      <c r="DU201" s="124"/>
      <c r="DV201" s="124"/>
      <c r="DW201" s="124"/>
      <c r="DX201" s="124"/>
      <c r="DY201" s="124"/>
      <c r="DZ201" s="124"/>
      <c r="EA201" s="124"/>
      <c r="EB201" s="124"/>
      <c r="EC201" s="124"/>
      <c r="ED201" s="124"/>
      <c r="EE201" s="124"/>
      <c r="EF201" s="124"/>
      <c r="EG201" s="124"/>
      <c r="EH201" s="124"/>
      <c r="EI201" s="124"/>
      <c r="EJ201" s="124"/>
      <c r="EK201" s="124"/>
      <c r="EL201" s="124"/>
      <c r="EM201" s="124"/>
      <c r="EN201" s="124"/>
      <c r="EO201" s="124"/>
      <c r="EP201" s="124"/>
      <c r="EQ201" s="124"/>
      <c r="ER201" s="124"/>
      <c r="ES201" s="124"/>
      <c r="ET201" s="124"/>
      <c r="EU201" s="124"/>
      <c r="EV201" s="124"/>
      <c r="EW201" s="124"/>
      <c r="EX201" s="124"/>
      <c r="EY201" s="124"/>
      <c r="EZ201" s="124"/>
      <c r="FA201" s="124"/>
      <c r="FB201" s="124"/>
      <c r="FC201" s="124"/>
      <c r="FD201" s="124"/>
      <c r="FE201" s="124"/>
      <c r="FF201" s="124"/>
      <c r="FG201" s="124"/>
      <c r="FH201" s="124"/>
      <c r="FI201" s="124"/>
      <c r="FJ201" s="124"/>
      <c r="FK201" s="124"/>
      <c r="FL201" s="124"/>
      <c r="FM201" s="124"/>
      <c r="FN201" s="124"/>
      <c r="FO201" s="124"/>
      <c r="FP201" s="124"/>
      <c r="FQ201" s="124"/>
      <c r="FR201" s="124"/>
      <c r="FS201" s="124"/>
      <c r="FT201" s="124"/>
      <c r="FU201" s="124"/>
      <c r="FV201" s="124"/>
      <c r="FW201" s="124"/>
      <c r="FX201" s="124"/>
      <c r="FY201" s="124"/>
      <c r="FZ201" s="124"/>
      <c r="GA201" s="124"/>
      <c r="GB201" s="124"/>
      <c r="GC201" s="124"/>
      <c r="GD201" s="124"/>
      <c r="GE201" s="124"/>
      <c r="GF201" s="124"/>
      <c r="GG201" s="124"/>
      <c r="GH201" s="124"/>
      <c r="GI201" s="124"/>
      <c r="GJ201" s="124"/>
      <c r="GK201" s="124"/>
      <c r="GL201" s="124"/>
      <c r="GM201" s="124"/>
      <c r="GN201" s="124"/>
      <c r="GO201" s="124"/>
      <c r="GP201" s="124"/>
      <c r="GQ201" s="124"/>
      <c r="GR201" s="124"/>
      <c r="GS201" s="124"/>
      <c r="GT201" s="124"/>
      <c r="GU201" s="124"/>
      <c r="GV201" s="124"/>
      <c r="GW201" s="124"/>
      <c r="GX201" s="124"/>
      <c r="GY201" s="124"/>
      <c r="GZ201" s="124"/>
      <c r="HA201" s="124"/>
      <c r="HB201" s="124"/>
      <c r="HC201" s="124"/>
      <c r="HD201" s="124"/>
      <c r="HE201" s="124"/>
      <c r="HF201" s="124"/>
      <c r="HG201" s="124"/>
      <c r="HH201" s="124"/>
      <c r="HI201" s="124"/>
      <c r="HJ201" s="124"/>
      <c r="HK201" s="124"/>
      <c r="HL201" s="124"/>
      <c r="HM201" s="124"/>
      <c r="HN201" s="124"/>
      <c r="HO201" s="124"/>
      <c r="HP201" s="124"/>
      <c r="HQ201" s="124"/>
    </row>
    <row r="202" spans="1:225" x14ac:dyDescent="0.2">
      <c r="A202" s="122" t="s">
        <v>833</v>
      </c>
      <c r="B202" s="123">
        <v>1</v>
      </c>
      <c r="C202" s="124" t="s">
        <v>360</v>
      </c>
      <c r="D202" s="123">
        <v>193</v>
      </c>
      <c r="E202" s="124" t="s">
        <v>361</v>
      </c>
      <c r="F202" s="123">
        <v>2</v>
      </c>
      <c r="G202" s="123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  <c r="AV202" s="124"/>
      <c r="AW202" s="124"/>
      <c r="AX202" s="124"/>
      <c r="AY202" s="124"/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  <c r="BJ202" s="124"/>
      <c r="BK202" s="124"/>
      <c r="BL202" s="124"/>
      <c r="BM202" s="124"/>
      <c r="BN202" s="124"/>
      <c r="BO202" s="124"/>
      <c r="BP202" s="124"/>
      <c r="BQ202" s="124"/>
      <c r="BR202" s="124"/>
      <c r="BS202" s="124"/>
      <c r="BT202" s="124"/>
      <c r="BU202" s="124"/>
      <c r="BV202" s="124"/>
      <c r="BW202" s="124"/>
      <c r="BX202" s="124"/>
      <c r="BY202" s="124"/>
      <c r="BZ202" s="124"/>
      <c r="CA202" s="124"/>
      <c r="CB202" s="124"/>
      <c r="CC202" s="124"/>
      <c r="CD202" s="124"/>
      <c r="CE202" s="124"/>
      <c r="CF202" s="124"/>
      <c r="CG202" s="124"/>
      <c r="CH202" s="124"/>
      <c r="CI202" s="124"/>
      <c r="CJ202" s="124"/>
      <c r="CK202" s="124"/>
      <c r="CL202" s="124"/>
      <c r="CM202" s="124"/>
      <c r="CN202" s="124"/>
      <c r="CO202" s="124"/>
      <c r="CP202" s="124"/>
      <c r="CQ202" s="124"/>
      <c r="CR202" s="124"/>
      <c r="CS202" s="124"/>
      <c r="CT202" s="124"/>
      <c r="CU202" s="124"/>
      <c r="CV202" s="124"/>
      <c r="CW202" s="124"/>
      <c r="CX202" s="124"/>
      <c r="CY202" s="124"/>
      <c r="CZ202" s="124"/>
      <c r="DA202" s="124"/>
      <c r="DB202" s="124"/>
      <c r="DC202" s="124"/>
      <c r="DD202" s="124"/>
      <c r="DE202" s="124"/>
      <c r="DF202" s="124"/>
      <c r="DG202" s="124"/>
      <c r="DH202" s="124"/>
      <c r="DI202" s="124"/>
      <c r="DJ202" s="124"/>
      <c r="DK202" s="124"/>
      <c r="DL202" s="124"/>
      <c r="DM202" s="124"/>
      <c r="DN202" s="124"/>
      <c r="DO202" s="124"/>
      <c r="DP202" s="124"/>
      <c r="DQ202" s="124"/>
      <c r="DR202" s="124"/>
      <c r="DS202" s="124"/>
      <c r="DT202" s="124"/>
      <c r="DU202" s="124"/>
      <c r="DV202" s="124"/>
      <c r="DW202" s="124"/>
      <c r="DX202" s="124"/>
      <c r="DY202" s="124"/>
      <c r="DZ202" s="124"/>
      <c r="EA202" s="124"/>
      <c r="EB202" s="124"/>
      <c r="EC202" s="124"/>
      <c r="ED202" s="124"/>
      <c r="EE202" s="124"/>
      <c r="EF202" s="124"/>
      <c r="EG202" s="124"/>
      <c r="EH202" s="124"/>
      <c r="EI202" s="124"/>
      <c r="EJ202" s="124"/>
      <c r="EK202" s="124"/>
      <c r="EL202" s="124"/>
      <c r="EM202" s="124"/>
      <c r="EN202" s="124"/>
      <c r="EO202" s="124"/>
      <c r="EP202" s="124"/>
      <c r="EQ202" s="124"/>
      <c r="ER202" s="124"/>
      <c r="ES202" s="124"/>
      <c r="ET202" s="124"/>
      <c r="EU202" s="124"/>
      <c r="EV202" s="124"/>
      <c r="EW202" s="124"/>
      <c r="EX202" s="124"/>
      <c r="EY202" s="124"/>
      <c r="EZ202" s="124"/>
      <c r="FA202" s="124"/>
      <c r="FB202" s="124"/>
      <c r="FC202" s="124"/>
      <c r="FD202" s="124"/>
      <c r="FE202" s="124"/>
      <c r="FF202" s="124"/>
      <c r="FG202" s="124"/>
      <c r="FH202" s="124"/>
      <c r="FI202" s="124"/>
      <c r="FJ202" s="124"/>
      <c r="FK202" s="124"/>
      <c r="FL202" s="124"/>
      <c r="FM202" s="124"/>
      <c r="FN202" s="124"/>
      <c r="FO202" s="124"/>
      <c r="FP202" s="124"/>
      <c r="FQ202" s="124"/>
      <c r="FR202" s="124"/>
      <c r="FS202" s="124"/>
      <c r="FT202" s="124"/>
      <c r="FU202" s="124"/>
      <c r="FV202" s="124"/>
      <c r="FW202" s="124"/>
      <c r="FX202" s="124"/>
      <c r="FY202" s="124"/>
      <c r="FZ202" s="124"/>
      <c r="GA202" s="124"/>
      <c r="GB202" s="124"/>
      <c r="GC202" s="124"/>
      <c r="GD202" s="124"/>
      <c r="GE202" s="124"/>
      <c r="GF202" s="124"/>
      <c r="GG202" s="124"/>
      <c r="GH202" s="124"/>
      <c r="GI202" s="124"/>
      <c r="GJ202" s="124"/>
      <c r="GK202" s="124"/>
      <c r="GL202" s="124"/>
      <c r="GM202" s="124"/>
      <c r="GN202" s="124"/>
      <c r="GO202" s="124"/>
      <c r="GP202" s="124"/>
      <c r="GQ202" s="124"/>
      <c r="GR202" s="124"/>
      <c r="GS202" s="124"/>
      <c r="GT202" s="124"/>
      <c r="GU202" s="124"/>
      <c r="GV202" s="124"/>
      <c r="GW202" s="124"/>
      <c r="GX202" s="124"/>
      <c r="GY202" s="124"/>
      <c r="GZ202" s="124"/>
      <c r="HA202" s="124"/>
      <c r="HB202" s="124"/>
      <c r="HC202" s="124"/>
      <c r="HD202" s="124"/>
      <c r="HE202" s="124"/>
      <c r="HF202" s="124"/>
      <c r="HG202" s="124"/>
      <c r="HH202" s="124"/>
      <c r="HI202" s="124"/>
      <c r="HJ202" s="124"/>
      <c r="HK202" s="124"/>
      <c r="HL202" s="124"/>
      <c r="HM202" s="124"/>
      <c r="HN202" s="124"/>
      <c r="HO202" s="124"/>
      <c r="HP202" s="124"/>
      <c r="HQ202" s="124"/>
    </row>
    <row r="203" spans="1:225" x14ac:dyDescent="0.2">
      <c r="A203" s="122" t="s">
        <v>834</v>
      </c>
      <c r="B203" s="123">
        <v>1</v>
      </c>
      <c r="C203" s="124" t="s">
        <v>362</v>
      </c>
      <c r="D203" s="123">
        <v>194</v>
      </c>
      <c r="E203" s="124" t="s">
        <v>361</v>
      </c>
      <c r="F203" s="123">
        <v>2</v>
      </c>
      <c r="G203" s="123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  <c r="BK203" s="124"/>
      <c r="BL203" s="124"/>
      <c r="BM203" s="124"/>
      <c r="BN203" s="124"/>
      <c r="BO203" s="124"/>
      <c r="BP203" s="124"/>
      <c r="BQ203" s="124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4"/>
      <c r="CH203" s="124"/>
      <c r="CI203" s="124"/>
      <c r="CJ203" s="124"/>
      <c r="CK203" s="124"/>
      <c r="CL203" s="124"/>
      <c r="CM203" s="124"/>
      <c r="CN203" s="124"/>
      <c r="CO203" s="124"/>
      <c r="CP203" s="124"/>
      <c r="CQ203" s="124"/>
      <c r="CR203" s="124"/>
      <c r="CS203" s="124"/>
      <c r="CT203" s="124"/>
      <c r="CU203" s="124"/>
      <c r="CV203" s="124"/>
      <c r="CW203" s="124"/>
      <c r="CX203" s="124"/>
      <c r="CY203" s="124"/>
      <c r="CZ203" s="124"/>
      <c r="DA203" s="124"/>
      <c r="DB203" s="124"/>
      <c r="DC203" s="124"/>
      <c r="DD203" s="124"/>
      <c r="DE203" s="124"/>
      <c r="DF203" s="124"/>
      <c r="DG203" s="124"/>
      <c r="DH203" s="124"/>
      <c r="DI203" s="124"/>
      <c r="DJ203" s="124"/>
      <c r="DK203" s="124"/>
      <c r="DL203" s="124"/>
      <c r="DM203" s="124"/>
      <c r="DN203" s="124"/>
      <c r="DO203" s="124"/>
      <c r="DP203" s="124"/>
      <c r="DQ203" s="124"/>
      <c r="DR203" s="124"/>
      <c r="DS203" s="124"/>
      <c r="DT203" s="124"/>
      <c r="DU203" s="124"/>
      <c r="DV203" s="124"/>
      <c r="DW203" s="124"/>
      <c r="DX203" s="124"/>
      <c r="DY203" s="124"/>
      <c r="DZ203" s="124"/>
      <c r="EA203" s="124"/>
      <c r="EB203" s="124"/>
      <c r="EC203" s="124"/>
      <c r="ED203" s="124"/>
      <c r="EE203" s="124"/>
      <c r="EF203" s="124"/>
      <c r="EG203" s="124"/>
      <c r="EH203" s="124"/>
      <c r="EI203" s="124"/>
      <c r="EJ203" s="124"/>
      <c r="EK203" s="124"/>
      <c r="EL203" s="124"/>
      <c r="EM203" s="124"/>
      <c r="EN203" s="124"/>
      <c r="EO203" s="124"/>
      <c r="EP203" s="124"/>
      <c r="EQ203" s="124"/>
      <c r="ER203" s="124"/>
      <c r="ES203" s="124"/>
      <c r="ET203" s="124"/>
      <c r="EU203" s="124"/>
      <c r="EV203" s="124"/>
      <c r="EW203" s="124"/>
      <c r="EX203" s="124"/>
      <c r="EY203" s="124"/>
      <c r="EZ203" s="124"/>
      <c r="FA203" s="124"/>
      <c r="FB203" s="124"/>
      <c r="FC203" s="124"/>
      <c r="FD203" s="124"/>
      <c r="FE203" s="124"/>
      <c r="FF203" s="124"/>
      <c r="FG203" s="124"/>
      <c r="FH203" s="124"/>
      <c r="FI203" s="124"/>
      <c r="FJ203" s="124"/>
      <c r="FK203" s="124"/>
      <c r="FL203" s="124"/>
      <c r="FM203" s="124"/>
      <c r="FN203" s="124"/>
      <c r="FO203" s="124"/>
      <c r="FP203" s="124"/>
      <c r="FQ203" s="124"/>
      <c r="FR203" s="124"/>
      <c r="FS203" s="124"/>
      <c r="FT203" s="124"/>
      <c r="FU203" s="124"/>
      <c r="FV203" s="124"/>
      <c r="FW203" s="124"/>
      <c r="FX203" s="124"/>
      <c r="FY203" s="124"/>
      <c r="FZ203" s="124"/>
      <c r="GA203" s="124"/>
      <c r="GB203" s="124"/>
      <c r="GC203" s="124"/>
      <c r="GD203" s="124"/>
      <c r="GE203" s="124"/>
      <c r="GF203" s="124"/>
      <c r="GG203" s="124"/>
      <c r="GH203" s="124"/>
      <c r="GI203" s="124"/>
      <c r="GJ203" s="124"/>
      <c r="GK203" s="124"/>
      <c r="GL203" s="124"/>
      <c r="GM203" s="124"/>
      <c r="GN203" s="124"/>
      <c r="GO203" s="124"/>
      <c r="GP203" s="124"/>
      <c r="GQ203" s="124"/>
      <c r="GR203" s="124"/>
      <c r="GS203" s="124"/>
      <c r="GT203" s="124"/>
      <c r="GU203" s="124"/>
      <c r="GV203" s="124"/>
      <c r="GW203" s="124"/>
      <c r="GX203" s="124"/>
      <c r="GY203" s="124"/>
      <c r="GZ203" s="124"/>
      <c r="HA203" s="124"/>
      <c r="HB203" s="124"/>
      <c r="HC203" s="124"/>
      <c r="HD203" s="124"/>
      <c r="HE203" s="124"/>
      <c r="HF203" s="124"/>
      <c r="HG203" s="124"/>
      <c r="HH203" s="124"/>
      <c r="HI203" s="124"/>
      <c r="HJ203" s="124"/>
      <c r="HK203" s="124"/>
      <c r="HL203" s="124"/>
      <c r="HM203" s="124"/>
      <c r="HN203" s="124"/>
      <c r="HO203" s="124"/>
      <c r="HP203" s="124"/>
      <c r="HQ203" s="124"/>
    </row>
    <row r="204" spans="1:225" x14ac:dyDescent="0.2">
      <c r="A204" s="122" t="s">
        <v>835</v>
      </c>
      <c r="B204" s="123">
        <v>2</v>
      </c>
      <c r="C204" s="124" t="s">
        <v>363</v>
      </c>
      <c r="D204" s="123">
        <v>195</v>
      </c>
      <c r="E204" s="124" t="s">
        <v>361</v>
      </c>
      <c r="F204" s="123">
        <v>2</v>
      </c>
      <c r="G204" s="123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4"/>
      <c r="BK204" s="124"/>
      <c r="BL204" s="124"/>
      <c r="BM204" s="124"/>
      <c r="BN204" s="124"/>
      <c r="BO204" s="124"/>
      <c r="BP204" s="124"/>
      <c r="BQ204" s="124"/>
      <c r="BR204" s="124"/>
      <c r="BS204" s="124"/>
      <c r="BT204" s="124"/>
      <c r="BU204" s="124"/>
      <c r="BV204" s="124"/>
      <c r="BW204" s="124"/>
      <c r="BX204" s="124"/>
      <c r="BY204" s="124"/>
      <c r="BZ204" s="124"/>
      <c r="CA204" s="124"/>
      <c r="CB204" s="124"/>
      <c r="CC204" s="124"/>
      <c r="CD204" s="124"/>
      <c r="CE204" s="124"/>
      <c r="CF204" s="124"/>
      <c r="CG204" s="124"/>
      <c r="CH204" s="124"/>
      <c r="CI204" s="124"/>
      <c r="CJ204" s="124"/>
      <c r="CK204" s="124"/>
      <c r="CL204" s="124"/>
      <c r="CM204" s="124"/>
      <c r="CN204" s="124"/>
      <c r="CO204" s="124"/>
      <c r="CP204" s="124"/>
      <c r="CQ204" s="124"/>
      <c r="CR204" s="124"/>
      <c r="CS204" s="124"/>
      <c r="CT204" s="124"/>
      <c r="CU204" s="124"/>
      <c r="CV204" s="124"/>
      <c r="CW204" s="124"/>
      <c r="CX204" s="124"/>
      <c r="CY204" s="124"/>
      <c r="CZ204" s="124"/>
      <c r="DA204" s="124"/>
      <c r="DB204" s="124"/>
      <c r="DC204" s="124"/>
      <c r="DD204" s="124"/>
      <c r="DE204" s="124"/>
      <c r="DF204" s="124"/>
      <c r="DG204" s="124"/>
      <c r="DH204" s="124"/>
      <c r="DI204" s="124"/>
      <c r="DJ204" s="124"/>
      <c r="DK204" s="124"/>
      <c r="DL204" s="124"/>
      <c r="DM204" s="124"/>
      <c r="DN204" s="124"/>
      <c r="DO204" s="124"/>
      <c r="DP204" s="124"/>
      <c r="DQ204" s="124"/>
      <c r="DR204" s="124"/>
      <c r="DS204" s="124"/>
      <c r="DT204" s="124"/>
      <c r="DU204" s="124"/>
      <c r="DV204" s="124"/>
      <c r="DW204" s="124"/>
      <c r="DX204" s="124"/>
      <c r="DY204" s="124"/>
      <c r="DZ204" s="124"/>
      <c r="EA204" s="124"/>
      <c r="EB204" s="124"/>
      <c r="EC204" s="124"/>
      <c r="ED204" s="124"/>
      <c r="EE204" s="124"/>
      <c r="EF204" s="124"/>
      <c r="EG204" s="124"/>
      <c r="EH204" s="124"/>
      <c r="EI204" s="124"/>
      <c r="EJ204" s="124"/>
      <c r="EK204" s="124"/>
      <c r="EL204" s="124"/>
      <c r="EM204" s="124"/>
      <c r="EN204" s="124"/>
      <c r="EO204" s="124"/>
      <c r="EP204" s="124"/>
      <c r="EQ204" s="124"/>
      <c r="ER204" s="124"/>
      <c r="ES204" s="124"/>
      <c r="ET204" s="124"/>
      <c r="EU204" s="124"/>
      <c r="EV204" s="124"/>
      <c r="EW204" s="124"/>
      <c r="EX204" s="124"/>
      <c r="EY204" s="124"/>
      <c r="EZ204" s="124"/>
      <c r="FA204" s="124"/>
      <c r="FB204" s="124"/>
      <c r="FC204" s="124"/>
      <c r="FD204" s="124"/>
      <c r="FE204" s="124"/>
      <c r="FF204" s="124"/>
      <c r="FG204" s="124"/>
      <c r="FH204" s="124"/>
      <c r="FI204" s="124"/>
      <c r="FJ204" s="124"/>
      <c r="FK204" s="124"/>
      <c r="FL204" s="124"/>
      <c r="FM204" s="124"/>
      <c r="FN204" s="124"/>
      <c r="FO204" s="124"/>
      <c r="FP204" s="124"/>
      <c r="FQ204" s="124"/>
      <c r="FR204" s="124"/>
      <c r="FS204" s="124"/>
      <c r="FT204" s="124"/>
      <c r="FU204" s="124"/>
      <c r="FV204" s="124"/>
      <c r="FW204" s="124"/>
      <c r="FX204" s="124"/>
      <c r="FY204" s="124"/>
      <c r="FZ204" s="124"/>
      <c r="GA204" s="124"/>
      <c r="GB204" s="124"/>
      <c r="GC204" s="124"/>
      <c r="GD204" s="124"/>
      <c r="GE204" s="124"/>
      <c r="GF204" s="124"/>
      <c r="GG204" s="124"/>
      <c r="GH204" s="124"/>
      <c r="GI204" s="124"/>
      <c r="GJ204" s="124"/>
      <c r="GK204" s="124"/>
      <c r="GL204" s="124"/>
      <c r="GM204" s="124"/>
      <c r="GN204" s="124"/>
      <c r="GO204" s="124"/>
      <c r="GP204" s="124"/>
      <c r="GQ204" s="124"/>
      <c r="GR204" s="124"/>
      <c r="GS204" s="124"/>
      <c r="GT204" s="124"/>
      <c r="GU204" s="124"/>
      <c r="GV204" s="124"/>
      <c r="GW204" s="124"/>
      <c r="GX204" s="124"/>
      <c r="GY204" s="124"/>
      <c r="GZ204" s="124"/>
      <c r="HA204" s="124"/>
      <c r="HB204" s="124"/>
      <c r="HC204" s="124"/>
      <c r="HD204" s="124"/>
      <c r="HE204" s="124"/>
      <c r="HF204" s="124"/>
      <c r="HG204" s="124"/>
      <c r="HH204" s="124"/>
      <c r="HI204" s="124"/>
      <c r="HJ204" s="124"/>
      <c r="HK204" s="124"/>
      <c r="HL204" s="124"/>
      <c r="HM204" s="124"/>
      <c r="HN204" s="124"/>
      <c r="HO204" s="124"/>
      <c r="HP204" s="124"/>
      <c r="HQ204" s="124"/>
    </row>
    <row r="205" spans="1:225" x14ac:dyDescent="0.2">
      <c r="A205" s="122" t="s">
        <v>836</v>
      </c>
      <c r="B205" s="123">
        <v>2</v>
      </c>
      <c r="C205" s="124" t="s">
        <v>364</v>
      </c>
      <c r="D205" s="123">
        <v>196</v>
      </c>
      <c r="E205" s="124" t="s">
        <v>361</v>
      </c>
      <c r="F205" s="123">
        <v>3</v>
      </c>
      <c r="G205" s="123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  <c r="BK205" s="124"/>
      <c r="BL205" s="124"/>
      <c r="BM205" s="124"/>
      <c r="BN205" s="124"/>
      <c r="BO205" s="124"/>
      <c r="BP205" s="124"/>
      <c r="BQ205" s="124"/>
      <c r="BR205" s="124"/>
      <c r="BS205" s="124"/>
      <c r="BT205" s="124"/>
      <c r="BU205" s="124"/>
      <c r="BV205" s="124"/>
      <c r="BW205" s="124"/>
      <c r="BX205" s="124"/>
      <c r="BY205" s="124"/>
      <c r="BZ205" s="124"/>
      <c r="CA205" s="124"/>
      <c r="CB205" s="124"/>
      <c r="CC205" s="124"/>
      <c r="CD205" s="124"/>
      <c r="CE205" s="124"/>
      <c r="CF205" s="124"/>
      <c r="CG205" s="124"/>
      <c r="CH205" s="124"/>
      <c r="CI205" s="124"/>
      <c r="CJ205" s="124"/>
      <c r="CK205" s="124"/>
      <c r="CL205" s="124"/>
      <c r="CM205" s="124"/>
      <c r="CN205" s="124"/>
      <c r="CO205" s="124"/>
      <c r="CP205" s="124"/>
      <c r="CQ205" s="124"/>
      <c r="CR205" s="124"/>
      <c r="CS205" s="124"/>
      <c r="CT205" s="124"/>
      <c r="CU205" s="124"/>
      <c r="CV205" s="124"/>
      <c r="CW205" s="124"/>
      <c r="CX205" s="124"/>
      <c r="CY205" s="124"/>
      <c r="CZ205" s="124"/>
      <c r="DA205" s="124"/>
      <c r="DB205" s="124"/>
      <c r="DC205" s="124"/>
      <c r="DD205" s="124"/>
      <c r="DE205" s="124"/>
      <c r="DF205" s="124"/>
      <c r="DG205" s="124"/>
      <c r="DH205" s="124"/>
      <c r="DI205" s="124"/>
      <c r="DJ205" s="124"/>
      <c r="DK205" s="124"/>
      <c r="DL205" s="124"/>
      <c r="DM205" s="124"/>
      <c r="DN205" s="124"/>
      <c r="DO205" s="124"/>
      <c r="DP205" s="124"/>
      <c r="DQ205" s="124"/>
      <c r="DR205" s="124"/>
      <c r="DS205" s="124"/>
      <c r="DT205" s="124"/>
      <c r="DU205" s="124"/>
      <c r="DV205" s="124"/>
      <c r="DW205" s="124"/>
      <c r="DX205" s="124"/>
      <c r="DY205" s="124"/>
      <c r="DZ205" s="124"/>
      <c r="EA205" s="124"/>
      <c r="EB205" s="124"/>
      <c r="EC205" s="124"/>
      <c r="ED205" s="124"/>
      <c r="EE205" s="124"/>
      <c r="EF205" s="124"/>
      <c r="EG205" s="124"/>
      <c r="EH205" s="124"/>
      <c r="EI205" s="124"/>
      <c r="EJ205" s="124"/>
      <c r="EK205" s="124"/>
      <c r="EL205" s="124"/>
      <c r="EM205" s="124"/>
      <c r="EN205" s="124"/>
      <c r="EO205" s="124"/>
      <c r="EP205" s="124"/>
      <c r="EQ205" s="124"/>
      <c r="ER205" s="124"/>
      <c r="ES205" s="124"/>
      <c r="ET205" s="124"/>
      <c r="EU205" s="124"/>
      <c r="EV205" s="124"/>
      <c r="EW205" s="124"/>
      <c r="EX205" s="124"/>
      <c r="EY205" s="124"/>
      <c r="EZ205" s="124"/>
      <c r="FA205" s="124"/>
      <c r="FB205" s="124"/>
      <c r="FC205" s="124"/>
      <c r="FD205" s="124"/>
      <c r="FE205" s="124"/>
      <c r="FF205" s="124"/>
      <c r="FG205" s="124"/>
      <c r="FH205" s="124"/>
      <c r="FI205" s="124"/>
      <c r="FJ205" s="124"/>
      <c r="FK205" s="124"/>
      <c r="FL205" s="124"/>
      <c r="FM205" s="124"/>
      <c r="FN205" s="124"/>
      <c r="FO205" s="124"/>
      <c r="FP205" s="124"/>
      <c r="FQ205" s="124"/>
      <c r="FR205" s="124"/>
      <c r="FS205" s="124"/>
      <c r="FT205" s="124"/>
      <c r="FU205" s="124"/>
      <c r="FV205" s="124"/>
      <c r="FW205" s="124"/>
      <c r="FX205" s="124"/>
      <c r="FY205" s="124"/>
      <c r="FZ205" s="124"/>
      <c r="GA205" s="124"/>
      <c r="GB205" s="124"/>
      <c r="GC205" s="124"/>
      <c r="GD205" s="124"/>
      <c r="GE205" s="124"/>
      <c r="GF205" s="124"/>
      <c r="GG205" s="124"/>
      <c r="GH205" s="124"/>
      <c r="GI205" s="124"/>
      <c r="GJ205" s="124"/>
      <c r="GK205" s="124"/>
      <c r="GL205" s="124"/>
      <c r="GM205" s="124"/>
      <c r="GN205" s="124"/>
      <c r="GO205" s="124"/>
      <c r="GP205" s="124"/>
      <c r="GQ205" s="124"/>
      <c r="GR205" s="124"/>
      <c r="GS205" s="124"/>
      <c r="GT205" s="124"/>
      <c r="GU205" s="124"/>
      <c r="GV205" s="124"/>
      <c r="GW205" s="124"/>
      <c r="GX205" s="124"/>
      <c r="GY205" s="124"/>
      <c r="GZ205" s="124"/>
      <c r="HA205" s="124"/>
      <c r="HB205" s="124"/>
      <c r="HC205" s="124"/>
      <c r="HD205" s="124"/>
      <c r="HE205" s="124"/>
      <c r="HF205" s="124"/>
      <c r="HG205" s="124"/>
      <c r="HH205" s="124"/>
      <c r="HI205" s="124"/>
      <c r="HJ205" s="124"/>
      <c r="HK205" s="124"/>
      <c r="HL205" s="124"/>
      <c r="HM205" s="124"/>
      <c r="HN205" s="124"/>
      <c r="HO205" s="124"/>
      <c r="HP205" s="124"/>
      <c r="HQ205" s="124"/>
    </row>
    <row r="206" spans="1:225" x14ac:dyDescent="0.2">
      <c r="A206" s="122" t="s">
        <v>837</v>
      </c>
      <c r="B206" s="123">
        <v>3</v>
      </c>
      <c r="C206" s="124" t="s">
        <v>365</v>
      </c>
      <c r="D206" s="123">
        <v>197</v>
      </c>
      <c r="E206" s="124" t="s">
        <v>361</v>
      </c>
      <c r="F206" s="123">
        <v>4</v>
      </c>
      <c r="G206" s="123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  <c r="AV206" s="124"/>
      <c r="AW206" s="124"/>
      <c r="AX206" s="124"/>
      <c r="AY206" s="124"/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  <c r="BJ206" s="124"/>
      <c r="BK206" s="124"/>
      <c r="BL206" s="124"/>
      <c r="BM206" s="124"/>
      <c r="BN206" s="124"/>
      <c r="BO206" s="124"/>
      <c r="BP206" s="124"/>
      <c r="BQ206" s="124"/>
      <c r="BR206" s="124"/>
      <c r="BS206" s="124"/>
      <c r="BT206" s="124"/>
      <c r="BU206" s="124"/>
      <c r="BV206" s="124"/>
      <c r="BW206" s="124"/>
      <c r="BX206" s="124"/>
      <c r="BY206" s="124"/>
      <c r="BZ206" s="124"/>
      <c r="CA206" s="124"/>
      <c r="CB206" s="124"/>
      <c r="CC206" s="124"/>
      <c r="CD206" s="124"/>
      <c r="CE206" s="124"/>
      <c r="CF206" s="124"/>
      <c r="CG206" s="124"/>
      <c r="CH206" s="124"/>
      <c r="CI206" s="124"/>
      <c r="CJ206" s="124"/>
      <c r="CK206" s="124"/>
      <c r="CL206" s="124"/>
      <c r="CM206" s="124"/>
      <c r="CN206" s="124"/>
      <c r="CO206" s="124"/>
      <c r="CP206" s="124"/>
      <c r="CQ206" s="124"/>
      <c r="CR206" s="124"/>
      <c r="CS206" s="124"/>
      <c r="CT206" s="124"/>
      <c r="CU206" s="124"/>
      <c r="CV206" s="124"/>
      <c r="CW206" s="124"/>
      <c r="CX206" s="124"/>
      <c r="CY206" s="124"/>
      <c r="CZ206" s="124"/>
      <c r="DA206" s="124"/>
      <c r="DB206" s="124"/>
      <c r="DC206" s="124"/>
      <c r="DD206" s="124"/>
      <c r="DE206" s="124"/>
      <c r="DF206" s="124"/>
      <c r="DG206" s="124"/>
      <c r="DH206" s="124"/>
      <c r="DI206" s="124"/>
      <c r="DJ206" s="124"/>
      <c r="DK206" s="124"/>
      <c r="DL206" s="124"/>
      <c r="DM206" s="124"/>
      <c r="DN206" s="124"/>
      <c r="DO206" s="124"/>
      <c r="DP206" s="124"/>
      <c r="DQ206" s="124"/>
      <c r="DR206" s="124"/>
      <c r="DS206" s="124"/>
      <c r="DT206" s="124"/>
      <c r="DU206" s="124"/>
      <c r="DV206" s="124"/>
      <c r="DW206" s="124"/>
      <c r="DX206" s="124"/>
      <c r="DY206" s="124"/>
      <c r="DZ206" s="124"/>
      <c r="EA206" s="124"/>
      <c r="EB206" s="124"/>
      <c r="EC206" s="124"/>
      <c r="ED206" s="124"/>
      <c r="EE206" s="124"/>
      <c r="EF206" s="124"/>
      <c r="EG206" s="124"/>
      <c r="EH206" s="124"/>
      <c r="EI206" s="124"/>
      <c r="EJ206" s="124"/>
      <c r="EK206" s="124"/>
      <c r="EL206" s="124"/>
      <c r="EM206" s="124"/>
      <c r="EN206" s="124"/>
      <c r="EO206" s="124"/>
      <c r="EP206" s="124"/>
      <c r="EQ206" s="124"/>
      <c r="ER206" s="124"/>
      <c r="ES206" s="124"/>
      <c r="ET206" s="124"/>
      <c r="EU206" s="124"/>
      <c r="EV206" s="124"/>
      <c r="EW206" s="124"/>
      <c r="EX206" s="124"/>
      <c r="EY206" s="124"/>
      <c r="EZ206" s="124"/>
      <c r="FA206" s="124"/>
      <c r="FB206" s="124"/>
      <c r="FC206" s="124"/>
      <c r="FD206" s="124"/>
      <c r="FE206" s="124"/>
      <c r="FF206" s="124"/>
      <c r="FG206" s="124"/>
      <c r="FH206" s="124"/>
      <c r="FI206" s="124"/>
      <c r="FJ206" s="124"/>
      <c r="FK206" s="124"/>
      <c r="FL206" s="124"/>
      <c r="FM206" s="124"/>
      <c r="FN206" s="124"/>
      <c r="FO206" s="124"/>
      <c r="FP206" s="124"/>
      <c r="FQ206" s="124"/>
      <c r="FR206" s="124"/>
      <c r="FS206" s="124"/>
      <c r="FT206" s="124"/>
      <c r="FU206" s="124"/>
      <c r="FV206" s="124"/>
      <c r="FW206" s="124"/>
      <c r="FX206" s="124"/>
      <c r="FY206" s="124"/>
      <c r="FZ206" s="124"/>
      <c r="GA206" s="124"/>
      <c r="GB206" s="124"/>
      <c r="GC206" s="124"/>
      <c r="GD206" s="124"/>
      <c r="GE206" s="124"/>
      <c r="GF206" s="124"/>
      <c r="GG206" s="124"/>
      <c r="GH206" s="124"/>
      <c r="GI206" s="124"/>
      <c r="GJ206" s="124"/>
      <c r="GK206" s="124"/>
      <c r="GL206" s="124"/>
      <c r="GM206" s="124"/>
      <c r="GN206" s="124"/>
      <c r="GO206" s="124"/>
      <c r="GP206" s="124"/>
      <c r="GQ206" s="124"/>
      <c r="GR206" s="124"/>
      <c r="GS206" s="124"/>
      <c r="GT206" s="124"/>
      <c r="GU206" s="124"/>
      <c r="GV206" s="124"/>
      <c r="GW206" s="124"/>
      <c r="GX206" s="124"/>
      <c r="GY206" s="124"/>
      <c r="GZ206" s="124"/>
      <c r="HA206" s="124"/>
      <c r="HB206" s="124"/>
      <c r="HC206" s="124"/>
      <c r="HD206" s="124"/>
      <c r="HE206" s="124"/>
      <c r="HF206" s="124"/>
      <c r="HG206" s="124"/>
      <c r="HH206" s="124"/>
      <c r="HI206" s="124"/>
      <c r="HJ206" s="124"/>
      <c r="HK206" s="124"/>
      <c r="HL206" s="124"/>
      <c r="HM206" s="124"/>
      <c r="HN206" s="124"/>
      <c r="HO206" s="124"/>
      <c r="HP206" s="124"/>
      <c r="HQ206" s="124"/>
    </row>
    <row r="207" spans="1:225" x14ac:dyDescent="0.2">
      <c r="A207" s="122" t="s">
        <v>838</v>
      </c>
      <c r="B207" s="123">
        <v>3</v>
      </c>
      <c r="C207" s="124" t="s">
        <v>366</v>
      </c>
      <c r="D207" s="123">
        <v>198</v>
      </c>
      <c r="E207" s="124" t="s">
        <v>361</v>
      </c>
      <c r="F207" s="123">
        <v>3</v>
      </c>
      <c r="G207" s="123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  <c r="BJ207" s="124"/>
      <c r="BK207" s="124"/>
      <c r="BL207" s="124"/>
      <c r="BM207" s="124"/>
      <c r="BN207" s="124"/>
      <c r="BO207" s="124"/>
      <c r="BP207" s="124"/>
      <c r="BQ207" s="124"/>
      <c r="BR207" s="124"/>
      <c r="BS207" s="124"/>
      <c r="BT207" s="124"/>
      <c r="BU207" s="124"/>
      <c r="BV207" s="124"/>
      <c r="BW207" s="124"/>
      <c r="BX207" s="124"/>
      <c r="BY207" s="124"/>
      <c r="BZ207" s="124"/>
      <c r="CA207" s="124"/>
      <c r="CB207" s="124"/>
      <c r="CC207" s="124"/>
      <c r="CD207" s="124"/>
      <c r="CE207" s="124"/>
      <c r="CF207" s="124"/>
      <c r="CG207" s="124"/>
      <c r="CH207" s="124"/>
      <c r="CI207" s="124"/>
      <c r="CJ207" s="124"/>
      <c r="CK207" s="124"/>
      <c r="CL207" s="124"/>
      <c r="CM207" s="124"/>
      <c r="CN207" s="124"/>
      <c r="CO207" s="124"/>
      <c r="CP207" s="124"/>
      <c r="CQ207" s="124"/>
      <c r="CR207" s="124"/>
      <c r="CS207" s="124"/>
      <c r="CT207" s="124"/>
      <c r="CU207" s="124"/>
      <c r="CV207" s="124"/>
      <c r="CW207" s="124"/>
      <c r="CX207" s="124"/>
      <c r="CY207" s="124"/>
      <c r="CZ207" s="124"/>
      <c r="DA207" s="124"/>
      <c r="DB207" s="124"/>
      <c r="DC207" s="124"/>
      <c r="DD207" s="124"/>
      <c r="DE207" s="124"/>
      <c r="DF207" s="124"/>
      <c r="DG207" s="124"/>
      <c r="DH207" s="124"/>
      <c r="DI207" s="124"/>
      <c r="DJ207" s="124"/>
      <c r="DK207" s="124"/>
      <c r="DL207" s="124"/>
      <c r="DM207" s="124"/>
      <c r="DN207" s="124"/>
      <c r="DO207" s="124"/>
      <c r="DP207" s="124"/>
      <c r="DQ207" s="124"/>
      <c r="DR207" s="124"/>
      <c r="DS207" s="124"/>
      <c r="DT207" s="124"/>
      <c r="DU207" s="124"/>
      <c r="DV207" s="124"/>
      <c r="DW207" s="124"/>
      <c r="DX207" s="124"/>
      <c r="DY207" s="124"/>
      <c r="DZ207" s="124"/>
      <c r="EA207" s="124"/>
      <c r="EB207" s="124"/>
      <c r="EC207" s="124"/>
      <c r="ED207" s="124"/>
      <c r="EE207" s="124"/>
      <c r="EF207" s="124"/>
      <c r="EG207" s="124"/>
      <c r="EH207" s="124"/>
      <c r="EI207" s="124"/>
      <c r="EJ207" s="124"/>
      <c r="EK207" s="124"/>
      <c r="EL207" s="124"/>
      <c r="EM207" s="124"/>
      <c r="EN207" s="124"/>
      <c r="EO207" s="124"/>
      <c r="EP207" s="124"/>
      <c r="EQ207" s="124"/>
      <c r="ER207" s="124"/>
      <c r="ES207" s="124"/>
      <c r="ET207" s="124"/>
      <c r="EU207" s="124"/>
      <c r="EV207" s="124"/>
      <c r="EW207" s="124"/>
      <c r="EX207" s="124"/>
      <c r="EY207" s="124"/>
      <c r="EZ207" s="124"/>
      <c r="FA207" s="124"/>
      <c r="FB207" s="124"/>
      <c r="FC207" s="124"/>
      <c r="FD207" s="124"/>
      <c r="FE207" s="124"/>
      <c r="FF207" s="124"/>
      <c r="FG207" s="124"/>
      <c r="FH207" s="124"/>
      <c r="FI207" s="124"/>
      <c r="FJ207" s="124"/>
      <c r="FK207" s="124"/>
      <c r="FL207" s="124"/>
      <c r="FM207" s="124"/>
      <c r="FN207" s="124"/>
      <c r="FO207" s="124"/>
      <c r="FP207" s="124"/>
      <c r="FQ207" s="124"/>
      <c r="FR207" s="124"/>
      <c r="FS207" s="124"/>
      <c r="FT207" s="124"/>
      <c r="FU207" s="124"/>
      <c r="FV207" s="124"/>
      <c r="FW207" s="124"/>
      <c r="FX207" s="124"/>
      <c r="FY207" s="124"/>
      <c r="FZ207" s="124"/>
      <c r="GA207" s="124"/>
      <c r="GB207" s="124"/>
      <c r="GC207" s="124"/>
      <c r="GD207" s="124"/>
      <c r="GE207" s="124"/>
      <c r="GF207" s="124"/>
      <c r="GG207" s="124"/>
      <c r="GH207" s="124"/>
      <c r="GI207" s="124"/>
      <c r="GJ207" s="124"/>
      <c r="GK207" s="124"/>
      <c r="GL207" s="124"/>
      <c r="GM207" s="124"/>
      <c r="GN207" s="124"/>
      <c r="GO207" s="124"/>
      <c r="GP207" s="124"/>
      <c r="GQ207" s="124"/>
      <c r="GR207" s="124"/>
      <c r="GS207" s="124"/>
      <c r="GT207" s="124"/>
      <c r="GU207" s="124"/>
      <c r="GV207" s="124"/>
      <c r="GW207" s="124"/>
      <c r="GX207" s="124"/>
      <c r="GY207" s="124"/>
      <c r="GZ207" s="124"/>
      <c r="HA207" s="124"/>
      <c r="HB207" s="124"/>
      <c r="HC207" s="124"/>
      <c r="HD207" s="124"/>
      <c r="HE207" s="124"/>
      <c r="HF207" s="124"/>
      <c r="HG207" s="124"/>
      <c r="HH207" s="124"/>
      <c r="HI207" s="124"/>
      <c r="HJ207" s="124"/>
      <c r="HK207" s="124"/>
      <c r="HL207" s="124"/>
      <c r="HM207" s="124"/>
      <c r="HN207" s="124"/>
      <c r="HO207" s="124"/>
      <c r="HP207" s="124"/>
      <c r="HQ207" s="124"/>
    </row>
    <row r="208" spans="1:225" x14ac:dyDescent="0.2">
      <c r="A208" s="122" t="s">
        <v>839</v>
      </c>
      <c r="B208" s="123">
        <v>4</v>
      </c>
      <c r="C208" s="124" t="s">
        <v>367</v>
      </c>
      <c r="D208" s="123">
        <v>199</v>
      </c>
      <c r="E208" s="124" t="s">
        <v>361</v>
      </c>
      <c r="F208" s="123">
        <v>4</v>
      </c>
      <c r="G208" s="123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  <c r="AV208" s="124"/>
      <c r="AW208" s="124"/>
      <c r="AX208" s="124"/>
      <c r="AY208" s="124"/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  <c r="BJ208" s="124"/>
      <c r="BK208" s="124"/>
      <c r="BL208" s="124"/>
      <c r="BM208" s="124"/>
      <c r="BN208" s="124"/>
      <c r="BO208" s="124"/>
      <c r="BP208" s="124"/>
      <c r="BQ208" s="124"/>
      <c r="BR208" s="124"/>
      <c r="BS208" s="124"/>
      <c r="BT208" s="124"/>
      <c r="BU208" s="124"/>
      <c r="BV208" s="124"/>
      <c r="BW208" s="124"/>
      <c r="BX208" s="124"/>
      <c r="BY208" s="124"/>
      <c r="BZ208" s="124"/>
      <c r="CA208" s="124"/>
      <c r="CB208" s="124"/>
      <c r="CC208" s="124"/>
      <c r="CD208" s="124"/>
      <c r="CE208" s="124"/>
      <c r="CF208" s="124"/>
      <c r="CG208" s="124"/>
      <c r="CH208" s="124"/>
      <c r="CI208" s="124"/>
      <c r="CJ208" s="124"/>
      <c r="CK208" s="124"/>
      <c r="CL208" s="124"/>
      <c r="CM208" s="124"/>
      <c r="CN208" s="124"/>
      <c r="CO208" s="124"/>
      <c r="CP208" s="124"/>
      <c r="CQ208" s="124"/>
      <c r="CR208" s="124"/>
      <c r="CS208" s="124"/>
      <c r="CT208" s="124"/>
      <c r="CU208" s="124"/>
      <c r="CV208" s="124"/>
      <c r="CW208" s="124"/>
      <c r="CX208" s="124"/>
      <c r="CY208" s="124"/>
      <c r="CZ208" s="124"/>
      <c r="DA208" s="124"/>
      <c r="DB208" s="124"/>
      <c r="DC208" s="124"/>
      <c r="DD208" s="124"/>
      <c r="DE208" s="124"/>
      <c r="DF208" s="124"/>
      <c r="DG208" s="124"/>
      <c r="DH208" s="124"/>
      <c r="DI208" s="124"/>
      <c r="DJ208" s="124"/>
      <c r="DK208" s="124"/>
      <c r="DL208" s="124"/>
      <c r="DM208" s="124"/>
      <c r="DN208" s="124"/>
      <c r="DO208" s="124"/>
      <c r="DP208" s="124"/>
      <c r="DQ208" s="124"/>
      <c r="DR208" s="124"/>
      <c r="DS208" s="124"/>
      <c r="DT208" s="124"/>
      <c r="DU208" s="124"/>
      <c r="DV208" s="124"/>
      <c r="DW208" s="124"/>
      <c r="DX208" s="124"/>
      <c r="DY208" s="124"/>
      <c r="DZ208" s="124"/>
      <c r="EA208" s="124"/>
      <c r="EB208" s="124"/>
      <c r="EC208" s="124"/>
      <c r="ED208" s="124"/>
      <c r="EE208" s="124"/>
      <c r="EF208" s="124"/>
      <c r="EG208" s="124"/>
      <c r="EH208" s="124"/>
      <c r="EI208" s="124"/>
      <c r="EJ208" s="124"/>
      <c r="EK208" s="124"/>
      <c r="EL208" s="124"/>
      <c r="EM208" s="124"/>
      <c r="EN208" s="124"/>
      <c r="EO208" s="124"/>
      <c r="EP208" s="124"/>
      <c r="EQ208" s="124"/>
      <c r="ER208" s="124"/>
      <c r="ES208" s="124"/>
      <c r="ET208" s="124"/>
      <c r="EU208" s="124"/>
      <c r="EV208" s="124"/>
      <c r="EW208" s="124"/>
      <c r="EX208" s="124"/>
      <c r="EY208" s="124"/>
      <c r="EZ208" s="124"/>
      <c r="FA208" s="124"/>
      <c r="FB208" s="124"/>
      <c r="FC208" s="124"/>
      <c r="FD208" s="124"/>
      <c r="FE208" s="124"/>
      <c r="FF208" s="124"/>
      <c r="FG208" s="124"/>
      <c r="FH208" s="124"/>
      <c r="FI208" s="124"/>
      <c r="FJ208" s="124"/>
      <c r="FK208" s="124"/>
      <c r="FL208" s="124"/>
      <c r="FM208" s="124"/>
      <c r="FN208" s="124"/>
      <c r="FO208" s="124"/>
      <c r="FP208" s="124"/>
      <c r="FQ208" s="124"/>
      <c r="FR208" s="124"/>
      <c r="FS208" s="124"/>
      <c r="FT208" s="124"/>
      <c r="FU208" s="124"/>
      <c r="FV208" s="124"/>
      <c r="FW208" s="124"/>
      <c r="FX208" s="124"/>
      <c r="FY208" s="124"/>
      <c r="FZ208" s="124"/>
      <c r="GA208" s="124"/>
      <c r="GB208" s="124"/>
      <c r="GC208" s="124"/>
      <c r="GD208" s="124"/>
      <c r="GE208" s="124"/>
      <c r="GF208" s="124"/>
      <c r="GG208" s="124"/>
      <c r="GH208" s="124"/>
      <c r="GI208" s="124"/>
      <c r="GJ208" s="124"/>
      <c r="GK208" s="124"/>
      <c r="GL208" s="124"/>
      <c r="GM208" s="124"/>
      <c r="GN208" s="124"/>
      <c r="GO208" s="124"/>
      <c r="GP208" s="124"/>
      <c r="GQ208" s="124"/>
      <c r="GR208" s="124"/>
      <c r="GS208" s="124"/>
      <c r="GT208" s="124"/>
      <c r="GU208" s="124"/>
      <c r="GV208" s="124"/>
      <c r="GW208" s="124"/>
      <c r="GX208" s="124"/>
      <c r="GY208" s="124"/>
      <c r="GZ208" s="124"/>
      <c r="HA208" s="124"/>
      <c r="HB208" s="124"/>
      <c r="HC208" s="124"/>
      <c r="HD208" s="124"/>
      <c r="HE208" s="124"/>
      <c r="HF208" s="124"/>
      <c r="HG208" s="124"/>
      <c r="HH208" s="124"/>
      <c r="HI208" s="124"/>
      <c r="HJ208" s="124"/>
      <c r="HK208" s="124"/>
      <c r="HL208" s="124"/>
      <c r="HM208" s="124"/>
      <c r="HN208" s="124"/>
      <c r="HO208" s="124"/>
      <c r="HP208" s="124"/>
      <c r="HQ208" s="124"/>
    </row>
    <row r="209" spans="1:225" x14ac:dyDescent="0.2">
      <c r="A209" s="122" t="s">
        <v>840</v>
      </c>
      <c r="B209" s="123">
        <v>4</v>
      </c>
      <c r="C209" s="124" t="s">
        <v>368</v>
      </c>
      <c r="D209" s="123">
        <v>200</v>
      </c>
      <c r="E209" s="124" t="s">
        <v>361</v>
      </c>
      <c r="F209" s="123">
        <v>3</v>
      </c>
      <c r="G209" s="123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124"/>
      <c r="AW209" s="124"/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  <c r="BJ209" s="124"/>
      <c r="BK209" s="124"/>
      <c r="BL209" s="124"/>
      <c r="BM209" s="124"/>
      <c r="BN209" s="124"/>
      <c r="BO209" s="124"/>
      <c r="BP209" s="124"/>
      <c r="BQ209" s="124"/>
      <c r="BR209" s="124"/>
      <c r="BS209" s="124"/>
      <c r="BT209" s="124"/>
      <c r="BU209" s="124"/>
      <c r="BV209" s="124"/>
      <c r="BW209" s="124"/>
      <c r="BX209" s="124"/>
      <c r="BY209" s="124"/>
      <c r="BZ209" s="124"/>
      <c r="CA209" s="124"/>
      <c r="CB209" s="124"/>
      <c r="CC209" s="124"/>
      <c r="CD209" s="124"/>
      <c r="CE209" s="124"/>
      <c r="CF209" s="124"/>
      <c r="CG209" s="124"/>
      <c r="CH209" s="124"/>
      <c r="CI209" s="124"/>
      <c r="CJ209" s="124"/>
      <c r="CK209" s="124"/>
      <c r="CL209" s="124"/>
      <c r="CM209" s="124"/>
      <c r="CN209" s="124"/>
      <c r="CO209" s="124"/>
      <c r="CP209" s="124"/>
      <c r="CQ209" s="124"/>
      <c r="CR209" s="124"/>
      <c r="CS209" s="124"/>
      <c r="CT209" s="124"/>
      <c r="CU209" s="124"/>
      <c r="CV209" s="124"/>
      <c r="CW209" s="124"/>
      <c r="CX209" s="124"/>
      <c r="CY209" s="124"/>
      <c r="CZ209" s="124"/>
      <c r="DA209" s="124"/>
      <c r="DB209" s="124"/>
      <c r="DC209" s="124"/>
      <c r="DD209" s="124"/>
      <c r="DE209" s="124"/>
      <c r="DF209" s="124"/>
      <c r="DG209" s="124"/>
      <c r="DH209" s="124"/>
      <c r="DI209" s="124"/>
      <c r="DJ209" s="124"/>
      <c r="DK209" s="124"/>
      <c r="DL209" s="124"/>
      <c r="DM209" s="124"/>
      <c r="DN209" s="124"/>
      <c r="DO209" s="124"/>
      <c r="DP209" s="124"/>
      <c r="DQ209" s="124"/>
      <c r="DR209" s="124"/>
      <c r="DS209" s="124"/>
      <c r="DT209" s="124"/>
      <c r="DU209" s="124"/>
      <c r="DV209" s="124"/>
      <c r="DW209" s="124"/>
      <c r="DX209" s="124"/>
      <c r="DY209" s="124"/>
      <c r="DZ209" s="124"/>
      <c r="EA209" s="124"/>
      <c r="EB209" s="124"/>
      <c r="EC209" s="124"/>
      <c r="ED209" s="124"/>
      <c r="EE209" s="124"/>
      <c r="EF209" s="124"/>
      <c r="EG209" s="124"/>
      <c r="EH209" s="124"/>
      <c r="EI209" s="124"/>
      <c r="EJ209" s="124"/>
      <c r="EK209" s="124"/>
      <c r="EL209" s="124"/>
      <c r="EM209" s="124"/>
      <c r="EN209" s="124"/>
      <c r="EO209" s="124"/>
      <c r="EP209" s="124"/>
      <c r="EQ209" s="124"/>
      <c r="ER209" s="124"/>
      <c r="ES209" s="124"/>
      <c r="ET209" s="124"/>
      <c r="EU209" s="124"/>
      <c r="EV209" s="124"/>
      <c r="EW209" s="124"/>
      <c r="EX209" s="124"/>
      <c r="EY209" s="124"/>
      <c r="EZ209" s="124"/>
      <c r="FA209" s="124"/>
      <c r="FB209" s="124"/>
      <c r="FC209" s="124"/>
      <c r="FD209" s="124"/>
      <c r="FE209" s="124"/>
      <c r="FF209" s="124"/>
      <c r="FG209" s="124"/>
      <c r="FH209" s="124"/>
      <c r="FI209" s="124"/>
      <c r="FJ209" s="124"/>
      <c r="FK209" s="124"/>
      <c r="FL209" s="124"/>
      <c r="FM209" s="124"/>
      <c r="FN209" s="124"/>
      <c r="FO209" s="124"/>
      <c r="FP209" s="124"/>
      <c r="FQ209" s="124"/>
      <c r="FR209" s="124"/>
      <c r="FS209" s="124"/>
      <c r="FT209" s="124"/>
      <c r="FU209" s="124"/>
      <c r="FV209" s="124"/>
      <c r="FW209" s="124"/>
      <c r="FX209" s="124"/>
      <c r="FY209" s="124"/>
      <c r="FZ209" s="124"/>
      <c r="GA209" s="124"/>
      <c r="GB209" s="124"/>
      <c r="GC209" s="124"/>
      <c r="GD209" s="124"/>
      <c r="GE209" s="124"/>
      <c r="GF209" s="124"/>
      <c r="GG209" s="124"/>
      <c r="GH209" s="124"/>
      <c r="GI209" s="124"/>
      <c r="GJ209" s="124"/>
      <c r="GK209" s="124"/>
      <c r="GL209" s="124"/>
      <c r="GM209" s="124"/>
      <c r="GN209" s="124"/>
      <c r="GO209" s="124"/>
      <c r="GP209" s="124"/>
      <c r="GQ209" s="124"/>
      <c r="GR209" s="124"/>
      <c r="GS209" s="124"/>
      <c r="GT209" s="124"/>
      <c r="GU209" s="124"/>
      <c r="GV209" s="124"/>
      <c r="GW209" s="124"/>
      <c r="GX209" s="124"/>
      <c r="GY209" s="124"/>
      <c r="GZ209" s="124"/>
      <c r="HA209" s="124"/>
      <c r="HB209" s="124"/>
      <c r="HC209" s="124"/>
      <c r="HD209" s="124"/>
      <c r="HE209" s="124"/>
      <c r="HF209" s="124"/>
      <c r="HG209" s="124"/>
      <c r="HH209" s="124"/>
      <c r="HI209" s="124"/>
      <c r="HJ209" s="124"/>
      <c r="HK209" s="124"/>
      <c r="HL209" s="124"/>
      <c r="HM209" s="124"/>
      <c r="HN209" s="124"/>
      <c r="HO209" s="124"/>
      <c r="HP209" s="124"/>
      <c r="HQ209" s="124"/>
    </row>
    <row r="210" spans="1:225" x14ac:dyDescent="0.2">
      <c r="A210" s="122" t="s">
        <v>841</v>
      </c>
      <c r="B210" s="123">
        <v>5</v>
      </c>
      <c r="C210" s="124" t="s">
        <v>369</v>
      </c>
      <c r="D210" s="123">
        <v>201</v>
      </c>
      <c r="E210" s="124" t="s">
        <v>361</v>
      </c>
      <c r="F210" s="123">
        <v>4</v>
      </c>
      <c r="G210" s="123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  <c r="BJ210" s="124"/>
      <c r="BK210" s="124"/>
      <c r="BL210" s="124"/>
      <c r="BM210" s="124"/>
      <c r="BN210" s="124"/>
      <c r="BO210" s="124"/>
      <c r="BP210" s="124"/>
      <c r="BQ210" s="124"/>
      <c r="BR210" s="124"/>
      <c r="BS210" s="124"/>
      <c r="BT210" s="124"/>
      <c r="BU210" s="124"/>
      <c r="BV210" s="124"/>
      <c r="BW210" s="124"/>
      <c r="BX210" s="124"/>
      <c r="BY210" s="124"/>
      <c r="BZ210" s="124"/>
      <c r="CA210" s="124"/>
      <c r="CB210" s="124"/>
      <c r="CC210" s="124"/>
      <c r="CD210" s="124"/>
      <c r="CE210" s="124"/>
      <c r="CF210" s="124"/>
      <c r="CG210" s="124"/>
      <c r="CH210" s="124"/>
      <c r="CI210" s="124"/>
      <c r="CJ210" s="124"/>
      <c r="CK210" s="124"/>
      <c r="CL210" s="124"/>
      <c r="CM210" s="124"/>
      <c r="CN210" s="124"/>
      <c r="CO210" s="124"/>
      <c r="CP210" s="124"/>
      <c r="CQ210" s="124"/>
      <c r="CR210" s="124"/>
      <c r="CS210" s="124"/>
      <c r="CT210" s="124"/>
      <c r="CU210" s="124"/>
      <c r="CV210" s="124"/>
      <c r="CW210" s="124"/>
      <c r="CX210" s="124"/>
      <c r="CY210" s="124"/>
      <c r="CZ210" s="124"/>
      <c r="DA210" s="124"/>
      <c r="DB210" s="124"/>
      <c r="DC210" s="124"/>
      <c r="DD210" s="124"/>
      <c r="DE210" s="124"/>
      <c r="DF210" s="124"/>
      <c r="DG210" s="124"/>
      <c r="DH210" s="124"/>
      <c r="DI210" s="124"/>
      <c r="DJ210" s="124"/>
      <c r="DK210" s="124"/>
      <c r="DL210" s="124"/>
      <c r="DM210" s="124"/>
      <c r="DN210" s="124"/>
      <c r="DO210" s="124"/>
      <c r="DP210" s="124"/>
      <c r="DQ210" s="124"/>
      <c r="DR210" s="124"/>
      <c r="DS210" s="124"/>
      <c r="DT210" s="124"/>
      <c r="DU210" s="124"/>
      <c r="DV210" s="124"/>
      <c r="DW210" s="124"/>
      <c r="DX210" s="124"/>
      <c r="DY210" s="124"/>
      <c r="DZ210" s="124"/>
      <c r="EA210" s="124"/>
      <c r="EB210" s="124"/>
      <c r="EC210" s="124"/>
      <c r="ED210" s="124"/>
      <c r="EE210" s="124"/>
      <c r="EF210" s="124"/>
      <c r="EG210" s="124"/>
      <c r="EH210" s="124"/>
      <c r="EI210" s="124"/>
      <c r="EJ210" s="124"/>
      <c r="EK210" s="124"/>
      <c r="EL210" s="124"/>
      <c r="EM210" s="124"/>
      <c r="EN210" s="124"/>
      <c r="EO210" s="124"/>
      <c r="EP210" s="124"/>
      <c r="EQ210" s="124"/>
      <c r="ER210" s="124"/>
      <c r="ES210" s="124"/>
      <c r="ET210" s="124"/>
      <c r="EU210" s="124"/>
      <c r="EV210" s="124"/>
      <c r="EW210" s="124"/>
      <c r="EX210" s="124"/>
      <c r="EY210" s="124"/>
      <c r="EZ210" s="124"/>
      <c r="FA210" s="124"/>
      <c r="FB210" s="124"/>
      <c r="FC210" s="124"/>
      <c r="FD210" s="124"/>
      <c r="FE210" s="124"/>
      <c r="FF210" s="124"/>
      <c r="FG210" s="124"/>
      <c r="FH210" s="124"/>
      <c r="FI210" s="124"/>
      <c r="FJ210" s="124"/>
      <c r="FK210" s="124"/>
      <c r="FL210" s="124"/>
      <c r="FM210" s="124"/>
      <c r="FN210" s="124"/>
      <c r="FO210" s="124"/>
      <c r="FP210" s="124"/>
      <c r="FQ210" s="124"/>
      <c r="FR210" s="124"/>
      <c r="FS210" s="124"/>
      <c r="FT210" s="124"/>
      <c r="FU210" s="124"/>
      <c r="FV210" s="124"/>
      <c r="FW210" s="124"/>
      <c r="FX210" s="124"/>
      <c r="FY210" s="124"/>
      <c r="FZ210" s="124"/>
      <c r="GA210" s="124"/>
      <c r="GB210" s="124"/>
      <c r="GC210" s="124"/>
      <c r="GD210" s="124"/>
      <c r="GE210" s="124"/>
      <c r="GF210" s="124"/>
      <c r="GG210" s="124"/>
      <c r="GH210" s="124"/>
      <c r="GI210" s="124"/>
      <c r="GJ210" s="124"/>
      <c r="GK210" s="124"/>
      <c r="GL210" s="124"/>
      <c r="GM210" s="124"/>
      <c r="GN210" s="124"/>
      <c r="GO210" s="124"/>
      <c r="GP210" s="124"/>
      <c r="GQ210" s="124"/>
      <c r="GR210" s="124"/>
      <c r="GS210" s="124"/>
      <c r="GT210" s="124"/>
      <c r="GU210" s="124"/>
      <c r="GV210" s="124"/>
      <c r="GW210" s="124"/>
      <c r="GX210" s="124"/>
      <c r="GY210" s="124"/>
      <c r="GZ210" s="124"/>
      <c r="HA210" s="124"/>
      <c r="HB210" s="124"/>
      <c r="HC210" s="124"/>
      <c r="HD210" s="124"/>
      <c r="HE210" s="124"/>
      <c r="HF210" s="124"/>
      <c r="HG210" s="124"/>
      <c r="HH210" s="124"/>
      <c r="HI210" s="124"/>
      <c r="HJ210" s="124"/>
      <c r="HK210" s="124"/>
      <c r="HL210" s="124"/>
      <c r="HM210" s="124"/>
      <c r="HN210" s="124"/>
      <c r="HO210" s="124"/>
      <c r="HP210" s="124"/>
      <c r="HQ210" s="124"/>
    </row>
    <row r="211" spans="1:225" x14ac:dyDescent="0.2">
      <c r="A211" s="122" t="s">
        <v>842</v>
      </c>
      <c r="B211" s="123">
        <v>5</v>
      </c>
      <c r="C211" s="124" t="s">
        <v>370</v>
      </c>
      <c r="D211" s="123">
        <v>202</v>
      </c>
      <c r="E211" s="124" t="s">
        <v>361</v>
      </c>
      <c r="F211" s="123">
        <v>4</v>
      </c>
      <c r="G211" s="123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  <c r="BJ211" s="124"/>
      <c r="BK211" s="124"/>
      <c r="BL211" s="124"/>
      <c r="BM211" s="124"/>
      <c r="BN211" s="124"/>
      <c r="BO211" s="124"/>
      <c r="BP211" s="124"/>
      <c r="BQ211" s="124"/>
      <c r="BR211" s="124"/>
      <c r="BS211" s="124"/>
      <c r="BT211" s="124"/>
      <c r="BU211" s="124"/>
      <c r="BV211" s="124"/>
      <c r="BW211" s="124"/>
      <c r="BX211" s="124"/>
      <c r="BY211" s="124"/>
      <c r="BZ211" s="124"/>
      <c r="CA211" s="124"/>
      <c r="CB211" s="124"/>
      <c r="CC211" s="124"/>
      <c r="CD211" s="124"/>
      <c r="CE211" s="124"/>
      <c r="CF211" s="124"/>
      <c r="CG211" s="124"/>
      <c r="CH211" s="124"/>
      <c r="CI211" s="124"/>
      <c r="CJ211" s="124"/>
      <c r="CK211" s="124"/>
      <c r="CL211" s="124"/>
      <c r="CM211" s="124"/>
      <c r="CN211" s="124"/>
      <c r="CO211" s="124"/>
      <c r="CP211" s="124"/>
      <c r="CQ211" s="124"/>
      <c r="CR211" s="124"/>
      <c r="CS211" s="124"/>
      <c r="CT211" s="124"/>
      <c r="CU211" s="124"/>
      <c r="CV211" s="124"/>
      <c r="CW211" s="124"/>
      <c r="CX211" s="124"/>
      <c r="CY211" s="124"/>
      <c r="CZ211" s="124"/>
      <c r="DA211" s="124"/>
      <c r="DB211" s="124"/>
      <c r="DC211" s="124"/>
      <c r="DD211" s="124"/>
      <c r="DE211" s="124"/>
      <c r="DF211" s="124"/>
      <c r="DG211" s="124"/>
      <c r="DH211" s="124"/>
      <c r="DI211" s="124"/>
      <c r="DJ211" s="124"/>
      <c r="DK211" s="124"/>
      <c r="DL211" s="124"/>
      <c r="DM211" s="124"/>
      <c r="DN211" s="124"/>
      <c r="DO211" s="124"/>
      <c r="DP211" s="124"/>
      <c r="DQ211" s="124"/>
      <c r="DR211" s="124"/>
      <c r="DS211" s="124"/>
      <c r="DT211" s="124"/>
      <c r="DU211" s="124"/>
      <c r="DV211" s="124"/>
      <c r="DW211" s="124"/>
      <c r="DX211" s="124"/>
      <c r="DY211" s="124"/>
      <c r="DZ211" s="124"/>
      <c r="EA211" s="124"/>
      <c r="EB211" s="124"/>
      <c r="EC211" s="124"/>
      <c r="ED211" s="124"/>
      <c r="EE211" s="124"/>
      <c r="EF211" s="124"/>
      <c r="EG211" s="124"/>
      <c r="EH211" s="124"/>
      <c r="EI211" s="124"/>
      <c r="EJ211" s="124"/>
      <c r="EK211" s="124"/>
      <c r="EL211" s="124"/>
      <c r="EM211" s="124"/>
      <c r="EN211" s="124"/>
      <c r="EO211" s="124"/>
      <c r="EP211" s="124"/>
      <c r="EQ211" s="124"/>
      <c r="ER211" s="124"/>
      <c r="ES211" s="124"/>
      <c r="ET211" s="124"/>
      <c r="EU211" s="124"/>
      <c r="EV211" s="124"/>
      <c r="EW211" s="124"/>
      <c r="EX211" s="124"/>
      <c r="EY211" s="124"/>
      <c r="EZ211" s="124"/>
      <c r="FA211" s="124"/>
      <c r="FB211" s="124"/>
      <c r="FC211" s="124"/>
      <c r="FD211" s="124"/>
      <c r="FE211" s="124"/>
      <c r="FF211" s="124"/>
      <c r="FG211" s="124"/>
      <c r="FH211" s="124"/>
      <c r="FI211" s="124"/>
      <c r="FJ211" s="124"/>
      <c r="FK211" s="124"/>
      <c r="FL211" s="124"/>
      <c r="FM211" s="124"/>
      <c r="FN211" s="124"/>
      <c r="FO211" s="124"/>
      <c r="FP211" s="124"/>
      <c r="FQ211" s="124"/>
      <c r="FR211" s="124"/>
      <c r="FS211" s="124"/>
      <c r="FT211" s="124"/>
      <c r="FU211" s="124"/>
      <c r="FV211" s="124"/>
      <c r="FW211" s="124"/>
      <c r="FX211" s="124"/>
      <c r="FY211" s="124"/>
      <c r="FZ211" s="124"/>
      <c r="GA211" s="124"/>
      <c r="GB211" s="124"/>
      <c r="GC211" s="124"/>
      <c r="GD211" s="124"/>
      <c r="GE211" s="124"/>
      <c r="GF211" s="124"/>
      <c r="GG211" s="124"/>
      <c r="GH211" s="124"/>
      <c r="GI211" s="124"/>
      <c r="GJ211" s="124"/>
      <c r="GK211" s="124"/>
      <c r="GL211" s="124"/>
      <c r="GM211" s="124"/>
      <c r="GN211" s="124"/>
      <c r="GO211" s="124"/>
      <c r="GP211" s="124"/>
      <c r="GQ211" s="124"/>
      <c r="GR211" s="124"/>
      <c r="GS211" s="124"/>
      <c r="GT211" s="124"/>
      <c r="GU211" s="124"/>
      <c r="GV211" s="124"/>
      <c r="GW211" s="124"/>
      <c r="GX211" s="124"/>
      <c r="GY211" s="124"/>
      <c r="GZ211" s="124"/>
      <c r="HA211" s="124"/>
      <c r="HB211" s="124"/>
      <c r="HC211" s="124"/>
      <c r="HD211" s="124"/>
      <c r="HE211" s="124"/>
      <c r="HF211" s="124"/>
      <c r="HG211" s="124"/>
      <c r="HH211" s="124"/>
      <c r="HI211" s="124"/>
      <c r="HJ211" s="124"/>
      <c r="HK211" s="124"/>
      <c r="HL211" s="124"/>
      <c r="HM211" s="124"/>
      <c r="HN211" s="124"/>
      <c r="HO211" s="124"/>
      <c r="HP211" s="124"/>
      <c r="HQ211" s="124"/>
    </row>
    <row r="212" spans="1:225" x14ac:dyDescent="0.2">
      <c r="A212" s="122" t="s">
        <v>843</v>
      </c>
      <c r="B212" s="123">
        <v>6</v>
      </c>
      <c r="C212" s="124" t="s">
        <v>371</v>
      </c>
      <c r="D212" s="123">
        <v>203</v>
      </c>
      <c r="E212" s="124" t="s">
        <v>361</v>
      </c>
      <c r="F212" s="123">
        <v>4</v>
      </c>
      <c r="G212" s="123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  <c r="AV212" s="124"/>
      <c r="AW212" s="124"/>
      <c r="AX212" s="124"/>
      <c r="AY212" s="124"/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  <c r="BJ212" s="124"/>
      <c r="BK212" s="124"/>
      <c r="BL212" s="124"/>
      <c r="BM212" s="124"/>
      <c r="BN212" s="124"/>
      <c r="BO212" s="124"/>
      <c r="BP212" s="124"/>
      <c r="BQ212" s="124"/>
      <c r="BR212" s="124"/>
      <c r="BS212" s="124"/>
      <c r="BT212" s="124"/>
      <c r="BU212" s="124"/>
      <c r="BV212" s="124"/>
      <c r="BW212" s="124"/>
      <c r="BX212" s="124"/>
      <c r="BY212" s="124"/>
      <c r="BZ212" s="124"/>
      <c r="CA212" s="124"/>
      <c r="CB212" s="124"/>
      <c r="CC212" s="124"/>
      <c r="CD212" s="124"/>
      <c r="CE212" s="124"/>
      <c r="CF212" s="124"/>
      <c r="CG212" s="124"/>
      <c r="CH212" s="124"/>
      <c r="CI212" s="124"/>
      <c r="CJ212" s="124"/>
      <c r="CK212" s="124"/>
      <c r="CL212" s="124"/>
      <c r="CM212" s="124"/>
      <c r="CN212" s="124"/>
      <c r="CO212" s="124"/>
      <c r="CP212" s="124"/>
      <c r="CQ212" s="124"/>
      <c r="CR212" s="124"/>
      <c r="CS212" s="124"/>
      <c r="CT212" s="124"/>
      <c r="CU212" s="124"/>
      <c r="CV212" s="124"/>
      <c r="CW212" s="124"/>
      <c r="CX212" s="124"/>
      <c r="CY212" s="124"/>
      <c r="CZ212" s="124"/>
      <c r="DA212" s="124"/>
      <c r="DB212" s="124"/>
      <c r="DC212" s="124"/>
      <c r="DD212" s="124"/>
      <c r="DE212" s="124"/>
      <c r="DF212" s="124"/>
      <c r="DG212" s="124"/>
      <c r="DH212" s="124"/>
      <c r="DI212" s="124"/>
      <c r="DJ212" s="124"/>
      <c r="DK212" s="124"/>
      <c r="DL212" s="124"/>
      <c r="DM212" s="124"/>
      <c r="DN212" s="124"/>
      <c r="DO212" s="124"/>
      <c r="DP212" s="124"/>
      <c r="DQ212" s="124"/>
      <c r="DR212" s="124"/>
      <c r="DS212" s="124"/>
      <c r="DT212" s="124"/>
      <c r="DU212" s="124"/>
      <c r="DV212" s="124"/>
      <c r="DW212" s="124"/>
      <c r="DX212" s="124"/>
      <c r="DY212" s="124"/>
      <c r="DZ212" s="124"/>
      <c r="EA212" s="124"/>
      <c r="EB212" s="124"/>
      <c r="EC212" s="124"/>
      <c r="ED212" s="124"/>
      <c r="EE212" s="124"/>
      <c r="EF212" s="124"/>
      <c r="EG212" s="124"/>
      <c r="EH212" s="124"/>
      <c r="EI212" s="124"/>
      <c r="EJ212" s="124"/>
      <c r="EK212" s="124"/>
      <c r="EL212" s="124"/>
      <c r="EM212" s="124"/>
      <c r="EN212" s="124"/>
      <c r="EO212" s="124"/>
      <c r="EP212" s="124"/>
      <c r="EQ212" s="124"/>
      <c r="ER212" s="124"/>
      <c r="ES212" s="124"/>
      <c r="ET212" s="124"/>
      <c r="EU212" s="124"/>
      <c r="EV212" s="124"/>
      <c r="EW212" s="124"/>
      <c r="EX212" s="124"/>
      <c r="EY212" s="124"/>
      <c r="EZ212" s="124"/>
      <c r="FA212" s="124"/>
      <c r="FB212" s="124"/>
      <c r="FC212" s="124"/>
      <c r="FD212" s="124"/>
      <c r="FE212" s="124"/>
      <c r="FF212" s="124"/>
      <c r="FG212" s="124"/>
      <c r="FH212" s="124"/>
      <c r="FI212" s="124"/>
      <c r="FJ212" s="124"/>
      <c r="FK212" s="124"/>
      <c r="FL212" s="124"/>
      <c r="FM212" s="124"/>
      <c r="FN212" s="124"/>
      <c r="FO212" s="124"/>
      <c r="FP212" s="124"/>
      <c r="FQ212" s="124"/>
      <c r="FR212" s="124"/>
      <c r="FS212" s="124"/>
      <c r="FT212" s="124"/>
      <c r="FU212" s="124"/>
      <c r="FV212" s="124"/>
      <c r="FW212" s="124"/>
      <c r="FX212" s="124"/>
      <c r="FY212" s="124"/>
      <c r="FZ212" s="124"/>
      <c r="GA212" s="124"/>
      <c r="GB212" s="124"/>
      <c r="GC212" s="124"/>
      <c r="GD212" s="124"/>
      <c r="GE212" s="124"/>
      <c r="GF212" s="124"/>
      <c r="GG212" s="124"/>
      <c r="GH212" s="124"/>
      <c r="GI212" s="124"/>
      <c r="GJ212" s="124"/>
      <c r="GK212" s="124"/>
      <c r="GL212" s="124"/>
      <c r="GM212" s="124"/>
      <c r="GN212" s="124"/>
      <c r="GO212" s="124"/>
      <c r="GP212" s="124"/>
      <c r="GQ212" s="124"/>
      <c r="GR212" s="124"/>
      <c r="GS212" s="124"/>
      <c r="GT212" s="124"/>
      <c r="GU212" s="124"/>
      <c r="GV212" s="124"/>
      <c r="GW212" s="124"/>
      <c r="GX212" s="124"/>
      <c r="GY212" s="124"/>
      <c r="GZ212" s="124"/>
      <c r="HA212" s="124"/>
      <c r="HB212" s="124"/>
      <c r="HC212" s="124"/>
      <c r="HD212" s="124"/>
      <c r="HE212" s="124"/>
      <c r="HF212" s="124"/>
      <c r="HG212" s="124"/>
      <c r="HH212" s="124"/>
      <c r="HI212" s="124"/>
      <c r="HJ212" s="124"/>
      <c r="HK212" s="124"/>
      <c r="HL212" s="124"/>
      <c r="HM212" s="124"/>
      <c r="HN212" s="124"/>
      <c r="HO212" s="124"/>
      <c r="HP212" s="124"/>
      <c r="HQ212" s="124"/>
    </row>
    <row r="213" spans="1:225" x14ac:dyDescent="0.2">
      <c r="A213" s="122" t="s">
        <v>844</v>
      </c>
      <c r="B213" s="123">
        <v>6</v>
      </c>
      <c r="C213" s="124" t="s">
        <v>372</v>
      </c>
      <c r="D213" s="123">
        <v>204</v>
      </c>
      <c r="E213" s="124" t="s">
        <v>361</v>
      </c>
      <c r="F213" s="123">
        <v>4</v>
      </c>
      <c r="G213" s="123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124"/>
      <c r="AW213" s="124"/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  <c r="BJ213" s="124"/>
      <c r="BK213" s="124"/>
      <c r="BL213" s="124"/>
      <c r="BM213" s="124"/>
      <c r="BN213" s="124"/>
      <c r="BO213" s="124"/>
      <c r="BP213" s="124"/>
      <c r="BQ213" s="124"/>
      <c r="BR213" s="124"/>
      <c r="BS213" s="124"/>
      <c r="BT213" s="124"/>
      <c r="BU213" s="124"/>
      <c r="BV213" s="124"/>
      <c r="BW213" s="124"/>
      <c r="BX213" s="124"/>
      <c r="BY213" s="124"/>
      <c r="BZ213" s="124"/>
      <c r="CA213" s="124"/>
      <c r="CB213" s="124"/>
      <c r="CC213" s="124"/>
      <c r="CD213" s="124"/>
      <c r="CE213" s="124"/>
      <c r="CF213" s="124"/>
      <c r="CG213" s="124"/>
      <c r="CH213" s="124"/>
      <c r="CI213" s="124"/>
      <c r="CJ213" s="124"/>
      <c r="CK213" s="124"/>
      <c r="CL213" s="124"/>
      <c r="CM213" s="124"/>
      <c r="CN213" s="124"/>
      <c r="CO213" s="124"/>
      <c r="CP213" s="124"/>
      <c r="CQ213" s="124"/>
      <c r="CR213" s="124"/>
      <c r="CS213" s="124"/>
      <c r="CT213" s="124"/>
      <c r="CU213" s="124"/>
      <c r="CV213" s="124"/>
      <c r="CW213" s="124"/>
      <c r="CX213" s="124"/>
      <c r="CY213" s="124"/>
      <c r="CZ213" s="124"/>
      <c r="DA213" s="124"/>
      <c r="DB213" s="124"/>
      <c r="DC213" s="124"/>
      <c r="DD213" s="124"/>
      <c r="DE213" s="124"/>
      <c r="DF213" s="124"/>
      <c r="DG213" s="124"/>
      <c r="DH213" s="124"/>
      <c r="DI213" s="124"/>
      <c r="DJ213" s="124"/>
      <c r="DK213" s="124"/>
      <c r="DL213" s="124"/>
      <c r="DM213" s="124"/>
      <c r="DN213" s="124"/>
      <c r="DO213" s="124"/>
      <c r="DP213" s="124"/>
      <c r="DQ213" s="124"/>
      <c r="DR213" s="124"/>
      <c r="DS213" s="124"/>
      <c r="DT213" s="124"/>
      <c r="DU213" s="124"/>
      <c r="DV213" s="124"/>
      <c r="DW213" s="124"/>
      <c r="DX213" s="124"/>
      <c r="DY213" s="124"/>
      <c r="DZ213" s="124"/>
      <c r="EA213" s="124"/>
      <c r="EB213" s="124"/>
      <c r="EC213" s="124"/>
      <c r="ED213" s="124"/>
      <c r="EE213" s="124"/>
      <c r="EF213" s="124"/>
      <c r="EG213" s="124"/>
      <c r="EH213" s="124"/>
      <c r="EI213" s="124"/>
      <c r="EJ213" s="124"/>
      <c r="EK213" s="124"/>
      <c r="EL213" s="124"/>
      <c r="EM213" s="124"/>
      <c r="EN213" s="124"/>
      <c r="EO213" s="124"/>
      <c r="EP213" s="124"/>
      <c r="EQ213" s="124"/>
      <c r="ER213" s="124"/>
      <c r="ES213" s="124"/>
      <c r="ET213" s="124"/>
      <c r="EU213" s="124"/>
      <c r="EV213" s="124"/>
      <c r="EW213" s="124"/>
      <c r="EX213" s="124"/>
      <c r="EY213" s="124"/>
      <c r="EZ213" s="124"/>
      <c r="FA213" s="124"/>
      <c r="FB213" s="124"/>
      <c r="FC213" s="124"/>
      <c r="FD213" s="124"/>
      <c r="FE213" s="124"/>
      <c r="FF213" s="124"/>
      <c r="FG213" s="124"/>
      <c r="FH213" s="124"/>
      <c r="FI213" s="124"/>
      <c r="FJ213" s="124"/>
      <c r="FK213" s="124"/>
      <c r="FL213" s="124"/>
      <c r="FM213" s="124"/>
      <c r="FN213" s="124"/>
      <c r="FO213" s="124"/>
      <c r="FP213" s="124"/>
      <c r="FQ213" s="124"/>
      <c r="FR213" s="124"/>
      <c r="FS213" s="124"/>
      <c r="FT213" s="124"/>
      <c r="FU213" s="124"/>
      <c r="FV213" s="124"/>
      <c r="FW213" s="124"/>
      <c r="FX213" s="124"/>
      <c r="FY213" s="124"/>
      <c r="FZ213" s="124"/>
      <c r="GA213" s="124"/>
      <c r="GB213" s="124"/>
      <c r="GC213" s="124"/>
      <c r="GD213" s="124"/>
      <c r="GE213" s="124"/>
      <c r="GF213" s="124"/>
      <c r="GG213" s="124"/>
      <c r="GH213" s="124"/>
      <c r="GI213" s="124"/>
      <c r="GJ213" s="124"/>
      <c r="GK213" s="124"/>
      <c r="GL213" s="124"/>
      <c r="GM213" s="124"/>
      <c r="GN213" s="124"/>
      <c r="GO213" s="124"/>
      <c r="GP213" s="124"/>
      <c r="GQ213" s="124"/>
      <c r="GR213" s="124"/>
      <c r="GS213" s="124"/>
      <c r="GT213" s="124"/>
      <c r="GU213" s="124"/>
      <c r="GV213" s="124"/>
      <c r="GW213" s="124"/>
      <c r="GX213" s="124"/>
      <c r="GY213" s="124"/>
      <c r="GZ213" s="124"/>
      <c r="HA213" s="124"/>
      <c r="HB213" s="124"/>
      <c r="HC213" s="124"/>
      <c r="HD213" s="124"/>
      <c r="HE213" s="124"/>
      <c r="HF213" s="124"/>
      <c r="HG213" s="124"/>
      <c r="HH213" s="124"/>
      <c r="HI213" s="124"/>
      <c r="HJ213" s="124"/>
      <c r="HK213" s="124"/>
      <c r="HL213" s="124"/>
      <c r="HM213" s="124"/>
      <c r="HN213" s="124"/>
      <c r="HO213" s="124"/>
      <c r="HP213" s="124"/>
      <c r="HQ213" s="124"/>
    </row>
    <row r="214" spans="1:225" x14ac:dyDescent="0.2">
      <c r="A214" s="122" t="s">
        <v>845</v>
      </c>
      <c r="B214" s="123">
        <v>7</v>
      </c>
      <c r="C214" s="124" t="s">
        <v>373</v>
      </c>
      <c r="D214" s="123">
        <v>205</v>
      </c>
      <c r="E214" s="124" t="s">
        <v>361</v>
      </c>
      <c r="F214" s="123">
        <v>2</v>
      </c>
      <c r="G214" s="123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  <c r="BJ214" s="124"/>
      <c r="BK214" s="124"/>
      <c r="BL214" s="124"/>
      <c r="BM214" s="124"/>
      <c r="BN214" s="124"/>
      <c r="BO214" s="124"/>
      <c r="BP214" s="124"/>
      <c r="BQ214" s="124"/>
      <c r="BR214" s="124"/>
      <c r="BS214" s="124"/>
      <c r="BT214" s="124"/>
      <c r="BU214" s="124"/>
      <c r="BV214" s="124"/>
      <c r="BW214" s="124"/>
      <c r="BX214" s="124"/>
      <c r="BY214" s="124"/>
      <c r="BZ214" s="124"/>
      <c r="CA214" s="124"/>
      <c r="CB214" s="124"/>
      <c r="CC214" s="124"/>
      <c r="CD214" s="124"/>
      <c r="CE214" s="124"/>
      <c r="CF214" s="124"/>
      <c r="CG214" s="124"/>
      <c r="CH214" s="124"/>
      <c r="CI214" s="124"/>
      <c r="CJ214" s="124"/>
      <c r="CK214" s="124"/>
      <c r="CL214" s="124"/>
      <c r="CM214" s="124"/>
      <c r="CN214" s="124"/>
      <c r="CO214" s="124"/>
      <c r="CP214" s="124"/>
      <c r="CQ214" s="124"/>
      <c r="CR214" s="124"/>
      <c r="CS214" s="124"/>
      <c r="CT214" s="124"/>
      <c r="CU214" s="124"/>
      <c r="CV214" s="124"/>
      <c r="CW214" s="124"/>
      <c r="CX214" s="124"/>
      <c r="CY214" s="124"/>
      <c r="CZ214" s="124"/>
      <c r="DA214" s="124"/>
      <c r="DB214" s="124"/>
      <c r="DC214" s="124"/>
      <c r="DD214" s="124"/>
      <c r="DE214" s="124"/>
      <c r="DF214" s="124"/>
      <c r="DG214" s="124"/>
      <c r="DH214" s="124"/>
      <c r="DI214" s="124"/>
      <c r="DJ214" s="124"/>
      <c r="DK214" s="124"/>
      <c r="DL214" s="124"/>
      <c r="DM214" s="124"/>
      <c r="DN214" s="124"/>
      <c r="DO214" s="124"/>
      <c r="DP214" s="124"/>
      <c r="DQ214" s="124"/>
      <c r="DR214" s="124"/>
      <c r="DS214" s="124"/>
      <c r="DT214" s="124"/>
      <c r="DU214" s="124"/>
      <c r="DV214" s="124"/>
      <c r="DW214" s="124"/>
      <c r="DX214" s="124"/>
      <c r="DY214" s="124"/>
      <c r="DZ214" s="124"/>
      <c r="EA214" s="124"/>
      <c r="EB214" s="124"/>
      <c r="EC214" s="124"/>
      <c r="ED214" s="124"/>
      <c r="EE214" s="124"/>
      <c r="EF214" s="124"/>
      <c r="EG214" s="124"/>
      <c r="EH214" s="124"/>
      <c r="EI214" s="124"/>
      <c r="EJ214" s="124"/>
      <c r="EK214" s="124"/>
      <c r="EL214" s="124"/>
      <c r="EM214" s="124"/>
      <c r="EN214" s="124"/>
      <c r="EO214" s="124"/>
      <c r="EP214" s="124"/>
      <c r="EQ214" s="124"/>
      <c r="ER214" s="124"/>
      <c r="ES214" s="124"/>
      <c r="ET214" s="124"/>
      <c r="EU214" s="124"/>
      <c r="EV214" s="124"/>
      <c r="EW214" s="124"/>
      <c r="EX214" s="124"/>
      <c r="EY214" s="124"/>
      <c r="EZ214" s="124"/>
      <c r="FA214" s="124"/>
      <c r="FB214" s="124"/>
      <c r="FC214" s="124"/>
      <c r="FD214" s="124"/>
      <c r="FE214" s="124"/>
      <c r="FF214" s="124"/>
      <c r="FG214" s="124"/>
      <c r="FH214" s="124"/>
      <c r="FI214" s="124"/>
      <c r="FJ214" s="124"/>
      <c r="FK214" s="124"/>
      <c r="FL214" s="124"/>
      <c r="FM214" s="124"/>
      <c r="FN214" s="124"/>
      <c r="FO214" s="124"/>
      <c r="FP214" s="124"/>
      <c r="FQ214" s="124"/>
      <c r="FR214" s="124"/>
      <c r="FS214" s="124"/>
      <c r="FT214" s="124"/>
      <c r="FU214" s="124"/>
      <c r="FV214" s="124"/>
      <c r="FW214" s="124"/>
      <c r="FX214" s="124"/>
      <c r="FY214" s="124"/>
      <c r="FZ214" s="124"/>
      <c r="GA214" s="124"/>
      <c r="GB214" s="124"/>
      <c r="GC214" s="124"/>
      <c r="GD214" s="124"/>
      <c r="GE214" s="124"/>
      <c r="GF214" s="124"/>
      <c r="GG214" s="124"/>
      <c r="GH214" s="124"/>
      <c r="GI214" s="124"/>
      <c r="GJ214" s="124"/>
      <c r="GK214" s="124"/>
      <c r="GL214" s="124"/>
      <c r="GM214" s="124"/>
      <c r="GN214" s="124"/>
      <c r="GO214" s="124"/>
      <c r="GP214" s="124"/>
      <c r="GQ214" s="124"/>
      <c r="GR214" s="124"/>
      <c r="GS214" s="124"/>
      <c r="GT214" s="124"/>
      <c r="GU214" s="124"/>
      <c r="GV214" s="124"/>
      <c r="GW214" s="124"/>
      <c r="GX214" s="124"/>
      <c r="GY214" s="124"/>
      <c r="GZ214" s="124"/>
      <c r="HA214" s="124"/>
      <c r="HB214" s="124"/>
      <c r="HC214" s="124"/>
      <c r="HD214" s="124"/>
      <c r="HE214" s="124"/>
      <c r="HF214" s="124"/>
      <c r="HG214" s="124"/>
      <c r="HH214" s="124"/>
      <c r="HI214" s="124"/>
      <c r="HJ214" s="124"/>
      <c r="HK214" s="124"/>
      <c r="HL214" s="124"/>
      <c r="HM214" s="124"/>
      <c r="HN214" s="124"/>
      <c r="HO214" s="124"/>
      <c r="HP214" s="124"/>
      <c r="HQ214" s="124"/>
    </row>
    <row r="215" spans="1:225" x14ac:dyDescent="0.2">
      <c r="A215" s="122" t="s">
        <v>846</v>
      </c>
      <c r="B215" s="123">
        <v>7</v>
      </c>
      <c r="C215" s="137" t="s">
        <v>374</v>
      </c>
      <c r="D215" s="123">
        <v>206</v>
      </c>
      <c r="E215" s="124" t="s">
        <v>361</v>
      </c>
      <c r="F215" s="123">
        <v>4</v>
      </c>
      <c r="G215" s="123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24"/>
      <c r="BK215" s="124"/>
      <c r="BL215" s="124"/>
      <c r="BM215" s="124"/>
      <c r="BN215" s="124"/>
      <c r="BO215" s="124"/>
      <c r="BP215" s="124"/>
      <c r="BQ215" s="124"/>
      <c r="BR215" s="124"/>
      <c r="BS215" s="124"/>
      <c r="BT215" s="124"/>
      <c r="BU215" s="124"/>
      <c r="BV215" s="124"/>
      <c r="BW215" s="124"/>
      <c r="BX215" s="124"/>
      <c r="BY215" s="124"/>
      <c r="BZ215" s="124"/>
      <c r="CA215" s="124"/>
      <c r="CB215" s="124"/>
      <c r="CC215" s="124"/>
      <c r="CD215" s="124"/>
      <c r="CE215" s="124"/>
      <c r="CF215" s="124"/>
      <c r="CG215" s="124"/>
      <c r="CH215" s="124"/>
      <c r="CI215" s="124"/>
      <c r="CJ215" s="124"/>
      <c r="CK215" s="124"/>
      <c r="CL215" s="124"/>
      <c r="CM215" s="124"/>
      <c r="CN215" s="124"/>
      <c r="CO215" s="124"/>
      <c r="CP215" s="124"/>
      <c r="CQ215" s="124"/>
      <c r="CR215" s="124"/>
      <c r="CS215" s="124"/>
      <c r="CT215" s="124"/>
      <c r="CU215" s="124"/>
      <c r="CV215" s="124"/>
      <c r="CW215" s="124"/>
      <c r="CX215" s="124"/>
      <c r="CY215" s="124"/>
      <c r="CZ215" s="124"/>
      <c r="DA215" s="124"/>
      <c r="DB215" s="124"/>
      <c r="DC215" s="124"/>
      <c r="DD215" s="124"/>
      <c r="DE215" s="124"/>
      <c r="DF215" s="124"/>
      <c r="DG215" s="124"/>
      <c r="DH215" s="124"/>
      <c r="DI215" s="124"/>
      <c r="DJ215" s="124"/>
      <c r="DK215" s="124"/>
      <c r="DL215" s="124"/>
      <c r="DM215" s="124"/>
      <c r="DN215" s="124"/>
      <c r="DO215" s="124"/>
      <c r="DP215" s="124"/>
      <c r="DQ215" s="124"/>
      <c r="DR215" s="124"/>
      <c r="DS215" s="124"/>
      <c r="DT215" s="124"/>
      <c r="DU215" s="124"/>
      <c r="DV215" s="124"/>
      <c r="DW215" s="124"/>
      <c r="DX215" s="124"/>
      <c r="DY215" s="124"/>
      <c r="DZ215" s="124"/>
      <c r="EA215" s="124"/>
      <c r="EB215" s="124"/>
      <c r="EC215" s="124"/>
      <c r="ED215" s="124"/>
      <c r="EE215" s="124"/>
      <c r="EF215" s="124"/>
      <c r="EG215" s="124"/>
      <c r="EH215" s="124"/>
      <c r="EI215" s="124"/>
      <c r="EJ215" s="124"/>
      <c r="EK215" s="124"/>
      <c r="EL215" s="124"/>
      <c r="EM215" s="124"/>
      <c r="EN215" s="124"/>
      <c r="EO215" s="124"/>
      <c r="EP215" s="124"/>
      <c r="EQ215" s="124"/>
      <c r="ER215" s="124"/>
      <c r="ES215" s="124"/>
      <c r="ET215" s="124"/>
      <c r="EU215" s="124"/>
      <c r="EV215" s="124"/>
      <c r="EW215" s="124"/>
      <c r="EX215" s="124"/>
      <c r="EY215" s="124"/>
      <c r="EZ215" s="124"/>
      <c r="FA215" s="124"/>
      <c r="FB215" s="124"/>
      <c r="FC215" s="124"/>
      <c r="FD215" s="124"/>
      <c r="FE215" s="124"/>
      <c r="FF215" s="124"/>
      <c r="FG215" s="124"/>
      <c r="FH215" s="124"/>
      <c r="FI215" s="124"/>
      <c r="FJ215" s="124"/>
      <c r="FK215" s="124"/>
      <c r="FL215" s="124"/>
      <c r="FM215" s="124"/>
      <c r="FN215" s="124"/>
      <c r="FO215" s="124"/>
      <c r="FP215" s="124"/>
      <c r="FQ215" s="124"/>
      <c r="FR215" s="124"/>
      <c r="FS215" s="124"/>
      <c r="FT215" s="124"/>
      <c r="FU215" s="124"/>
      <c r="FV215" s="124"/>
      <c r="FW215" s="124"/>
      <c r="FX215" s="124"/>
      <c r="FY215" s="124"/>
      <c r="FZ215" s="124"/>
      <c r="GA215" s="124"/>
      <c r="GB215" s="124"/>
      <c r="GC215" s="124"/>
      <c r="GD215" s="124"/>
      <c r="GE215" s="124"/>
      <c r="GF215" s="124"/>
      <c r="GG215" s="124"/>
      <c r="GH215" s="124"/>
      <c r="GI215" s="124"/>
      <c r="GJ215" s="124"/>
      <c r="GK215" s="124"/>
      <c r="GL215" s="124"/>
      <c r="GM215" s="124"/>
      <c r="GN215" s="124"/>
      <c r="GO215" s="124"/>
      <c r="GP215" s="124"/>
      <c r="GQ215" s="124"/>
      <c r="GR215" s="124"/>
      <c r="GS215" s="124"/>
      <c r="GT215" s="124"/>
      <c r="GU215" s="124"/>
      <c r="GV215" s="124"/>
      <c r="GW215" s="124"/>
      <c r="GX215" s="124"/>
      <c r="GY215" s="124"/>
      <c r="GZ215" s="124"/>
      <c r="HA215" s="124"/>
      <c r="HB215" s="124"/>
      <c r="HC215" s="124"/>
      <c r="HD215" s="124"/>
      <c r="HE215" s="124"/>
      <c r="HF215" s="124"/>
      <c r="HG215" s="124"/>
      <c r="HH215" s="124"/>
      <c r="HI215" s="124"/>
      <c r="HJ215" s="124"/>
      <c r="HK215" s="124"/>
      <c r="HL215" s="124"/>
      <c r="HM215" s="124"/>
      <c r="HN215" s="124"/>
      <c r="HO215" s="124"/>
      <c r="HP215" s="124"/>
      <c r="HQ215" s="124"/>
    </row>
    <row r="216" spans="1:225" x14ac:dyDescent="0.2">
      <c r="A216" s="122" t="s">
        <v>847</v>
      </c>
      <c r="B216" s="123">
        <v>8</v>
      </c>
      <c r="C216" s="124" t="s">
        <v>375</v>
      </c>
      <c r="D216" s="123">
        <v>207</v>
      </c>
      <c r="E216" s="124" t="s">
        <v>361</v>
      </c>
      <c r="F216" s="123">
        <v>4</v>
      </c>
      <c r="G216" s="123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  <c r="AV216" s="124"/>
      <c r="AW216" s="124"/>
      <c r="AX216" s="124"/>
      <c r="AY216" s="124"/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  <c r="BJ216" s="124"/>
      <c r="BK216" s="124"/>
      <c r="BL216" s="124"/>
      <c r="BM216" s="124"/>
      <c r="BN216" s="124"/>
      <c r="BO216" s="124"/>
      <c r="BP216" s="124"/>
      <c r="BQ216" s="124"/>
      <c r="BR216" s="124"/>
      <c r="BS216" s="124"/>
      <c r="BT216" s="124"/>
      <c r="BU216" s="124"/>
      <c r="BV216" s="124"/>
      <c r="BW216" s="124"/>
      <c r="BX216" s="124"/>
      <c r="BY216" s="124"/>
      <c r="BZ216" s="124"/>
      <c r="CA216" s="124"/>
      <c r="CB216" s="124"/>
      <c r="CC216" s="124"/>
      <c r="CD216" s="124"/>
      <c r="CE216" s="124"/>
      <c r="CF216" s="124"/>
      <c r="CG216" s="124"/>
      <c r="CH216" s="124"/>
      <c r="CI216" s="124"/>
      <c r="CJ216" s="124"/>
      <c r="CK216" s="124"/>
      <c r="CL216" s="124"/>
      <c r="CM216" s="124"/>
      <c r="CN216" s="124"/>
      <c r="CO216" s="124"/>
      <c r="CP216" s="124"/>
      <c r="CQ216" s="124"/>
      <c r="CR216" s="124"/>
      <c r="CS216" s="124"/>
      <c r="CT216" s="124"/>
      <c r="CU216" s="124"/>
      <c r="CV216" s="124"/>
      <c r="CW216" s="124"/>
      <c r="CX216" s="124"/>
      <c r="CY216" s="124"/>
      <c r="CZ216" s="124"/>
      <c r="DA216" s="124"/>
      <c r="DB216" s="124"/>
      <c r="DC216" s="124"/>
      <c r="DD216" s="124"/>
      <c r="DE216" s="124"/>
      <c r="DF216" s="124"/>
      <c r="DG216" s="124"/>
      <c r="DH216" s="124"/>
      <c r="DI216" s="124"/>
      <c r="DJ216" s="124"/>
      <c r="DK216" s="124"/>
      <c r="DL216" s="124"/>
      <c r="DM216" s="124"/>
      <c r="DN216" s="124"/>
      <c r="DO216" s="124"/>
      <c r="DP216" s="124"/>
      <c r="DQ216" s="124"/>
      <c r="DR216" s="124"/>
      <c r="DS216" s="124"/>
      <c r="DT216" s="124"/>
      <c r="DU216" s="124"/>
      <c r="DV216" s="124"/>
      <c r="DW216" s="124"/>
      <c r="DX216" s="124"/>
      <c r="DY216" s="124"/>
      <c r="DZ216" s="124"/>
      <c r="EA216" s="124"/>
      <c r="EB216" s="124"/>
      <c r="EC216" s="124"/>
      <c r="ED216" s="124"/>
      <c r="EE216" s="124"/>
      <c r="EF216" s="124"/>
      <c r="EG216" s="124"/>
      <c r="EH216" s="124"/>
      <c r="EI216" s="124"/>
      <c r="EJ216" s="124"/>
      <c r="EK216" s="124"/>
      <c r="EL216" s="124"/>
      <c r="EM216" s="124"/>
      <c r="EN216" s="124"/>
      <c r="EO216" s="124"/>
      <c r="EP216" s="124"/>
      <c r="EQ216" s="124"/>
      <c r="ER216" s="124"/>
      <c r="ES216" s="124"/>
      <c r="ET216" s="124"/>
      <c r="EU216" s="124"/>
      <c r="EV216" s="124"/>
      <c r="EW216" s="124"/>
      <c r="EX216" s="124"/>
      <c r="EY216" s="124"/>
      <c r="EZ216" s="124"/>
      <c r="FA216" s="124"/>
      <c r="FB216" s="124"/>
      <c r="FC216" s="124"/>
      <c r="FD216" s="124"/>
      <c r="FE216" s="124"/>
      <c r="FF216" s="124"/>
      <c r="FG216" s="124"/>
      <c r="FH216" s="124"/>
      <c r="FI216" s="124"/>
      <c r="FJ216" s="124"/>
      <c r="FK216" s="124"/>
      <c r="FL216" s="124"/>
      <c r="FM216" s="124"/>
      <c r="FN216" s="124"/>
      <c r="FO216" s="124"/>
      <c r="FP216" s="124"/>
      <c r="FQ216" s="124"/>
      <c r="FR216" s="124"/>
      <c r="FS216" s="124"/>
      <c r="FT216" s="124"/>
      <c r="FU216" s="124"/>
      <c r="FV216" s="124"/>
      <c r="FW216" s="124"/>
      <c r="FX216" s="124"/>
      <c r="FY216" s="124"/>
      <c r="FZ216" s="124"/>
      <c r="GA216" s="124"/>
      <c r="GB216" s="124"/>
      <c r="GC216" s="124"/>
      <c r="GD216" s="124"/>
      <c r="GE216" s="124"/>
      <c r="GF216" s="124"/>
      <c r="GG216" s="124"/>
      <c r="GH216" s="124"/>
      <c r="GI216" s="124"/>
      <c r="GJ216" s="124"/>
      <c r="GK216" s="124"/>
      <c r="GL216" s="124"/>
      <c r="GM216" s="124"/>
      <c r="GN216" s="124"/>
      <c r="GO216" s="124"/>
      <c r="GP216" s="124"/>
      <c r="GQ216" s="124"/>
      <c r="GR216" s="124"/>
      <c r="GS216" s="124"/>
      <c r="GT216" s="124"/>
      <c r="GU216" s="124"/>
      <c r="GV216" s="124"/>
      <c r="GW216" s="124"/>
      <c r="GX216" s="124"/>
      <c r="GY216" s="124"/>
      <c r="GZ216" s="124"/>
      <c r="HA216" s="124"/>
      <c r="HB216" s="124"/>
      <c r="HC216" s="124"/>
      <c r="HD216" s="124"/>
      <c r="HE216" s="124"/>
      <c r="HF216" s="124"/>
      <c r="HG216" s="124"/>
      <c r="HH216" s="124"/>
      <c r="HI216" s="124"/>
      <c r="HJ216" s="124"/>
      <c r="HK216" s="124"/>
      <c r="HL216" s="124"/>
      <c r="HM216" s="124"/>
      <c r="HN216" s="124"/>
      <c r="HO216" s="124"/>
      <c r="HP216" s="124"/>
      <c r="HQ216" s="124"/>
    </row>
    <row r="217" spans="1:225" x14ac:dyDescent="0.2">
      <c r="A217" s="122" t="s">
        <v>848</v>
      </c>
      <c r="B217" s="123">
        <v>8</v>
      </c>
      <c r="C217" s="124" t="s">
        <v>376</v>
      </c>
      <c r="D217" s="123">
        <v>208</v>
      </c>
      <c r="E217" s="124" t="s">
        <v>361</v>
      </c>
      <c r="F217" s="123">
        <v>3</v>
      </c>
      <c r="G217" s="123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124"/>
      <c r="AW217" s="124"/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24"/>
      <c r="BK217" s="124"/>
      <c r="BL217" s="124"/>
      <c r="BM217" s="124"/>
      <c r="BN217" s="124"/>
      <c r="BO217" s="124"/>
      <c r="BP217" s="124"/>
      <c r="BQ217" s="124"/>
      <c r="BR217" s="124"/>
      <c r="BS217" s="124"/>
      <c r="BT217" s="124"/>
      <c r="BU217" s="124"/>
      <c r="BV217" s="124"/>
      <c r="BW217" s="124"/>
      <c r="BX217" s="124"/>
      <c r="BY217" s="124"/>
      <c r="BZ217" s="124"/>
      <c r="CA217" s="124"/>
      <c r="CB217" s="124"/>
      <c r="CC217" s="124"/>
      <c r="CD217" s="124"/>
      <c r="CE217" s="124"/>
      <c r="CF217" s="124"/>
      <c r="CG217" s="124"/>
      <c r="CH217" s="124"/>
      <c r="CI217" s="124"/>
      <c r="CJ217" s="124"/>
      <c r="CK217" s="124"/>
      <c r="CL217" s="124"/>
      <c r="CM217" s="124"/>
      <c r="CN217" s="124"/>
      <c r="CO217" s="124"/>
      <c r="CP217" s="124"/>
      <c r="CQ217" s="124"/>
      <c r="CR217" s="124"/>
      <c r="CS217" s="124"/>
      <c r="CT217" s="124"/>
      <c r="CU217" s="124"/>
      <c r="CV217" s="124"/>
      <c r="CW217" s="124"/>
      <c r="CX217" s="124"/>
      <c r="CY217" s="124"/>
      <c r="CZ217" s="124"/>
      <c r="DA217" s="124"/>
      <c r="DB217" s="124"/>
      <c r="DC217" s="124"/>
      <c r="DD217" s="124"/>
      <c r="DE217" s="124"/>
      <c r="DF217" s="124"/>
      <c r="DG217" s="124"/>
      <c r="DH217" s="124"/>
      <c r="DI217" s="124"/>
      <c r="DJ217" s="124"/>
      <c r="DK217" s="124"/>
      <c r="DL217" s="124"/>
      <c r="DM217" s="124"/>
      <c r="DN217" s="124"/>
      <c r="DO217" s="124"/>
      <c r="DP217" s="124"/>
      <c r="DQ217" s="124"/>
      <c r="DR217" s="124"/>
      <c r="DS217" s="124"/>
      <c r="DT217" s="124"/>
      <c r="DU217" s="124"/>
      <c r="DV217" s="124"/>
      <c r="DW217" s="124"/>
      <c r="DX217" s="124"/>
      <c r="DY217" s="124"/>
      <c r="DZ217" s="124"/>
      <c r="EA217" s="124"/>
      <c r="EB217" s="124"/>
      <c r="EC217" s="124"/>
      <c r="ED217" s="124"/>
      <c r="EE217" s="124"/>
      <c r="EF217" s="124"/>
      <c r="EG217" s="124"/>
      <c r="EH217" s="124"/>
      <c r="EI217" s="124"/>
      <c r="EJ217" s="124"/>
      <c r="EK217" s="124"/>
      <c r="EL217" s="124"/>
      <c r="EM217" s="124"/>
      <c r="EN217" s="124"/>
      <c r="EO217" s="124"/>
      <c r="EP217" s="124"/>
      <c r="EQ217" s="124"/>
      <c r="ER217" s="124"/>
      <c r="ES217" s="124"/>
      <c r="ET217" s="124"/>
      <c r="EU217" s="124"/>
      <c r="EV217" s="124"/>
      <c r="EW217" s="124"/>
      <c r="EX217" s="124"/>
      <c r="EY217" s="124"/>
      <c r="EZ217" s="124"/>
      <c r="FA217" s="124"/>
      <c r="FB217" s="124"/>
      <c r="FC217" s="124"/>
      <c r="FD217" s="124"/>
      <c r="FE217" s="124"/>
      <c r="FF217" s="124"/>
      <c r="FG217" s="124"/>
      <c r="FH217" s="124"/>
      <c r="FI217" s="124"/>
      <c r="FJ217" s="124"/>
      <c r="FK217" s="124"/>
      <c r="FL217" s="124"/>
      <c r="FM217" s="124"/>
      <c r="FN217" s="124"/>
      <c r="FO217" s="124"/>
      <c r="FP217" s="124"/>
      <c r="FQ217" s="124"/>
      <c r="FR217" s="124"/>
      <c r="FS217" s="124"/>
      <c r="FT217" s="124"/>
      <c r="FU217" s="124"/>
      <c r="FV217" s="124"/>
      <c r="FW217" s="124"/>
      <c r="FX217" s="124"/>
      <c r="FY217" s="124"/>
      <c r="FZ217" s="124"/>
      <c r="GA217" s="124"/>
      <c r="GB217" s="124"/>
      <c r="GC217" s="124"/>
      <c r="GD217" s="124"/>
      <c r="GE217" s="124"/>
      <c r="GF217" s="124"/>
      <c r="GG217" s="124"/>
      <c r="GH217" s="124"/>
      <c r="GI217" s="124"/>
      <c r="GJ217" s="124"/>
      <c r="GK217" s="124"/>
      <c r="GL217" s="124"/>
      <c r="GM217" s="124"/>
      <c r="GN217" s="124"/>
      <c r="GO217" s="124"/>
      <c r="GP217" s="124"/>
      <c r="GQ217" s="124"/>
      <c r="GR217" s="124"/>
      <c r="GS217" s="124"/>
      <c r="GT217" s="124"/>
      <c r="GU217" s="124"/>
      <c r="GV217" s="124"/>
      <c r="GW217" s="124"/>
      <c r="GX217" s="124"/>
      <c r="GY217" s="124"/>
      <c r="GZ217" s="124"/>
      <c r="HA217" s="124"/>
      <c r="HB217" s="124"/>
      <c r="HC217" s="124"/>
      <c r="HD217" s="124"/>
      <c r="HE217" s="124"/>
      <c r="HF217" s="124"/>
      <c r="HG217" s="124"/>
      <c r="HH217" s="124"/>
      <c r="HI217" s="124"/>
      <c r="HJ217" s="124"/>
      <c r="HK217" s="124"/>
      <c r="HL217" s="124"/>
      <c r="HM217" s="124"/>
      <c r="HN217" s="124"/>
      <c r="HO217" s="124"/>
      <c r="HP217" s="124"/>
      <c r="HQ217" s="124"/>
    </row>
    <row r="218" spans="1:225" x14ac:dyDescent="0.2">
      <c r="A218" s="122" t="s">
        <v>849</v>
      </c>
      <c r="B218" s="123">
        <v>9</v>
      </c>
      <c r="C218" s="124" t="s">
        <v>377</v>
      </c>
      <c r="D218" s="123">
        <v>209</v>
      </c>
      <c r="E218" s="124" t="s">
        <v>361</v>
      </c>
      <c r="F218" s="123">
        <v>3</v>
      </c>
      <c r="G218" s="123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  <c r="AV218" s="124"/>
      <c r="AW218" s="124"/>
      <c r="AX218" s="124"/>
      <c r="AY218" s="124"/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  <c r="BJ218" s="124"/>
      <c r="BK218" s="124"/>
      <c r="BL218" s="124"/>
      <c r="BM218" s="124"/>
      <c r="BN218" s="124"/>
      <c r="BO218" s="124"/>
      <c r="BP218" s="124"/>
      <c r="BQ218" s="124"/>
      <c r="BR218" s="124"/>
      <c r="BS218" s="124"/>
      <c r="BT218" s="124"/>
      <c r="BU218" s="124"/>
      <c r="BV218" s="124"/>
      <c r="BW218" s="124"/>
      <c r="BX218" s="124"/>
      <c r="BY218" s="124"/>
      <c r="BZ218" s="124"/>
      <c r="CA218" s="124"/>
      <c r="CB218" s="124"/>
      <c r="CC218" s="124"/>
      <c r="CD218" s="124"/>
      <c r="CE218" s="124"/>
      <c r="CF218" s="124"/>
      <c r="CG218" s="124"/>
      <c r="CH218" s="124"/>
      <c r="CI218" s="124"/>
      <c r="CJ218" s="124"/>
      <c r="CK218" s="124"/>
      <c r="CL218" s="124"/>
      <c r="CM218" s="124"/>
      <c r="CN218" s="124"/>
      <c r="CO218" s="124"/>
      <c r="CP218" s="124"/>
      <c r="CQ218" s="124"/>
      <c r="CR218" s="124"/>
      <c r="CS218" s="124"/>
      <c r="CT218" s="124"/>
      <c r="CU218" s="124"/>
      <c r="CV218" s="124"/>
      <c r="CW218" s="124"/>
      <c r="CX218" s="124"/>
      <c r="CY218" s="124"/>
      <c r="CZ218" s="124"/>
      <c r="DA218" s="124"/>
      <c r="DB218" s="124"/>
      <c r="DC218" s="124"/>
      <c r="DD218" s="124"/>
      <c r="DE218" s="124"/>
      <c r="DF218" s="124"/>
      <c r="DG218" s="124"/>
      <c r="DH218" s="124"/>
      <c r="DI218" s="124"/>
      <c r="DJ218" s="124"/>
      <c r="DK218" s="124"/>
      <c r="DL218" s="124"/>
      <c r="DM218" s="124"/>
      <c r="DN218" s="124"/>
      <c r="DO218" s="124"/>
      <c r="DP218" s="124"/>
      <c r="DQ218" s="124"/>
      <c r="DR218" s="124"/>
      <c r="DS218" s="124"/>
      <c r="DT218" s="124"/>
      <c r="DU218" s="124"/>
      <c r="DV218" s="124"/>
      <c r="DW218" s="124"/>
      <c r="DX218" s="124"/>
      <c r="DY218" s="124"/>
      <c r="DZ218" s="124"/>
      <c r="EA218" s="124"/>
      <c r="EB218" s="124"/>
      <c r="EC218" s="124"/>
      <c r="ED218" s="124"/>
      <c r="EE218" s="124"/>
      <c r="EF218" s="124"/>
      <c r="EG218" s="124"/>
      <c r="EH218" s="124"/>
      <c r="EI218" s="124"/>
      <c r="EJ218" s="124"/>
      <c r="EK218" s="124"/>
      <c r="EL218" s="124"/>
      <c r="EM218" s="124"/>
      <c r="EN218" s="124"/>
      <c r="EO218" s="124"/>
      <c r="EP218" s="124"/>
      <c r="EQ218" s="124"/>
      <c r="ER218" s="124"/>
      <c r="ES218" s="124"/>
      <c r="ET218" s="124"/>
      <c r="EU218" s="124"/>
      <c r="EV218" s="124"/>
      <c r="EW218" s="124"/>
      <c r="EX218" s="124"/>
      <c r="EY218" s="124"/>
      <c r="EZ218" s="124"/>
      <c r="FA218" s="124"/>
      <c r="FB218" s="124"/>
      <c r="FC218" s="124"/>
      <c r="FD218" s="124"/>
      <c r="FE218" s="124"/>
      <c r="FF218" s="124"/>
      <c r="FG218" s="124"/>
      <c r="FH218" s="124"/>
      <c r="FI218" s="124"/>
      <c r="FJ218" s="124"/>
      <c r="FK218" s="124"/>
      <c r="FL218" s="124"/>
      <c r="FM218" s="124"/>
      <c r="FN218" s="124"/>
      <c r="FO218" s="124"/>
      <c r="FP218" s="124"/>
      <c r="FQ218" s="124"/>
      <c r="FR218" s="124"/>
      <c r="FS218" s="124"/>
      <c r="FT218" s="124"/>
      <c r="FU218" s="124"/>
      <c r="FV218" s="124"/>
      <c r="FW218" s="124"/>
      <c r="FX218" s="124"/>
      <c r="FY218" s="124"/>
      <c r="FZ218" s="124"/>
      <c r="GA218" s="124"/>
      <c r="GB218" s="124"/>
      <c r="GC218" s="124"/>
      <c r="GD218" s="124"/>
      <c r="GE218" s="124"/>
      <c r="GF218" s="124"/>
      <c r="GG218" s="124"/>
      <c r="GH218" s="124"/>
      <c r="GI218" s="124"/>
      <c r="GJ218" s="124"/>
      <c r="GK218" s="124"/>
      <c r="GL218" s="124"/>
      <c r="GM218" s="124"/>
      <c r="GN218" s="124"/>
      <c r="GO218" s="124"/>
      <c r="GP218" s="124"/>
      <c r="GQ218" s="124"/>
      <c r="GR218" s="124"/>
      <c r="GS218" s="124"/>
      <c r="GT218" s="124"/>
      <c r="GU218" s="124"/>
      <c r="GV218" s="124"/>
      <c r="GW218" s="124"/>
      <c r="GX218" s="124"/>
      <c r="GY218" s="124"/>
      <c r="GZ218" s="124"/>
      <c r="HA218" s="124"/>
      <c r="HB218" s="124"/>
      <c r="HC218" s="124"/>
      <c r="HD218" s="124"/>
      <c r="HE218" s="124"/>
      <c r="HF218" s="124"/>
      <c r="HG218" s="124"/>
      <c r="HH218" s="124"/>
      <c r="HI218" s="124"/>
      <c r="HJ218" s="124"/>
      <c r="HK218" s="124"/>
      <c r="HL218" s="124"/>
      <c r="HM218" s="124"/>
      <c r="HN218" s="124"/>
      <c r="HO218" s="124"/>
      <c r="HP218" s="124"/>
      <c r="HQ218" s="124"/>
    </row>
    <row r="219" spans="1:225" x14ac:dyDescent="0.2">
      <c r="A219" s="122" t="s">
        <v>850</v>
      </c>
      <c r="B219" s="123">
        <v>9</v>
      </c>
      <c r="C219" s="124" t="s">
        <v>378</v>
      </c>
      <c r="D219" s="123">
        <v>210</v>
      </c>
      <c r="E219" s="124" t="s">
        <v>361</v>
      </c>
      <c r="F219" s="123">
        <v>4</v>
      </c>
      <c r="G219" s="123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  <c r="BJ219" s="124"/>
      <c r="BK219" s="124"/>
      <c r="BL219" s="124"/>
      <c r="BM219" s="124"/>
      <c r="BN219" s="124"/>
      <c r="BO219" s="124"/>
      <c r="BP219" s="124"/>
      <c r="BQ219" s="124"/>
      <c r="BR219" s="124"/>
      <c r="BS219" s="124"/>
      <c r="BT219" s="124"/>
      <c r="BU219" s="124"/>
      <c r="BV219" s="124"/>
      <c r="BW219" s="124"/>
      <c r="BX219" s="124"/>
      <c r="BY219" s="124"/>
      <c r="BZ219" s="124"/>
      <c r="CA219" s="124"/>
      <c r="CB219" s="124"/>
      <c r="CC219" s="124"/>
      <c r="CD219" s="124"/>
      <c r="CE219" s="124"/>
      <c r="CF219" s="124"/>
      <c r="CG219" s="124"/>
      <c r="CH219" s="124"/>
      <c r="CI219" s="124"/>
      <c r="CJ219" s="124"/>
      <c r="CK219" s="124"/>
      <c r="CL219" s="124"/>
      <c r="CM219" s="124"/>
      <c r="CN219" s="124"/>
      <c r="CO219" s="124"/>
      <c r="CP219" s="124"/>
      <c r="CQ219" s="124"/>
      <c r="CR219" s="124"/>
      <c r="CS219" s="124"/>
      <c r="CT219" s="124"/>
      <c r="CU219" s="124"/>
      <c r="CV219" s="124"/>
      <c r="CW219" s="124"/>
      <c r="CX219" s="124"/>
      <c r="CY219" s="124"/>
      <c r="CZ219" s="124"/>
      <c r="DA219" s="124"/>
      <c r="DB219" s="124"/>
      <c r="DC219" s="124"/>
      <c r="DD219" s="124"/>
      <c r="DE219" s="124"/>
      <c r="DF219" s="124"/>
      <c r="DG219" s="124"/>
      <c r="DH219" s="124"/>
      <c r="DI219" s="124"/>
      <c r="DJ219" s="124"/>
      <c r="DK219" s="124"/>
      <c r="DL219" s="124"/>
      <c r="DM219" s="124"/>
      <c r="DN219" s="124"/>
      <c r="DO219" s="124"/>
      <c r="DP219" s="124"/>
      <c r="DQ219" s="124"/>
      <c r="DR219" s="124"/>
      <c r="DS219" s="124"/>
      <c r="DT219" s="124"/>
      <c r="DU219" s="124"/>
      <c r="DV219" s="124"/>
      <c r="DW219" s="124"/>
      <c r="DX219" s="124"/>
      <c r="DY219" s="124"/>
      <c r="DZ219" s="124"/>
      <c r="EA219" s="124"/>
      <c r="EB219" s="124"/>
      <c r="EC219" s="124"/>
      <c r="ED219" s="124"/>
      <c r="EE219" s="124"/>
      <c r="EF219" s="124"/>
      <c r="EG219" s="124"/>
      <c r="EH219" s="124"/>
      <c r="EI219" s="124"/>
      <c r="EJ219" s="124"/>
      <c r="EK219" s="124"/>
      <c r="EL219" s="124"/>
      <c r="EM219" s="124"/>
      <c r="EN219" s="124"/>
      <c r="EO219" s="124"/>
      <c r="EP219" s="124"/>
      <c r="EQ219" s="124"/>
      <c r="ER219" s="124"/>
      <c r="ES219" s="124"/>
      <c r="ET219" s="124"/>
      <c r="EU219" s="124"/>
      <c r="EV219" s="124"/>
      <c r="EW219" s="124"/>
      <c r="EX219" s="124"/>
      <c r="EY219" s="124"/>
      <c r="EZ219" s="124"/>
      <c r="FA219" s="124"/>
      <c r="FB219" s="124"/>
      <c r="FC219" s="124"/>
      <c r="FD219" s="124"/>
      <c r="FE219" s="124"/>
      <c r="FF219" s="124"/>
      <c r="FG219" s="124"/>
      <c r="FH219" s="124"/>
      <c r="FI219" s="124"/>
      <c r="FJ219" s="124"/>
      <c r="FK219" s="124"/>
      <c r="FL219" s="124"/>
      <c r="FM219" s="124"/>
      <c r="FN219" s="124"/>
      <c r="FO219" s="124"/>
      <c r="FP219" s="124"/>
      <c r="FQ219" s="124"/>
      <c r="FR219" s="124"/>
      <c r="FS219" s="124"/>
      <c r="FT219" s="124"/>
      <c r="FU219" s="124"/>
      <c r="FV219" s="124"/>
      <c r="FW219" s="124"/>
      <c r="FX219" s="124"/>
      <c r="FY219" s="124"/>
      <c r="FZ219" s="124"/>
      <c r="GA219" s="124"/>
      <c r="GB219" s="124"/>
      <c r="GC219" s="124"/>
      <c r="GD219" s="124"/>
      <c r="GE219" s="124"/>
      <c r="GF219" s="124"/>
      <c r="GG219" s="124"/>
      <c r="GH219" s="124"/>
      <c r="GI219" s="124"/>
      <c r="GJ219" s="124"/>
      <c r="GK219" s="124"/>
      <c r="GL219" s="124"/>
      <c r="GM219" s="124"/>
      <c r="GN219" s="124"/>
      <c r="GO219" s="124"/>
      <c r="GP219" s="124"/>
      <c r="GQ219" s="124"/>
      <c r="GR219" s="124"/>
      <c r="GS219" s="124"/>
      <c r="GT219" s="124"/>
      <c r="GU219" s="124"/>
      <c r="GV219" s="124"/>
      <c r="GW219" s="124"/>
      <c r="GX219" s="124"/>
      <c r="GY219" s="124"/>
      <c r="GZ219" s="124"/>
      <c r="HA219" s="124"/>
      <c r="HB219" s="124"/>
      <c r="HC219" s="124"/>
      <c r="HD219" s="124"/>
      <c r="HE219" s="124"/>
      <c r="HF219" s="124"/>
      <c r="HG219" s="124"/>
      <c r="HH219" s="124"/>
      <c r="HI219" s="124"/>
      <c r="HJ219" s="124"/>
      <c r="HK219" s="124"/>
      <c r="HL219" s="124"/>
      <c r="HM219" s="124"/>
      <c r="HN219" s="124"/>
      <c r="HO219" s="124"/>
      <c r="HP219" s="124"/>
      <c r="HQ219" s="124"/>
    </row>
    <row r="220" spans="1:225" x14ac:dyDescent="0.2">
      <c r="A220" s="122" t="s">
        <v>851</v>
      </c>
      <c r="B220" s="123">
        <v>10</v>
      </c>
      <c r="C220" s="140" t="s">
        <v>379</v>
      </c>
      <c r="D220" s="123">
        <v>211</v>
      </c>
      <c r="E220" s="124" t="s">
        <v>361</v>
      </c>
      <c r="F220" s="123">
        <v>4</v>
      </c>
      <c r="G220" s="123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  <c r="AV220" s="124"/>
      <c r="AW220" s="124"/>
      <c r="AX220" s="124"/>
      <c r="AY220" s="124"/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  <c r="BJ220" s="124"/>
      <c r="BK220" s="124"/>
      <c r="BL220" s="124"/>
      <c r="BM220" s="124"/>
      <c r="BN220" s="124"/>
      <c r="BO220" s="124"/>
      <c r="BP220" s="124"/>
      <c r="BQ220" s="124"/>
      <c r="BR220" s="124"/>
      <c r="BS220" s="124"/>
      <c r="BT220" s="124"/>
      <c r="BU220" s="124"/>
      <c r="BV220" s="124"/>
      <c r="BW220" s="124"/>
      <c r="BX220" s="124"/>
      <c r="BY220" s="124"/>
      <c r="BZ220" s="124"/>
      <c r="CA220" s="124"/>
      <c r="CB220" s="124"/>
      <c r="CC220" s="124"/>
      <c r="CD220" s="124"/>
      <c r="CE220" s="124"/>
      <c r="CF220" s="124"/>
      <c r="CG220" s="124"/>
      <c r="CH220" s="124"/>
      <c r="CI220" s="124"/>
      <c r="CJ220" s="124"/>
      <c r="CK220" s="124"/>
      <c r="CL220" s="124"/>
      <c r="CM220" s="124"/>
      <c r="CN220" s="124"/>
      <c r="CO220" s="124"/>
      <c r="CP220" s="124"/>
      <c r="CQ220" s="124"/>
      <c r="CR220" s="124"/>
      <c r="CS220" s="124"/>
      <c r="CT220" s="124"/>
      <c r="CU220" s="124"/>
      <c r="CV220" s="124"/>
      <c r="CW220" s="124"/>
      <c r="CX220" s="124"/>
      <c r="CY220" s="124"/>
      <c r="CZ220" s="124"/>
      <c r="DA220" s="124"/>
      <c r="DB220" s="124"/>
      <c r="DC220" s="124"/>
      <c r="DD220" s="124"/>
      <c r="DE220" s="124"/>
      <c r="DF220" s="124"/>
      <c r="DG220" s="124"/>
      <c r="DH220" s="124"/>
      <c r="DI220" s="124"/>
      <c r="DJ220" s="124"/>
      <c r="DK220" s="124"/>
      <c r="DL220" s="124"/>
      <c r="DM220" s="124"/>
      <c r="DN220" s="124"/>
      <c r="DO220" s="124"/>
      <c r="DP220" s="124"/>
      <c r="DQ220" s="124"/>
      <c r="DR220" s="124"/>
      <c r="DS220" s="124"/>
      <c r="DT220" s="124"/>
      <c r="DU220" s="124"/>
      <c r="DV220" s="124"/>
      <c r="DW220" s="124"/>
      <c r="DX220" s="124"/>
      <c r="DY220" s="124"/>
      <c r="DZ220" s="124"/>
      <c r="EA220" s="124"/>
      <c r="EB220" s="124"/>
      <c r="EC220" s="124"/>
      <c r="ED220" s="124"/>
      <c r="EE220" s="124"/>
      <c r="EF220" s="124"/>
      <c r="EG220" s="124"/>
      <c r="EH220" s="124"/>
      <c r="EI220" s="124"/>
      <c r="EJ220" s="124"/>
      <c r="EK220" s="124"/>
      <c r="EL220" s="124"/>
      <c r="EM220" s="124"/>
      <c r="EN220" s="124"/>
      <c r="EO220" s="124"/>
      <c r="EP220" s="124"/>
      <c r="EQ220" s="124"/>
      <c r="ER220" s="124"/>
      <c r="ES220" s="124"/>
      <c r="ET220" s="124"/>
      <c r="EU220" s="124"/>
      <c r="EV220" s="124"/>
      <c r="EW220" s="124"/>
      <c r="EX220" s="124"/>
      <c r="EY220" s="124"/>
      <c r="EZ220" s="124"/>
      <c r="FA220" s="124"/>
      <c r="FB220" s="124"/>
      <c r="FC220" s="124"/>
      <c r="FD220" s="124"/>
      <c r="FE220" s="124"/>
      <c r="FF220" s="124"/>
      <c r="FG220" s="124"/>
      <c r="FH220" s="124"/>
      <c r="FI220" s="124"/>
      <c r="FJ220" s="124"/>
      <c r="FK220" s="124"/>
      <c r="FL220" s="124"/>
      <c r="FM220" s="124"/>
      <c r="FN220" s="124"/>
      <c r="FO220" s="124"/>
      <c r="FP220" s="124"/>
      <c r="FQ220" s="124"/>
      <c r="FR220" s="124"/>
      <c r="FS220" s="124"/>
      <c r="FT220" s="124"/>
      <c r="FU220" s="124"/>
      <c r="FV220" s="124"/>
      <c r="FW220" s="124"/>
      <c r="FX220" s="124"/>
      <c r="FY220" s="124"/>
      <c r="FZ220" s="124"/>
      <c r="GA220" s="124"/>
      <c r="GB220" s="124"/>
      <c r="GC220" s="124"/>
      <c r="GD220" s="124"/>
      <c r="GE220" s="124"/>
      <c r="GF220" s="124"/>
      <c r="GG220" s="124"/>
      <c r="GH220" s="124"/>
      <c r="GI220" s="124"/>
      <c r="GJ220" s="124"/>
      <c r="GK220" s="124"/>
      <c r="GL220" s="124"/>
      <c r="GM220" s="124"/>
      <c r="GN220" s="124"/>
      <c r="GO220" s="124"/>
      <c r="GP220" s="124"/>
      <c r="GQ220" s="124"/>
      <c r="GR220" s="124"/>
      <c r="GS220" s="124"/>
      <c r="GT220" s="124"/>
      <c r="GU220" s="124"/>
      <c r="GV220" s="124"/>
      <c r="GW220" s="124"/>
      <c r="GX220" s="124"/>
      <c r="GY220" s="124"/>
      <c r="GZ220" s="124"/>
      <c r="HA220" s="124"/>
      <c r="HB220" s="124"/>
      <c r="HC220" s="124"/>
      <c r="HD220" s="124"/>
      <c r="HE220" s="124"/>
      <c r="HF220" s="124"/>
      <c r="HG220" s="124"/>
      <c r="HH220" s="124"/>
      <c r="HI220" s="124"/>
      <c r="HJ220" s="124"/>
      <c r="HK220" s="124"/>
      <c r="HL220" s="124"/>
      <c r="HM220" s="124"/>
      <c r="HN220" s="124"/>
      <c r="HO220" s="124"/>
      <c r="HP220" s="124"/>
      <c r="HQ220" s="124"/>
    </row>
    <row r="221" spans="1:225" x14ac:dyDescent="0.2">
      <c r="A221" s="122" t="s">
        <v>852</v>
      </c>
      <c r="B221" s="123">
        <v>10</v>
      </c>
      <c r="C221" s="124" t="s">
        <v>380</v>
      </c>
      <c r="D221" s="123">
        <v>212</v>
      </c>
      <c r="E221" s="124" t="s">
        <v>361</v>
      </c>
      <c r="F221" s="123">
        <v>3</v>
      </c>
      <c r="G221" s="123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124"/>
      <c r="AW221" s="124"/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  <c r="BJ221" s="124"/>
      <c r="BK221" s="124"/>
      <c r="BL221" s="124"/>
      <c r="BM221" s="124"/>
      <c r="BN221" s="124"/>
      <c r="BO221" s="124"/>
      <c r="BP221" s="124"/>
      <c r="BQ221" s="124"/>
      <c r="BR221" s="124"/>
      <c r="BS221" s="124"/>
      <c r="BT221" s="124"/>
      <c r="BU221" s="124"/>
      <c r="BV221" s="124"/>
      <c r="BW221" s="124"/>
      <c r="BX221" s="124"/>
      <c r="BY221" s="124"/>
      <c r="BZ221" s="124"/>
      <c r="CA221" s="124"/>
      <c r="CB221" s="124"/>
      <c r="CC221" s="124"/>
      <c r="CD221" s="124"/>
      <c r="CE221" s="124"/>
      <c r="CF221" s="124"/>
      <c r="CG221" s="124"/>
      <c r="CH221" s="124"/>
      <c r="CI221" s="124"/>
      <c r="CJ221" s="124"/>
      <c r="CK221" s="124"/>
      <c r="CL221" s="124"/>
      <c r="CM221" s="124"/>
      <c r="CN221" s="124"/>
      <c r="CO221" s="124"/>
      <c r="CP221" s="124"/>
      <c r="CQ221" s="124"/>
      <c r="CR221" s="124"/>
      <c r="CS221" s="124"/>
      <c r="CT221" s="124"/>
      <c r="CU221" s="124"/>
      <c r="CV221" s="124"/>
      <c r="CW221" s="124"/>
      <c r="CX221" s="124"/>
      <c r="CY221" s="124"/>
      <c r="CZ221" s="124"/>
      <c r="DA221" s="124"/>
      <c r="DB221" s="124"/>
      <c r="DC221" s="124"/>
      <c r="DD221" s="124"/>
      <c r="DE221" s="124"/>
      <c r="DF221" s="124"/>
      <c r="DG221" s="124"/>
      <c r="DH221" s="124"/>
      <c r="DI221" s="124"/>
      <c r="DJ221" s="124"/>
      <c r="DK221" s="124"/>
      <c r="DL221" s="124"/>
      <c r="DM221" s="124"/>
      <c r="DN221" s="124"/>
      <c r="DO221" s="124"/>
      <c r="DP221" s="124"/>
      <c r="DQ221" s="124"/>
      <c r="DR221" s="124"/>
      <c r="DS221" s="124"/>
      <c r="DT221" s="124"/>
      <c r="DU221" s="124"/>
      <c r="DV221" s="124"/>
      <c r="DW221" s="124"/>
      <c r="DX221" s="124"/>
      <c r="DY221" s="124"/>
      <c r="DZ221" s="124"/>
      <c r="EA221" s="124"/>
      <c r="EB221" s="124"/>
      <c r="EC221" s="124"/>
      <c r="ED221" s="124"/>
      <c r="EE221" s="124"/>
      <c r="EF221" s="124"/>
      <c r="EG221" s="124"/>
      <c r="EH221" s="124"/>
      <c r="EI221" s="124"/>
      <c r="EJ221" s="124"/>
      <c r="EK221" s="124"/>
      <c r="EL221" s="124"/>
      <c r="EM221" s="124"/>
      <c r="EN221" s="124"/>
      <c r="EO221" s="124"/>
      <c r="EP221" s="124"/>
      <c r="EQ221" s="124"/>
      <c r="ER221" s="124"/>
      <c r="ES221" s="124"/>
      <c r="ET221" s="124"/>
      <c r="EU221" s="124"/>
      <c r="EV221" s="124"/>
      <c r="EW221" s="124"/>
      <c r="EX221" s="124"/>
      <c r="EY221" s="124"/>
      <c r="EZ221" s="124"/>
      <c r="FA221" s="124"/>
      <c r="FB221" s="124"/>
      <c r="FC221" s="124"/>
      <c r="FD221" s="124"/>
      <c r="FE221" s="124"/>
      <c r="FF221" s="124"/>
      <c r="FG221" s="124"/>
      <c r="FH221" s="124"/>
      <c r="FI221" s="124"/>
      <c r="FJ221" s="124"/>
      <c r="FK221" s="124"/>
      <c r="FL221" s="124"/>
      <c r="FM221" s="124"/>
      <c r="FN221" s="124"/>
      <c r="FO221" s="124"/>
      <c r="FP221" s="124"/>
      <c r="FQ221" s="124"/>
      <c r="FR221" s="124"/>
      <c r="FS221" s="124"/>
      <c r="FT221" s="124"/>
      <c r="FU221" s="124"/>
      <c r="FV221" s="124"/>
      <c r="FW221" s="124"/>
      <c r="FX221" s="124"/>
      <c r="FY221" s="124"/>
      <c r="FZ221" s="124"/>
      <c r="GA221" s="124"/>
      <c r="GB221" s="124"/>
      <c r="GC221" s="124"/>
      <c r="GD221" s="124"/>
      <c r="GE221" s="124"/>
      <c r="GF221" s="124"/>
      <c r="GG221" s="124"/>
      <c r="GH221" s="124"/>
      <c r="GI221" s="124"/>
      <c r="GJ221" s="124"/>
      <c r="GK221" s="124"/>
      <c r="GL221" s="124"/>
      <c r="GM221" s="124"/>
      <c r="GN221" s="124"/>
      <c r="GO221" s="124"/>
      <c r="GP221" s="124"/>
      <c r="GQ221" s="124"/>
      <c r="GR221" s="124"/>
      <c r="GS221" s="124"/>
      <c r="GT221" s="124"/>
      <c r="GU221" s="124"/>
      <c r="GV221" s="124"/>
      <c r="GW221" s="124"/>
      <c r="GX221" s="124"/>
      <c r="GY221" s="124"/>
      <c r="GZ221" s="124"/>
      <c r="HA221" s="124"/>
      <c r="HB221" s="124"/>
      <c r="HC221" s="124"/>
      <c r="HD221" s="124"/>
      <c r="HE221" s="124"/>
      <c r="HF221" s="124"/>
      <c r="HG221" s="124"/>
      <c r="HH221" s="124"/>
      <c r="HI221" s="124"/>
      <c r="HJ221" s="124"/>
      <c r="HK221" s="124"/>
      <c r="HL221" s="124"/>
      <c r="HM221" s="124"/>
      <c r="HN221" s="124"/>
      <c r="HO221" s="124"/>
      <c r="HP221" s="124"/>
      <c r="HQ221" s="124"/>
    </row>
    <row r="222" spans="1:225" x14ac:dyDescent="0.2">
      <c r="A222" s="122" t="s">
        <v>853</v>
      </c>
      <c r="B222" s="123">
        <v>11</v>
      </c>
      <c r="C222" s="124" t="s">
        <v>381</v>
      </c>
      <c r="D222" s="123">
        <v>213</v>
      </c>
      <c r="E222" s="124" t="s">
        <v>361</v>
      </c>
      <c r="F222" s="123">
        <v>3</v>
      </c>
      <c r="G222" s="123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  <c r="BJ222" s="124"/>
      <c r="BK222" s="124"/>
      <c r="BL222" s="124"/>
      <c r="BM222" s="124"/>
      <c r="BN222" s="124"/>
      <c r="BO222" s="124"/>
      <c r="BP222" s="124"/>
      <c r="BQ222" s="124"/>
      <c r="BR222" s="124"/>
      <c r="BS222" s="124"/>
      <c r="BT222" s="124"/>
      <c r="BU222" s="124"/>
      <c r="BV222" s="124"/>
      <c r="BW222" s="124"/>
      <c r="BX222" s="124"/>
      <c r="BY222" s="124"/>
      <c r="BZ222" s="124"/>
      <c r="CA222" s="124"/>
      <c r="CB222" s="124"/>
      <c r="CC222" s="124"/>
      <c r="CD222" s="124"/>
      <c r="CE222" s="124"/>
      <c r="CF222" s="124"/>
      <c r="CG222" s="124"/>
      <c r="CH222" s="124"/>
      <c r="CI222" s="124"/>
      <c r="CJ222" s="124"/>
      <c r="CK222" s="124"/>
      <c r="CL222" s="124"/>
      <c r="CM222" s="124"/>
      <c r="CN222" s="124"/>
      <c r="CO222" s="124"/>
      <c r="CP222" s="124"/>
      <c r="CQ222" s="124"/>
      <c r="CR222" s="124"/>
      <c r="CS222" s="124"/>
      <c r="CT222" s="124"/>
      <c r="CU222" s="124"/>
      <c r="CV222" s="124"/>
      <c r="CW222" s="124"/>
      <c r="CX222" s="124"/>
      <c r="CY222" s="124"/>
      <c r="CZ222" s="124"/>
      <c r="DA222" s="124"/>
      <c r="DB222" s="124"/>
      <c r="DC222" s="124"/>
      <c r="DD222" s="124"/>
      <c r="DE222" s="124"/>
      <c r="DF222" s="124"/>
      <c r="DG222" s="124"/>
      <c r="DH222" s="124"/>
      <c r="DI222" s="124"/>
      <c r="DJ222" s="124"/>
      <c r="DK222" s="124"/>
      <c r="DL222" s="124"/>
      <c r="DM222" s="124"/>
      <c r="DN222" s="124"/>
      <c r="DO222" s="124"/>
      <c r="DP222" s="124"/>
      <c r="DQ222" s="124"/>
      <c r="DR222" s="124"/>
      <c r="DS222" s="124"/>
      <c r="DT222" s="124"/>
      <c r="DU222" s="124"/>
      <c r="DV222" s="124"/>
      <c r="DW222" s="124"/>
      <c r="DX222" s="124"/>
      <c r="DY222" s="124"/>
      <c r="DZ222" s="124"/>
      <c r="EA222" s="124"/>
      <c r="EB222" s="124"/>
      <c r="EC222" s="124"/>
      <c r="ED222" s="124"/>
      <c r="EE222" s="124"/>
      <c r="EF222" s="124"/>
      <c r="EG222" s="124"/>
      <c r="EH222" s="124"/>
      <c r="EI222" s="124"/>
      <c r="EJ222" s="124"/>
      <c r="EK222" s="124"/>
      <c r="EL222" s="124"/>
      <c r="EM222" s="124"/>
      <c r="EN222" s="124"/>
      <c r="EO222" s="124"/>
      <c r="EP222" s="124"/>
      <c r="EQ222" s="124"/>
      <c r="ER222" s="124"/>
      <c r="ES222" s="124"/>
      <c r="ET222" s="124"/>
      <c r="EU222" s="124"/>
      <c r="EV222" s="124"/>
      <c r="EW222" s="124"/>
      <c r="EX222" s="124"/>
      <c r="EY222" s="124"/>
      <c r="EZ222" s="124"/>
      <c r="FA222" s="124"/>
      <c r="FB222" s="124"/>
      <c r="FC222" s="124"/>
      <c r="FD222" s="124"/>
      <c r="FE222" s="124"/>
      <c r="FF222" s="124"/>
      <c r="FG222" s="124"/>
      <c r="FH222" s="124"/>
      <c r="FI222" s="124"/>
      <c r="FJ222" s="124"/>
      <c r="FK222" s="124"/>
      <c r="FL222" s="124"/>
      <c r="FM222" s="124"/>
      <c r="FN222" s="124"/>
      <c r="FO222" s="124"/>
      <c r="FP222" s="124"/>
      <c r="FQ222" s="124"/>
      <c r="FR222" s="124"/>
      <c r="FS222" s="124"/>
      <c r="FT222" s="124"/>
      <c r="FU222" s="124"/>
      <c r="FV222" s="124"/>
      <c r="FW222" s="124"/>
      <c r="FX222" s="124"/>
      <c r="FY222" s="124"/>
      <c r="FZ222" s="124"/>
      <c r="GA222" s="124"/>
      <c r="GB222" s="124"/>
      <c r="GC222" s="124"/>
      <c r="GD222" s="124"/>
      <c r="GE222" s="124"/>
      <c r="GF222" s="124"/>
      <c r="GG222" s="124"/>
      <c r="GH222" s="124"/>
      <c r="GI222" s="124"/>
      <c r="GJ222" s="124"/>
      <c r="GK222" s="124"/>
      <c r="GL222" s="124"/>
      <c r="GM222" s="124"/>
      <c r="GN222" s="124"/>
      <c r="GO222" s="124"/>
      <c r="GP222" s="124"/>
      <c r="GQ222" s="124"/>
      <c r="GR222" s="124"/>
      <c r="GS222" s="124"/>
      <c r="GT222" s="124"/>
      <c r="GU222" s="124"/>
      <c r="GV222" s="124"/>
      <c r="GW222" s="124"/>
      <c r="GX222" s="124"/>
      <c r="GY222" s="124"/>
      <c r="GZ222" s="124"/>
      <c r="HA222" s="124"/>
      <c r="HB222" s="124"/>
      <c r="HC222" s="124"/>
      <c r="HD222" s="124"/>
      <c r="HE222" s="124"/>
      <c r="HF222" s="124"/>
      <c r="HG222" s="124"/>
      <c r="HH222" s="124"/>
      <c r="HI222" s="124"/>
      <c r="HJ222" s="124"/>
      <c r="HK222" s="124"/>
      <c r="HL222" s="124"/>
      <c r="HM222" s="124"/>
      <c r="HN222" s="124"/>
      <c r="HO222" s="124"/>
      <c r="HP222" s="124"/>
      <c r="HQ222" s="124"/>
    </row>
    <row r="223" spans="1:225" x14ac:dyDescent="0.2">
      <c r="A223" s="122" t="s">
        <v>854</v>
      </c>
      <c r="B223" s="123">
        <v>11</v>
      </c>
      <c r="C223" s="124" t="s">
        <v>382</v>
      </c>
      <c r="D223" s="123">
        <v>214</v>
      </c>
      <c r="E223" s="124" t="s">
        <v>361</v>
      </c>
      <c r="F223" s="123">
        <v>2</v>
      </c>
      <c r="G223" s="123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  <c r="BJ223" s="124"/>
      <c r="BK223" s="124"/>
      <c r="BL223" s="124"/>
      <c r="BM223" s="124"/>
      <c r="BN223" s="124"/>
      <c r="BO223" s="124"/>
      <c r="BP223" s="124"/>
      <c r="BQ223" s="124"/>
      <c r="BR223" s="124"/>
      <c r="BS223" s="124"/>
      <c r="BT223" s="124"/>
      <c r="BU223" s="124"/>
      <c r="BV223" s="124"/>
      <c r="BW223" s="124"/>
      <c r="BX223" s="124"/>
      <c r="BY223" s="124"/>
      <c r="BZ223" s="124"/>
      <c r="CA223" s="124"/>
      <c r="CB223" s="124"/>
      <c r="CC223" s="124"/>
      <c r="CD223" s="124"/>
      <c r="CE223" s="124"/>
      <c r="CF223" s="124"/>
      <c r="CG223" s="124"/>
      <c r="CH223" s="124"/>
      <c r="CI223" s="124"/>
      <c r="CJ223" s="124"/>
      <c r="CK223" s="124"/>
      <c r="CL223" s="124"/>
      <c r="CM223" s="124"/>
      <c r="CN223" s="124"/>
      <c r="CO223" s="124"/>
      <c r="CP223" s="124"/>
      <c r="CQ223" s="124"/>
      <c r="CR223" s="124"/>
      <c r="CS223" s="124"/>
      <c r="CT223" s="124"/>
      <c r="CU223" s="124"/>
      <c r="CV223" s="124"/>
      <c r="CW223" s="124"/>
      <c r="CX223" s="124"/>
      <c r="CY223" s="124"/>
      <c r="CZ223" s="124"/>
      <c r="DA223" s="124"/>
      <c r="DB223" s="124"/>
      <c r="DC223" s="124"/>
      <c r="DD223" s="124"/>
      <c r="DE223" s="124"/>
      <c r="DF223" s="124"/>
      <c r="DG223" s="124"/>
      <c r="DH223" s="124"/>
      <c r="DI223" s="124"/>
      <c r="DJ223" s="124"/>
      <c r="DK223" s="124"/>
      <c r="DL223" s="124"/>
      <c r="DM223" s="124"/>
      <c r="DN223" s="124"/>
      <c r="DO223" s="124"/>
      <c r="DP223" s="124"/>
      <c r="DQ223" s="124"/>
      <c r="DR223" s="124"/>
      <c r="DS223" s="124"/>
      <c r="DT223" s="124"/>
      <c r="DU223" s="124"/>
      <c r="DV223" s="124"/>
      <c r="DW223" s="124"/>
      <c r="DX223" s="124"/>
      <c r="DY223" s="124"/>
      <c r="DZ223" s="124"/>
      <c r="EA223" s="124"/>
      <c r="EB223" s="124"/>
      <c r="EC223" s="124"/>
      <c r="ED223" s="124"/>
      <c r="EE223" s="124"/>
      <c r="EF223" s="124"/>
      <c r="EG223" s="124"/>
      <c r="EH223" s="124"/>
      <c r="EI223" s="124"/>
      <c r="EJ223" s="124"/>
      <c r="EK223" s="124"/>
      <c r="EL223" s="124"/>
      <c r="EM223" s="124"/>
      <c r="EN223" s="124"/>
      <c r="EO223" s="124"/>
      <c r="EP223" s="124"/>
      <c r="EQ223" s="124"/>
      <c r="ER223" s="124"/>
      <c r="ES223" s="124"/>
      <c r="ET223" s="124"/>
      <c r="EU223" s="124"/>
      <c r="EV223" s="124"/>
      <c r="EW223" s="124"/>
      <c r="EX223" s="124"/>
      <c r="EY223" s="124"/>
      <c r="EZ223" s="124"/>
      <c r="FA223" s="124"/>
      <c r="FB223" s="124"/>
      <c r="FC223" s="124"/>
      <c r="FD223" s="124"/>
      <c r="FE223" s="124"/>
      <c r="FF223" s="124"/>
      <c r="FG223" s="124"/>
      <c r="FH223" s="124"/>
      <c r="FI223" s="124"/>
      <c r="FJ223" s="124"/>
      <c r="FK223" s="124"/>
      <c r="FL223" s="124"/>
      <c r="FM223" s="124"/>
      <c r="FN223" s="124"/>
      <c r="FO223" s="124"/>
      <c r="FP223" s="124"/>
      <c r="FQ223" s="124"/>
      <c r="FR223" s="124"/>
      <c r="FS223" s="124"/>
      <c r="FT223" s="124"/>
      <c r="FU223" s="124"/>
      <c r="FV223" s="124"/>
      <c r="FW223" s="124"/>
      <c r="FX223" s="124"/>
      <c r="FY223" s="124"/>
      <c r="FZ223" s="124"/>
      <c r="GA223" s="124"/>
      <c r="GB223" s="124"/>
      <c r="GC223" s="124"/>
      <c r="GD223" s="124"/>
      <c r="GE223" s="124"/>
      <c r="GF223" s="124"/>
      <c r="GG223" s="124"/>
      <c r="GH223" s="124"/>
      <c r="GI223" s="124"/>
      <c r="GJ223" s="124"/>
      <c r="GK223" s="124"/>
      <c r="GL223" s="124"/>
      <c r="GM223" s="124"/>
      <c r="GN223" s="124"/>
      <c r="GO223" s="124"/>
      <c r="GP223" s="124"/>
      <c r="GQ223" s="124"/>
      <c r="GR223" s="124"/>
      <c r="GS223" s="124"/>
      <c r="GT223" s="124"/>
      <c r="GU223" s="124"/>
      <c r="GV223" s="124"/>
      <c r="GW223" s="124"/>
      <c r="GX223" s="124"/>
      <c r="GY223" s="124"/>
      <c r="GZ223" s="124"/>
      <c r="HA223" s="124"/>
      <c r="HB223" s="124"/>
      <c r="HC223" s="124"/>
      <c r="HD223" s="124"/>
      <c r="HE223" s="124"/>
      <c r="HF223" s="124"/>
      <c r="HG223" s="124"/>
      <c r="HH223" s="124"/>
      <c r="HI223" s="124"/>
      <c r="HJ223" s="124"/>
      <c r="HK223" s="124"/>
      <c r="HL223" s="124"/>
      <c r="HM223" s="124"/>
      <c r="HN223" s="124"/>
      <c r="HO223" s="124"/>
      <c r="HP223" s="124"/>
      <c r="HQ223" s="124"/>
    </row>
    <row r="224" spans="1:225" x14ac:dyDescent="0.2">
      <c r="A224" s="122" t="s">
        <v>855</v>
      </c>
      <c r="B224" s="123">
        <v>12</v>
      </c>
      <c r="C224" s="138" t="s">
        <v>383</v>
      </c>
      <c r="D224" s="123">
        <v>215</v>
      </c>
      <c r="E224" s="124" t="s">
        <v>361</v>
      </c>
      <c r="F224" s="123">
        <v>3</v>
      </c>
      <c r="G224" s="123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  <c r="BJ224" s="124"/>
      <c r="BK224" s="124"/>
      <c r="BL224" s="124"/>
      <c r="BM224" s="124"/>
      <c r="BN224" s="124"/>
      <c r="BO224" s="124"/>
      <c r="BP224" s="124"/>
      <c r="BQ224" s="124"/>
      <c r="BR224" s="124"/>
      <c r="BS224" s="124"/>
      <c r="BT224" s="124"/>
      <c r="BU224" s="124"/>
      <c r="BV224" s="124"/>
      <c r="BW224" s="124"/>
      <c r="BX224" s="124"/>
      <c r="BY224" s="124"/>
      <c r="BZ224" s="124"/>
      <c r="CA224" s="124"/>
      <c r="CB224" s="124"/>
      <c r="CC224" s="124"/>
      <c r="CD224" s="124"/>
      <c r="CE224" s="124"/>
      <c r="CF224" s="124"/>
      <c r="CG224" s="124"/>
      <c r="CH224" s="124"/>
      <c r="CI224" s="124"/>
      <c r="CJ224" s="124"/>
      <c r="CK224" s="124"/>
      <c r="CL224" s="124"/>
      <c r="CM224" s="124"/>
      <c r="CN224" s="124"/>
      <c r="CO224" s="124"/>
      <c r="CP224" s="124"/>
      <c r="CQ224" s="124"/>
      <c r="CR224" s="124"/>
      <c r="CS224" s="124"/>
      <c r="CT224" s="124"/>
      <c r="CU224" s="124"/>
      <c r="CV224" s="124"/>
      <c r="CW224" s="124"/>
      <c r="CX224" s="124"/>
      <c r="CY224" s="124"/>
      <c r="CZ224" s="124"/>
      <c r="DA224" s="124"/>
      <c r="DB224" s="124"/>
      <c r="DC224" s="124"/>
      <c r="DD224" s="124"/>
      <c r="DE224" s="124"/>
      <c r="DF224" s="124"/>
      <c r="DG224" s="124"/>
      <c r="DH224" s="124"/>
      <c r="DI224" s="124"/>
      <c r="DJ224" s="124"/>
      <c r="DK224" s="124"/>
      <c r="DL224" s="124"/>
      <c r="DM224" s="124"/>
      <c r="DN224" s="124"/>
      <c r="DO224" s="124"/>
      <c r="DP224" s="124"/>
      <c r="DQ224" s="124"/>
      <c r="DR224" s="124"/>
      <c r="DS224" s="124"/>
      <c r="DT224" s="124"/>
      <c r="DU224" s="124"/>
      <c r="DV224" s="124"/>
      <c r="DW224" s="124"/>
      <c r="DX224" s="124"/>
      <c r="DY224" s="124"/>
      <c r="DZ224" s="124"/>
      <c r="EA224" s="124"/>
      <c r="EB224" s="124"/>
      <c r="EC224" s="124"/>
      <c r="ED224" s="124"/>
      <c r="EE224" s="124"/>
      <c r="EF224" s="124"/>
      <c r="EG224" s="124"/>
      <c r="EH224" s="124"/>
      <c r="EI224" s="124"/>
      <c r="EJ224" s="124"/>
      <c r="EK224" s="124"/>
      <c r="EL224" s="124"/>
      <c r="EM224" s="124"/>
      <c r="EN224" s="124"/>
      <c r="EO224" s="124"/>
      <c r="EP224" s="124"/>
      <c r="EQ224" s="124"/>
      <c r="ER224" s="124"/>
      <c r="ES224" s="124"/>
      <c r="ET224" s="124"/>
      <c r="EU224" s="124"/>
      <c r="EV224" s="124"/>
      <c r="EW224" s="124"/>
      <c r="EX224" s="124"/>
      <c r="EY224" s="124"/>
      <c r="EZ224" s="124"/>
      <c r="FA224" s="124"/>
      <c r="FB224" s="124"/>
      <c r="FC224" s="124"/>
      <c r="FD224" s="124"/>
      <c r="FE224" s="124"/>
      <c r="FF224" s="124"/>
      <c r="FG224" s="124"/>
      <c r="FH224" s="124"/>
      <c r="FI224" s="124"/>
      <c r="FJ224" s="124"/>
      <c r="FK224" s="124"/>
      <c r="FL224" s="124"/>
      <c r="FM224" s="124"/>
      <c r="FN224" s="124"/>
      <c r="FO224" s="124"/>
      <c r="FP224" s="124"/>
      <c r="FQ224" s="124"/>
      <c r="FR224" s="124"/>
      <c r="FS224" s="124"/>
      <c r="FT224" s="124"/>
      <c r="FU224" s="124"/>
      <c r="FV224" s="124"/>
      <c r="FW224" s="124"/>
      <c r="FX224" s="124"/>
      <c r="FY224" s="124"/>
      <c r="FZ224" s="124"/>
      <c r="GA224" s="124"/>
      <c r="GB224" s="124"/>
      <c r="GC224" s="124"/>
      <c r="GD224" s="124"/>
      <c r="GE224" s="124"/>
      <c r="GF224" s="124"/>
      <c r="GG224" s="124"/>
      <c r="GH224" s="124"/>
      <c r="GI224" s="124"/>
      <c r="GJ224" s="124"/>
      <c r="GK224" s="124"/>
      <c r="GL224" s="124"/>
      <c r="GM224" s="124"/>
      <c r="GN224" s="124"/>
      <c r="GO224" s="124"/>
      <c r="GP224" s="124"/>
      <c r="GQ224" s="124"/>
      <c r="GR224" s="124"/>
      <c r="GS224" s="124"/>
      <c r="GT224" s="124"/>
      <c r="GU224" s="124"/>
      <c r="GV224" s="124"/>
      <c r="GW224" s="124"/>
      <c r="GX224" s="124"/>
      <c r="GY224" s="124"/>
      <c r="GZ224" s="124"/>
      <c r="HA224" s="124"/>
      <c r="HB224" s="124"/>
      <c r="HC224" s="124"/>
      <c r="HD224" s="124"/>
      <c r="HE224" s="124"/>
      <c r="HF224" s="124"/>
      <c r="HG224" s="124"/>
      <c r="HH224" s="124"/>
      <c r="HI224" s="124"/>
      <c r="HJ224" s="124"/>
      <c r="HK224" s="124"/>
      <c r="HL224" s="124"/>
      <c r="HM224" s="124"/>
      <c r="HN224" s="124"/>
      <c r="HO224" s="124"/>
      <c r="HP224" s="124"/>
      <c r="HQ224" s="124"/>
    </row>
    <row r="225" spans="1:225" x14ac:dyDescent="0.2">
      <c r="A225" s="122" t="s">
        <v>856</v>
      </c>
      <c r="B225" s="123">
        <v>12</v>
      </c>
      <c r="C225" s="124" t="s">
        <v>384</v>
      </c>
      <c r="D225" s="123">
        <v>216</v>
      </c>
      <c r="E225" s="124" t="s">
        <v>361</v>
      </c>
      <c r="F225" s="123">
        <v>3</v>
      </c>
      <c r="G225" s="123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  <c r="BJ225" s="124"/>
      <c r="BK225" s="124"/>
      <c r="BL225" s="124"/>
      <c r="BM225" s="124"/>
      <c r="BN225" s="124"/>
      <c r="BO225" s="124"/>
      <c r="BP225" s="124"/>
      <c r="BQ225" s="124"/>
      <c r="BR225" s="124"/>
      <c r="BS225" s="124"/>
      <c r="BT225" s="124"/>
      <c r="BU225" s="124"/>
      <c r="BV225" s="124"/>
      <c r="BW225" s="124"/>
      <c r="BX225" s="124"/>
      <c r="BY225" s="124"/>
      <c r="BZ225" s="124"/>
      <c r="CA225" s="124"/>
      <c r="CB225" s="124"/>
      <c r="CC225" s="124"/>
      <c r="CD225" s="124"/>
      <c r="CE225" s="124"/>
      <c r="CF225" s="124"/>
      <c r="CG225" s="124"/>
      <c r="CH225" s="124"/>
      <c r="CI225" s="124"/>
      <c r="CJ225" s="124"/>
      <c r="CK225" s="124"/>
      <c r="CL225" s="124"/>
      <c r="CM225" s="124"/>
      <c r="CN225" s="124"/>
      <c r="CO225" s="124"/>
      <c r="CP225" s="124"/>
      <c r="CQ225" s="124"/>
      <c r="CR225" s="124"/>
      <c r="CS225" s="124"/>
      <c r="CT225" s="124"/>
      <c r="CU225" s="124"/>
      <c r="CV225" s="124"/>
      <c r="CW225" s="124"/>
      <c r="CX225" s="124"/>
      <c r="CY225" s="124"/>
      <c r="CZ225" s="124"/>
      <c r="DA225" s="124"/>
      <c r="DB225" s="124"/>
      <c r="DC225" s="124"/>
      <c r="DD225" s="124"/>
      <c r="DE225" s="124"/>
      <c r="DF225" s="124"/>
      <c r="DG225" s="124"/>
      <c r="DH225" s="124"/>
      <c r="DI225" s="124"/>
      <c r="DJ225" s="124"/>
      <c r="DK225" s="124"/>
      <c r="DL225" s="124"/>
      <c r="DM225" s="124"/>
      <c r="DN225" s="124"/>
      <c r="DO225" s="124"/>
      <c r="DP225" s="124"/>
      <c r="DQ225" s="124"/>
      <c r="DR225" s="124"/>
      <c r="DS225" s="124"/>
      <c r="DT225" s="124"/>
      <c r="DU225" s="124"/>
      <c r="DV225" s="124"/>
      <c r="DW225" s="124"/>
      <c r="DX225" s="124"/>
      <c r="DY225" s="124"/>
      <c r="DZ225" s="124"/>
      <c r="EA225" s="124"/>
      <c r="EB225" s="124"/>
      <c r="EC225" s="124"/>
      <c r="ED225" s="124"/>
      <c r="EE225" s="124"/>
      <c r="EF225" s="124"/>
      <c r="EG225" s="124"/>
      <c r="EH225" s="124"/>
      <c r="EI225" s="124"/>
      <c r="EJ225" s="124"/>
      <c r="EK225" s="124"/>
      <c r="EL225" s="124"/>
      <c r="EM225" s="124"/>
      <c r="EN225" s="124"/>
      <c r="EO225" s="124"/>
      <c r="EP225" s="124"/>
      <c r="EQ225" s="124"/>
      <c r="ER225" s="124"/>
      <c r="ES225" s="124"/>
      <c r="ET225" s="124"/>
      <c r="EU225" s="124"/>
      <c r="EV225" s="124"/>
      <c r="EW225" s="124"/>
      <c r="EX225" s="124"/>
      <c r="EY225" s="124"/>
      <c r="EZ225" s="124"/>
      <c r="FA225" s="124"/>
      <c r="FB225" s="124"/>
      <c r="FC225" s="124"/>
      <c r="FD225" s="124"/>
      <c r="FE225" s="124"/>
      <c r="FF225" s="124"/>
      <c r="FG225" s="124"/>
      <c r="FH225" s="124"/>
      <c r="FI225" s="124"/>
      <c r="FJ225" s="124"/>
      <c r="FK225" s="124"/>
      <c r="FL225" s="124"/>
      <c r="FM225" s="124"/>
      <c r="FN225" s="124"/>
      <c r="FO225" s="124"/>
      <c r="FP225" s="124"/>
      <c r="FQ225" s="124"/>
      <c r="FR225" s="124"/>
      <c r="FS225" s="124"/>
      <c r="FT225" s="124"/>
      <c r="FU225" s="124"/>
      <c r="FV225" s="124"/>
      <c r="FW225" s="124"/>
      <c r="FX225" s="124"/>
      <c r="FY225" s="124"/>
      <c r="FZ225" s="124"/>
      <c r="GA225" s="124"/>
      <c r="GB225" s="124"/>
      <c r="GC225" s="124"/>
      <c r="GD225" s="124"/>
      <c r="GE225" s="124"/>
      <c r="GF225" s="124"/>
      <c r="GG225" s="124"/>
      <c r="GH225" s="124"/>
      <c r="GI225" s="124"/>
      <c r="GJ225" s="124"/>
      <c r="GK225" s="124"/>
      <c r="GL225" s="124"/>
      <c r="GM225" s="124"/>
      <c r="GN225" s="124"/>
      <c r="GO225" s="124"/>
      <c r="GP225" s="124"/>
      <c r="GQ225" s="124"/>
      <c r="GR225" s="124"/>
      <c r="GS225" s="124"/>
      <c r="GT225" s="124"/>
      <c r="GU225" s="124"/>
      <c r="GV225" s="124"/>
      <c r="GW225" s="124"/>
      <c r="GX225" s="124"/>
      <c r="GY225" s="124"/>
      <c r="GZ225" s="124"/>
      <c r="HA225" s="124"/>
      <c r="HB225" s="124"/>
      <c r="HC225" s="124"/>
      <c r="HD225" s="124"/>
      <c r="HE225" s="124"/>
      <c r="HF225" s="124"/>
      <c r="HG225" s="124"/>
      <c r="HH225" s="124"/>
      <c r="HI225" s="124"/>
      <c r="HJ225" s="124"/>
      <c r="HK225" s="124"/>
      <c r="HL225" s="124"/>
      <c r="HM225" s="124"/>
      <c r="HN225" s="124"/>
      <c r="HO225" s="124"/>
      <c r="HP225" s="124"/>
      <c r="HQ225" s="124"/>
    </row>
    <row r="226" spans="1:225" x14ac:dyDescent="0.2">
      <c r="A226" s="122" t="s">
        <v>857</v>
      </c>
      <c r="B226" s="123">
        <v>13</v>
      </c>
      <c r="C226" s="124" t="s">
        <v>385</v>
      </c>
      <c r="D226" s="123">
        <v>217</v>
      </c>
      <c r="E226" s="124" t="s">
        <v>361</v>
      </c>
      <c r="F226" s="123">
        <v>2</v>
      </c>
      <c r="G226" s="123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  <c r="BJ226" s="124"/>
      <c r="BK226" s="124"/>
      <c r="BL226" s="124"/>
      <c r="BM226" s="124"/>
      <c r="BN226" s="124"/>
      <c r="BO226" s="124"/>
      <c r="BP226" s="124"/>
      <c r="BQ226" s="124"/>
      <c r="BR226" s="124"/>
      <c r="BS226" s="124"/>
      <c r="BT226" s="124"/>
      <c r="BU226" s="124"/>
      <c r="BV226" s="124"/>
      <c r="BW226" s="124"/>
      <c r="BX226" s="124"/>
      <c r="BY226" s="124"/>
      <c r="BZ226" s="124"/>
      <c r="CA226" s="124"/>
      <c r="CB226" s="124"/>
      <c r="CC226" s="124"/>
      <c r="CD226" s="124"/>
      <c r="CE226" s="124"/>
      <c r="CF226" s="124"/>
      <c r="CG226" s="124"/>
      <c r="CH226" s="124"/>
      <c r="CI226" s="124"/>
      <c r="CJ226" s="124"/>
      <c r="CK226" s="124"/>
      <c r="CL226" s="124"/>
      <c r="CM226" s="124"/>
      <c r="CN226" s="124"/>
      <c r="CO226" s="124"/>
      <c r="CP226" s="124"/>
      <c r="CQ226" s="124"/>
      <c r="CR226" s="124"/>
      <c r="CS226" s="124"/>
      <c r="CT226" s="124"/>
      <c r="CU226" s="124"/>
      <c r="CV226" s="124"/>
      <c r="CW226" s="124"/>
      <c r="CX226" s="124"/>
      <c r="CY226" s="124"/>
      <c r="CZ226" s="124"/>
      <c r="DA226" s="124"/>
      <c r="DB226" s="124"/>
      <c r="DC226" s="124"/>
      <c r="DD226" s="124"/>
      <c r="DE226" s="124"/>
      <c r="DF226" s="124"/>
      <c r="DG226" s="124"/>
      <c r="DH226" s="124"/>
      <c r="DI226" s="124"/>
      <c r="DJ226" s="124"/>
      <c r="DK226" s="124"/>
      <c r="DL226" s="124"/>
      <c r="DM226" s="124"/>
      <c r="DN226" s="124"/>
      <c r="DO226" s="124"/>
      <c r="DP226" s="124"/>
      <c r="DQ226" s="124"/>
      <c r="DR226" s="124"/>
      <c r="DS226" s="124"/>
      <c r="DT226" s="124"/>
      <c r="DU226" s="124"/>
      <c r="DV226" s="124"/>
      <c r="DW226" s="124"/>
      <c r="DX226" s="124"/>
      <c r="DY226" s="124"/>
      <c r="DZ226" s="124"/>
      <c r="EA226" s="124"/>
      <c r="EB226" s="124"/>
      <c r="EC226" s="124"/>
      <c r="ED226" s="124"/>
      <c r="EE226" s="124"/>
      <c r="EF226" s="124"/>
      <c r="EG226" s="124"/>
      <c r="EH226" s="124"/>
      <c r="EI226" s="124"/>
      <c r="EJ226" s="124"/>
      <c r="EK226" s="124"/>
      <c r="EL226" s="124"/>
      <c r="EM226" s="124"/>
      <c r="EN226" s="124"/>
      <c r="EO226" s="124"/>
      <c r="EP226" s="124"/>
      <c r="EQ226" s="124"/>
      <c r="ER226" s="124"/>
      <c r="ES226" s="124"/>
      <c r="ET226" s="124"/>
      <c r="EU226" s="124"/>
      <c r="EV226" s="124"/>
      <c r="EW226" s="124"/>
      <c r="EX226" s="124"/>
      <c r="EY226" s="124"/>
      <c r="EZ226" s="124"/>
      <c r="FA226" s="124"/>
      <c r="FB226" s="124"/>
      <c r="FC226" s="124"/>
      <c r="FD226" s="124"/>
      <c r="FE226" s="124"/>
      <c r="FF226" s="124"/>
      <c r="FG226" s="124"/>
      <c r="FH226" s="124"/>
      <c r="FI226" s="124"/>
      <c r="FJ226" s="124"/>
      <c r="FK226" s="124"/>
      <c r="FL226" s="124"/>
      <c r="FM226" s="124"/>
      <c r="FN226" s="124"/>
      <c r="FO226" s="124"/>
      <c r="FP226" s="124"/>
      <c r="FQ226" s="124"/>
      <c r="FR226" s="124"/>
      <c r="FS226" s="124"/>
      <c r="FT226" s="124"/>
      <c r="FU226" s="124"/>
      <c r="FV226" s="124"/>
      <c r="FW226" s="124"/>
      <c r="FX226" s="124"/>
      <c r="FY226" s="124"/>
      <c r="FZ226" s="124"/>
      <c r="GA226" s="124"/>
      <c r="GB226" s="124"/>
      <c r="GC226" s="124"/>
      <c r="GD226" s="124"/>
      <c r="GE226" s="124"/>
      <c r="GF226" s="124"/>
      <c r="GG226" s="124"/>
      <c r="GH226" s="124"/>
      <c r="GI226" s="124"/>
      <c r="GJ226" s="124"/>
      <c r="GK226" s="124"/>
      <c r="GL226" s="124"/>
      <c r="GM226" s="124"/>
      <c r="GN226" s="124"/>
      <c r="GO226" s="124"/>
      <c r="GP226" s="124"/>
      <c r="GQ226" s="124"/>
      <c r="GR226" s="124"/>
      <c r="GS226" s="124"/>
      <c r="GT226" s="124"/>
      <c r="GU226" s="124"/>
      <c r="GV226" s="124"/>
      <c r="GW226" s="124"/>
      <c r="GX226" s="124"/>
      <c r="GY226" s="124"/>
      <c r="GZ226" s="124"/>
      <c r="HA226" s="124"/>
      <c r="HB226" s="124"/>
      <c r="HC226" s="124"/>
      <c r="HD226" s="124"/>
      <c r="HE226" s="124"/>
      <c r="HF226" s="124"/>
      <c r="HG226" s="124"/>
      <c r="HH226" s="124"/>
      <c r="HI226" s="124"/>
      <c r="HJ226" s="124"/>
      <c r="HK226" s="124"/>
      <c r="HL226" s="124"/>
      <c r="HM226" s="124"/>
      <c r="HN226" s="124"/>
      <c r="HO226" s="124"/>
      <c r="HP226" s="124"/>
      <c r="HQ226" s="124"/>
    </row>
    <row r="227" spans="1:225" x14ac:dyDescent="0.2">
      <c r="A227" s="122" t="s">
        <v>858</v>
      </c>
      <c r="B227" s="123">
        <v>13</v>
      </c>
      <c r="C227" s="124" t="s">
        <v>386</v>
      </c>
      <c r="D227" s="123">
        <v>218</v>
      </c>
      <c r="E227" s="124" t="s">
        <v>361</v>
      </c>
      <c r="F227" s="123">
        <v>2</v>
      </c>
      <c r="G227" s="123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  <c r="BJ227" s="124"/>
      <c r="BK227" s="124"/>
      <c r="BL227" s="124"/>
      <c r="BM227" s="124"/>
      <c r="BN227" s="124"/>
      <c r="BO227" s="124"/>
      <c r="BP227" s="124"/>
      <c r="BQ227" s="124"/>
      <c r="BR227" s="124"/>
      <c r="BS227" s="124"/>
      <c r="BT227" s="124"/>
      <c r="BU227" s="124"/>
      <c r="BV227" s="124"/>
      <c r="BW227" s="124"/>
      <c r="BX227" s="124"/>
      <c r="BY227" s="124"/>
      <c r="BZ227" s="124"/>
      <c r="CA227" s="124"/>
      <c r="CB227" s="124"/>
      <c r="CC227" s="124"/>
      <c r="CD227" s="124"/>
      <c r="CE227" s="124"/>
      <c r="CF227" s="124"/>
      <c r="CG227" s="124"/>
      <c r="CH227" s="124"/>
      <c r="CI227" s="124"/>
      <c r="CJ227" s="124"/>
      <c r="CK227" s="124"/>
      <c r="CL227" s="124"/>
      <c r="CM227" s="124"/>
      <c r="CN227" s="124"/>
      <c r="CO227" s="124"/>
      <c r="CP227" s="124"/>
      <c r="CQ227" s="124"/>
      <c r="CR227" s="124"/>
      <c r="CS227" s="124"/>
      <c r="CT227" s="124"/>
      <c r="CU227" s="124"/>
      <c r="CV227" s="124"/>
      <c r="CW227" s="124"/>
      <c r="CX227" s="124"/>
      <c r="CY227" s="124"/>
      <c r="CZ227" s="124"/>
      <c r="DA227" s="124"/>
      <c r="DB227" s="124"/>
      <c r="DC227" s="124"/>
      <c r="DD227" s="124"/>
      <c r="DE227" s="124"/>
      <c r="DF227" s="124"/>
      <c r="DG227" s="124"/>
      <c r="DH227" s="124"/>
      <c r="DI227" s="124"/>
      <c r="DJ227" s="124"/>
      <c r="DK227" s="124"/>
      <c r="DL227" s="124"/>
      <c r="DM227" s="124"/>
      <c r="DN227" s="124"/>
      <c r="DO227" s="124"/>
      <c r="DP227" s="124"/>
      <c r="DQ227" s="124"/>
      <c r="DR227" s="124"/>
      <c r="DS227" s="124"/>
      <c r="DT227" s="124"/>
      <c r="DU227" s="124"/>
      <c r="DV227" s="124"/>
      <c r="DW227" s="124"/>
      <c r="DX227" s="124"/>
      <c r="DY227" s="124"/>
      <c r="DZ227" s="124"/>
      <c r="EA227" s="124"/>
      <c r="EB227" s="124"/>
      <c r="EC227" s="124"/>
      <c r="ED227" s="124"/>
      <c r="EE227" s="124"/>
      <c r="EF227" s="124"/>
      <c r="EG227" s="124"/>
      <c r="EH227" s="124"/>
      <c r="EI227" s="124"/>
      <c r="EJ227" s="124"/>
      <c r="EK227" s="124"/>
      <c r="EL227" s="124"/>
      <c r="EM227" s="124"/>
      <c r="EN227" s="124"/>
      <c r="EO227" s="124"/>
      <c r="EP227" s="124"/>
      <c r="EQ227" s="124"/>
      <c r="ER227" s="124"/>
      <c r="ES227" s="124"/>
      <c r="ET227" s="124"/>
      <c r="EU227" s="124"/>
      <c r="EV227" s="124"/>
      <c r="EW227" s="124"/>
      <c r="EX227" s="124"/>
      <c r="EY227" s="124"/>
      <c r="EZ227" s="124"/>
      <c r="FA227" s="124"/>
      <c r="FB227" s="124"/>
      <c r="FC227" s="124"/>
      <c r="FD227" s="124"/>
      <c r="FE227" s="124"/>
      <c r="FF227" s="124"/>
      <c r="FG227" s="124"/>
      <c r="FH227" s="124"/>
      <c r="FI227" s="124"/>
      <c r="FJ227" s="124"/>
      <c r="FK227" s="124"/>
      <c r="FL227" s="124"/>
      <c r="FM227" s="124"/>
      <c r="FN227" s="124"/>
      <c r="FO227" s="124"/>
      <c r="FP227" s="124"/>
      <c r="FQ227" s="124"/>
      <c r="FR227" s="124"/>
      <c r="FS227" s="124"/>
      <c r="FT227" s="124"/>
      <c r="FU227" s="124"/>
      <c r="FV227" s="124"/>
      <c r="FW227" s="124"/>
      <c r="FX227" s="124"/>
      <c r="FY227" s="124"/>
      <c r="FZ227" s="124"/>
      <c r="GA227" s="124"/>
      <c r="GB227" s="124"/>
      <c r="GC227" s="124"/>
      <c r="GD227" s="124"/>
      <c r="GE227" s="124"/>
      <c r="GF227" s="124"/>
      <c r="GG227" s="124"/>
      <c r="GH227" s="124"/>
      <c r="GI227" s="124"/>
      <c r="GJ227" s="124"/>
      <c r="GK227" s="124"/>
      <c r="GL227" s="124"/>
      <c r="GM227" s="124"/>
      <c r="GN227" s="124"/>
      <c r="GO227" s="124"/>
      <c r="GP227" s="124"/>
      <c r="GQ227" s="124"/>
      <c r="GR227" s="124"/>
      <c r="GS227" s="124"/>
      <c r="GT227" s="124"/>
      <c r="GU227" s="124"/>
      <c r="GV227" s="124"/>
      <c r="GW227" s="124"/>
      <c r="GX227" s="124"/>
      <c r="GY227" s="124"/>
      <c r="GZ227" s="124"/>
      <c r="HA227" s="124"/>
      <c r="HB227" s="124"/>
      <c r="HC227" s="124"/>
      <c r="HD227" s="124"/>
      <c r="HE227" s="124"/>
      <c r="HF227" s="124"/>
      <c r="HG227" s="124"/>
      <c r="HH227" s="124"/>
      <c r="HI227" s="124"/>
      <c r="HJ227" s="124"/>
      <c r="HK227" s="124"/>
      <c r="HL227" s="124"/>
      <c r="HM227" s="124"/>
      <c r="HN227" s="124"/>
      <c r="HO227" s="124"/>
      <c r="HP227" s="124"/>
      <c r="HQ227" s="124"/>
    </row>
    <row r="228" spans="1:225" x14ac:dyDescent="0.2">
      <c r="A228" s="122" t="s">
        <v>859</v>
      </c>
      <c r="B228" s="123">
        <v>14</v>
      </c>
      <c r="C228" s="124" t="s">
        <v>387</v>
      </c>
      <c r="D228" s="123">
        <v>219</v>
      </c>
      <c r="E228" s="124" t="s">
        <v>361</v>
      </c>
      <c r="F228" s="123">
        <v>3</v>
      </c>
      <c r="G228" s="123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  <c r="AV228" s="124"/>
      <c r="AW228" s="124"/>
      <c r="AX228" s="124"/>
      <c r="AY228" s="124"/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  <c r="BJ228" s="124"/>
      <c r="BK228" s="124"/>
      <c r="BL228" s="124"/>
      <c r="BM228" s="124"/>
      <c r="BN228" s="124"/>
      <c r="BO228" s="124"/>
      <c r="BP228" s="124"/>
      <c r="BQ228" s="124"/>
      <c r="BR228" s="124"/>
      <c r="BS228" s="124"/>
      <c r="BT228" s="124"/>
      <c r="BU228" s="124"/>
      <c r="BV228" s="124"/>
      <c r="BW228" s="124"/>
      <c r="BX228" s="124"/>
      <c r="BY228" s="124"/>
      <c r="BZ228" s="124"/>
      <c r="CA228" s="124"/>
      <c r="CB228" s="124"/>
      <c r="CC228" s="124"/>
      <c r="CD228" s="124"/>
      <c r="CE228" s="124"/>
      <c r="CF228" s="124"/>
      <c r="CG228" s="124"/>
      <c r="CH228" s="124"/>
      <c r="CI228" s="124"/>
      <c r="CJ228" s="124"/>
      <c r="CK228" s="124"/>
      <c r="CL228" s="124"/>
      <c r="CM228" s="124"/>
      <c r="CN228" s="124"/>
      <c r="CO228" s="124"/>
      <c r="CP228" s="124"/>
      <c r="CQ228" s="124"/>
      <c r="CR228" s="124"/>
      <c r="CS228" s="124"/>
      <c r="CT228" s="124"/>
      <c r="CU228" s="124"/>
      <c r="CV228" s="124"/>
      <c r="CW228" s="124"/>
      <c r="CX228" s="124"/>
      <c r="CY228" s="124"/>
      <c r="CZ228" s="124"/>
      <c r="DA228" s="124"/>
      <c r="DB228" s="124"/>
      <c r="DC228" s="124"/>
      <c r="DD228" s="124"/>
      <c r="DE228" s="124"/>
      <c r="DF228" s="124"/>
      <c r="DG228" s="124"/>
      <c r="DH228" s="124"/>
      <c r="DI228" s="124"/>
      <c r="DJ228" s="124"/>
      <c r="DK228" s="124"/>
      <c r="DL228" s="124"/>
      <c r="DM228" s="124"/>
      <c r="DN228" s="124"/>
      <c r="DO228" s="124"/>
      <c r="DP228" s="124"/>
      <c r="DQ228" s="124"/>
      <c r="DR228" s="124"/>
      <c r="DS228" s="124"/>
      <c r="DT228" s="124"/>
      <c r="DU228" s="124"/>
      <c r="DV228" s="124"/>
      <c r="DW228" s="124"/>
      <c r="DX228" s="124"/>
      <c r="DY228" s="124"/>
      <c r="DZ228" s="124"/>
      <c r="EA228" s="124"/>
      <c r="EB228" s="124"/>
      <c r="EC228" s="124"/>
      <c r="ED228" s="124"/>
      <c r="EE228" s="124"/>
      <c r="EF228" s="124"/>
      <c r="EG228" s="124"/>
      <c r="EH228" s="124"/>
      <c r="EI228" s="124"/>
      <c r="EJ228" s="124"/>
      <c r="EK228" s="124"/>
      <c r="EL228" s="124"/>
      <c r="EM228" s="124"/>
      <c r="EN228" s="124"/>
      <c r="EO228" s="124"/>
      <c r="EP228" s="124"/>
      <c r="EQ228" s="124"/>
      <c r="ER228" s="124"/>
      <c r="ES228" s="124"/>
      <c r="ET228" s="124"/>
      <c r="EU228" s="124"/>
      <c r="EV228" s="124"/>
      <c r="EW228" s="124"/>
      <c r="EX228" s="124"/>
      <c r="EY228" s="124"/>
      <c r="EZ228" s="124"/>
      <c r="FA228" s="124"/>
      <c r="FB228" s="124"/>
      <c r="FC228" s="124"/>
      <c r="FD228" s="124"/>
      <c r="FE228" s="124"/>
      <c r="FF228" s="124"/>
      <c r="FG228" s="124"/>
      <c r="FH228" s="124"/>
      <c r="FI228" s="124"/>
      <c r="FJ228" s="124"/>
      <c r="FK228" s="124"/>
      <c r="FL228" s="124"/>
      <c r="FM228" s="124"/>
      <c r="FN228" s="124"/>
      <c r="FO228" s="124"/>
      <c r="FP228" s="124"/>
      <c r="FQ228" s="124"/>
      <c r="FR228" s="124"/>
      <c r="FS228" s="124"/>
      <c r="FT228" s="124"/>
      <c r="FU228" s="124"/>
      <c r="FV228" s="124"/>
      <c r="FW228" s="124"/>
      <c r="FX228" s="124"/>
      <c r="FY228" s="124"/>
      <c r="FZ228" s="124"/>
      <c r="GA228" s="124"/>
      <c r="GB228" s="124"/>
      <c r="GC228" s="124"/>
      <c r="GD228" s="124"/>
      <c r="GE228" s="124"/>
      <c r="GF228" s="124"/>
      <c r="GG228" s="124"/>
      <c r="GH228" s="124"/>
      <c r="GI228" s="124"/>
      <c r="GJ228" s="124"/>
      <c r="GK228" s="124"/>
      <c r="GL228" s="124"/>
      <c r="GM228" s="124"/>
      <c r="GN228" s="124"/>
      <c r="GO228" s="124"/>
      <c r="GP228" s="124"/>
      <c r="GQ228" s="124"/>
      <c r="GR228" s="124"/>
      <c r="GS228" s="124"/>
      <c r="GT228" s="124"/>
      <c r="GU228" s="124"/>
      <c r="GV228" s="124"/>
      <c r="GW228" s="124"/>
      <c r="GX228" s="124"/>
      <c r="GY228" s="124"/>
      <c r="GZ228" s="124"/>
      <c r="HA228" s="124"/>
      <c r="HB228" s="124"/>
      <c r="HC228" s="124"/>
      <c r="HD228" s="124"/>
      <c r="HE228" s="124"/>
      <c r="HF228" s="124"/>
      <c r="HG228" s="124"/>
      <c r="HH228" s="124"/>
      <c r="HI228" s="124"/>
      <c r="HJ228" s="124"/>
      <c r="HK228" s="124"/>
      <c r="HL228" s="124"/>
      <c r="HM228" s="124"/>
      <c r="HN228" s="124"/>
      <c r="HO228" s="124"/>
      <c r="HP228" s="124"/>
      <c r="HQ228" s="124"/>
    </row>
    <row r="229" spans="1:225" x14ac:dyDescent="0.2">
      <c r="A229" s="122" t="s">
        <v>860</v>
      </c>
      <c r="B229" s="123">
        <v>14</v>
      </c>
      <c r="C229" s="124" t="s">
        <v>388</v>
      </c>
      <c r="D229" s="123">
        <v>220</v>
      </c>
      <c r="E229" s="124" t="s">
        <v>361</v>
      </c>
      <c r="F229" s="123">
        <v>3</v>
      </c>
      <c r="G229" s="123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124"/>
      <c r="AW229" s="124"/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  <c r="BJ229" s="124"/>
      <c r="BK229" s="124"/>
      <c r="BL229" s="124"/>
      <c r="BM229" s="124"/>
      <c r="BN229" s="124"/>
      <c r="BO229" s="124"/>
      <c r="BP229" s="124"/>
      <c r="BQ229" s="124"/>
      <c r="BR229" s="124"/>
      <c r="BS229" s="124"/>
      <c r="BT229" s="124"/>
      <c r="BU229" s="124"/>
      <c r="BV229" s="124"/>
      <c r="BW229" s="124"/>
      <c r="BX229" s="124"/>
      <c r="BY229" s="124"/>
      <c r="BZ229" s="124"/>
      <c r="CA229" s="124"/>
      <c r="CB229" s="124"/>
      <c r="CC229" s="124"/>
      <c r="CD229" s="124"/>
      <c r="CE229" s="124"/>
      <c r="CF229" s="124"/>
      <c r="CG229" s="124"/>
      <c r="CH229" s="124"/>
      <c r="CI229" s="124"/>
      <c r="CJ229" s="124"/>
      <c r="CK229" s="124"/>
      <c r="CL229" s="124"/>
      <c r="CM229" s="124"/>
      <c r="CN229" s="124"/>
      <c r="CO229" s="124"/>
      <c r="CP229" s="124"/>
      <c r="CQ229" s="124"/>
      <c r="CR229" s="124"/>
      <c r="CS229" s="124"/>
      <c r="CT229" s="124"/>
      <c r="CU229" s="124"/>
      <c r="CV229" s="124"/>
      <c r="CW229" s="124"/>
      <c r="CX229" s="124"/>
      <c r="CY229" s="124"/>
      <c r="CZ229" s="124"/>
      <c r="DA229" s="124"/>
      <c r="DB229" s="124"/>
      <c r="DC229" s="124"/>
      <c r="DD229" s="124"/>
      <c r="DE229" s="124"/>
      <c r="DF229" s="124"/>
      <c r="DG229" s="124"/>
      <c r="DH229" s="124"/>
      <c r="DI229" s="124"/>
      <c r="DJ229" s="124"/>
      <c r="DK229" s="124"/>
      <c r="DL229" s="124"/>
      <c r="DM229" s="124"/>
      <c r="DN229" s="124"/>
      <c r="DO229" s="124"/>
      <c r="DP229" s="124"/>
      <c r="DQ229" s="124"/>
      <c r="DR229" s="124"/>
      <c r="DS229" s="124"/>
      <c r="DT229" s="124"/>
      <c r="DU229" s="124"/>
      <c r="DV229" s="124"/>
      <c r="DW229" s="124"/>
      <c r="DX229" s="124"/>
      <c r="DY229" s="124"/>
      <c r="DZ229" s="124"/>
      <c r="EA229" s="124"/>
      <c r="EB229" s="124"/>
      <c r="EC229" s="124"/>
      <c r="ED229" s="124"/>
      <c r="EE229" s="124"/>
      <c r="EF229" s="124"/>
      <c r="EG229" s="124"/>
      <c r="EH229" s="124"/>
      <c r="EI229" s="124"/>
      <c r="EJ229" s="124"/>
      <c r="EK229" s="124"/>
      <c r="EL229" s="124"/>
      <c r="EM229" s="124"/>
      <c r="EN229" s="124"/>
      <c r="EO229" s="124"/>
      <c r="EP229" s="124"/>
      <c r="EQ229" s="124"/>
      <c r="ER229" s="124"/>
      <c r="ES229" s="124"/>
      <c r="ET229" s="124"/>
      <c r="EU229" s="124"/>
      <c r="EV229" s="124"/>
      <c r="EW229" s="124"/>
      <c r="EX229" s="124"/>
      <c r="EY229" s="124"/>
      <c r="EZ229" s="124"/>
      <c r="FA229" s="124"/>
      <c r="FB229" s="124"/>
      <c r="FC229" s="124"/>
      <c r="FD229" s="124"/>
      <c r="FE229" s="124"/>
      <c r="FF229" s="124"/>
      <c r="FG229" s="124"/>
      <c r="FH229" s="124"/>
      <c r="FI229" s="124"/>
      <c r="FJ229" s="124"/>
      <c r="FK229" s="124"/>
      <c r="FL229" s="124"/>
      <c r="FM229" s="124"/>
      <c r="FN229" s="124"/>
      <c r="FO229" s="124"/>
      <c r="FP229" s="124"/>
      <c r="FQ229" s="124"/>
      <c r="FR229" s="124"/>
      <c r="FS229" s="124"/>
      <c r="FT229" s="124"/>
      <c r="FU229" s="124"/>
      <c r="FV229" s="124"/>
      <c r="FW229" s="124"/>
      <c r="FX229" s="124"/>
      <c r="FY229" s="124"/>
      <c r="FZ229" s="124"/>
      <c r="GA229" s="124"/>
      <c r="GB229" s="124"/>
      <c r="GC229" s="124"/>
      <c r="GD229" s="124"/>
      <c r="GE229" s="124"/>
      <c r="GF229" s="124"/>
      <c r="GG229" s="124"/>
      <c r="GH229" s="124"/>
      <c r="GI229" s="124"/>
      <c r="GJ229" s="124"/>
      <c r="GK229" s="124"/>
      <c r="GL229" s="124"/>
      <c r="GM229" s="124"/>
      <c r="GN229" s="124"/>
      <c r="GO229" s="124"/>
      <c r="GP229" s="124"/>
      <c r="GQ229" s="124"/>
      <c r="GR229" s="124"/>
      <c r="GS229" s="124"/>
      <c r="GT229" s="124"/>
      <c r="GU229" s="124"/>
      <c r="GV229" s="124"/>
      <c r="GW229" s="124"/>
      <c r="GX229" s="124"/>
      <c r="GY229" s="124"/>
      <c r="GZ229" s="124"/>
      <c r="HA229" s="124"/>
      <c r="HB229" s="124"/>
      <c r="HC229" s="124"/>
      <c r="HD229" s="124"/>
      <c r="HE229" s="124"/>
      <c r="HF229" s="124"/>
      <c r="HG229" s="124"/>
      <c r="HH229" s="124"/>
      <c r="HI229" s="124"/>
      <c r="HJ229" s="124"/>
      <c r="HK229" s="124"/>
      <c r="HL229" s="124"/>
      <c r="HM229" s="124"/>
      <c r="HN229" s="124"/>
      <c r="HO229" s="124"/>
      <c r="HP229" s="124"/>
      <c r="HQ229" s="124"/>
    </row>
    <row r="230" spans="1:225" x14ac:dyDescent="0.2">
      <c r="A230" s="122" t="s">
        <v>861</v>
      </c>
      <c r="B230" s="123">
        <v>15</v>
      </c>
      <c r="C230" s="124" t="s">
        <v>389</v>
      </c>
      <c r="D230" s="123">
        <v>221</v>
      </c>
      <c r="E230" s="124" t="s">
        <v>361</v>
      </c>
      <c r="F230" s="123">
        <v>4</v>
      </c>
      <c r="G230" s="123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  <c r="AV230" s="124"/>
      <c r="AW230" s="124"/>
      <c r="AX230" s="124"/>
      <c r="AY230" s="124"/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  <c r="BJ230" s="124"/>
      <c r="BK230" s="124"/>
      <c r="BL230" s="124"/>
      <c r="BM230" s="124"/>
      <c r="BN230" s="124"/>
      <c r="BO230" s="124"/>
      <c r="BP230" s="124"/>
      <c r="BQ230" s="124"/>
      <c r="BR230" s="124"/>
      <c r="BS230" s="124"/>
      <c r="BT230" s="124"/>
      <c r="BU230" s="124"/>
      <c r="BV230" s="124"/>
      <c r="BW230" s="124"/>
      <c r="BX230" s="124"/>
      <c r="BY230" s="124"/>
      <c r="BZ230" s="124"/>
      <c r="CA230" s="124"/>
      <c r="CB230" s="124"/>
      <c r="CC230" s="124"/>
      <c r="CD230" s="124"/>
      <c r="CE230" s="124"/>
      <c r="CF230" s="124"/>
      <c r="CG230" s="124"/>
      <c r="CH230" s="124"/>
      <c r="CI230" s="124"/>
      <c r="CJ230" s="124"/>
      <c r="CK230" s="124"/>
      <c r="CL230" s="124"/>
      <c r="CM230" s="124"/>
      <c r="CN230" s="124"/>
      <c r="CO230" s="124"/>
      <c r="CP230" s="124"/>
      <c r="CQ230" s="124"/>
      <c r="CR230" s="124"/>
      <c r="CS230" s="124"/>
      <c r="CT230" s="124"/>
      <c r="CU230" s="124"/>
      <c r="CV230" s="124"/>
      <c r="CW230" s="124"/>
      <c r="CX230" s="124"/>
      <c r="CY230" s="124"/>
      <c r="CZ230" s="124"/>
      <c r="DA230" s="124"/>
      <c r="DB230" s="124"/>
      <c r="DC230" s="124"/>
      <c r="DD230" s="124"/>
      <c r="DE230" s="124"/>
      <c r="DF230" s="124"/>
      <c r="DG230" s="124"/>
      <c r="DH230" s="124"/>
      <c r="DI230" s="124"/>
      <c r="DJ230" s="124"/>
      <c r="DK230" s="124"/>
      <c r="DL230" s="124"/>
      <c r="DM230" s="124"/>
      <c r="DN230" s="124"/>
      <c r="DO230" s="124"/>
      <c r="DP230" s="124"/>
      <c r="DQ230" s="124"/>
      <c r="DR230" s="124"/>
      <c r="DS230" s="124"/>
      <c r="DT230" s="124"/>
      <c r="DU230" s="124"/>
      <c r="DV230" s="124"/>
      <c r="DW230" s="124"/>
      <c r="DX230" s="124"/>
      <c r="DY230" s="124"/>
      <c r="DZ230" s="124"/>
      <c r="EA230" s="124"/>
      <c r="EB230" s="124"/>
      <c r="EC230" s="124"/>
      <c r="ED230" s="124"/>
      <c r="EE230" s="124"/>
      <c r="EF230" s="124"/>
      <c r="EG230" s="124"/>
      <c r="EH230" s="124"/>
      <c r="EI230" s="124"/>
      <c r="EJ230" s="124"/>
      <c r="EK230" s="124"/>
      <c r="EL230" s="124"/>
      <c r="EM230" s="124"/>
      <c r="EN230" s="124"/>
      <c r="EO230" s="124"/>
      <c r="EP230" s="124"/>
      <c r="EQ230" s="124"/>
      <c r="ER230" s="124"/>
      <c r="ES230" s="124"/>
      <c r="ET230" s="124"/>
      <c r="EU230" s="124"/>
      <c r="EV230" s="124"/>
      <c r="EW230" s="124"/>
      <c r="EX230" s="124"/>
      <c r="EY230" s="124"/>
      <c r="EZ230" s="124"/>
      <c r="FA230" s="124"/>
      <c r="FB230" s="124"/>
      <c r="FC230" s="124"/>
      <c r="FD230" s="124"/>
      <c r="FE230" s="124"/>
      <c r="FF230" s="124"/>
      <c r="FG230" s="124"/>
      <c r="FH230" s="124"/>
      <c r="FI230" s="124"/>
      <c r="FJ230" s="124"/>
      <c r="FK230" s="124"/>
      <c r="FL230" s="124"/>
      <c r="FM230" s="124"/>
      <c r="FN230" s="124"/>
      <c r="FO230" s="124"/>
      <c r="FP230" s="124"/>
      <c r="FQ230" s="124"/>
      <c r="FR230" s="124"/>
      <c r="FS230" s="124"/>
      <c r="FT230" s="124"/>
      <c r="FU230" s="124"/>
      <c r="FV230" s="124"/>
      <c r="FW230" s="124"/>
      <c r="FX230" s="124"/>
      <c r="FY230" s="124"/>
      <c r="FZ230" s="124"/>
      <c r="GA230" s="124"/>
      <c r="GB230" s="124"/>
      <c r="GC230" s="124"/>
      <c r="GD230" s="124"/>
      <c r="GE230" s="124"/>
      <c r="GF230" s="124"/>
      <c r="GG230" s="124"/>
      <c r="GH230" s="124"/>
      <c r="GI230" s="124"/>
      <c r="GJ230" s="124"/>
      <c r="GK230" s="124"/>
      <c r="GL230" s="124"/>
      <c r="GM230" s="124"/>
      <c r="GN230" s="124"/>
      <c r="GO230" s="124"/>
      <c r="GP230" s="124"/>
      <c r="GQ230" s="124"/>
      <c r="GR230" s="124"/>
      <c r="GS230" s="124"/>
      <c r="GT230" s="124"/>
      <c r="GU230" s="124"/>
      <c r="GV230" s="124"/>
      <c r="GW230" s="124"/>
      <c r="GX230" s="124"/>
      <c r="GY230" s="124"/>
      <c r="GZ230" s="124"/>
      <c r="HA230" s="124"/>
      <c r="HB230" s="124"/>
      <c r="HC230" s="124"/>
      <c r="HD230" s="124"/>
      <c r="HE230" s="124"/>
      <c r="HF230" s="124"/>
      <c r="HG230" s="124"/>
      <c r="HH230" s="124"/>
      <c r="HI230" s="124"/>
      <c r="HJ230" s="124"/>
      <c r="HK230" s="124"/>
      <c r="HL230" s="124"/>
      <c r="HM230" s="124"/>
      <c r="HN230" s="124"/>
      <c r="HO230" s="124"/>
      <c r="HP230" s="124"/>
      <c r="HQ230" s="124"/>
    </row>
    <row r="231" spans="1:225" x14ac:dyDescent="0.2">
      <c r="A231" s="122" t="s">
        <v>862</v>
      </c>
      <c r="B231" s="123">
        <v>15</v>
      </c>
      <c r="C231" s="124" t="s">
        <v>390</v>
      </c>
      <c r="D231" s="123">
        <v>222</v>
      </c>
      <c r="E231" s="124" t="s">
        <v>361</v>
      </c>
      <c r="F231" s="123">
        <v>4</v>
      </c>
      <c r="G231" s="123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  <c r="AV231" s="124"/>
      <c r="AW231" s="124"/>
      <c r="AX231" s="124"/>
      <c r="AY231" s="124"/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  <c r="BJ231" s="124"/>
      <c r="BK231" s="124"/>
      <c r="BL231" s="124"/>
      <c r="BM231" s="124"/>
      <c r="BN231" s="124"/>
      <c r="BO231" s="124"/>
      <c r="BP231" s="124"/>
      <c r="BQ231" s="124"/>
      <c r="BR231" s="124"/>
      <c r="BS231" s="124"/>
      <c r="BT231" s="124"/>
      <c r="BU231" s="124"/>
      <c r="BV231" s="124"/>
      <c r="BW231" s="124"/>
      <c r="BX231" s="124"/>
      <c r="BY231" s="124"/>
      <c r="BZ231" s="124"/>
      <c r="CA231" s="124"/>
      <c r="CB231" s="124"/>
      <c r="CC231" s="124"/>
      <c r="CD231" s="124"/>
      <c r="CE231" s="124"/>
      <c r="CF231" s="124"/>
      <c r="CG231" s="124"/>
      <c r="CH231" s="124"/>
      <c r="CI231" s="124"/>
      <c r="CJ231" s="124"/>
      <c r="CK231" s="124"/>
      <c r="CL231" s="124"/>
      <c r="CM231" s="124"/>
      <c r="CN231" s="124"/>
      <c r="CO231" s="124"/>
      <c r="CP231" s="124"/>
      <c r="CQ231" s="124"/>
      <c r="CR231" s="124"/>
      <c r="CS231" s="124"/>
      <c r="CT231" s="124"/>
      <c r="CU231" s="124"/>
      <c r="CV231" s="124"/>
      <c r="CW231" s="124"/>
      <c r="CX231" s="124"/>
      <c r="CY231" s="124"/>
      <c r="CZ231" s="124"/>
      <c r="DA231" s="124"/>
      <c r="DB231" s="124"/>
      <c r="DC231" s="124"/>
      <c r="DD231" s="124"/>
      <c r="DE231" s="124"/>
      <c r="DF231" s="124"/>
      <c r="DG231" s="124"/>
      <c r="DH231" s="124"/>
      <c r="DI231" s="124"/>
      <c r="DJ231" s="124"/>
      <c r="DK231" s="124"/>
      <c r="DL231" s="124"/>
      <c r="DM231" s="124"/>
      <c r="DN231" s="124"/>
      <c r="DO231" s="124"/>
      <c r="DP231" s="124"/>
      <c r="DQ231" s="124"/>
      <c r="DR231" s="124"/>
      <c r="DS231" s="124"/>
      <c r="DT231" s="124"/>
      <c r="DU231" s="124"/>
      <c r="DV231" s="124"/>
      <c r="DW231" s="124"/>
      <c r="DX231" s="124"/>
      <c r="DY231" s="124"/>
      <c r="DZ231" s="124"/>
      <c r="EA231" s="124"/>
      <c r="EB231" s="124"/>
      <c r="EC231" s="124"/>
      <c r="ED231" s="124"/>
      <c r="EE231" s="124"/>
      <c r="EF231" s="124"/>
      <c r="EG231" s="124"/>
      <c r="EH231" s="124"/>
      <c r="EI231" s="124"/>
      <c r="EJ231" s="124"/>
      <c r="EK231" s="124"/>
      <c r="EL231" s="124"/>
      <c r="EM231" s="124"/>
      <c r="EN231" s="124"/>
      <c r="EO231" s="124"/>
      <c r="EP231" s="124"/>
      <c r="EQ231" s="124"/>
      <c r="ER231" s="124"/>
      <c r="ES231" s="124"/>
      <c r="ET231" s="124"/>
      <c r="EU231" s="124"/>
      <c r="EV231" s="124"/>
      <c r="EW231" s="124"/>
      <c r="EX231" s="124"/>
      <c r="EY231" s="124"/>
      <c r="EZ231" s="124"/>
      <c r="FA231" s="124"/>
      <c r="FB231" s="124"/>
      <c r="FC231" s="124"/>
      <c r="FD231" s="124"/>
      <c r="FE231" s="124"/>
      <c r="FF231" s="124"/>
      <c r="FG231" s="124"/>
      <c r="FH231" s="124"/>
      <c r="FI231" s="124"/>
      <c r="FJ231" s="124"/>
      <c r="FK231" s="124"/>
      <c r="FL231" s="124"/>
      <c r="FM231" s="124"/>
      <c r="FN231" s="124"/>
      <c r="FO231" s="124"/>
      <c r="FP231" s="124"/>
      <c r="FQ231" s="124"/>
      <c r="FR231" s="124"/>
      <c r="FS231" s="124"/>
      <c r="FT231" s="124"/>
      <c r="FU231" s="124"/>
      <c r="FV231" s="124"/>
      <c r="FW231" s="124"/>
      <c r="FX231" s="124"/>
      <c r="FY231" s="124"/>
      <c r="FZ231" s="124"/>
      <c r="GA231" s="124"/>
      <c r="GB231" s="124"/>
      <c r="GC231" s="124"/>
      <c r="GD231" s="124"/>
      <c r="GE231" s="124"/>
      <c r="GF231" s="124"/>
      <c r="GG231" s="124"/>
      <c r="GH231" s="124"/>
      <c r="GI231" s="124"/>
      <c r="GJ231" s="124"/>
      <c r="GK231" s="124"/>
      <c r="GL231" s="124"/>
      <c r="GM231" s="124"/>
      <c r="GN231" s="124"/>
      <c r="GO231" s="124"/>
      <c r="GP231" s="124"/>
      <c r="GQ231" s="124"/>
      <c r="GR231" s="124"/>
      <c r="GS231" s="124"/>
      <c r="GT231" s="124"/>
      <c r="GU231" s="124"/>
      <c r="GV231" s="124"/>
      <c r="GW231" s="124"/>
      <c r="GX231" s="124"/>
      <c r="GY231" s="124"/>
      <c r="GZ231" s="124"/>
      <c r="HA231" s="124"/>
      <c r="HB231" s="124"/>
      <c r="HC231" s="124"/>
      <c r="HD231" s="124"/>
      <c r="HE231" s="124"/>
      <c r="HF231" s="124"/>
      <c r="HG231" s="124"/>
      <c r="HH231" s="124"/>
      <c r="HI231" s="124"/>
      <c r="HJ231" s="124"/>
      <c r="HK231" s="124"/>
      <c r="HL231" s="124"/>
      <c r="HM231" s="124"/>
      <c r="HN231" s="124"/>
      <c r="HO231" s="124"/>
      <c r="HP231" s="124"/>
      <c r="HQ231" s="124"/>
    </row>
    <row r="232" spans="1:225" x14ac:dyDescent="0.2">
      <c r="A232" s="122" t="s">
        <v>863</v>
      </c>
      <c r="B232" s="123">
        <v>16</v>
      </c>
      <c r="C232" s="124" t="s">
        <v>391</v>
      </c>
      <c r="D232" s="123">
        <v>223</v>
      </c>
      <c r="E232" s="124" t="s">
        <v>361</v>
      </c>
      <c r="F232" s="123">
        <v>4</v>
      </c>
      <c r="G232" s="123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  <c r="BJ232" s="124"/>
      <c r="BK232" s="124"/>
      <c r="BL232" s="124"/>
      <c r="BM232" s="124"/>
      <c r="BN232" s="124"/>
      <c r="BO232" s="124"/>
      <c r="BP232" s="124"/>
      <c r="BQ232" s="124"/>
      <c r="BR232" s="124"/>
      <c r="BS232" s="124"/>
      <c r="BT232" s="124"/>
      <c r="BU232" s="124"/>
      <c r="BV232" s="124"/>
      <c r="BW232" s="124"/>
      <c r="BX232" s="124"/>
      <c r="BY232" s="124"/>
      <c r="BZ232" s="124"/>
      <c r="CA232" s="124"/>
      <c r="CB232" s="124"/>
      <c r="CC232" s="124"/>
      <c r="CD232" s="124"/>
      <c r="CE232" s="124"/>
      <c r="CF232" s="124"/>
      <c r="CG232" s="124"/>
      <c r="CH232" s="124"/>
      <c r="CI232" s="124"/>
      <c r="CJ232" s="124"/>
      <c r="CK232" s="124"/>
      <c r="CL232" s="124"/>
      <c r="CM232" s="124"/>
      <c r="CN232" s="124"/>
      <c r="CO232" s="124"/>
      <c r="CP232" s="124"/>
      <c r="CQ232" s="124"/>
      <c r="CR232" s="124"/>
      <c r="CS232" s="124"/>
      <c r="CT232" s="124"/>
      <c r="CU232" s="124"/>
      <c r="CV232" s="124"/>
      <c r="CW232" s="124"/>
      <c r="CX232" s="124"/>
      <c r="CY232" s="124"/>
      <c r="CZ232" s="124"/>
      <c r="DA232" s="124"/>
      <c r="DB232" s="124"/>
      <c r="DC232" s="124"/>
      <c r="DD232" s="124"/>
      <c r="DE232" s="124"/>
      <c r="DF232" s="124"/>
      <c r="DG232" s="124"/>
      <c r="DH232" s="124"/>
      <c r="DI232" s="124"/>
      <c r="DJ232" s="124"/>
      <c r="DK232" s="124"/>
      <c r="DL232" s="124"/>
      <c r="DM232" s="124"/>
      <c r="DN232" s="124"/>
      <c r="DO232" s="124"/>
      <c r="DP232" s="124"/>
      <c r="DQ232" s="124"/>
      <c r="DR232" s="124"/>
      <c r="DS232" s="124"/>
      <c r="DT232" s="124"/>
      <c r="DU232" s="124"/>
      <c r="DV232" s="124"/>
      <c r="DW232" s="124"/>
      <c r="DX232" s="124"/>
      <c r="DY232" s="124"/>
      <c r="DZ232" s="124"/>
      <c r="EA232" s="124"/>
      <c r="EB232" s="124"/>
      <c r="EC232" s="124"/>
      <c r="ED232" s="124"/>
      <c r="EE232" s="124"/>
      <c r="EF232" s="124"/>
      <c r="EG232" s="124"/>
      <c r="EH232" s="124"/>
      <c r="EI232" s="124"/>
      <c r="EJ232" s="124"/>
      <c r="EK232" s="124"/>
      <c r="EL232" s="124"/>
      <c r="EM232" s="124"/>
      <c r="EN232" s="124"/>
      <c r="EO232" s="124"/>
      <c r="EP232" s="124"/>
      <c r="EQ232" s="124"/>
      <c r="ER232" s="124"/>
      <c r="ES232" s="124"/>
      <c r="ET232" s="124"/>
      <c r="EU232" s="124"/>
      <c r="EV232" s="124"/>
      <c r="EW232" s="124"/>
      <c r="EX232" s="124"/>
      <c r="EY232" s="124"/>
      <c r="EZ232" s="124"/>
      <c r="FA232" s="124"/>
      <c r="FB232" s="124"/>
      <c r="FC232" s="124"/>
      <c r="FD232" s="124"/>
      <c r="FE232" s="124"/>
      <c r="FF232" s="124"/>
      <c r="FG232" s="124"/>
      <c r="FH232" s="124"/>
      <c r="FI232" s="124"/>
      <c r="FJ232" s="124"/>
      <c r="FK232" s="124"/>
      <c r="FL232" s="124"/>
      <c r="FM232" s="124"/>
      <c r="FN232" s="124"/>
      <c r="FO232" s="124"/>
      <c r="FP232" s="124"/>
      <c r="FQ232" s="124"/>
      <c r="FR232" s="124"/>
      <c r="FS232" s="124"/>
      <c r="FT232" s="124"/>
      <c r="FU232" s="124"/>
      <c r="FV232" s="124"/>
      <c r="FW232" s="124"/>
      <c r="FX232" s="124"/>
      <c r="FY232" s="124"/>
      <c r="FZ232" s="124"/>
      <c r="GA232" s="124"/>
      <c r="GB232" s="124"/>
      <c r="GC232" s="124"/>
      <c r="GD232" s="124"/>
      <c r="GE232" s="124"/>
      <c r="GF232" s="124"/>
      <c r="GG232" s="124"/>
      <c r="GH232" s="124"/>
      <c r="GI232" s="124"/>
      <c r="GJ232" s="124"/>
      <c r="GK232" s="124"/>
      <c r="GL232" s="124"/>
      <c r="GM232" s="124"/>
      <c r="GN232" s="124"/>
      <c r="GO232" s="124"/>
      <c r="GP232" s="124"/>
      <c r="GQ232" s="124"/>
      <c r="GR232" s="124"/>
      <c r="GS232" s="124"/>
      <c r="GT232" s="124"/>
      <c r="GU232" s="124"/>
      <c r="GV232" s="124"/>
      <c r="GW232" s="124"/>
      <c r="GX232" s="124"/>
      <c r="GY232" s="124"/>
      <c r="GZ232" s="124"/>
      <c r="HA232" s="124"/>
      <c r="HB232" s="124"/>
      <c r="HC232" s="124"/>
      <c r="HD232" s="124"/>
      <c r="HE232" s="124"/>
      <c r="HF232" s="124"/>
      <c r="HG232" s="124"/>
      <c r="HH232" s="124"/>
      <c r="HI232" s="124"/>
      <c r="HJ232" s="124"/>
      <c r="HK232" s="124"/>
      <c r="HL232" s="124"/>
      <c r="HM232" s="124"/>
      <c r="HN232" s="124"/>
      <c r="HO232" s="124"/>
      <c r="HP232" s="124"/>
      <c r="HQ232" s="124"/>
    </row>
    <row r="233" spans="1:225" x14ac:dyDescent="0.2">
      <c r="A233" s="122" t="s">
        <v>864</v>
      </c>
      <c r="B233" s="123">
        <v>16</v>
      </c>
      <c r="C233" s="124" t="s">
        <v>392</v>
      </c>
      <c r="D233" s="123">
        <v>224</v>
      </c>
      <c r="E233" s="124" t="s">
        <v>361</v>
      </c>
      <c r="F233" s="123">
        <v>4</v>
      </c>
      <c r="G233" s="123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  <c r="AV233" s="124"/>
      <c r="AW233" s="124"/>
      <c r="AX233" s="124"/>
      <c r="AY233" s="124"/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  <c r="BJ233" s="124"/>
      <c r="BK233" s="124"/>
      <c r="BL233" s="124"/>
      <c r="BM233" s="124"/>
      <c r="BN233" s="124"/>
      <c r="BO233" s="124"/>
      <c r="BP233" s="124"/>
      <c r="BQ233" s="124"/>
      <c r="BR233" s="124"/>
      <c r="BS233" s="124"/>
      <c r="BT233" s="124"/>
      <c r="BU233" s="124"/>
      <c r="BV233" s="124"/>
      <c r="BW233" s="124"/>
      <c r="BX233" s="124"/>
      <c r="BY233" s="124"/>
      <c r="BZ233" s="124"/>
      <c r="CA233" s="124"/>
      <c r="CB233" s="124"/>
      <c r="CC233" s="124"/>
      <c r="CD233" s="124"/>
      <c r="CE233" s="124"/>
      <c r="CF233" s="124"/>
      <c r="CG233" s="124"/>
      <c r="CH233" s="124"/>
      <c r="CI233" s="124"/>
      <c r="CJ233" s="124"/>
      <c r="CK233" s="124"/>
      <c r="CL233" s="124"/>
      <c r="CM233" s="124"/>
      <c r="CN233" s="124"/>
      <c r="CO233" s="124"/>
      <c r="CP233" s="124"/>
      <c r="CQ233" s="124"/>
      <c r="CR233" s="124"/>
      <c r="CS233" s="124"/>
      <c r="CT233" s="124"/>
      <c r="CU233" s="124"/>
      <c r="CV233" s="124"/>
      <c r="CW233" s="124"/>
      <c r="CX233" s="124"/>
      <c r="CY233" s="124"/>
      <c r="CZ233" s="124"/>
      <c r="DA233" s="124"/>
      <c r="DB233" s="124"/>
      <c r="DC233" s="124"/>
      <c r="DD233" s="124"/>
      <c r="DE233" s="124"/>
      <c r="DF233" s="124"/>
      <c r="DG233" s="124"/>
      <c r="DH233" s="124"/>
      <c r="DI233" s="124"/>
      <c r="DJ233" s="124"/>
      <c r="DK233" s="124"/>
      <c r="DL233" s="124"/>
      <c r="DM233" s="124"/>
      <c r="DN233" s="124"/>
      <c r="DO233" s="124"/>
      <c r="DP233" s="124"/>
      <c r="DQ233" s="124"/>
      <c r="DR233" s="124"/>
      <c r="DS233" s="124"/>
      <c r="DT233" s="124"/>
      <c r="DU233" s="124"/>
      <c r="DV233" s="124"/>
      <c r="DW233" s="124"/>
      <c r="DX233" s="124"/>
      <c r="DY233" s="124"/>
      <c r="DZ233" s="124"/>
      <c r="EA233" s="124"/>
      <c r="EB233" s="124"/>
      <c r="EC233" s="124"/>
      <c r="ED233" s="124"/>
      <c r="EE233" s="124"/>
      <c r="EF233" s="124"/>
      <c r="EG233" s="124"/>
      <c r="EH233" s="124"/>
      <c r="EI233" s="124"/>
      <c r="EJ233" s="124"/>
      <c r="EK233" s="124"/>
      <c r="EL233" s="124"/>
      <c r="EM233" s="124"/>
      <c r="EN233" s="124"/>
      <c r="EO233" s="124"/>
      <c r="EP233" s="124"/>
      <c r="EQ233" s="124"/>
      <c r="ER233" s="124"/>
      <c r="ES233" s="124"/>
      <c r="ET233" s="124"/>
      <c r="EU233" s="124"/>
      <c r="EV233" s="124"/>
      <c r="EW233" s="124"/>
      <c r="EX233" s="124"/>
      <c r="EY233" s="124"/>
      <c r="EZ233" s="124"/>
      <c r="FA233" s="124"/>
      <c r="FB233" s="124"/>
      <c r="FC233" s="124"/>
      <c r="FD233" s="124"/>
      <c r="FE233" s="124"/>
      <c r="FF233" s="124"/>
      <c r="FG233" s="124"/>
      <c r="FH233" s="124"/>
      <c r="FI233" s="124"/>
      <c r="FJ233" s="124"/>
      <c r="FK233" s="124"/>
      <c r="FL233" s="124"/>
      <c r="FM233" s="124"/>
      <c r="FN233" s="124"/>
      <c r="FO233" s="124"/>
      <c r="FP233" s="124"/>
      <c r="FQ233" s="124"/>
      <c r="FR233" s="124"/>
      <c r="FS233" s="124"/>
      <c r="FT233" s="124"/>
      <c r="FU233" s="124"/>
      <c r="FV233" s="124"/>
      <c r="FW233" s="124"/>
      <c r="FX233" s="124"/>
      <c r="FY233" s="124"/>
      <c r="FZ233" s="124"/>
      <c r="GA233" s="124"/>
      <c r="GB233" s="124"/>
      <c r="GC233" s="124"/>
      <c r="GD233" s="124"/>
      <c r="GE233" s="124"/>
      <c r="GF233" s="124"/>
      <c r="GG233" s="124"/>
      <c r="GH233" s="124"/>
      <c r="GI233" s="124"/>
      <c r="GJ233" s="124"/>
      <c r="GK233" s="124"/>
      <c r="GL233" s="124"/>
      <c r="GM233" s="124"/>
      <c r="GN233" s="124"/>
      <c r="GO233" s="124"/>
      <c r="GP233" s="124"/>
      <c r="GQ233" s="124"/>
      <c r="GR233" s="124"/>
      <c r="GS233" s="124"/>
      <c r="GT233" s="124"/>
      <c r="GU233" s="124"/>
      <c r="GV233" s="124"/>
      <c r="GW233" s="124"/>
      <c r="GX233" s="124"/>
      <c r="GY233" s="124"/>
      <c r="GZ233" s="124"/>
      <c r="HA233" s="124"/>
      <c r="HB233" s="124"/>
      <c r="HC233" s="124"/>
      <c r="HD233" s="124"/>
      <c r="HE233" s="124"/>
      <c r="HF233" s="124"/>
      <c r="HG233" s="124"/>
      <c r="HH233" s="124"/>
      <c r="HI233" s="124"/>
      <c r="HJ233" s="124"/>
      <c r="HK233" s="124"/>
      <c r="HL233" s="124"/>
      <c r="HM233" s="124"/>
      <c r="HN233" s="124"/>
      <c r="HO233" s="124"/>
      <c r="HP233" s="124"/>
      <c r="HQ233" s="124"/>
    </row>
    <row r="234" spans="1:225" x14ac:dyDescent="0.2">
      <c r="A234" s="122" t="s">
        <v>865</v>
      </c>
      <c r="B234" s="123">
        <v>17</v>
      </c>
      <c r="C234" s="124" t="s">
        <v>393</v>
      </c>
      <c r="D234" s="123">
        <v>225</v>
      </c>
      <c r="E234" s="124" t="s">
        <v>361</v>
      </c>
      <c r="F234" s="123">
        <v>4</v>
      </c>
      <c r="G234" s="123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124"/>
      <c r="AW234" s="124"/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  <c r="BJ234" s="124"/>
      <c r="BK234" s="124"/>
      <c r="BL234" s="124"/>
      <c r="BM234" s="124"/>
      <c r="BN234" s="124"/>
      <c r="BO234" s="124"/>
      <c r="BP234" s="124"/>
      <c r="BQ234" s="124"/>
      <c r="BR234" s="124"/>
      <c r="BS234" s="124"/>
      <c r="BT234" s="124"/>
      <c r="BU234" s="124"/>
      <c r="BV234" s="124"/>
      <c r="BW234" s="124"/>
      <c r="BX234" s="124"/>
      <c r="BY234" s="124"/>
      <c r="BZ234" s="124"/>
      <c r="CA234" s="124"/>
      <c r="CB234" s="124"/>
      <c r="CC234" s="124"/>
      <c r="CD234" s="124"/>
      <c r="CE234" s="124"/>
      <c r="CF234" s="124"/>
      <c r="CG234" s="124"/>
      <c r="CH234" s="124"/>
      <c r="CI234" s="124"/>
      <c r="CJ234" s="124"/>
      <c r="CK234" s="124"/>
      <c r="CL234" s="124"/>
      <c r="CM234" s="124"/>
      <c r="CN234" s="124"/>
      <c r="CO234" s="124"/>
      <c r="CP234" s="124"/>
      <c r="CQ234" s="124"/>
      <c r="CR234" s="124"/>
      <c r="CS234" s="124"/>
      <c r="CT234" s="124"/>
      <c r="CU234" s="124"/>
      <c r="CV234" s="124"/>
      <c r="CW234" s="124"/>
      <c r="CX234" s="124"/>
      <c r="CY234" s="124"/>
      <c r="CZ234" s="124"/>
      <c r="DA234" s="124"/>
      <c r="DB234" s="124"/>
      <c r="DC234" s="124"/>
      <c r="DD234" s="124"/>
      <c r="DE234" s="124"/>
      <c r="DF234" s="124"/>
      <c r="DG234" s="124"/>
      <c r="DH234" s="124"/>
      <c r="DI234" s="124"/>
      <c r="DJ234" s="124"/>
      <c r="DK234" s="124"/>
      <c r="DL234" s="124"/>
      <c r="DM234" s="124"/>
      <c r="DN234" s="124"/>
      <c r="DO234" s="124"/>
      <c r="DP234" s="124"/>
      <c r="DQ234" s="124"/>
      <c r="DR234" s="124"/>
      <c r="DS234" s="124"/>
      <c r="DT234" s="124"/>
      <c r="DU234" s="124"/>
      <c r="DV234" s="124"/>
      <c r="DW234" s="124"/>
      <c r="DX234" s="124"/>
      <c r="DY234" s="124"/>
      <c r="DZ234" s="124"/>
      <c r="EA234" s="124"/>
      <c r="EB234" s="124"/>
      <c r="EC234" s="124"/>
      <c r="ED234" s="124"/>
      <c r="EE234" s="124"/>
      <c r="EF234" s="124"/>
      <c r="EG234" s="124"/>
      <c r="EH234" s="124"/>
      <c r="EI234" s="124"/>
      <c r="EJ234" s="124"/>
      <c r="EK234" s="124"/>
      <c r="EL234" s="124"/>
      <c r="EM234" s="124"/>
      <c r="EN234" s="124"/>
      <c r="EO234" s="124"/>
      <c r="EP234" s="124"/>
      <c r="EQ234" s="124"/>
      <c r="ER234" s="124"/>
      <c r="ES234" s="124"/>
      <c r="ET234" s="124"/>
      <c r="EU234" s="124"/>
      <c r="EV234" s="124"/>
      <c r="EW234" s="124"/>
      <c r="EX234" s="124"/>
      <c r="EY234" s="124"/>
      <c r="EZ234" s="124"/>
      <c r="FA234" s="124"/>
      <c r="FB234" s="124"/>
      <c r="FC234" s="124"/>
      <c r="FD234" s="124"/>
      <c r="FE234" s="124"/>
      <c r="FF234" s="124"/>
      <c r="FG234" s="124"/>
      <c r="FH234" s="124"/>
      <c r="FI234" s="124"/>
      <c r="FJ234" s="124"/>
      <c r="FK234" s="124"/>
      <c r="FL234" s="124"/>
      <c r="FM234" s="124"/>
      <c r="FN234" s="124"/>
      <c r="FO234" s="124"/>
      <c r="FP234" s="124"/>
      <c r="FQ234" s="124"/>
      <c r="FR234" s="124"/>
      <c r="FS234" s="124"/>
      <c r="FT234" s="124"/>
      <c r="FU234" s="124"/>
      <c r="FV234" s="124"/>
      <c r="FW234" s="124"/>
      <c r="FX234" s="124"/>
      <c r="FY234" s="124"/>
      <c r="FZ234" s="124"/>
      <c r="GA234" s="124"/>
      <c r="GB234" s="124"/>
      <c r="GC234" s="124"/>
      <c r="GD234" s="124"/>
      <c r="GE234" s="124"/>
      <c r="GF234" s="124"/>
      <c r="GG234" s="124"/>
      <c r="GH234" s="124"/>
      <c r="GI234" s="124"/>
      <c r="GJ234" s="124"/>
      <c r="GK234" s="124"/>
      <c r="GL234" s="124"/>
      <c r="GM234" s="124"/>
      <c r="GN234" s="124"/>
      <c r="GO234" s="124"/>
      <c r="GP234" s="124"/>
      <c r="GQ234" s="124"/>
      <c r="GR234" s="124"/>
      <c r="GS234" s="124"/>
      <c r="GT234" s="124"/>
      <c r="GU234" s="124"/>
      <c r="GV234" s="124"/>
      <c r="GW234" s="124"/>
      <c r="GX234" s="124"/>
      <c r="GY234" s="124"/>
      <c r="GZ234" s="124"/>
      <c r="HA234" s="124"/>
      <c r="HB234" s="124"/>
      <c r="HC234" s="124"/>
      <c r="HD234" s="124"/>
      <c r="HE234" s="124"/>
      <c r="HF234" s="124"/>
      <c r="HG234" s="124"/>
      <c r="HH234" s="124"/>
      <c r="HI234" s="124"/>
      <c r="HJ234" s="124"/>
      <c r="HK234" s="124"/>
      <c r="HL234" s="124"/>
      <c r="HM234" s="124"/>
      <c r="HN234" s="124"/>
      <c r="HO234" s="124"/>
      <c r="HP234" s="124"/>
      <c r="HQ234" s="124"/>
    </row>
    <row r="235" spans="1:225" x14ac:dyDescent="0.2">
      <c r="A235" s="122" t="s">
        <v>866</v>
      </c>
      <c r="B235" s="123">
        <v>17</v>
      </c>
      <c r="C235" s="124" t="s">
        <v>394</v>
      </c>
      <c r="D235" s="123">
        <v>226</v>
      </c>
      <c r="E235" s="124" t="s">
        <v>361</v>
      </c>
      <c r="F235" s="123">
        <v>4</v>
      </c>
      <c r="G235" s="123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  <c r="AV235" s="124"/>
      <c r="AW235" s="124"/>
      <c r="AX235" s="124"/>
      <c r="AY235" s="124"/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  <c r="BJ235" s="124"/>
      <c r="BK235" s="124"/>
      <c r="BL235" s="124"/>
      <c r="BM235" s="124"/>
      <c r="BN235" s="124"/>
      <c r="BO235" s="124"/>
      <c r="BP235" s="124"/>
      <c r="BQ235" s="124"/>
      <c r="BR235" s="124"/>
      <c r="BS235" s="124"/>
      <c r="BT235" s="124"/>
      <c r="BU235" s="124"/>
      <c r="BV235" s="124"/>
      <c r="BW235" s="124"/>
      <c r="BX235" s="124"/>
      <c r="BY235" s="124"/>
      <c r="BZ235" s="124"/>
      <c r="CA235" s="124"/>
      <c r="CB235" s="124"/>
      <c r="CC235" s="124"/>
      <c r="CD235" s="124"/>
      <c r="CE235" s="124"/>
      <c r="CF235" s="124"/>
      <c r="CG235" s="124"/>
      <c r="CH235" s="124"/>
      <c r="CI235" s="124"/>
      <c r="CJ235" s="124"/>
      <c r="CK235" s="124"/>
      <c r="CL235" s="124"/>
      <c r="CM235" s="124"/>
      <c r="CN235" s="124"/>
      <c r="CO235" s="124"/>
      <c r="CP235" s="124"/>
      <c r="CQ235" s="124"/>
      <c r="CR235" s="124"/>
      <c r="CS235" s="124"/>
      <c r="CT235" s="124"/>
      <c r="CU235" s="124"/>
      <c r="CV235" s="124"/>
      <c r="CW235" s="124"/>
      <c r="CX235" s="124"/>
      <c r="CY235" s="124"/>
      <c r="CZ235" s="124"/>
      <c r="DA235" s="124"/>
      <c r="DB235" s="124"/>
      <c r="DC235" s="124"/>
      <c r="DD235" s="124"/>
      <c r="DE235" s="124"/>
      <c r="DF235" s="124"/>
      <c r="DG235" s="124"/>
      <c r="DH235" s="124"/>
      <c r="DI235" s="124"/>
      <c r="DJ235" s="124"/>
      <c r="DK235" s="124"/>
      <c r="DL235" s="124"/>
      <c r="DM235" s="124"/>
      <c r="DN235" s="124"/>
      <c r="DO235" s="124"/>
      <c r="DP235" s="124"/>
      <c r="DQ235" s="124"/>
      <c r="DR235" s="124"/>
      <c r="DS235" s="124"/>
      <c r="DT235" s="124"/>
      <c r="DU235" s="124"/>
      <c r="DV235" s="124"/>
      <c r="DW235" s="124"/>
      <c r="DX235" s="124"/>
      <c r="DY235" s="124"/>
      <c r="DZ235" s="124"/>
      <c r="EA235" s="124"/>
      <c r="EB235" s="124"/>
      <c r="EC235" s="124"/>
      <c r="ED235" s="124"/>
      <c r="EE235" s="124"/>
      <c r="EF235" s="124"/>
      <c r="EG235" s="124"/>
      <c r="EH235" s="124"/>
      <c r="EI235" s="124"/>
      <c r="EJ235" s="124"/>
      <c r="EK235" s="124"/>
      <c r="EL235" s="124"/>
      <c r="EM235" s="124"/>
      <c r="EN235" s="124"/>
      <c r="EO235" s="124"/>
      <c r="EP235" s="124"/>
      <c r="EQ235" s="124"/>
      <c r="ER235" s="124"/>
      <c r="ES235" s="124"/>
      <c r="ET235" s="124"/>
      <c r="EU235" s="124"/>
      <c r="EV235" s="124"/>
      <c r="EW235" s="124"/>
      <c r="EX235" s="124"/>
      <c r="EY235" s="124"/>
      <c r="EZ235" s="124"/>
      <c r="FA235" s="124"/>
      <c r="FB235" s="124"/>
      <c r="FC235" s="124"/>
      <c r="FD235" s="124"/>
      <c r="FE235" s="124"/>
      <c r="FF235" s="124"/>
      <c r="FG235" s="124"/>
      <c r="FH235" s="124"/>
      <c r="FI235" s="124"/>
      <c r="FJ235" s="124"/>
      <c r="FK235" s="124"/>
      <c r="FL235" s="124"/>
      <c r="FM235" s="124"/>
      <c r="FN235" s="124"/>
      <c r="FO235" s="124"/>
      <c r="FP235" s="124"/>
      <c r="FQ235" s="124"/>
      <c r="FR235" s="124"/>
      <c r="FS235" s="124"/>
      <c r="FT235" s="124"/>
      <c r="FU235" s="124"/>
      <c r="FV235" s="124"/>
      <c r="FW235" s="124"/>
      <c r="FX235" s="124"/>
      <c r="FY235" s="124"/>
      <c r="FZ235" s="124"/>
      <c r="GA235" s="124"/>
      <c r="GB235" s="124"/>
      <c r="GC235" s="124"/>
      <c r="GD235" s="124"/>
      <c r="GE235" s="124"/>
      <c r="GF235" s="124"/>
      <c r="GG235" s="124"/>
      <c r="GH235" s="124"/>
      <c r="GI235" s="124"/>
      <c r="GJ235" s="124"/>
      <c r="GK235" s="124"/>
      <c r="GL235" s="124"/>
      <c r="GM235" s="124"/>
      <c r="GN235" s="124"/>
      <c r="GO235" s="124"/>
      <c r="GP235" s="124"/>
      <c r="GQ235" s="124"/>
      <c r="GR235" s="124"/>
      <c r="GS235" s="124"/>
      <c r="GT235" s="124"/>
      <c r="GU235" s="124"/>
      <c r="GV235" s="124"/>
      <c r="GW235" s="124"/>
      <c r="GX235" s="124"/>
      <c r="GY235" s="124"/>
      <c r="GZ235" s="124"/>
      <c r="HA235" s="124"/>
      <c r="HB235" s="124"/>
      <c r="HC235" s="124"/>
      <c r="HD235" s="124"/>
      <c r="HE235" s="124"/>
      <c r="HF235" s="124"/>
      <c r="HG235" s="124"/>
      <c r="HH235" s="124"/>
      <c r="HI235" s="124"/>
      <c r="HJ235" s="124"/>
      <c r="HK235" s="124"/>
      <c r="HL235" s="124"/>
      <c r="HM235" s="124"/>
      <c r="HN235" s="124"/>
      <c r="HO235" s="124"/>
      <c r="HP235" s="124"/>
      <c r="HQ235" s="124"/>
    </row>
    <row r="236" spans="1:225" x14ac:dyDescent="0.2">
      <c r="A236" s="122" t="s">
        <v>867</v>
      </c>
      <c r="B236" s="123">
        <v>18</v>
      </c>
      <c r="C236" s="124" t="s">
        <v>395</v>
      </c>
      <c r="D236" s="123">
        <v>227</v>
      </c>
      <c r="E236" s="124" t="s">
        <v>361</v>
      </c>
      <c r="F236" s="123">
        <v>2</v>
      </c>
      <c r="G236" s="123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  <c r="BJ236" s="124"/>
      <c r="BK236" s="124"/>
      <c r="BL236" s="124"/>
      <c r="BM236" s="124"/>
      <c r="BN236" s="124"/>
      <c r="BO236" s="124"/>
      <c r="BP236" s="124"/>
      <c r="BQ236" s="124"/>
      <c r="BR236" s="124"/>
      <c r="BS236" s="124"/>
      <c r="BT236" s="124"/>
      <c r="BU236" s="124"/>
      <c r="BV236" s="124"/>
      <c r="BW236" s="124"/>
      <c r="BX236" s="124"/>
      <c r="BY236" s="124"/>
      <c r="BZ236" s="124"/>
      <c r="CA236" s="124"/>
      <c r="CB236" s="124"/>
      <c r="CC236" s="124"/>
      <c r="CD236" s="124"/>
      <c r="CE236" s="124"/>
      <c r="CF236" s="124"/>
      <c r="CG236" s="124"/>
      <c r="CH236" s="124"/>
      <c r="CI236" s="124"/>
      <c r="CJ236" s="124"/>
      <c r="CK236" s="124"/>
      <c r="CL236" s="124"/>
      <c r="CM236" s="124"/>
      <c r="CN236" s="124"/>
      <c r="CO236" s="124"/>
      <c r="CP236" s="124"/>
      <c r="CQ236" s="124"/>
      <c r="CR236" s="124"/>
      <c r="CS236" s="124"/>
      <c r="CT236" s="124"/>
      <c r="CU236" s="124"/>
      <c r="CV236" s="124"/>
      <c r="CW236" s="124"/>
      <c r="CX236" s="124"/>
      <c r="CY236" s="124"/>
      <c r="CZ236" s="124"/>
      <c r="DA236" s="124"/>
      <c r="DB236" s="124"/>
      <c r="DC236" s="124"/>
      <c r="DD236" s="124"/>
      <c r="DE236" s="124"/>
      <c r="DF236" s="124"/>
      <c r="DG236" s="124"/>
      <c r="DH236" s="124"/>
      <c r="DI236" s="124"/>
      <c r="DJ236" s="124"/>
      <c r="DK236" s="124"/>
      <c r="DL236" s="124"/>
      <c r="DM236" s="124"/>
      <c r="DN236" s="124"/>
      <c r="DO236" s="124"/>
      <c r="DP236" s="124"/>
      <c r="DQ236" s="124"/>
      <c r="DR236" s="124"/>
      <c r="DS236" s="124"/>
      <c r="DT236" s="124"/>
      <c r="DU236" s="124"/>
      <c r="DV236" s="124"/>
      <c r="DW236" s="124"/>
      <c r="DX236" s="124"/>
      <c r="DY236" s="124"/>
      <c r="DZ236" s="124"/>
      <c r="EA236" s="124"/>
      <c r="EB236" s="124"/>
      <c r="EC236" s="124"/>
      <c r="ED236" s="124"/>
      <c r="EE236" s="124"/>
      <c r="EF236" s="124"/>
      <c r="EG236" s="124"/>
      <c r="EH236" s="124"/>
      <c r="EI236" s="124"/>
      <c r="EJ236" s="124"/>
      <c r="EK236" s="124"/>
      <c r="EL236" s="124"/>
      <c r="EM236" s="124"/>
      <c r="EN236" s="124"/>
      <c r="EO236" s="124"/>
      <c r="EP236" s="124"/>
      <c r="EQ236" s="124"/>
      <c r="ER236" s="124"/>
      <c r="ES236" s="124"/>
      <c r="ET236" s="124"/>
      <c r="EU236" s="124"/>
      <c r="EV236" s="124"/>
      <c r="EW236" s="124"/>
      <c r="EX236" s="124"/>
      <c r="EY236" s="124"/>
      <c r="EZ236" s="124"/>
      <c r="FA236" s="124"/>
      <c r="FB236" s="124"/>
      <c r="FC236" s="124"/>
      <c r="FD236" s="124"/>
      <c r="FE236" s="124"/>
      <c r="FF236" s="124"/>
      <c r="FG236" s="124"/>
      <c r="FH236" s="124"/>
      <c r="FI236" s="124"/>
      <c r="FJ236" s="124"/>
      <c r="FK236" s="124"/>
      <c r="FL236" s="124"/>
      <c r="FM236" s="124"/>
      <c r="FN236" s="124"/>
      <c r="FO236" s="124"/>
      <c r="FP236" s="124"/>
      <c r="FQ236" s="124"/>
      <c r="FR236" s="124"/>
      <c r="FS236" s="124"/>
      <c r="FT236" s="124"/>
      <c r="FU236" s="124"/>
      <c r="FV236" s="124"/>
      <c r="FW236" s="124"/>
      <c r="FX236" s="124"/>
      <c r="FY236" s="124"/>
      <c r="FZ236" s="124"/>
      <c r="GA236" s="124"/>
      <c r="GB236" s="124"/>
      <c r="GC236" s="124"/>
      <c r="GD236" s="124"/>
      <c r="GE236" s="124"/>
      <c r="GF236" s="124"/>
      <c r="GG236" s="124"/>
      <c r="GH236" s="124"/>
      <c r="GI236" s="124"/>
      <c r="GJ236" s="124"/>
      <c r="GK236" s="124"/>
      <c r="GL236" s="124"/>
      <c r="GM236" s="124"/>
      <c r="GN236" s="124"/>
      <c r="GO236" s="124"/>
      <c r="GP236" s="124"/>
      <c r="GQ236" s="124"/>
      <c r="GR236" s="124"/>
      <c r="GS236" s="124"/>
      <c r="GT236" s="124"/>
      <c r="GU236" s="124"/>
      <c r="GV236" s="124"/>
      <c r="GW236" s="124"/>
      <c r="GX236" s="124"/>
      <c r="GY236" s="124"/>
      <c r="GZ236" s="124"/>
      <c r="HA236" s="124"/>
      <c r="HB236" s="124"/>
      <c r="HC236" s="124"/>
      <c r="HD236" s="124"/>
      <c r="HE236" s="124"/>
      <c r="HF236" s="124"/>
      <c r="HG236" s="124"/>
      <c r="HH236" s="124"/>
      <c r="HI236" s="124"/>
      <c r="HJ236" s="124"/>
      <c r="HK236" s="124"/>
      <c r="HL236" s="124"/>
      <c r="HM236" s="124"/>
      <c r="HN236" s="124"/>
      <c r="HO236" s="124"/>
      <c r="HP236" s="124"/>
      <c r="HQ236" s="124"/>
    </row>
    <row r="237" spans="1:225" x14ac:dyDescent="0.2">
      <c r="A237" s="122" t="s">
        <v>868</v>
      </c>
      <c r="B237" s="123">
        <v>18</v>
      </c>
      <c r="C237" s="124" t="s">
        <v>396</v>
      </c>
      <c r="D237" s="123">
        <v>228</v>
      </c>
      <c r="E237" s="124" t="s">
        <v>361</v>
      </c>
      <c r="F237" s="123">
        <v>2</v>
      </c>
      <c r="G237" s="123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  <c r="AV237" s="124"/>
      <c r="AW237" s="124"/>
      <c r="AX237" s="124"/>
      <c r="AY237" s="124"/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  <c r="BJ237" s="124"/>
      <c r="BK237" s="124"/>
      <c r="BL237" s="124"/>
      <c r="BM237" s="124"/>
      <c r="BN237" s="124"/>
      <c r="BO237" s="124"/>
      <c r="BP237" s="124"/>
      <c r="BQ237" s="124"/>
      <c r="BR237" s="124"/>
      <c r="BS237" s="124"/>
      <c r="BT237" s="124"/>
      <c r="BU237" s="124"/>
      <c r="BV237" s="124"/>
      <c r="BW237" s="124"/>
      <c r="BX237" s="124"/>
      <c r="BY237" s="124"/>
      <c r="BZ237" s="124"/>
      <c r="CA237" s="124"/>
      <c r="CB237" s="124"/>
      <c r="CC237" s="124"/>
      <c r="CD237" s="124"/>
      <c r="CE237" s="124"/>
      <c r="CF237" s="124"/>
      <c r="CG237" s="124"/>
      <c r="CH237" s="124"/>
      <c r="CI237" s="124"/>
      <c r="CJ237" s="124"/>
      <c r="CK237" s="124"/>
      <c r="CL237" s="124"/>
      <c r="CM237" s="124"/>
      <c r="CN237" s="124"/>
      <c r="CO237" s="124"/>
      <c r="CP237" s="124"/>
      <c r="CQ237" s="124"/>
      <c r="CR237" s="124"/>
      <c r="CS237" s="124"/>
      <c r="CT237" s="124"/>
      <c r="CU237" s="124"/>
      <c r="CV237" s="124"/>
      <c r="CW237" s="124"/>
      <c r="CX237" s="124"/>
      <c r="CY237" s="124"/>
      <c r="CZ237" s="124"/>
      <c r="DA237" s="124"/>
      <c r="DB237" s="124"/>
      <c r="DC237" s="124"/>
      <c r="DD237" s="124"/>
      <c r="DE237" s="124"/>
      <c r="DF237" s="124"/>
      <c r="DG237" s="124"/>
      <c r="DH237" s="124"/>
      <c r="DI237" s="124"/>
      <c r="DJ237" s="124"/>
      <c r="DK237" s="124"/>
      <c r="DL237" s="124"/>
      <c r="DM237" s="124"/>
      <c r="DN237" s="124"/>
      <c r="DO237" s="124"/>
      <c r="DP237" s="124"/>
      <c r="DQ237" s="124"/>
      <c r="DR237" s="124"/>
      <c r="DS237" s="124"/>
      <c r="DT237" s="124"/>
      <c r="DU237" s="124"/>
      <c r="DV237" s="124"/>
      <c r="DW237" s="124"/>
      <c r="DX237" s="124"/>
      <c r="DY237" s="124"/>
      <c r="DZ237" s="124"/>
      <c r="EA237" s="124"/>
      <c r="EB237" s="124"/>
      <c r="EC237" s="124"/>
      <c r="ED237" s="124"/>
      <c r="EE237" s="124"/>
      <c r="EF237" s="124"/>
      <c r="EG237" s="124"/>
      <c r="EH237" s="124"/>
      <c r="EI237" s="124"/>
      <c r="EJ237" s="124"/>
      <c r="EK237" s="124"/>
      <c r="EL237" s="124"/>
      <c r="EM237" s="124"/>
      <c r="EN237" s="124"/>
      <c r="EO237" s="124"/>
      <c r="EP237" s="124"/>
      <c r="EQ237" s="124"/>
      <c r="ER237" s="124"/>
      <c r="ES237" s="124"/>
      <c r="ET237" s="124"/>
      <c r="EU237" s="124"/>
      <c r="EV237" s="124"/>
      <c r="EW237" s="124"/>
      <c r="EX237" s="124"/>
      <c r="EY237" s="124"/>
      <c r="EZ237" s="124"/>
      <c r="FA237" s="124"/>
      <c r="FB237" s="124"/>
      <c r="FC237" s="124"/>
      <c r="FD237" s="124"/>
      <c r="FE237" s="124"/>
      <c r="FF237" s="124"/>
      <c r="FG237" s="124"/>
      <c r="FH237" s="124"/>
      <c r="FI237" s="124"/>
      <c r="FJ237" s="124"/>
      <c r="FK237" s="124"/>
      <c r="FL237" s="124"/>
      <c r="FM237" s="124"/>
      <c r="FN237" s="124"/>
      <c r="FO237" s="124"/>
      <c r="FP237" s="124"/>
      <c r="FQ237" s="124"/>
      <c r="FR237" s="124"/>
      <c r="FS237" s="124"/>
      <c r="FT237" s="124"/>
      <c r="FU237" s="124"/>
      <c r="FV237" s="124"/>
      <c r="FW237" s="124"/>
      <c r="FX237" s="124"/>
      <c r="FY237" s="124"/>
      <c r="FZ237" s="124"/>
      <c r="GA237" s="124"/>
      <c r="GB237" s="124"/>
      <c r="GC237" s="124"/>
      <c r="GD237" s="124"/>
      <c r="GE237" s="124"/>
      <c r="GF237" s="124"/>
      <c r="GG237" s="124"/>
      <c r="GH237" s="124"/>
      <c r="GI237" s="124"/>
      <c r="GJ237" s="124"/>
      <c r="GK237" s="124"/>
      <c r="GL237" s="124"/>
      <c r="GM237" s="124"/>
      <c r="GN237" s="124"/>
      <c r="GO237" s="124"/>
      <c r="GP237" s="124"/>
      <c r="GQ237" s="124"/>
      <c r="GR237" s="124"/>
      <c r="GS237" s="124"/>
      <c r="GT237" s="124"/>
      <c r="GU237" s="124"/>
      <c r="GV237" s="124"/>
      <c r="GW237" s="124"/>
      <c r="GX237" s="124"/>
      <c r="GY237" s="124"/>
      <c r="GZ237" s="124"/>
      <c r="HA237" s="124"/>
      <c r="HB237" s="124"/>
      <c r="HC237" s="124"/>
      <c r="HD237" s="124"/>
      <c r="HE237" s="124"/>
      <c r="HF237" s="124"/>
      <c r="HG237" s="124"/>
      <c r="HH237" s="124"/>
      <c r="HI237" s="124"/>
      <c r="HJ237" s="124"/>
      <c r="HK237" s="124"/>
      <c r="HL237" s="124"/>
      <c r="HM237" s="124"/>
      <c r="HN237" s="124"/>
      <c r="HO237" s="124"/>
      <c r="HP237" s="124"/>
      <c r="HQ237" s="124"/>
    </row>
    <row r="238" spans="1:225" x14ac:dyDescent="0.2">
      <c r="A238" s="122" t="s">
        <v>869</v>
      </c>
      <c r="B238" s="123">
        <v>19</v>
      </c>
      <c r="C238" s="124" t="s">
        <v>397</v>
      </c>
      <c r="D238" s="123">
        <v>229</v>
      </c>
      <c r="E238" s="124" t="s">
        <v>361</v>
      </c>
      <c r="F238" s="123">
        <v>2</v>
      </c>
      <c r="G238" s="123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  <c r="BJ238" s="124"/>
      <c r="BK238" s="124"/>
      <c r="BL238" s="124"/>
      <c r="BM238" s="124"/>
      <c r="BN238" s="124"/>
      <c r="BO238" s="124"/>
      <c r="BP238" s="124"/>
      <c r="BQ238" s="124"/>
      <c r="BR238" s="124"/>
      <c r="BS238" s="124"/>
      <c r="BT238" s="124"/>
      <c r="BU238" s="124"/>
      <c r="BV238" s="124"/>
      <c r="BW238" s="124"/>
      <c r="BX238" s="124"/>
      <c r="BY238" s="124"/>
      <c r="BZ238" s="124"/>
      <c r="CA238" s="124"/>
      <c r="CB238" s="124"/>
      <c r="CC238" s="124"/>
      <c r="CD238" s="124"/>
      <c r="CE238" s="124"/>
      <c r="CF238" s="124"/>
      <c r="CG238" s="124"/>
      <c r="CH238" s="124"/>
      <c r="CI238" s="124"/>
      <c r="CJ238" s="124"/>
      <c r="CK238" s="124"/>
      <c r="CL238" s="124"/>
      <c r="CM238" s="124"/>
      <c r="CN238" s="124"/>
      <c r="CO238" s="124"/>
      <c r="CP238" s="124"/>
      <c r="CQ238" s="124"/>
      <c r="CR238" s="124"/>
      <c r="CS238" s="124"/>
      <c r="CT238" s="124"/>
      <c r="CU238" s="124"/>
      <c r="CV238" s="124"/>
      <c r="CW238" s="124"/>
      <c r="CX238" s="124"/>
      <c r="CY238" s="124"/>
      <c r="CZ238" s="124"/>
      <c r="DA238" s="124"/>
      <c r="DB238" s="124"/>
      <c r="DC238" s="124"/>
      <c r="DD238" s="124"/>
      <c r="DE238" s="124"/>
      <c r="DF238" s="124"/>
      <c r="DG238" s="124"/>
      <c r="DH238" s="124"/>
      <c r="DI238" s="124"/>
      <c r="DJ238" s="124"/>
      <c r="DK238" s="124"/>
      <c r="DL238" s="124"/>
      <c r="DM238" s="124"/>
      <c r="DN238" s="124"/>
      <c r="DO238" s="124"/>
      <c r="DP238" s="124"/>
      <c r="DQ238" s="124"/>
      <c r="DR238" s="124"/>
      <c r="DS238" s="124"/>
      <c r="DT238" s="124"/>
      <c r="DU238" s="124"/>
      <c r="DV238" s="124"/>
      <c r="DW238" s="124"/>
      <c r="DX238" s="124"/>
      <c r="DY238" s="124"/>
      <c r="DZ238" s="124"/>
      <c r="EA238" s="124"/>
      <c r="EB238" s="124"/>
      <c r="EC238" s="124"/>
      <c r="ED238" s="124"/>
      <c r="EE238" s="124"/>
      <c r="EF238" s="124"/>
      <c r="EG238" s="124"/>
      <c r="EH238" s="124"/>
      <c r="EI238" s="124"/>
      <c r="EJ238" s="124"/>
      <c r="EK238" s="124"/>
      <c r="EL238" s="124"/>
      <c r="EM238" s="124"/>
      <c r="EN238" s="124"/>
      <c r="EO238" s="124"/>
      <c r="EP238" s="124"/>
      <c r="EQ238" s="124"/>
      <c r="ER238" s="124"/>
      <c r="ES238" s="124"/>
      <c r="ET238" s="124"/>
      <c r="EU238" s="124"/>
      <c r="EV238" s="124"/>
      <c r="EW238" s="124"/>
      <c r="EX238" s="124"/>
      <c r="EY238" s="124"/>
      <c r="EZ238" s="124"/>
      <c r="FA238" s="124"/>
      <c r="FB238" s="124"/>
      <c r="FC238" s="124"/>
      <c r="FD238" s="124"/>
      <c r="FE238" s="124"/>
      <c r="FF238" s="124"/>
      <c r="FG238" s="124"/>
      <c r="FH238" s="124"/>
      <c r="FI238" s="124"/>
      <c r="FJ238" s="124"/>
      <c r="FK238" s="124"/>
      <c r="FL238" s="124"/>
      <c r="FM238" s="124"/>
      <c r="FN238" s="124"/>
      <c r="FO238" s="124"/>
      <c r="FP238" s="124"/>
      <c r="FQ238" s="124"/>
      <c r="FR238" s="124"/>
      <c r="FS238" s="124"/>
      <c r="FT238" s="124"/>
      <c r="FU238" s="124"/>
      <c r="FV238" s="124"/>
      <c r="FW238" s="124"/>
      <c r="FX238" s="124"/>
      <c r="FY238" s="124"/>
      <c r="FZ238" s="124"/>
      <c r="GA238" s="124"/>
      <c r="GB238" s="124"/>
      <c r="GC238" s="124"/>
      <c r="GD238" s="124"/>
      <c r="GE238" s="124"/>
      <c r="GF238" s="124"/>
      <c r="GG238" s="124"/>
      <c r="GH238" s="124"/>
      <c r="GI238" s="124"/>
      <c r="GJ238" s="124"/>
      <c r="GK238" s="124"/>
      <c r="GL238" s="124"/>
      <c r="GM238" s="124"/>
      <c r="GN238" s="124"/>
      <c r="GO238" s="124"/>
      <c r="GP238" s="124"/>
      <c r="GQ238" s="124"/>
      <c r="GR238" s="124"/>
      <c r="GS238" s="124"/>
      <c r="GT238" s="124"/>
      <c r="GU238" s="124"/>
      <c r="GV238" s="124"/>
      <c r="GW238" s="124"/>
      <c r="GX238" s="124"/>
      <c r="GY238" s="124"/>
      <c r="GZ238" s="124"/>
      <c r="HA238" s="124"/>
      <c r="HB238" s="124"/>
      <c r="HC238" s="124"/>
      <c r="HD238" s="124"/>
      <c r="HE238" s="124"/>
      <c r="HF238" s="124"/>
      <c r="HG238" s="124"/>
      <c r="HH238" s="124"/>
      <c r="HI238" s="124"/>
      <c r="HJ238" s="124"/>
      <c r="HK238" s="124"/>
      <c r="HL238" s="124"/>
      <c r="HM238" s="124"/>
      <c r="HN238" s="124"/>
      <c r="HO238" s="124"/>
      <c r="HP238" s="124"/>
      <c r="HQ238" s="124"/>
    </row>
    <row r="239" spans="1:225" x14ac:dyDescent="0.2">
      <c r="A239" s="122" t="s">
        <v>870</v>
      </c>
      <c r="B239" s="123">
        <v>19</v>
      </c>
      <c r="C239" s="124" t="s">
        <v>398</v>
      </c>
      <c r="D239" s="123">
        <v>230</v>
      </c>
      <c r="E239" s="124" t="s">
        <v>361</v>
      </c>
      <c r="F239" s="123">
        <v>2</v>
      </c>
      <c r="G239" s="123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  <c r="BJ239" s="124"/>
      <c r="BK239" s="124"/>
      <c r="BL239" s="124"/>
      <c r="BM239" s="124"/>
      <c r="BN239" s="124"/>
      <c r="BO239" s="124"/>
      <c r="BP239" s="124"/>
      <c r="BQ239" s="124"/>
      <c r="BR239" s="124"/>
      <c r="BS239" s="124"/>
      <c r="BT239" s="124"/>
      <c r="BU239" s="124"/>
      <c r="BV239" s="124"/>
      <c r="BW239" s="124"/>
      <c r="BX239" s="124"/>
      <c r="BY239" s="124"/>
      <c r="BZ239" s="124"/>
      <c r="CA239" s="124"/>
      <c r="CB239" s="124"/>
      <c r="CC239" s="124"/>
      <c r="CD239" s="124"/>
      <c r="CE239" s="124"/>
      <c r="CF239" s="124"/>
      <c r="CG239" s="124"/>
      <c r="CH239" s="124"/>
      <c r="CI239" s="124"/>
      <c r="CJ239" s="124"/>
      <c r="CK239" s="124"/>
      <c r="CL239" s="124"/>
      <c r="CM239" s="124"/>
      <c r="CN239" s="124"/>
      <c r="CO239" s="124"/>
      <c r="CP239" s="124"/>
      <c r="CQ239" s="124"/>
      <c r="CR239" s="124"/>
      <c r="CS239" s="124"/>
      <c r="CT239" s="124"/>
      <c r="CU239" s="124"/>
      <c r="CV239" s="124"/>
      <c r="CW239" s="124"/>
      <c r="CX239" s="124"/>
      <c r="CY239" s="124"/>
      <c r="CZ239" s="124"/>
      <c r="DA239" s="124"/>
      <c r="DB239" s="124"/>
      <c r="DC239" s="124"/>
      <c r="DD239" s="124"/>
      <c r="DE239" s="124"/>
      <c r="DF239" s="124"/>
      <c r="DG239" s="124"/>
      <c r="DH239" s="124"/>
      <c r="DI239" s="124"/>
      <c r="DJ239" s="124"/>
      <c r="DK239" s="124"/>
      <c r="DL239" s="124"/>
      <c r="DM239" s="124"/>
      <c r="DN239" s="124"/>
      <c r="DO239" s="124"/>
      <c r="DP239" s="124"/>
      <c r="DQ239" s="124"/>
      <c r="DR239" s="124"/>
      <c r="DS239" s="124"/>
      <c r="DT239" s="124"/>
      <c r="DU239" s="124"/>
      <c r="DV239" s="124"/>
      <c r="DW239" s="124"/>
      <c r="DX239" s="124"/>
      <c r="DY239" s="124"/>
      <c r="DZ239" s="124"/>
      <c r="EA239" s="124"/>
      <c r="EB239" s="124"/>
      <c r="EC239" s="124"/>
      <c r="ED239" s="124"/>
      <c r="EE239" s="124"/>
      <c r="EF239" s="124"/>
      <c r="EG239" s="124"/>
      <c r="EH239" s="124"/>
      <c r="EI239" s="124"/>
      <c r="EJ239" s="124"/>
      <c r="EK239" s="124"/>
      <c r="EL239" s="124"/>
      <c r="EM239" s="124"/>
      <c r="EN239" s="124"/>
      <c r="EO239" s="124"/>
      <c r="EP239" s="124"/>
      <c r="EQ239" s="124"/>
      <c r="ER239" s="124"/>
      <c r="ES239" s="124"/>
      <c r="ET239" s="124"/>
      <c r="EU239" s="124"/>
      <c r="EV239" s="124"/>
      <c r="EW239" s="124"/>
      <c r="EX239" s="124"/>
      <c r="EY239" s="124"/>
      <c r="EZ239" s="124"/>
      <c r="FA239" s="124"/>
      <c r="FB239" s="124"/>
      <c r="FC239" s="124"/>
      <c r="FD239" s="124"/>
      <c r="FE239" s="124"/>
      <c r="FF239" s="124"/>
      <c r="FG239" s="124"/>
      <c r="FH239" s="124"/>
      <c r="FI239" s="124"/>
      <c r="FJ239" s="124"/>
      <c r="FK239" s="124"/>
      <c r="FL239" s="124"/>
      <c r="FM239" s="124"/>
      <c r="FN239" s="124"/>
      <c r="FO239" s="124"/>
      <c r="FP239" s="124"/>
      <c r="FQ239" s="124"/>
      <c r="FR239" s="124"/>
      <c r="FS239" s="124"/>
      <c r="FT239" s="124"/>
      <c r="FU239" s="124"/>
      <c r="FV239" s="124"/>
      <c r="FW239" s="124"/>
      <c r="FX239" s="124"/>
      <c r="FY239" s="124"/>
      <c r="FZ239" s="124"/>
      <c r="GA239" s="124"/>
      <c r="GB239" s="124"/>
      <c r="GC239" s="124"/>
      <c r="GD239" s="124"/>
      <c r="GE239" s="124"/>
      <c r="GF239" s="124"/>
      <c r="GG239" s="124"/>
      <c r="GH239" s="124"/>
      <c r="GI239" s="124"/>
      <c r="GJ239" s="124"/>
      <c r="GK239" s="124"/>
      <c r="GL239" s="124"/>
      <c r="GM239" s="124"/>
      <c r="GN239" s="124"/>
      <c r="GO239" s="124"/>
      <c r="GP239" s="124"/>
      <c r="GQ239" s="124"/>
      <c r="GR239" s="124"/>
      <c r="GS239" s="124"/>
      <c r="GT239" s="124"/>
      <c r="GU239" s="124"/>
      <c r="GV239" s="124"/>
      <c r="GW239" s="124"/>
      <c r="GX239" s="124"/>
      <c r="GY239" s="124"/>
      <c r="GZ239" s="124"/>
      <c r="HA239" s="124"/>
      <c r="HB239" s="124"/>
      <c r="HC239" s="124"/>
      <c r="HD239" s="124"/>
      <c r="HE239" s="124"/>
      <c r="HF239" s="124"/>
      <c r="HG239" s="124"/>
      <c r="HH239" s="124"/>
      <c r="HI239" s="124"/>
      <c r="HJ239" s="124"/>
      <c r="HK239" s="124"/>
      <c r="HL239" s="124"/>
      <c r="HM239" s="124"/>
      <c r="HN239" s="124"/>
      <c r="HO239" s="124"/>
      <c r="HP239" s="124"/>
      <c r="HQ239" s="124"/>
    </row>
    <row r="240" spans="1:225" x14ac:dyDescent="0.2">
      <c r="A240" s="122" t="s">
        <v>871</v>
      </c>
      <c r="B240" s="123">
        <v>20</v>
      </c>
      <c r="C240" s="124" t="s">
        <v>399</v>
      </c>
      <c r="D240" s="123">
        <v>231</v>
      </c>
      <c r="E240" s="124" t="s">
        <v>361</v>
      </c>
      <c r="F240" s="123">
        <v>4</v>
      </c>
      <c r="G240" s="123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124"/>
      <c r="AW240" s="124"/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  <c r="BJ240" s="124"/>
      <c r="BK240" s="124"/>
      <c r="BL240" s="124"/>
      <c r="BM240" s="124"/>
      <c r="BN240" s="124"/>
      <c r="BO240" s="124"/>
      <c r="BP240" s="124"/>
      <c r="BQ240" s="124"/>
      <c r="BR240" s="124"/>
      <c r="BS240" s="124"/>
      <c r="BT240" s="124"/>
      <c r="BU240" s="124"/>
      <c r="BV240" s="124"/>
      <c r="BW240" s="124"/>
      <c r="BX240" s="124"/>
      <c r="BY240" s="124"/>
      <c r="BZ240" s="124"/>
      <c r="CA240" s="124"/>
      <c r="CB240" s="124"/>
      <c r="CC240" s="124"/>
      <c r="CD240" s="124"/>
      <c r="CE240" s="124"/>
      <c r="CF240" s="124"/>
      <c r="CG240" s="124"/>
      <c r="CH240" s="124"/>
      <c r="CI240" s="124"/>
      <c r="CJ240" s="124"/>
      <c r="CK240" s="124"/>
      <c r="CL240" s="124"/>
      <c r="CM240" s="124"/>
      <c r="CN240" s="124"/>
      <c r="CO240" s="124"/>
      <c r="CP240" s="124"/>
      <c r="CQ240" s="124"/>
      <c r="CR240" s="124"/>
      <c r="CS240" s="124"/>
      <c r="CT240" s="124"/>
      <c r="CU240" s="124"/>
      <c r="CV240" s="124"/>
      <c r="CW240" s="124"/>
      <c r="CX240" s="124"/>
      <c r="CY240" s="124"/>
      <c r="CZ240" s="124"/>
      <c r="DA240" s="124"/>
      <c r="DB240" s="124"/>
      <c r="DC240" s="124"/>
      <c r="DD240" s="124"/>
      <c r="DE240" s="124"/>
      <c r="DF240" s="124"/>
      <c r="DG240" s="124"/>
      <c r="DH240" s="124"/>
      <c r="DI240" s="124"/>
      <c r="DJ240" s="124"/>
      <c r="DK240" s="124"/>
      <c r="DL240" s="124"/>
      <c r="DM240" s="124"/>
      <c r="DN240" s="124"/>
      <c r="DO240" s="124"/>
      <c r="DP240" s="124"/>
      <c r="DQ240" s="124"/>
      <c r="DR240" s="124"/>
      <c r="DS240" s="124"/>
      <c r="DT240" s="124"/>
      <c r="DU240" s="124"/>
      <c r="DV240" s="124"/>
      <c r="DW240" s="124"/>
      <c r="DX240" s="124"/>
      <c r="DY240" s="124"/>
      <c r="DZ240" s="124"/>
      <c r="EA240" s="124"/>
      <c r="EB240" s="124"/>
      <c r="EC240" s="124"/>
      <c r="ED240" s="124"/>
      <c r="EE240" s="124"/>
      <c r="EF240" s="124"/>
      <c r="EG240" s="124"/>
      <c r="EH240" s="124"/>
      <c r="EI240" s="124"/>
      <c r="EJ240" s="124"/>
      <c r="EK240" s="124"/>
      <c r="EL240" s="124"/>
      <c r="EM240" s="124"/>
      <c r="EN240" s="124"/>
      <c r="EO240" s="124"/>
      <c r="EP240" s="124"/>
      <c r="EQ240" s="124"/>
      <c r="ER240" s="124"/>
      <c r="ES240" s="124"/>
      <c r="ET240" s="124"/>
      <c r="EU240" s="124"/>
      <c r="EV240" s="124"/>
      <c r="EW240" s="124"/>
      <c r="EX240" s="124"/>
      <c r="EY240" s="124"/>
      <c r="EZ240" s="124"/>
      <c r="FA240" s="124"/>
      <c r="FB240" s="124"/>
      <c r="FC240" s="124"/>
      <c r="FD240" s="124"/>
      <c r="FE240" s="124"/>
      <c r="FF240" s="124"/>
      <c r="FG240" s="124"/>
      <c r="FH240" s="124"/>
      <c r="FI240" s="124"/>
      <c r="FJ240" s="124"/>
      <c r="FK240" s="124"/>
      <c r="FL240" s="124"/>
      <c r="FM240" s="124"/>
      <c r="FN240" s="124"/>
      <c r="FO240" s="124"/>
      <c r="FP240" s="124"/>
      <c r="FQ240" s="124"/>
      <c r="FR240" s="124"/>
      <c r="FS240" s="124"/>
      <c r="FT240" s="124"/>
      <c r="FU240" s="124"/>
      <c r="FV240" s="124"/>
      <c r="FW240" s="124"/>
      <c r="FX240" s="124"/>
      <c r="FY240" s="124"/>
      <c r="FZ240" s="124"/>
      <c r="GA240" s="124"/>
      <c r="GB240" s="124"/>
      <c r="GC240" s="124"/>
      <c r="GD240" s="124"/>
      <c r="GE240" s="124"/>
      <c r="GF240" s="124"/>
      <c r="GG240" s="124"/>
      <c r="GH240" s="124"/>
      <c r="GI240" s="124"/>
      <c r="GJ240" s="124"/>
      <c r="GK240" s="124"/>
      <c r="GL240" s="124"/>
      <c r="GM240" s="124"/>
      <c r="GN240" s="124"/>
      <c r="GO240" s="124"/>
      <c r="GP240" s="124"/>
      <c r="GQ240" s="124"/>
      <c r="GR240" s="124"/>
      <c r="GS240" s="124"/>
      <c r="GT240" s="124"/>
      <c r="GU240" s="124"/>
      <c r="GV240" s="124"/>
      <c r="GW240" s="124"/>
      <c r="GX240" s="124"/>
      <c r="GY240" s="124"/>
      <c r="GZ240" s="124"/>
      <c r="HA240" s="124"/>
      <c r="HB240" s="124"/>
      <c r="HC240" s="124"/>
      <c r="HD240" s="124"/>
      <c r="HE240" s="124"/>
      <c r="HF240" s="124"/>
      <c r="HG240" s="124"/>
      <c r="HH240" s="124"/>
      <c r="HI240" s="124"/>
      <c r="HJ240" s="124"/>
      <c r="HK240" s="124"/>
      <c r="HL240" s="124"/>
      <c r="HM240" s="124"/>
      <c r="HN240" s="124"/>
      <c r="HO240" s="124"/>
      <c r="HP240" s="124"/>
      <c r="HQ240" s="124"/>
    </row>
    <row r="241" spans="1:225" x14ac:dyDescent="0.2">
      <c r="A241" s="122" t="s">
        <v>872</v>
      </c>
      <c r="B241" s="123">
        <v>20</v>
      </c>
      <c r="C241" s="124" t="s">
        <v>400</v>
      </c>
      <c r="D241" s="123">
        <v>232</v>
      </c>
      <c r="E241" s="124" t="s">
        <v>361</v>
      </c>
      <c r="F241" s="123">
        <v>4</v>
      </c>
      <c r="G241" s="123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  <c r="AV241" s="124"/>
      <c r="AW241" s="124"/>
      <c r="AX241" s="124"/>
      <c r="AY241" s="124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  <c r="BJ241" s="124"/>
      <c r="BK241" s="124"/>
      <c r="BL241" s="124"/>
      <c r="BM241" s="124"/>
      <c r="BN241" s="124"/>
      <c r="BO241" s="124"/>
      <c r="BP241" s="124"/>
      <c r="BQ241" s="124"/>
      <c r="BR241" s="124"/>
      <c r="BS241" s="124"/>
      <c r="BT241" s="124"/>
      <c r="BU241" s="124"/>
      <c r="BV241" s="124"/>
      <c r="BW241" s="124"/>
      <c r="BX241" s="124"/>
      <c r="BY241" s="124"/>
      <c r="BZ241" s="124"/>
      <c r="CA241" s="124"/>
      <c r="CB241" s="124"/>
      <c r="CC241" s="124"/>
      <c r="CD241" s="124"/>
      <c r="CE241" s="124"/>
      <c r="CF241" s="124"/>
      <c r="CG241" s="124"/>
      <c r="CH241" s="124"/>
      <c r="CI241" s="124"/>
      <c r="CJ241" s="124"/>
      <c r="CK241" s="124"/>
      <c r="CL241" s="124"/>
      <c r="CM241" s="124"/>
      <c r="CN241" s="124"/>
      <c r="CO241" s="124"/>
      <c r="CP241" s="124"/>
      <c r="CQ241" s="124"/>
      <c r="CR241" s="124"/>
      <c r="CS241" s="124"/>
      <c r="CT241" s="124"/>
      <c r="CU241" s="124"/>
      <c r="CV241" s="124"/>
      <c r="CW241" s="124"/>
      <c r="CX241" s="124"/>
      <c r="CY241" s="124"/>
      <c r="CZ241" s="124"/>
      <c r="DA241" s="124"/>
      <c r="DB241" s="124"/>
      <c r="DC241" s="124"/>
      <c r="DD241" s="124"/>
      <c r="DE241" s="124"/>
      <c r="DF241" s="124"/>
      <c r="DG241" s="124"/>
      <c r="DH241" s="124"/>
      <c r="DI241" s="124"/>
      <c r="DJ241" s="124"/>
      <c r="DK241" s="124"/>
      <c r="DL241" s="124"/>
      <c r="DM241" s="124"/>
      <c r="DN241" s="124"/>
      <c r="DO241" s="124"/>
      <c r="DP241" s="124"/>
      <c r="DQ241" s="124"/>
      <c r="DR241" s="124"/>
      <c r="DS241" s="124"/>
      <c r="DT241" s="124"/>
      <c r="DU241" s="124"/>
      <c r="DV241" s="124"/>
      <c r="DW241" s="124"/>
      <c r="DX241" s="124"/>
      <c r="DY241" s="124"/>
      <c r="DZ241" s="124"/>
      <c r="EA241" s="124"/>
      <c r="EB241" s="124"/>
      <c r="EC241" s="124"/>
      <c r="ED241" s="124"/>
      <c r="EE241" s="124"/>
      <c r="EF241" s="124"/>
      <c r="EG241" s="124"/>
      <c r="EH241" s="124"/>
      <c r="EI241" s="124"/>
      <c r="EJ241" s="124"/>
      <c r="EK241" s="124"/>
      <c r="EL241" s="124"/>
      <c r="EM241" s="124"/>
      <c r="EN241" s="124"/>
      <c r="EO241" s="124"/>
      <c r="EP241" s="124"/>
      <c r="EQ241" s="124"/>
      <c r="ER241" s="124"/>
      <c r="ES241" s="124"/>
      <c r="ET241" s="124"/>
      <c r="EU241" s="124"/>
      <c r="EV241" s="124"/>
      <c r="EW241" s="124"/>
      <c r="EX241" s="124"/>
      <c r="EY241" s="124"/>
      <c r="EZ241" s="124"/>
      <c r="FA241" s="124"/>
      <c r="FB241" s="124"/>
      <c r="FC241" s="124"/>
      <c r="FD241" s="124"/>
      <c r="FE241" s="124"/>
      <c r="FF241" s="124"/>
      <c r="FG241" s="124"/>
      <c r="FH241" s="124"/>
      <c r="FI241" s="124"/>
      <c r="FJ241" s="124"/>
      <c r="FK241" s="124"/>
      <c r="FL241" s="124"/>
      <c r="FM241" s="124"/>
      <c r="FN241" s="124"/>
      <c r="FO241" s="124"/>
      <c r="FP241" s="124"/>
      <c r="FQ241" s="124"/>
      <c r="FR241" s="124"/>
      <c r="FS241" s="124"/>
      <c r="FT241" s="124"/>
      <c r="FU241" s="124"/>
      <c r="FV241" s="124"/>
      <c r="FW241" s="124"/>
      <c r="FX241" s="124"/>
      <c r="FY241" s="124"/>
      <c r="FZ241" s="124"/>
      <c r="GA241" s="124"/>
      <c r="GB241" s="124"/>
      <c r="GC241" s="124"/>
      <c r="GD241" s="124"/>
      <c r="GE241" s="124"/>
      <c r="GF241" s="124"/>
      <c r="GG241" s="124"/>
      <c r="GH241" s="124"/>
      <c r="GI241" s="124"/>
      <c r="GJ241" s="124"/>
      <c r="GK241" s="124"/>
      <c r="GL241" s="124"/>
      <c r="GM241" s="124"/>
      <c r="GN241" s="124"/>
      <c r="GO241" s="124"/>
      <c r="GP241" s="124"/>
      <c r="GQ241" s="124"/>
      <c r="GR241" s="124"/>
      <c r="GS241" s="124"/>
      <c r="GT241" s="124"/>
      <c r="GU241" s="124"/>
      <c r="GV241" s="124"/>
      <c r="GW241" s="124"/>
      <c r="GX241" s="124"/>
      <c r="GY241" s="124"/>
      <c r="GZ241" s="124"/>
      <c r="HA241" s="124"/>
      <c r="HB241" s="124"/>
      <c r="HC241" s="124"/>
      <c r="HD241" s="124"/>
      <c r="HE241" s="124"/>
      <c r="HF241" s="124"/>
      <c r="HG241" s="124"/>
      <c r="HH241" s="124"/>
      <c r="HI241" s="124"/>
      <c r="HJ241" s="124"/>
      <c r="HK241" s="124"/>
      <c r="HL241" s="124"/>
      <c r="HM241" s="124"/>
      <c r="HN241" s="124"/>
      <c r="HO241" s="124"/>
      <c r="HP241" s="124"/>
      <c r="HQ241" s="124"/>
    </row>
    <row r="242" spans="1:225" x14ac:dyDescent="0.2">
      <c r="A242" s="122" t="s">
        <v>873</v>
      </c>
      <c r="B242" s="123">
        <v>21</v>
      </c>
      <c r="C242" s="124" t="s">
        <v>401</v>
      </c>
      <c r="D242" s="123">
        <v>233</v>
      </c>
      <c r="E242" s="124" t="s">
        <v>361</v>
      </c>
      <c r="F242" s="123">
        <v>2</v>
      </c>
      <c r="G242" s="123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124"/>
      <c r="AW242" s="124"/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  <c r="BJ242" s="124"/>
      <c r="BK242" s="124"/>
      <c r="BL242" s="124"/>
      <c r="BM242" s="124"/>
      <c r="BN242" s="124"/>
      <c r="BO242" s="124"/>
      <c r="BP242" s="124"/>
      <c r="BQ242" s="124"/>
      <c r="BR242" s="124"/>
      <c r="BS242" s="124"/>
      <c r="BT242" s="124"/>
      <c r="BU242" s="124"/>
      <c r="BV242" s="124"/>
      <c r="BW242" s="124"/>
      <c r="BX242" s="124"/>
      <c r="BY242" s="124"/>
      <c r="BZ242" s="124"/>
      <c r="CA242" s="124"/>
      <c r="CB242" s="124"/>
      <c r="CC242" s="124"/>
      <c r="CD242" s="124"/>
      <c r="CE242" s="124"/>
      <c r="CF242" s="124"/>
      <c r="CG242" s="124"/>
      <c r="CH242" s="124"/>
      <c r="CI242" s="124"/>
      <c r="CJ242" s="124"/>
      <c r="CK242" s="124"/>
      <c r="CL242" s="124"/>
      <c r="CM242" s="124"/>
      <c r="CN242" s="124"/>
      <c r="CO242" s="124"/>
      <c r="CP242" s="124"/>
      <c r="CQ242" s="124"/>
      <c r="CR242" s="124"/>
      <c r="CS242" s="124"/>
      <c r="CT242" s="124"/>
      <c r="CU242" s="124"/>
      <c r="CV242" s="124"/>
      <c r="CW242" s="124"/>
      <c r="CX242" s="124"/>
      <c r="CY242" s="124"/>
      <c r="CZ242" s="124"/>
      <c r="DA242" s="124"/>
      <c r="DB242" s="124"/>
      <c r="DC242" s="124"/>
      <c r="DD242" s="124"/>
      <c r="DE242" s="124"/>
      <c r="DF242" s="124"/>
      <c r="DG242" s="124"/>
      <c r="DH242" s="124"/>
      <c r="DI242" s="124"/>
      <c r="DJ242" s="124"/>
      <c r="DK242" s="124"/>
      <c r="DL242" s="124"/>
      <c r="DM242" s="124"/>
      <c r="DN242" s="124"/>
      <c r="DO242" s="124"/>
      <c r="DP242" s="124"/>
      <c r="DQ242" s="124"/>
      <c r="DR242" s="124"/>
      <c r="DS242" s="124"/>
      <c r="DT242" s="124"/>
      <c r="DU242" s="124"/>
      <c r="DV242" s="124"/>
      <c r="DW242" s="124"/>
      <c r="DX242" s="124"/>
      <c r="DY242" s="124"/>
      <c r="DZ242" s="124"/>
      <c r="EA242" s="124"/>
      <c r="EB242" s="124"/>
      <c r="EC242" s="124"/>
      <c r="ED242" s="124"/>
      <c r="EE242" s="124"/>
      <c r="EF242" s="124"/>
      <c r="EG242" s="124"/>
      <c r="EH242" s="124"/>
      <c r="EI242" s="124"/>
      <c r="EJ242" s="124"/>
      <c r="EK242" s="124"/>
      <c r="EL242" s="124"/>
      <c r="EM242" s="124"/>
      <c r="EN242" s="124"/>
      <c r="EO242" s="124"/>
      <c r="EP242" s="124"/>
      <c r="EQ242" s="124"/>
      <c r="ER242" s="124"/>
      <c r="ES242" s="124"/>
      <c r="ET242" s="124"/>
      <c r="EU242" s="124"/>
      <c r="EV242" s="124"/>
      <c r="EW242" s="124"/>
      <c r="EX242" s="124"/>
      <c r="EY242" s="124"/>
      <c r="EZ242" s="124"/>
      <c r="FA242" s="124"/>
      <c r="FB242" s="124"/>
      <c r="FC242" s="124"/>
      <c r="FD242" s="124"/>
      <c r="FE242" s="124"/>
      <c r="FF242" s="124"/>
      <c r="FG242" s="124"/>
      <c r="FH242" s="124"/>
      <c r="FI242" s="124"/>
      <c r="FJ242" s="124"/>
      <c r="FK242" s="124"/>
      <c r="FL242" s="124"/>
      <c r="FM242" s="124"/>
      <c r="FN242" s="124"/>
      <c r="FO242" s="124"/>
      <c r="FP242" s="124"/>
      <c r="FQ242" s="124"/>
      <c r="FR242" s="124"/>
      <c r="FS242" s="124"/>
      <c r="FT242" s="124"/>
      <c r="FU242" s="124"/>
      <c r="FV242" s="124"/>
      <c r="FW242" s="124"/>
      <c r="FX242" s="124"/>
      <c r="FY242" s="124"/>
      <c r="FZ242" s="124"/>
      <c r="GA242" s="124"/>
      <c r="GB242" s="124"/>
      <c r="GC242" s="124"/>
      <c r="GD242" s="124"/>
      <c r="GE242" s="124"/>
      <c r="GF242" s="124"/>
      <c r="GG242" s="124"/>
      <c r="GH242" s="124"/>
      <c r="GI242" s="124"/>
      <c r="GJ242" s="124"/>
      <c r="GK242" s="124"/>
      <c r="GL242" s="124"/>
      <c r="GM242" s="124"/>
      <c r="GN242" s="124"/>
      <c r="GO242" s="124"/>
      <c r="GP242" s="124"/>
      <c r="GQ242" s="124"/>
      <c r="GR242" s="124"/>
      <c r="GS242" s="124"/>
      <c r="GT242" s="124"/>
      <c r="GU242" s="124"/>
      <c r="GV242" s="124"/>
      <c r="GW242" s="124"/>
      <c r="GX242" s="124"/>
      <c r="GY242" s="124"/>
      <c r="GZ242" s="124"/>
      <c r="HA242" s="124"/>
      <c r="HB242" s="124"/>
      <c r="HC242" s="124"/>
      <c r="HD242" s="124"/>
      <c r="HE242" s="124"/>
      <c r="HF242" s="124"/>
      <c r="HG242" s="124"/>
      <c r="HH242" s="124"/>
      <c r="HI242" s="124"/>
      <c r="HJ242" s="124"/>
      <c r="HK242" s="124"/>
      <c r="HL242" s="124"/>
      <c r="HM242" s="124"/>
      <c r="HN242" s="124"/>
      <c r="HO242" s="124"/>
      <c r="HP242" s="124"/>
      <c r="HQ242" s="124"/>
    </row>
    <row r="243" spans="1:225" x14ac:dyDescent="0.2">
      <c r="A243" s="122" t="s">
        <v>874</v>
      </c>
      <c r="B243" s="123">
        <v>21</v>
      </c>
      <c r="C243" s="124" t="s">
        <v>402</v>
      </c>
      <c r="D243" s="123">
        <v>234</v>
      </c>
      <c r="E243" s="124" t="s">
        <v>361</v>
      </c>
      <c r="F243" s="123">
        <v>3</v>
      </c>
      <c r="G243" s="123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  <c r="AV243" s="124"/>
      <c r="AW243" s="124"/>
      <c r="AX243" s="124"/>
      <c r="AY243" s="124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  <c r="BJ243" s="124"/>
      <c r="BK243" s="124"/>
      <c r="BL243" s="124"/>
      <c r="BM243" s="124"/>
      <c r="BN243" s="124"/>
      <c r="BO243" s="124"/>
      <c r="BP243" s="124"/>
      <c r="BQ243" s="124"/>
      <c r="BR243" s="124"/>
      <c r="BS243" s="124"/>
      <c r="BT243" s="124"/>
      <c r="BU243" s="124"/>
      <c r="BV243" s="124"/>
      <c r="BW243" s="124"/>
      <c r="BX243" s="124"/>
      <c r="BY243" s="124"/>
      <c r="BZ243" s="124"/>
      <c r="CA243" s="124"/>
      <c r="CB243" s="124"/>
      <c r="CC243" s="124"/>
      <c r="CD243" s="124"/>
      <c r="CE243" s="124"/>
      <c r="CF243" s="124"/>
      <c r="CG243" s="124"/>
      <c r="CH243" s="124"/>
      <c r="CI243" s="124"/>
      <c r="CJ243" s="124"/>
      <c r="CK243" s="124"/>
      <c r="CL243" s="124"/>
      <c r="CM243" s="124"/>
      <c r="CN243" s="124"/>
      <c r="CO243" s="124"/>
      <c r="CP243" s="124"/>
      <c r="CQ243" s="124"/>
      <c r="CR243" s="124"/>
      <c r="CS243" s="124"/>
      <c r="CT243" s="124"/>
      <c r="CU243" s="124"/>
      <c r="CV243" s="124"/>
      <c r="CW243" s="124"/>
      <c r="CX243" s="124"/>
      <c r="CY243" s="124"/>
      <c r="CZ243" s="124"/>
      <c r="DA243" s="124"/>
      <c r="DB243" s="124"/>
      <c r="DC243" s="124"/>
      <c r="DD243" s="124"/>
      <c r="DE243" s="124"/>
      <c r="DF243" s="124"/>
      <c r="DG243" s="124"/>
      <c r="DH243" s="124"/>
      <c r="DI243" s="124"/>
      <c r="DJ243" s="124"/>
      <c r="DK243" s="124"/>
      <c r="DL243" s="124"/>
      <c r="DM243" s="124"/>
      <c r="DN243" s="124"/>
      <c r="DO243" s="124"/>
      <c r="DP243" s="124"/>
      <c r="DQ243" s="124"/>
      <c r="DR243" s="124"/>
      <c r="DS243" s="124"/>
      <c r="DT243" s="124"/>
      <c r="DU243" s="124"/>
      <c r="DV243" s="124"/>
      <c r="DW243" s="124"/>
      <c r="DX243" s="124"/>
      <c r="DY243" s="124"/>
      <c r="DZ243" s="124"/>
      <c r="EA243" s="124"/>
      <c r="EB243" s="124"/>
      <c r="EC243" s="124"/>
      <c r="ED243" s="124"/>
      <c r="EE243" s="124"/>
      <c r="EF243" s="124"/>
      <c r="EG243" s="124"/>
      <c r="EH243" s="124"/>
      <c r="EI243" s="124"/>
      <c r="EJ243" s="124"/>
      <c r="EK243" s="124"/>
      <c r="EL243" s="124"/>
      <c r="EM243" s="124"/>
      <c r="EN243" s="124"/>
      <c r="EO243" s="124"/>
      <c r="EP243" s="124"/>
      <c r="EQ243" s="124"/>
      <c r="ER243" s="124"/>
      <c r="ES243" s="124"/>
      <c r="ET243" s="124"/>
      <c r="EU243" s="124"/>
      <c r="EV243" s="124"/>
      <c r="EW243" s="124"/>
      <c r="EX243" s="124"/>
      <c r="EY243" s="124"/>
      <c r="EZ243" s="124"/>
      <c r="FA243" s="124"/>
      <c r="FB243" s="124"/>
      <c r="FC243" s="124"/>
      <c r="FD243" s="124"/>
      <c r="FE243" s="124"/>
      <c r="FF243" s="124"/>
      <c r="FG243" s="124"/>
      <c r="FH243" s="124"/>
      <c r="FI243" s="124"/>
      <c r="FJ243" s="124"/>
      <c r="FK243" s="124"/>
      <c r="FL243" s="124"/>
      <c r="FM243" s="124"/>
      <c r="FN243" s="124"/>
      <c r="FO243" s="124"/>
      <c r="FP243" s="124"/>
      <c r="FQ243" s="124"/>
      <c r="FR243" s="124"/>
      <c r="FS243" s="124"/>
      <c r="FT243" s="124"/>
      <c r="FU243" s="124"/>
      <c r="FV243" s="124"/>
      <c r="FW243" s="124"/>
      <c r="FX243" s="124"/>
      <c r="FY243" s="124"/>
      <c r="FZ243" s="124"/>
      <c r="GA243" s="124"/>
      <c r="GB243" s="124"/>
      <c r="GC243" s="124"/>
      <c r="GD243" s="124"/>
      <c r="GE243" s="124"/>
      <c r="GF243" s="124"/>
      <c r="GG243" s="124"/>
      <c r="GH243" s="124"/>
      <c r="GI243" s="124"/>
      <c r="GJ243" s="124"/>
      <c r="GK243" s="124"/>
      <c r="GL243" s="124"/>
      <c r="GM243" s="124"/>
      <c r="GN243" s="124"/>
      <c r="GO243" s="124"/>
      <c r="GP243" s="124"/>
      <c r="GQ243" s="124"/>
      <c r="GR243" s="124"/>
      <c r="GS243" s="124"/>
      <c r="GT243" s="124"/>
      <c r="GU243" s="124"/>
      <c r="GV243" s="124"/>
      <c r="GW243" s="124"/>
      <c r="GX243" s="124"/>
      <c r="GY243" s="124"/>
      <c r="GZ243" s="124"/>
      <c r="HA243" s="124"/>
      <c r="HB243" s="124"/>
      <c r="HC243" s="124"/>
      <c r="HD243" s="124"/>
      <c r="HE243" s="124"/>
      <c r="HF243" s="124"/>
      <c r="HG243" s="124"/>
      <c r="HH243" s="124"/>
      <c r="HI243" s="124"/>
      <c r="HJ243" s="124"/>
      <c r="HK243" s="124"/>
      <c r="HL243" s="124"/>
      <c r="HM243" s="124"/>
      <c r="HN243" s="124"/>
      <c r="HO243" s="124"/>
      <c r="HP243" s="124"/>
      <c r="HQ243" s="124"/>
    </row>
    <row r="244" spans="1:225" x14ac:dyDescent="0.2">
      <c r="A244" s="122" t="s">
        <v>875</v>
      </c>
      <c r="B244" s="123">
        <v>22</v>
      </c>
      <c r="C244" s="124" t="s">
        <v>403</v>
      </c>
      <c r="D244" s="123">
        <v>235</v>
      </c>
      <c r="E244" s="124" t="s">
        <v>361</v>
      </c>
      <c r="F244" s="123">
        <v>3</v>
      </c>
      <c r="G244" s="123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4"/>
      <c r="BK244" s="124"/>
      <c r="BL244" s="124"/>
      <c r="BM244" s="124"/>
      <c r="BN244" s="124"/>
      <c r="BO244" s="124"/>
      <c r="BP244" s="124"/>
      <c r="BQ244" s="124"/>
      <c r="BR244" s="124"/>
      <c r="BS244" s="124"/>
      <c r="BT244" s="124"/>
      <c r="BU244" s="124"/>
      <c r="BV244" s="124"/>
      <c r="BW244" s="124"/>
      <c r="BX244" s="124"/>
      <c r="BY244" s="124"/>
      <c r="BZ244" s="124"/>
      <c r="CA244" s="124"/>
      <c r="CB244" s="124"/>
      <c r="CC244" s="124"/>
      <c r="CD244" s="124"/>
      <c r="CE244" s="124"/>
      <c r="CF244" s="124"/>
      <c r="CG244" s="124"/>
      <c r="CH244" s="124"/>
      <c r="CI244" s="124"/>
      <c r="CJ244" s="124"/>
      <c r="CK244" s="124"/>
      <c r="CL244" s="124"/>
      <c r="CM244" s="124"/>
      <c r="CN244" s="124"/>
      <c r="CO244" s="124"/>
      <c r="CP244" s="124"/>
      <c r="CQ244" s="124"/>
      <c r="CR244" s="124"/>
      <c r="CS244" s="124"/>
      <c r="CT244" s="124"/>
      <c r="CU244" s="124"/>
      <c r="CV244" s="124"/>
      <c r="CW244" s="124"/>
      <c r="CX244" s="124"/>
      <c r="CY244" s="124"/>
      <c r="CZ244" s="124"/>
      <c r="DA244" s="124"/>
      <c r="DB244" s="124"/>
      <c r="DC244" s="124"/>
      <c r="DD244" s="124"/>
      <c r="DE244" s="124"/>
      <c r="DF244" s="124"/>
      <c r="DG244" s="124"/>
      <c r="DH244" s="124"/>
      <c r="DI244" s="124"/>
      <c r="DJ244" s="124"/>
      <c r="DK244" s="124"/>
      <c r="DL244" s="124"/>
      <c r="DM244" s="124"/>
      <c r="DN244" s="124"/>
      <c r="DO244" s="124"/>
      <c r="DP244" s="124"/>
      <c r="DQ244" s="124"/>
      <c r="DR244" s="124"/>
      <c r="DS244" s="124"/>
      <c r="DT244" s="124"/>
      <c r="DU244" s="124"/>
      <c r="DV244" s="124"/>
      <c r="DW244" s="124"/>
      <c r="DX244" s="124"/>
      <c r="DY244" s="124"/>
      <c r="DZ244" s="124"/>
      <c r="EA244" s="124"/>
      <c r="EB244" s="124"/>
      <c r="EC244" s="124"/>
      <c r="ED244" s="124"/>
      <c r="EE244" s="124"/>
      <c r="EF244" s="124"/>
      <c r="EG244" s="124"/>
      <c r="EH244" s="124"/>
      <c r="EI244" s="124"/>
      <c r="EJ244" s="124"/>
      <c r="EK244" s="124"/>
      <c r="EL244" s="124"/>
      <c r="EM244" s="124"/>
      <c r="EN244" s="124"/>
      <c r="EO244" s="124"/>
      <c r="EP244" s="124"/>
      <c r="EQ244" s="124"/>
      <c r="ER244" s="124"/>
      <c r="ES244" s="124"/>
      <c r="ET244" s="124"/>
      <c r="EU244" s="124"/>
      <c r="EV244" s="124"/>
      <c r="EW244" s="124"/>
      <c r="EX244" s="124"/>
      <c r="EY244" s="124"/>
      <c r="EZ244" s="124"/>
      <c r="FA244" s="124"/>
      <c r="FB244" s="124"/>
      <c r="FC244" s="124"/>
      <c r="FD244" s="124"/>
      <c r="FE244" s="124"/>
      <c r="FF244" s="124"/>
      <c r="FG244" s="124"/>
      <c r="FH244" s="124"/>
      <c r="FI244" s="124"/>
      <c r="FJ244" s="124"/>
      <c r="FK244" s="124"/>
      <c r="FL244" s="124"/>
      <c r="FM244" s="124"/>
      <c r="FN244" s="124"/>
      <c r="FO244" s="124"/>
      <c r="FP244" s="124"/>
      <c r="FQ244" s="124"/>
      <c r="FR244" s="124"/>
      <c r="FS244" s="124"/>
      <c r="FT244" s="124"/>
      <c r="FU244" s="124"/>
      <c r="FV244" s="124"/>
      <c r="FW244" s="124"/>
      <c r="FX244" s="124"/>
      <c r="FY244" s="124"/>
      <c r="FZ244" s="124"/>
      <c r="GA244" s="124"/>
      <c r="GB244" s="124"/>
      <c r="GC244" s="124"/>
      <c r="GD244" s="124"/>
      <c r="GE244" s="124"/>
      <c r="GF244" s="124"/>
      <c r="GG244" s="124"/>
      <c r="GH244" s="124"/>
      <c r="GI244" s="124"/>
      <c r="GJ244" s="124"/>
      <c r="GK244" s="124"/>
      <c r="GL244" s="124"/>
      <c r="GM244" s="124"/>
      <c r="GN244" s="124"/>
      <c r="GO244" s="124"/>
      <c r="GP244" s="124"/>
      <c r="GQ244" s="124"/>
      <c r="GR244" s="124"/>
      <c r="GS244" s="124"/>
      <c r="GT244" s="124"/>
      <c r="GU244" s="124"/>
      <c r="GV244" s="124"/>
      <c r="GW244" s="124"/>
      <c r="GX244" s="124"/>
      <c r="GY244" s="124"/>
      <c r="GZ244" s="124"/>
      <c r="HA244" s="124"/>
      <c r="HB244" s="124"/>
      <c r="HC244" s="124"/>
      <c r="HD244" s="124"/>
      <c r="HE244" s="124"/>
      <c r="HF244" s="124"/>
      <c r="HG244" s="124"/>
      <c r="HH244" s="124"/>
      <c r="HI244" s="124"/>
      <c r="HJ244" s="124"/>
      <c r="HK244" s="124"/>
      <c r="HL244" s="124"/>
      <c r="HM244" s="124"/>
      <c r="HN244" s="124"/>
      <c r="HO244" s="124"/>
      <c r="HP244" s="124"/>
      <c r="HQ244" s="124"/>
    </row>
    <row r="245" spans="1:225" x14ac:dyDescent="0.2">
      <c r="A245" s="122" t="s">
        <v>876</v>
      </c>
      <c r="B245" s="123">
        <v>22</v>
      </c>
      <c r="C245" s="138" t="s">
        <v>404</v>
      </c>
      <c r="D245" s="123">
        <v>236</v>
      </c>
      <c r="E245" s="124" t="s">
        <v>361</v>
      </c>
      <c r="F245" s="123">
        <v>2</v>
      </c>
      <c r="G245" s="123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  <c r="AV245" s="124"/>
      <c r="AW245" s="124"/>
      <c r="AX245" s="124"/>
      <c r="AY245" s="124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4"/>
      <c r="BK245" s="124"/>
      <c r="BL245" s="124"/>
      <c r="BM245" s="124"/>
      <c r="BN245" s="124"/>
      <c r="BO245" s="124"/>
      <c r="BP245" s="124"/>
      <c r="BQ245" s="124"/>
      <c r="BR245" s="124"/>
      <c r="BS245" s="124"/>
      <c r="BT245" s="124"/>
      <c r="BU245" s="124"/>
      <c r="BV245" s="124"/>
      <c r="BW245" s="124"/>
      <c r="BX245" s="124"/>
      <c r="BY245" s="124"/>
      <c r="BZ245" s="124"/>
      <c r="CA245" s="124"/>
      <c r="CB245" s="124"/>
      <c r="CC245" s="124"/>
      <c r="CD245" s="124"/>
      <c r="CE245" s="124"/>
      <c r="CF245" s="124"/>
      <c r="CG245" s="124"/>
      <c r="CH245" s="124"/>
      <c r="CI245" s="124"/>
      <c r="CJ245" s="124"/>
      <c r="CK245" s="124"/>
      <c r="CL245" s="124"/>
      <c r="CM245" s="124"/>
      <c r="CN245" s="124"/>
      <c r="CO245" s="124"/>
      <c r="CP245" s="124"/>
      <c r="CQ245" s="124"/>
      <c r="CR245" s="124"/>
      <c r="CS245" s="124"/>
      <c r="CT245" s="124"/>
      <c r="CU245" s="124"/>
      <c r="CV245" s="124"/>
      <c r="CW245" s="124"/>
      <c r="CX245" s="124"/>
      <c r="CY245" s="124"/>
      <c r="CZ245" s="124"/>
      <c r="DA245" s="124"/>
      <c r="DB245" s="124"/>
      <c r="DC245" s="124"/>
      <c r="DD245" s="124"/>
      <c r="DE245" s="124"/>
      <c r="DF245" s="124"/>
      <c r="DG245" s="124"/>
      <c r="DH245" s="124"/>
      <c r="DI245" s="124"/>
      <c r="DJ245" s="124"/>
      <c r="DK245" s="124"/>
      <c r="DL245" s="124"/>
      <c r="DM245" s="124"/>
      <c r="DN245" s="124"/>
      <c r="DO245" s="124"/>
      <c r="DP245" s="124"/>
      <c r="DQ245" s="124"/>
      <c r="DR245" s="124"/>
      <c r="DS245" s="124"/>
      <c r="DT245" s="124"/>
      <c r="DU245" s="124"/>
      <c r="DV245" s="124"/>
      <c r="DW245" s="124"/>
      <c r="DX245" s="124"/>
      <c r="DY245" s="124"/>
      <c r="DZ245" s="124"/>
      <c r="EA245" s="124"/>
      <c r="EB245" s="124"/>
      <c r="EC245" s="124"/>
      <c r="ED245" s="124"/>
      <c r="EE245" s="124"/>
      <c r="EF245" s="124"/>
      <c r="EG245" s="124"/>
      <c r="EH245" s="124"/>
      <c r="EI245" s="124"/>
      <c r="EJ245" s="124"/>
      <c r="EK245" s="124"/>
      <c r="EL245" s="124"/>
      <c r="EM245" s="124"/>
      <c r="EN245" s="124"/>
      <c r="EO245" s="124"/>
      <c r="EP245" s="124"/>
      <c r="EQ245" s="124"/>
      <c r="ER245" s="124"/>
      <c r="ES245" s="124"/>
      <c r="ET245" s="124"/>
      <c r="EU245" s="124"/>
      <c r="EV245" s="124"/>
      <c r="EW245" s="124"/>
      <c r="EX245" s="124"/>
      <c r="EY245" s="124"/>
      <c r="EZ245" s="124"/>
      <c r="FA245" s="124"/>
      <c r="FB245" s="124"/>
      <c r="FC245" s="124"/>
      <c r="FD245" s="124"/>
      <c r="FE245" s="124"/>
      <c r="FF245" s="124"/>
      <c r="FG245" s="124"/>
      <c r="FH245" s="124"/>
      <c r="FI245" s="124"/>
      <c r="FJ245" s="124"/>
      <c r="FK245" s="124"/>
      <c r="FL245" s="124"/>
      <c r="FM245" s="124"/>
      <c r="FN245" s="124"/>
      <c r="FO245" s="124"/>
      <c r="FP245" s="124"/>
      <c r="FQ245" s="124"/>
      <c r="FR245" s="124"/>
      <c r="FS245" s="124"/>
      <c r="FT245" s="124"/>
      <c r="FU245" s="124"/>
      <c r="FV245" s="124"/>
      <c r="FW245" s="124"/>
      <c r="FX245" s="124"/>
      <c r="FY245" s="124"/>
      <c r="FZ245" s="124"/>
      <c r="GA245" s="124"/>
      <c r="GB245" s="124"/>
      <c r="GC245" s="124"/>
      <c r="GD245" s="124"/>
      <c r="GE245" s="124"/>
      <c r="GF245" s="124"/>
      <c r="GG245" s="124"/>
      <c r="GH245" s="124"/>
      <c r="GI245" s="124"/>
      <c r="GJ245" s="124"/>
      <c r="GK245" s="124"/>
      <c r="GL245" s="124"/>
      <c r="GM245" s="124"/>
      <c r="GN245" s="124"/>
      <c r="GO245" s="124"/>
      <c r="GP245" s="124"/>
      <c r="GQ245" s="124"/>
      <c r="GR245" s="124"/>
      <c r="GS245" s="124"/>
      <c r="GT245" s="124"/>
      <c r="GU245" s="124"/>
      <c r="GV245" s="124"/>
      <c r="GW245" s="124"/>
      <c r="GX245" s="124"/>
      <c r="GY245" s="124"/>
      <c r="GZ245" s="124"/>
      <c r="HA245" s="124"/>
      <c r="HB245" s="124"/>
      <c r="HC245" s="124"/>
      <c r="HD245" s="124"/>
      <c r="HE245" s="124"/>
      <c r="HF245" s="124"/>
      <c r="HG245" s="124"/>
      <c r="HH245" s="124"/>
      <c r="HI245" s="124"/>
      <c r="HJ245" s="124"/>
      <c r="HK245" s="124"/>
      <c r="HL245" s="124"/>
      <c r="HM245" s="124"/>
      <c r="HN245" s="124"/>
      <c r="HO245" s="124"/>
      <c r="HP245" s="124"/>
      <c r="HQ245" s="124"/>
    </row>
    <row r="246" spans="1:225" x14ac:dyDescent="0.2">
      <c r="A246" s="122" t="s">
        <v>877</v>
      </c>
      <c r="B246" s="123">
        <v>24</v>
      </c>
      <c r="C246" s="124" t="s">
        <v>405</v>
      </c>
      <c r="D246" s="123">
        <v>237</v>
      </c>
      <c r="E246" s="124" t="s">
        <v>361</v>
      </c>
      <c r="F246" s="123">
        <v>4</v>
      </c>
      <c r="G246" s="123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  <c r="BJ246" s="124"/>
      <c r="BK246" s="124"/>
      <c r="BL246" s="124"/>
      <c r="BM246" s="124"/>
      <c r="BN246" s="124"/>
      <c r="BO246" s="124"/>
      <c r="BP246" s="124"/>
      <c r="BQ246" s="124"/>
      <c r="BR246" s="124"/>
      <c r="BS246" s="124"/>
      <c r="BT246" s="124"/>
      <c r="BU246" s="124"/>
      <c r="BV246" s="124"/>
      <c r="BW246" s="124"/>
      <c r="BX246" s="124"/>
      <c r="BY246" s="124"/>
      <c r="BZ246" s="124"/>
      <c r="CA246" s="124"/>
      <c r="CB246" s="124"/>
      <c r="CC246" s="124"/>
      <c r="CD246" s="124"/>
      <c r="CE246" s="124"/>
      <c r="CF246" s="124"/>
      <c r="CG246" s="124"/>
      <c r="CH246" s="124"/>
      <c r="CI246" s="124"/>
      <c r="CJ246" s="124"/>
      <c r="CK246" s="124"/>
      <c r="CL246" s="124"/>
      <c r="CM246" s="124"/>
      <c r="CN246" s="124"/>
      <c r="CO246" s="124"/>
      <c r="CP246" s="124"/>
      <c r="CQ246" s="124"/>
      <c r="CR246" s="124"/>
      <c r="CS246" s="124"/>
      <c r="CT246" s="124"/>
      <c r="CU246" s="124"/>
      <c r="CV246" s="124"/>
      <c r="CW246" s="124"/>
      <c r="CX246" s="124"/>
      <c r="CY246" s="124"/>
      <c r="CZ246" s="124"/>
      <c r="DA246" s="124"/>
      <c r="DB246" s="124"/>
      <c r="DC246" s="124"/>
      <c r="DD246" s="124"/>
      <c r="DE246" s="124"/>
      <c r="DF246" s="124"/>
      <c r="DG246" s="124"/>
      <c r="DH246" s="124"/>
      <c r="DI246" s="124"/>
      <c r="DJ246" s="124"/>
      <c r="DK246" s="124"/>
      <c r="DL246" s="124"/>
      <c r="DM246" s="124"/>
      <c r="DN246" s="124"/>
      <c r="DO246" s="124"/>
      <c r="DP246" s="124"/>
      <c r="DQ246" s="124"/>
      <c r="DR246" s="124"/>
      <c r="DS246" s="124"/>
      <c r="DT246" s="124"/>
      <c r="DU246" s="124"/>
      <c r="DV246" s="124"/>
      <c r="DW246" s="124"/>
      <c r="DX246" s="124"/>
      <c r="DY246" s="124"/>
      <c r="DZ246" s="124"/>
      <c r="EA246" s="124"/>
      <c r="EB246" s="124"/>
      <c r="EC246" s="124"/>
      <c r="ED246" s="124"/>
      <c r="EE246" s="124"/>
      <c r="EF246" s="124"/>
      <c r="EG246" s="124"/>
      <c r="EH246" s="124"/>
      <c r="EI246" s="124"/>
      <c r="EJ246" s="124"/>
      <c r="EK246" s="124"/>
      <c r="EL246" s="124"/>
      <c r="EM246" s="124"/>
      <c r="EN246" s="124"/>
      <c r="EO246" s="124"/>
      <c r="EP246" s="124"/>
      <c r="EQ246" s="124"/>
      <c r="ER246" s="124"/>
      <c r="ES246" s="124"/>
      <c r="ET246" s="124"/>
      <c r="EU246" s="124"/>
      <c r="EV246" s="124"/>
      <c r="EW246" s="124"/>
      <c r="EX246" s="124"/>
      <c r="EY246" s="124"/>
      <c r="EZ246" s="124"/>
      <c r="FA246" s="124"/>
      <c r="FB246" s="124"/>
      <c r="FC246" s="124"/>
      <c r="FD246" s="124"/>
      <c r="FE246" s="124"/>
      <c r="FF246" s="124"/>
      <c r="FG246" s="124"/>
      <c r="FH246" s="124"/>
      <c r="FI246" s="124"/>
      <c r="FJ246" s="124"/>
      <c r="FK246" s="124"/>
      <c r="FL246" s="124"/>
      <c r="FM246" s="124"/>
      <c r="FN246" s="124"/>
      <c r="FO246" s="124"/>
      <c r="FP246" s="124"/>
      <c r="FQ246" s="124"/>
      <c r="FR246" s="124"/>
      <c r="FS246" s="124"/>
      <c r="FT246" s="124"/>
      <c r="FU246" s="124"/>
      <c r="FV246" s="124"/>
      <c r="FW246" s="124"/>
      <c r="FX246" s="124"/>
      <c r="FY246" s="124"/>
      <c r="FZ246" s="124"/>
      <c r="GA246" s="124"/>
      <c r="GB246" s="124"/>
      <c r="GC246" s="124"/>
      <c r="GD246" s="124"/>
      <c r="GE246" s="124"/>
      <c r="GF246" s="124"/>
      <c r="GG246" s="124"/>
      <c r="GH246" s="124"/>
      <c r="GI246" s="124"/>
      <c r="GJ246" s="124"/>
      <c r="GK246" s="124"/>
      <c r="GL246" s="124"/>
      <c r="GM246" s="124"/>
      <c r="GN246" s="124"/>
      <c r="GO246" s="124"/>
      <c r="GP246" s="124"/>
      <c r="GQ246" s="124"/>
      <c r="GR246" s="124"/>
      <c r="GS246" s="124"/>
      <c r="GT246" s="124"/>
      <c r="GU246" s="124"/>
      <c r="GV246" s="124"/>
      <c r="GW246" s="124"/>
      <c r="GX246" s="124"/>
      <c r="GY246" s="124"/>
      <c r="GZ246" s="124"/>
      <c r="HA246" s="124"/>
      <c r="HB246" s="124"/>
      <c r="HC246" s="124"/>
      <c r="HD246" s="124"/>
      <c r="HE246" s="124"/>
      <c r="HF246" s="124"/>
      <c r="HG246" s="124"/>
      <c r="HH246" s="124"/>
      <c r="HI246" s="124"/>
      <c r="HJ246" s="124"/>
      <c r="HK246" s="124"/>
      <c r="HL246" s="124"/>
      <c r="HM246" s="124"/>
      <c r="HN246" s="124"/>
      <c r="HO246" s="124"/>
      <c r="HP246" s="124"/>
      <c r="HQ246" s="124"/>
    </row>
    <row r="247" spans="1:225" x14ac:dyDescent="0.2">
      <c r="A247" s="122" t="s">
        <v>878</v>
      </c>
      <c r="B247" s="123">
        <v>24</v>
      </c>
      <c r="C247" s="124" t="s">
        <v>406</v>
      </c>
      <c r="D247" s="123">
        <v>238</v>
      </c>
      <c r="E247" s="124" t="s">
        <v>361</v>
      </c>
      <c r="F247" s="123">
        <v>2</v>
      </c>
      <c r="G247" s="123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  <c r="AV247" s="124"/>
      <c r="AW247" s="124"/>
      <c r="AX247" s="124"/>
      <c r="AY247" s="124"/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  <c r="BJ247" s="124"/>
      <c r="BK247" s="124"/>
      <c r="BL247" s="124"/>
      <c r="BM247" s="124"/>
      <c r="BN247" s="124"/>
      <c r="BO247" s="124"/>
      <c r="BP247" s="124"/>
      <c r="BQ247" s="124"/>
      <c r="BR247" s="124"/>
      <c r="BS247" s="124"/>
      <c r="BT247" s="124"/>
      <c r="BU247" s="124"/>
      <c r="BV247" s="124"/>
      <c r="BW247" s="124"/>
      <c r="BX247" s="124"/>
      <c r="BY247" s="124"/>
      <c r="BZ247" s="124"/>
      <c r="CA247" s="124"/>
      <c r="CB247" s="124"/>
      <c r="CC247" s="124"/>
      <c r="CD247" s="124"/>
      <c r="CE247" s="124"/>
      <c r="CF247" s="124"/>
      <c r="CG247" s="124"/>
      <c r="CH247" s="124"/>
      <c r="CI247" s="124"/>
      <c r="CJ247" s="124"/>
      <c r="CK247" s="124"/>
      <c r="CL247" s="124"/>
      <c r="CM247" s="124"/>
      <c r="CN247" s="124"/>
      <c r="CO247" s="124"/>
      <c r="CP247" s="124"/>
      <c r="CQ247" s="124"/>
      <c r="CR247" s="124"/>
      <c r="CS247" s="124"/>
      <c r="CT247" s="124"/>
      <c r="CU247" s="124"/>
      <c r="CV247" s="124"/>
      <c r="CW247" s="124"/>
      <c r="CX247" s="124"/>
      <c r="CY247" s="124"/>
      <c r="CZ247" s="124"/>
      <c r="DA247" s="124"/>
      <c r="DB247" s="124"/>
      <c r="DC247" s="124"/>
      <c r="DD247" s="124"/>
      <c r="DE247" s="124"/>
      <c r="DF247" s="124"/>
      <c r="DG247" s="124"/>
      <c r="DH247" s="124"/>
      <c r="DI247" s="124"/>
      <c r="DJ247" s="124"/>
      <c r="DK247" s="124"/>
      <c r="DL247" s="124"/>
      <c r="DM247" s="124"/>
      <c r="DN247" s="124"/>
      <c r="DO247" s="124"/>
      <c r="DP247" s="124"/>
      <c r="DQ247" s="124"/>
      <c r="DR247" s="124"/>
      <c r="DS247" s="124"/>
      <c r="DT247" s="124"/>
      <c r="DU247" s="124"/>
      <c r="DV247" s="124"/>
      <c r="DW247" s="124"/>
      <c r="DX247" s="124"/>
      <c r="DY247" s="124"/>
      <c r="DZ247" s="124"/>
      <c r="EA247" s="124"/>
      <c r="EB247" s="124"/>
      <c r="EC247" s="124"/>
      <c r="ED247" s="124"/>
      <c r="EE247" s="124"/>
      <c r="EF247" s="124"/>
      <c r="EG247" s="124"/>
      <c r="EH247" s="124"/>
      <c r="EI247" s="124"/>
      <c r="EJ247" s="124"/>
      <c r="EK247" s="124"/>
      <c r="EL247" s="124"/>
      <c r="EM247" s="124"/>
      <c r="EN247" s="124"/>
      <c r="EO247" s="124"/>
      <c r="EP247" s="124"/>
      <c r="EQ247" s="124"/>
      <c r="ER247" s="124"/>
      <c r="ES247" s="124"/>
      <c r="ET247" s="124"/>
      <c r="EU247" s="124"/>
      <c r="EV247" s="124"/>
      <c r="EW247" s="124"/>
      <c r="EX247" s="124"/>
      <c r="EY247" s="124"/>
      <c r="EZ247" s="124"/>
      <c r="FA247" s="124"/>
      <c r="FB247" s="124"/>
      <c r="FC247" s="124"/>
      <c r="FD247" s="124"/>
      <c r="FE247" s="124"/>
      <c r="FF247" s="124"/>
      <c r="FG247" s="124"/>
      <c r="FH247" s="124"/>
      <c r="FI247" s="124"/>
      <c r="FJ247" s="124"/>
      <c r="FK247" s="124"/>
      <c r="FL247" s="124"/>
      <c r="FM247" s="124"/>
      <c r="FN247" s="124"/>
      <c r="FO247" s="124"/>
      <c r="FP247" s="124"/>
      <c r="FQ247" s="124"/>
      <c r="FR247" s="124"/>
      <c r="FS247" s="124"/>
      <c r="FT247" s="124"/>
      <c r="FU247" s="124"/>
      <c r="FV247" s="124"/>
      <c r="FW247" s="124"/>
      <c r="FX247" s="124"/>
      <c r="FY247" s="124"/>
      <c r="FZ247" s="124"/>
      <c r="GA247" s="124"/>
      <c r="GB247" s="124"/>
      <c r="GC247" s="124"/>
      <c r="GD247" s="124"/>
      <c r="GE247" s="124"/>
      <c r="GF247" s="124"/>
      <c r="GG247" s="124"/>
      <c r="GH247" s="124"/>
      <c r="GI247" s="124"/>
      <c r="GJ247" s="124"/>
      <c r="GK247" s="124"/>
      <c r="GL247" s="124"/>
      <c r="GM247" s="124"/>
      <c r="GN247" s="124"/>
      <c r="GO247" s="124"/>
      <c r="GP247" s="124"/>
      <c r="GQ247" s="124"/>
      <c r="GR247" s="124"/>
      <c r="GS247" s="124"/>
      <c r="GT247" s="124"/>
      <c r="GU247" s="124"/>
      <c r="GV247" s="124"/>
      <c r="GW247" s="124"/>
      <c r="GX247" s="124"/>
      <c r="GY247" s="124"/>
      <c r="GZ247" s="124"/>
      <c r="HA247" s="124"/>
      <c r="HB247" s="124"/>
      <c r="HC247" s="124"/>
      <c r="HD247" s="124"/>
      <c r="HE247" s="124"/>
      <c r="HF247" s="124"/>
      <c r="HG247" s="124"/>
      <c r="HH247" s="124"/>
      <c r="HI247" s="124"/>
      <c r="HJ247" s="124"/>
      <c r="HK247" s="124"/>
      <c r="HL247" s="124"/>
      <c r="HM247" s="124"/>
      <c r="HN247" s="124"/>
      <c r="HO247" s="124"/>
      <c r="HP247" s="124"/>
      <c r="HQ247" s="124"/>
    </row>
    <row r="248" spans="1:225" x14ac:dyDescent="0.2">
      <c r="A248" s="122" t="s">
        <v>879</v>
      </c>
      <c r="B248" s="123">
        <v>25</v>
      </c>
      <c r="C248" s="124" t="s">
        <v>407</v>
      </c>
      <c r="D248" s="123">
        <v>239</v>
      </c>
      <c r="E248" s="124" t="s">
        <v>361</v>
      </c>
      <c r="F248" s="123">
        <v>4</v>
      </c>
      <c r="G248" s="123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  <c r="BJ248" s="124"/>
      <c r="BK248" s="124"/>
      <c r="BL248" s="124"/>
      <c r="BM248" s="124"/>
      <c r="BN248" s="124"/>
      <c r="BO248" s="124"/>
      <c r="BP248" s="124"/>
      <c r="BQ248" s="124"/>
      <c r="BR248" s="124"/>
      <c r="BS248" s="124"/>
      <c r="BT248" s="124"/>
      <c r="BU248" s="124"/>
      <c r="BV248" s="124"/>
      <c r="BW248" s="124"/>
      <c r="BX248" s="124"/>
      <c r="BY248" s="124"/>
      <c r="BZ248" s="124"/>
      <c r="CA248" s="124"/>
      <c r="CB248" s="124"/>
      <c r="CC248" s="124"/>
      <c r="CD248" s="124"/>
      <c r="CE248" s="124"/>
      <c r="CF248" s="124"/>
      <c r="CG248" s="124"/>
      <c r="CH248" s="124"/>
      <c r="CI248" s="124"/>
      <c r="CJ248" s="124"/>
      <c r="CK248" s="124"/>
      <c r="CL248" s="124"/>
      <c r="CM248" s="124"/>
      <c r="CN248" s="124"/>
      <c r="CO248" s="124"/>
      <c r="CP248" s="124"/>
      <c r="CQ248" s="124"/>
      <c r="CR248" s="124"/>
      <c r="CS248" s="124"/>
      <c r="CT248" s="124"/>
      <c r="CU248" s="124"/>
      <c r="CV248" s="124"/>
      <c r="CW248" s="124"/>
      <c r="CX248" s="124"/>
      <c r="CY248" s="124"/>
      <c r="CZ248" s="124"/>
      <c r="DA248" s="124"/>
      <c r="DB248" s="124"/>
      <c r="DC248" s="124"/>
      <c r="DD248" s="124"/>
      <c r="DE248" s="124"/>
      <c r="DF248" s="124"/>
      <c r="DG248" s="124"/>
      <c r="DH248" s="124"/>
      <c r="DI248" s="124"/>
      <c r="DJ248" s="124"/>
      <c r="DK248" s="124"/>
      <c r="DL248" s="124"/>
      <c r="DM248" s="124"/>
      <c r="DN248" s="124"/>
      <c r="DO248" s="124"/>
      <c r="DP248" s="124"/>
      <c r="DQ248" s="124"/>
      <c r="DR248" s="124"/>
      <c r="DS248" s="124"/>
      <c r="DT248" s="124"/>
      <c r="DU248" s="124"/>
      <c r="DV248" s="124"/>
      <c r="DW248" s="124"/>
      <c r="DX248" s="124"/>
      <c r="DY248" s="124"/>
      <c r="DZ248" s="124"/>
      <c r="EA248" s="124"/>
      <c r="EB248" s="124"/>
      <c r="EC248" s="124"/>
      <c r="ED248" s="124"/>
      <c r="EE248" s="124"/>
      <c r="EF248" s="124"/>
      <c r="EG248" s="124"/>
      <c r="EH248" s="124"/>
      <c r="EI248" s="124"/>
      <c r="EJ248" s="124"/>
      <c r="EK248" s="124"/>
      <c r="EL248" s="124"/>
      <c r="EM248" s="124"/>
      <c r="EN248" s="124"/>
      <c r="EO248" s="124"/>
      <c r="EP248" s="124"/>
      <c r="EQ248" s="124"/>
      <c r="ER248" s="124"/>
      <c r="ES248" s="124"/>
      <c r="ET248" s="124"/>
      <c r="EU248" s="124"/>
      <c r="EV248" s="124"/>
      <c r="EW248" s="124"/>
      <c r="EX248" s="124"/>
      <c r="EY248" s="124"/>
      <c r="EZ248" s="124"/>
      <c r="FA248" s="124"/>
      <c r="FB248" s="124"/>
      <c r="FC248" s="124"/>
      <c r="FD248" s="124"/>
      <c r="FE248" s="124"/>
      <c r="FF248" s="124"/>
      <c r="FG248" s="124"/>
      <c r="FH248" s="124"/>
      <c r="FI248" s="124"/>
      <c r="FJ248" s="124"/>
      <c r="FK248" s="124"/>
      <c r="FL248" s="124"/>
      <c r="FM248" s="124"/>
      <c r="FN248" s="124"/>
      <c r="FO248" s="124"/>
      <c r="FP248" s="124"/>
      <c r="FQ248" s="124"/>
      <c r="FR248" s="124"/>
      <c r="FS248" s="124"/>
      <c r="FT248" s="124"/>
      <c r="FU248" s="124"/>
      <c r="FV248" s="124"/>
      <c r="FW248" s="124"/>
      <c r="FX248" s="124"/>
      <c r="FY248" s="124"/>
      <c r="FZ248" s="124"/>
      <c r="GA248" s="124"/>
      <c r="GB248" s="124"/>
      <c r="GC248" s="124"/>
      <c r="GD248" s="124"/>
      <c r="GE248" s="124"/>
      <c r="GF248" s="124"/>
      <c r="GG248" s="124"/>
      <c r="GH248" s="124"/>
      <c r="GI248" s="124"/>
      <c r="GJ248" s="124"/>
      <c r="GK248" s="124"/>
      <c r="GL248" s="124"/>
      <c r="GM248" s="124"/>
      <c r="GN248" s="124"/>
      <c r="GO248" s="124"/>
      <c r="GP248" s="124"/>
      <c r="GQ248" s="124"/>
      <c r="GR248" s="124"/>
      <c r="GS248" s="124"/>
      <c r="GT248" s="124"/>
      <c r="GU248" s="124"/>
      <c r="GV248" s="124"/>
      <c r="GW248" s="124"/>
      <c r="GX248" s="124"/>
      <c r="GY248" s="124"/>
      <c r="GZ248" s="124"/>
      <c r="HA248" s="124"/>
      <c r="HB248" s="124"/>
      <c r="HC248" s="124"/>
      <c r="HD248" s="124"/>
      <c r="HE248" s="124"/>
      <c r="HF248" s="124"/>
      <c r="HG248" s="124"/>
      <c r="HH248" s="124"/>
      <c r="HI248" s="124"/>
      <c r="HJ248" s="124"/>
      <c r="HK248" s="124"/>
      <c r="HL248" s="124"/>
      <c r="HM248" s="124"/>
      <c r="HN248" s="124"/>
      <c r="HO248" s="124"/>
      <c r="HP248" s="124"/>
      <c r="HQ248" s="124"/>
    </row>
    <row r="249" spans="1:225" x14ac:dyDescent="0.2">
      <c r="A249" s="122" t="s">
        <v>880</v>
      </c>
      <c r="B249" s="123">
        <v>25</v>
      </c>
      <c r="C249" s="124" t="s">
        <v>408</v>
      </c>
      <c r="D249" s="123">
        <v>240</v>
      </c>
      <c r="E249" s="124" t="s">
        <v>361</v>
      </c>
      <c r="F249" s="123">
        <v>4</v>
      </c>
      <c r="G249" s="123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  <c r="AV249" s="124"/>
      <c r="AW249" s="124"/>
      <c r="AX249" s="124"/>
      <c r="AY249" s="124"/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  <c r="BJ249" s="124"/>
      <c r="BK249" s="124"/>
      <c r="BL249" s="124"/>
      <c r="BM249" s="124"/>
      <c r="BN249" s="124"/>
      <c r="BO249" s="124"/>
      <c r="BP249" s="124"/>
      <c r="BQ249" s="124"/>
      <c r="BR249" s="124"/>
      <c r="BS249" s="124"/>
      <c r="BT249" s="124"/>
      <c r="BU249" s="124"/>
      <c r="BV249" s="124"/>
      <c r="BW249" s="124"/>
      <c r="BX249" s="124"/>
      <c r="BY249" s="124"/>
      <c r="BZ249" s="124"/>
      <c r="CA249" s="124"/>
      <c r="CB249" s="124"/>
      <c r="CC249" s="124"/>
      <c r="CD249" s="124"/>
      <c r="CE249" s="124"/>
      <c r="CF249" s="124"/>
      <c r="CG249" s="124"/>
      <c r="CH249" s="124"/>
      <c r="CI249" s="124"/>
      <c r="CJ249" s="124"/>
      <c r="CK249" s="124"/>
      <c r="CL249" s="124"/>
      <c r="CM249" s="124"/>
      <c r="CN249" s="124"/>
      <c r="CO249" s="124"/>
      <c r="CP249" s="124"/>
      <c r="CQ249" s="124"/>
      <c r="CR249" s="124"/>
      <c r="CS249" s="124"/>
      <c r="CT249" s="124"/>
      <c r="CU249" s="124"/>
      <c r="CV249" s="124"/>
      <c r="CW249" s="124"/>
      <c r="CX249" s="124"/>
      <c r="CY249" s="124"/>
      <c r="CZ249" s="124"/>
      <c r="DA249" s="124"/>
      <c r="DB249" s="124"/>
      <c r="DC249" s="124"/>
      <c r="DD249" s="124"/>
      <c r="DE249" s="124"/>
      <c r="DF249" s="124"/>
      <c r="DG249" s="124"/>
      <c r="DH249" s="124"/>
      <c r="DI249" s="124"/>
      <c r="DJ249" s="124"/>
      <c r="DK249" s="124"/>
      <c r="DL249" s="124"/>
      <c r="DM249" s="124"/>
      <c r="DN249" s="124"/>
      <c r="DO249" s="124"/>
      <c r="DP249" s="124"/>
      <c r="DQ249" s="124"/>
      <c r="DR249" s="124"/>
      <c r="DS249" s="124"/>
      <c r="DT249" s="124"/>
      <c r="DU249" s="124"/>
      <c r="DV249" s="124"/>
      <c r="DW249" s="124"/>
      <c r="DX249" s="124"/>
      <c r="DY249" s="124"/>
      <c r="DZ249" s="124"/>
      <c r="EA249" s="124"/>
      <c r="EB249" s="124"/>
      <c r="EC249" s="124"/>
      <c r="ED249" s="124"/>
      <c r="EE249" s="124"/>
      <c r="EF249" s="124"/>
      <c r="EG249" s="124"/>
      <c r="EH249" s="124"/>
      <c r="EI249" s="124"/>
      <c r="EJ249" s="124"/>
      <c r="EK249" s="124"/>
      <c r="EL249" s="124"/>
      <c r="EM249" s="124"/>
      <c r="EN249" s="124"/>
      <c r="EO249" s="124"/>
      <c r="EP249" s="124"/>
      <c r="EQ249" s="124"/>
      <c r="ER249" s="124"/>
      <c r="ES249" s="124"/>
      <c r="ET249" s="124"/>
      <c r="EU249" s="124"/>
      <c r="EV249" s="124"/>
      <c r="EW249" s="124"/>
      <c r="EX249" s="124"/>
      <c r="EY249" s="124"/>
      <c r="EZ249" s="124"/>
      <c r="FA249" s="124"/>
      <c r="FB249" s="124"/>
      <c r="FC249" s="124"/>
      <c r="FD249" s="124"/>
      <c r="FE249" s="124"/>
      <c r="FF249" s="124"/>
      <c r="FG249" s="124"/>
      <c r="FH249" s="124"/>
      <c r="FI249" s="124"/>
      <c r="FJ249" s="124"/>
      <c r="FK249" s="124"/>
      <c r="FL249" s="124"/>
      <c r="FM249" s="124"/>
      <c r="FN249" s="124"/>
      <c r="FO249" s="124"/>
      <c r="FP249" s="124"/>
      <c r="FQ249" s="124"/>
      <c r="FR249" s="124"/>
      <c r="FS249" s="124"/>
      <c r="FT249" s="124"/>
      <c r="FU249" s="124"/>
      <c r="FV249" s="124"/>
      <c r="FW249" s="124"/>
      <c r="FX249" s="124"/>
      <c r="FY249" s="124"/>
      <c r="FZ249" s="124"/>
      <c r="GA249" s="124"/>
      <c r="GB249" s="124"/>
      <c r="GC249" s="124"/>
      <c r="GD249" s="124"/>
      <c r="GE249" s="124"/>
      <c r="GF249" s="124"/>
      <c r="GG249" s="124"/>
      <c r="GH249" s="124"/>
      <c r="GI249" s="124"/>
      <c r="GJ249" s="124"/>
      <c r="GK249" s="124"/>
      <c r="GL249" s="124"/>
      <c r="GM249" s="124"/>
      <c r="GN249" s="124"/>
      <c r="GO249" s="124"/>
      <c r="GP249" s="124"/>
      <c r="GQ249" s="124"/>
      <c r="GR249" s="124"/>
      <c r="GS249" s="124"/>
      <c r="GT249" s="124"/>
      <c r="GU249" s="124"/>
      <c r="GV249" s="124"/>
      <c r="GW249" s="124"/>
      <c r="GX249" s="124"/>
      <c r="GY249" s="124"/>
      <c r="GZ249" s="124"/>
      <c r="HA249" s="124"/>
      <c r="HB249" s="124"/>
      <c r="HC249" s="124"/>
      <c r="HD249" s="124"/>
      <c r="HE249" s="124"/>
      <c r="HF249" s="124"/>
      <c r="HG249" s="124"/>
      <c r="HH249" s="124"/>
      <c r="HI249" s="124"/>
      <c r="HJ249" s="124"/>
      <c r="HK249" s="124"/>
      <c r="HL249" s="124"/>
      <c r="HM249" s="124"/>
      <c r="HN249" s="124"/>
      <c r="HO249" s="124"/>
      <c r="HP249" s="124"/>
      <c r="HQ249" s="124"/>
    </row>
    <row r="250" spans="1:225" x14ac:dyDescent="0.2">
      <c r="A250" s="122" t="s">
        <v>881</v>
      </c>
      <c r="B250" s="123">
        <v>26</v>
      </c>
      <c r="C250" s="124" t="s">
        <v>409</v>
      </c>
      <c r="D250" s="123">
        <v>241</v>
      </c>
      <c r="E250" s="124" t="s">
        <v>361</v>
      </c>
      <c r="F250" s="123">
        <v>3</v>
      </c>
      <c r="G250" s="123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  <c r="BJ250" s="124"/>
      <c r="BK250" s="124"/>
      <c r="BL250" s="124"/>
      <c r="BM250" s="124"/>
      <c r="BN250" s="124"/>
      <c r="BO250" s="124"/>
      <c r="BP250" s="124"/>
      <c r="BQ250" s="124"/>
      <c r="BR250" s="124"/>
      <c r="BS250" s="124"/>
      <c r="BT250" s="124"/>
      <c r="BU250" s="124"/>
      <c r="BV250" s="124"/>
      <c r="BW250" s="124"/>
      <c r="BX250" s="124"/>
      <c r="BY250" s="124"/>
      <c r="BZ250" s="124"/>
      <c r="CA250" s="124"/>
      <c r="CB250" s="124"/>
      <c r="CC250" s="124"/>
      <c r="CD250" s="124"/>
      <c r="CE250" s="124"/>
      <c r="CF250" s="124"/>
      <c r="CG250" s="124"/>
      <c r="CH250" s="124"/>
      <c r="CI250" s="124"/>
      <c r="CJ250" s="124"/>
      <c r="CK250" s="124"/>
      <c r="CL250" s="124"/>
      <c r="CM250" s="124"/>
      <c r="CN250" s="124"/>
      <c r="CO250" s="124"/>
      <c r="CP250" s="124"/>
      <c r="CQ250" s="124"/>
      <c r="CR250" s="124"/>
      <c r="CS250" s="124"/>
      <c r="CT250" s="124"/>
      <c r="CU250" s="124"/>
      <c r="CV250" s="124"/>
      <c r="CW250" s="124"/>
      <c r="CX250" s="124"/>
      <c r="CY250" s="124"/>
      <c r="CZ250" s="124"/>
      <c r="DA250" s="124"/>
      <c r="DB250" s="124"/>
      <c r="DC250" s="124"/>
      <c r="DD250" s="124"/>
      <c r="DE250" s="124"/>
      <c r="DF250" s="124"/>
      <c r="DG250" s="124"/>
      <c r="DH250" s="124"/>
      <c r="DI250" s="124"/>
      <c r="DJ250" s="124"/>
      <c r="DK250" s="124"/>
      <c r="DL250" s="124"/>
      <c r="DM250" s="124"/>
      <c r="DN250" s="124"/>
      <c r="DO250" s="124"/>
      <c r="DP250" s="124"/>
      <c r="DQ250" s="124"/>
      <c r="DR250" s="124"/>
      <c r="DS250" s="124"/>
      <c r="DT250" s="124"/>
      <c r="DU250" s="124"/>
      <c r="DV250" s="124"/>
      <c r="DW250" s="124"/>
      <c r="DX250" s="124"/>
      <c r="DY250" s="124"/>
      <c r="DZ250" s="124"/>
      <c r="EA250" s="124"/>
      <c r="EB250" s="124"/>
      <c r="EC250" s="124"/>
      <c r="ED250" s="124"/>
      <c r="EE250" s="124"/>
      <c r="EF250" s="124"/>
      <c r="EG250" s="124"/>
      <c r="EH250" s="124"/>
      <c r="EI250" s="124"/>
      <c r="EJ250" s="124"/>
      <c r="EK250" s="124"/>
      <c r="EL250" s="124"/>
      <c r="EM250" s="124"/>
      <c r="EN250" s="124"/>
      <c r="EO250" s="124"/>
      <c r="EP250" s="124"/>
      <c r="EQ250" s="124"/>
      <c r="ER250" s="124"/>
      <c r="ES250" s="124"/>
      <c r="ET250" s="124"/>
      <c r="EU250" s="124"/>
      <c r="EV250" s="124"/>
      <c r="EW250" s="124"/>
      <c r="EX250" s="124"/>
      <c r="EY250" s="124"/>
      <c r="EZ250" s="124"/>
      <c r="FA250" s="124"/>
      <c r="FB250" s="124"/>
      <c r="FC250" s="124"/>
      <c r="FD250" s="124"/>
      <c r="FE250" s="124"/>
      <c r="FF250" s="124"/>
      <c r="FG250" s="124"/>
      <c r="FH250" s="124"/>
      <c r="FI250" s="124"/>
      <c r="FJ250" s="124"/>
      <c r="FK250" s="124"/>
      <c r="FL250" s="124"/>
      <c r="FM250" s="124"/>
      <c r="FN250" s="124"/>
      <c r="FO250" s="124"/>
      <c r="FP250" s="124"/>
      <c r="FQ250" s="124"/>
      <c r="FR250" s="124"/>
      <c r="FS250" s="124"/>
      <c r="FT250" s="124"/>
      <c r="FU250" s="124"/>
      <c r="FV250" s="124"/>
      <c r="FW250" s="124"/>
      <c r="FX250" s="124"/>
      <c r="FY250" s="124"/>
      <c r="FZ250" s="124"/>
      <c r="GA250" s="124"/>
      <c r="GB250" s="124"/>
      <c r="GC250" s="124"/>
      <c r="GD250" s="124"/>
      <c r="GE250" s="124"/>
      <c r="GF250" s="124"/>
      <c r="GG250" s="124"/>
      <c r="GH250" s="124"/>
      <c r="GI250" s="124"/>
      <c r="GJ250" s="124"/>
      <c r="GK250" s="124"/>
      <c r="GL250" s="124"/>
      <c r="GM250" s="124"/>
      <c r="GN250" s="124"/>
      <c r="GO250" s="124"/>
      <c r="GP250" s="124"/>
      <c r="GQ250" s="124"/>
      <c r="GR250" s="124"/>
      <c r="GS250" s="124"/>
      <c r="GT250" s="124"/>
      <c r="GU250" s="124"/>
      <c r="GV250" s="124"/>
      <c r="GW250" s="124"/>
      <c r="GX250" s="124"/>
      <c r="GY250" s="124"/>
      <c r="GZ250" s="124"/>
      <c r="HA250" s="124"/>
      <c r="HB250" s="124"/>
      <c r="HC250" s="124"/>
      <c r="HD250" s="124"/>
      <c r="HE250" s="124"/>
      <c r="HF250" s="124"/>
      <c r="HG250" s="124"/>
      <c r="HH250" s="124"/>
      <c r="HI250" s="124"/>
      <c r="HJ250" s="124"/>
      <c r="HK250" s="124"/>
      <c r="HL250" s="124"/>
      <c r="HM250" s="124"/>
      <c r="HN250" s="124"/>
      <c r="HO250" s="124"/>
      <c r="HP250" s="124"/>
      <c r="HQ250" s="124"/>
    </row>
    <row r="251" spans="1:225" x14ac:dyDescent="0.2">
      <c r="A251" s="122" t="s">
        <v>882</v>
      </c>
      <c r="B251" s="123">
        <v>26</v>
      </c>
      <c r="C251" s="124" t="s">
        <v>410</v>
      </c>
      <c r="D251" s="123">
        <v>242</v>
      </c>
      <c r="E251" s="124" t="s">
        <v>361</v>
      </c>
      <c r="F251" s="123">
        <v>2</v>
      </c>
      <c r="G251" s="123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  <c r="BJ251" s="124"/>
      <c r="BK251" s="124"/>
      <c r="BL251" s="124"/>
      <c r="BM251" s="124"/>
      <c r="BN251" s="124"/>
      <c r="BO251" s="124"/>
      <c r="BP251" s="124"/>
      <c r="BQ251" s="124"/>
      <c r="BR251" s="124"/>
      <c r="BS251" s="124"/>
      <c r="BT251" s="124"/>
      <c r="BU251" s="124"/>
      <c r="BV251" s="124"/>
      <c r="BW251" s="124"/>
      <c r="BX251" s="124"/>
      <c r="BY251" s="124"/>
      <c r="BZ251" s="124"/>
      <c r="CA251" s="124"/>
      <c r="CB251" s="124"/>
      <c r="CC251" s="124"/>
      <c r="CD251" s="124"/>
      <c r="CE251" s="124"/>
      <c r="CF251" s="124"/>
      <c r="CG251" s="124"/>
      <c r="CH251" s="124"/>
      <c r="CI251" s="124"/>
      <c r="CJ251" s="124"/>
      <c r="CK251" s="124"/>
      <c r="CL251" s="124"/>
      <c r="CM251" s="124"/>
      <c r="CN251" s="124"/>
      <c r="CO251" s="124"/>
      <c r="CP251" s="124"/>
      <c r="CQ251" s="124"/>
      <c r="CR251" s="124"/>
      <c r="CS251" s="124"/>
      <c r="CT251" s="124"/>
      <c r="CU251" s="124"/>
      <c r="CV251" s="124"/>
      <c r="CW251" s="124"/>
      <c r="CX251" s="124"/>
      <c r="CY251" s="124"/>
      <c r="CZ251" s="124"/>
      <c r="DA251" s="124"/>
      <c r="DB251" s="124"/>
      <c r="DC251" s="124"/>
      <c r="DD251" s="124"/>
      <c r="DE251" s="124"/>
      <c r="DF251" s="124"/>
      <c r="DG251" s="124"/>
      <c r="DH251" s="124"/>
      <c r="DI251" s="124"/>
      <c r="DJ251" s="124"/>
      <c r="DK251" s="124"/>
      <c r="DL251" s="124"/>
      <c r="DM251" s="124"/>
      <c r="DN251" s="124"/>
      <c r="DO251" s="124"/>
      <c r="DP251" s="124"/>
      <c r="DQ251" s="124"/>
      <c r="DR251" s="124"/>
      <c r="DS251" s="124"/>
      <c r="DT251" s="124"/>
      <c r="DU251" s="124"/>
      <c r="DV251" s="124"/>
      <c r="DW251" s="124"/>
      <c r="DX251" s="124"/>
      <c r="DY251" s="124"/>
      <c r="DZ251" s="124"/>
      <c r="EA251" s="124"/>
      <c r="EB251" s="124"/>
      <c r="EC251" s="124"/>
      <c r="ED251" s="124"/>
      <c r="EE251" s="124"/>
      <c r="EF251" s="124"/>
      <c r="EG251" s="124"/>
      <c r="EH251" s="124"/>
      <c r="EI251" s="124"/>
      <c r="EJ251" s="124"/>
      <c r="EK251" s="124"/>
      <c r="EL251" s="124"/>
      <c r="EM251" s="124"/>
      <c r="EN251" s="124"/>
      <c r="EO251" s="124"/>
      <c r="EP251" s="124"/>
      <c r="EQ251" s="124"/>
      <c r="ER251" s="124"/>
      <c r="ES251" s="124"/>
      <c r="ET251" s="124"/>
      <c r="EU251" s="124"/>
      <c r="EV251" s="124"/>
      <c r="EW251" s="124"/>
      <c r="EX251" s="124"/>
      <c r="EY251" s="124"/>
      <c r="EZ251" s="124"/>
      <c r="FA251" s="124"/>
      <c r="FB251" s="124"/>
      <c r="FC251" s="124"/>
      <c r="FD251" s="124"/>
      <c r="FE251" s="124"/>
      <c r="FF251" s="124"/>
      <c r="FG251" s="124"/>
      <c r="FH251" s="124"/>
      <c r="FI251" s="124"/>
      <c r="FJ251" s="124"/>
      <c r="FK251" s="124"/>
      <c r="FL251" s="124"/>
      <c r="FM251" s="124"/>
      <c r="FN251" s="124"/>
      <c r="FO251" s="124"/>
      <c r="FP251" s="124"/>
      <c r="FQ251" s="124"/>
      <c r="FR251" s="124"/>
      <c r="FS251" s="124"/>
      <c r="FT251" s="124"/>
      <c r="FU251" s="124"/>
      <c r="FV251" s="124"/>
      <c r="FW251" s="124"/>
      <c r="FX251" s="124"/>
      <c r="FY251" s="124"/>
      <c r="FZ251" s="124"/>
      <c r="GA251" s="124"/>
      <c r="GB251" s="124"/>
      <c r="GC251" s="124"/>
      <c r="GD251" s="124"/>
      <c r="GE251" s="124"/>
      <c r="GF251" s="124"/>
      <c r="GG251" s="124"/>
      <c r="GH251" s="124"/>
      <c r="GI251" s="124"/>
      <c r="GJ251" s="124"/>
      <c r="GK251" s="124"/>
      <c r="GL251" s="124"/>
      <c r="GM251" s="124"/>
      <c r="GN251" s="124"/>
      <c r="GO251" s="124"/>
      <c r="GP251" s="124"/>
      <c r="GQ251" s="124"/>
      <c r="GR251" s="124"/>
      <c r="GS251" s="124"/>
      <c r="GT251" s="124"/>
      <c r="GU251" s="124"/>
      <c r="GV251" s="124"/>
      <c r="GW251" s="124"/>
      <c r="GX251" s="124"/>
      <c r="GY251" s="124"/>
      <c r="GZ251" s="124"/>
      <c r="HA251" s="124"/>
      <c r="HB251" s="124"/>
      <c r="HC251" s="124"/>
      <c r="HD251" s="124"/>
      <c r="HE251" s="124"/>
      <c r="HF251" s="124"/>
      <c r="HG251" s="124"/>
      <c r="HH251" s="124"/>
      <c r="HI251" s="124"/>
      <c r="HJ251" s="124"/>
      <c r="HK251" s="124"/>
      <c r="HL251" s="124"/>
      <c r="HM251" s="124"/>
      <c r="HN251" s="124"/>
      <c r="HO251" s="124"/>
      <c r="HP251" s="124"/>
      <c r="HQ251" s="124"/>
    </row>
    <row r="252" spans="1:225" x14ac:dyDescent="0.2">
      <c r="A252" s="122" t="s">
        <v>883</v>
      </c>
      <c r="B252" s="123">
        <v>27</v>
      </c>
      <c r="C252" s="124" t="s">
        <v>411</v>
      </c>
      <c r="D252" s="123">
        <v>243</v>
      </c>
      <c r="E252" s="124" t="s">
        <v>361</v>
      </c>
      <c r="F252" s="123">
        <v>4</v>
      </c>
      <c r="G252" s="123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  <c r="BJ252" s="124"/>
      <c r="BK252" s="124"/>
      <c r="BL252" s="124"/>
      <c r="BM252" s="124"/>
      <c r="BN252" s="124"/>
      <c r="BO252" s="124"/>
      <c r="BP252" s="124"/>
      <c r="BQ252" s="124"/>
      <c r="BR252" s="124"/>
      <c r="BS252" s="124"/>
      <c r="BT252" s="124"/>
      <c r="BU252" s="124"/>
      <c r="BV252" s="124"/>
      <c r="BW252" s="124"/>
      <c r="BX252" s="124"/>
      <c r="BY252" s="124"/>
      <c r="BZ252" s="124"/>
      <c r="CA252" s="124"/>
      <c r="CB252" s="124"/>
      <c r="CC252" s="124"/>
      <c r="CD252" s="124"/>
      <c r="CE252" s="124"/>
      <c r="CF252" s="124"/>
      <c r="CG252" s="124"/>
      <c r="CH252" s="124"/>
      <c r="CI252" s="124"/>
      <c r="CJ252" s="124"/>
      <c r="CK252" s="124"/>
      <c r="CL252" s="124"/>
      <c r="CM252" s="124"/>
      <c r="CN252" s="124"/>
      <c r="CO252" s="124"/>
      <c r="CP252" s="124"/>
      <c r="CQ252" s="124"/>
      <c r="CR252" s="124"/>
      <c r="CS252" s="124"/>
      <c r="CT252" s="124"/>
      <c r="CU252" s="124"/>
      <c r="CV252" s="124"/>
      <c r="CW252" s="124"/>
      <c r="CX252" s="124"/>
      <c r="CY252" s="124"/>
      <c r="CZ252" s="124"/>
      <c r="DA252" s="124"/>
      <c r="DB252" s="124"/>
      <c r="DC252" s="124"/>
      <c r="DD252" s="124"/>
      <c r="DE252" s="124"/>
      <c r="DF252" s="124"/>
      <c r="DG252" s="124"/>
      <c r="DH252" s="124"/>
      <c r="DI252" s="124"/>
      <c r="DJ252" s="124"/>
      <c r="DK252" s="124"/>
      <c r="DL252" s="124"/>
      <c r="DM252" s="124"/>
      <c r="DN252" s="124"/>
      <c r="DO252" s="124"/>
      <c r="DP252" s="124"/>
      <c r="DQ252" s="124"/>
      <c r="DR252" s="124"/>
      <c r="DS252" s="124"/>
      <c r="DT252" s="124"/>
      <c r="DU252" s="124"/>
      <c r="DV252" s="124"/>
      <c r="DW252" s="124"/>
      <c r="DX252" s="124"/>
      <c r="DY252" s="124"/>
      <c r="DZ252" s="124"/>
      <c r="EA252" s="124"/>
      <c r="EB252" s="124"/>
      <c r="EC252" s="124"/>
      <c r="ED252" s="124"/>
      <c r="EE252" s="124"/>
      <c r="EF252" s="124"/>
      <c r="EG252" s="124"/>
      <c r="EH252" s="124"/>
      <c r="EI252" s="124"/>
      <c r="EJ252" s="124"/>
      <c r="EK252" s="124"/>
      <c r="EL252" s="124"/>
      <c r="EM252" s="124"/>
      <c r="EN252" s="124"/>
      <c r="EO252" s="124"/>
      <c r="EP252" s="124"/>
      <c r="EQ252" s="124"/>
      <c r="ER252" s="124"/>
      <c r="ES252" s="124"/>
      <c r="ET252" s="124"/>
      <c r="EU252" s="124"/>
      <c r="EV252" s="124"/>
      <c r="EW252" s="124"/>
      <c r="EX252" s="124"/>
      <c r="EY252" s="124"/>
      <c r="EZ252" s="124"/>
      <c r="FA252" s="124"/>
      <c r="FB252" s="124"/>
      <c r="FC252" s="124"/>
      <c r="FD252" s="124"/>
      <c r="FE252" s="124"/>
      <c r="FF252" s="124"/>
      <c r="FG252" s="124"/>
      <c r="FH252" s="124"/>
      <c r="FI252" s="124"/>
      <c r="FJ252" s="124"/>
      <c r="FK252" s="124"/>
      <c r="FL252" s="124"/>
      <c r="FM252" s="124"/>
      <c r="FN252" s="124"/>
      <c r="FO252" s="124"/>
      <c r="FP252" s="124"/>
      <c r="FQ252" s="124"/>
      <c r="FR252" s="124"/>
      <c r="FS252" s="124"/>
      <c r="FT252" s="124"/>
      <c r="FU252" s="124"/>
      <c r="FV252" s="124"/>
      <c r="FW252" s="124"/>
      <c r="FX252" s="124"/>
      <c r="FY252" s="124"/>
      <c r="FZ252" s="124"/>
      <c r="GA252" s="124"/>
      <c r="GB252" s="124"/>
      <c r="GC252" s="124"/>
      <c r="GD252" s="124"/>
      <c r="GE252" s="124"/>
      <c r="GF252" s="124"/>
      <c r="GG252" s="124"/>
      <c r="GH252" s="124"/>
      <c r="GI252" s="124"/>
      <c r="GJ252" s="124"/>
      <c r="GK252" s="124"/>
      <c r="GL252" s="124"/>
      <c r="GM252" s="124"/>
      <c r="GN252" s="124"/>
      <c r="GO252" s="124"/>
      <c r="GP252" s="124"/>
      <c r="GQ252" s="124"/>
      <c r="GR252" s="124"/>
      <c r="GS252" s="124"/>
      <c r="GT252" s="124"/>
      <c r="GU252" s="124"/>
      <c r="GV252" s="124"/>
      <c r="GW252" s="124"/>
      <c r="GX252" s="124"/>
      <c r="GY252" s="124"/>
      <c r="GZ252" s="124"/>
      <c r="HA252" s="124"/>
      <c r="HB252" s="124"/>
      <c r="HC252" s="124"/>
      <c r="HD252" s="124"/>
      <c r="HE252" s="124"/>
      <c r="HF252" s="124"/>
      <c r="HG252" s="124"/>
      <c r="HH252" s="124"/>
      <c r="HI252" s="124"/>
      <c r="HJ252" s="124"/>
      <c r="HK252" s="124"/>
      <c r="HL252" s="124"/>
      <c r="HM252" s="124"/>
      <c r="HN252" s="124"/>
      <c r="HO252" s="124"/>
      <c r="HP252" s="124"/>
      <c r="HQ252" s="124"/>
    </row>
    <row r="253" spans="1:225" x14ac:dyDescent="0.2">
      <c r="A253" s="122" t="s">
        <v>884</v>
      </c>
      <c r="B253" s="123">
        <v>27</v>
      </c>
      <c r="C253" s="124" t="s">
        <v>412</v>
      </c>
      <c r="D253" s="123">
        <v>244</v>
      </c>
      <c r="E253" s="124" t="s">
        <v>361</v>
      </c>
      <c r="F253" s="123">
        <v>4</v>
      </c>
      <c r="G253" s="123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  <c r="AV253" s="124"/>
      <c r="AW253" s="124"/>
      <c r="AX253" s="124"/>
      <c r="AY253" s="124"/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  <c r="BJ253" s="124"/>
      <c r="BK253" s="124"/>
      <c r="BL253" s="124"/>
      <c r="BM253" s="124"/>
      <c r="BN253" s="124"/>
      <c r="BO253" s="124"/>
      <c r="BP253" s="124"/>
      <c r="BQ253" s="124"/>
      <c r="BR253" s="124"/>
      <c r="BS253" s="124"/>
      <c r="BT253" s="124"/>
      <c r="BU253" s="124"/>
      <c r="BV253" s="124"/>
      <c r="BW253" s="124"/>
      <c r="BX253" s="124"/>
      <c r="BY253" s="124"/>
      <c r="BZ253" s="124"/>
      <c r="CA253" s="124"/>
      <c r="CB253" s="124"/>
      <c r="CC253" s="124"/>
      <c r="CD253" s="124"/>
      <c r="CE253" s="124"/>
      <c r="CF253" s="124"/>
      <c r="CG253" s="124"/>
      <c r="CH253" s="124"/>
      <c r="CI253" s="124"/>
      <c r="CJ253" s="124"/>
      <c r="CK253" s="124"/>
      <c r="CL253" s="124"/>
      <c r="CM253" s="124"/>
      <c r="CN253" s="124"/>
      <c r="CO253" s="124"/>
      <c r="CP253" s="124"/>
      <c r="CQ253" s="124"/>
      <c r="CR253" s="124"/>
      <c r="CS253" s="124"/>
      <c r="CT253" s="124"/>
      <c r="CU253" s="124"/>
      <c r="CV253" s="124"/>
      <c r="CW253" s="124"/>
      <c r="CX253" s="124"/>
      <c r="CY253" s="124"/>
      <c r="CZ253" s="124"/>
      <c r="DA253" s="124"/>
      <c r="DB253" s="124"/>
      <c r="DC253" s="124"/>
      <c r="DD253" s="124"/>
      <c r="DE253" s="124"/>
      <c r="DF253" s="124"/>
      <c r="DG253" s="124"/>
      <c r="DH253" s="124"/>
      <c r="DI253" s="124"/>
      <c r="DJ253" s="124"/>
      <c r="DK253" s="124"/>
      <c r="DL253" s="124"/>
      <c r="DM253" s="124"/>
      <c r="DN253" s="124"/>
      <c r="DO253" s="124"/>
      <c r="DP253" s="124"/>
      <c r="DQ253" s="124"/>
      <c r="DR253" s="124"/>
      <c r="DS253" s="124"/>
      <c r="DT253" s="124"/>
      <c r="DU253" s="124"/>
      <c r="DV253" s="124"/>
      <c r="DW253" s="124"/>
      <c r="DX253" s="124"/>
      <c r="DY253" s="124"/>
      <c r="DZ253" s="124"/>
      <c r="EA253" s="124"/>
      <c r="EB253" s="124"/>
      <c r="EC253" s="124"/>
      <c r="ED253" s="124"/>
      <c r="EE253" s="124"/>
      <c r="EF253" s="124"/>
      <c r="EG253" s="124"/>
      <c r="EH253" s="124"/>
      <c r="EI253" s="124"/>
      <c r="EJ253" s="124"/>
      <c r="EK253" s="124"/>
      <c r="EL253" s="124"/>
      <c r="EM253" s="124"/>
      <c r="EN253" s="124"/>
      <c r="EO253" s="124"/>
      <c r="EP253" s="124"/>
      <c r="EQ253" s="124"/>
      <c r="ER253" s="124"/>
      <c r="ES253" s="124"/>
      <c r="ET253" s="124"/>
      <c r="EU253" s="124"/>
      <c r="EV253" s="124"/>
      <c r="EW253" s="124"/>
      <c r="EX253" s="124"/>
      <c r="EY253" s="124"/>
      <c r="EZ253" s="124"/>
      <c r="FA253" s="124"/>
      <c r="FB253" s="124"/>
      <c r="FC253" s="124"/>
      <c r="FD253" s="124"/>
      <c r="FE253" s="124"/>
      <c r="FF253" s="124"/>
      <c r="FG253" s="124"/>
      <c r="FH253" s="124"/>
      <c r="FI253" s="124"/>
      <c r="FJ253" s="124"/>
      <c r="FK253" s="124"/>
      <c r="FL253" s="124"/>
      <c r="FM253" s="124"/>
      <c r="FN253" s="124"/>
      <c r="FO253" s="124"/>
      <c r="FP253" s="124"/>
      <c r="FQ253" s="124"/>
      <c r="FR253" s="124"/>
      <c r="FS253" s="124"/>
      <c r="FT253" s="124"/>
      <c r="FU253" s="124"/>
      <c r="FV253" s="124"/>
      <c r="FW253" s="124"/>
      <c r="FX253" s="124"/>
      <c r="FY253" s="124"/>
      <c r="FZ253" s="124"/>
      <c r="GA253" s="124"/>
      <c r="GB253" s="124"/>
      <c r="GC253" s="124"/>
      <c r="GD253" s="124"/>
      <c r="GE253" s="124"/>
      <c r="GF253" s="124"/>
      <c r="GG253" s="124"/>
      <c r="GH253" s="124"/>
      <c r="GI253" s="124"/>
      <c r="GJ253" s="124"/>
      <c r="GK253" s="124"/>
      <c r="GL253" s="124"/>
      <c r="GM253" s="124"/>
      <c r="GN253" s="124"/>
      <c r="GO253" s="124"/>
      <c r="GP253" s="124"/>
      <c r="GQ253" s="124"/>
      <c r="GR253" s="124"/>
      <c r="GS253" s="124"/>
      <c r="GT253" s="124"/>
      <c r="GU253" s="124"/>
      <c r="GV253" s="124"/>
      <c r="GW253" s="124"/>
      <c r="GX253" s="124"/>
      <c r="GY253" s="124"/>
      <c r="GZ253" s="124"/>
      <c r="HA253" s="124"/>
      <c r="HB253" s="124"/>
      <c r="HC253" s="124"/>
      <c r="HD253" s="124"/>
      <c r="HE253" s="124"/>
      <c r="HF253" s="124"/>
      <c r="HG253" s="124"/>
      <c r="HH253" s="124"/>
      <c r="HI253" s="124"/>
      <c r="HJ253" s="124"/>
      <c r="HK253" s="124"/>
      <c r="HL253" s="124"/>
      <c r="HM253" s="124"/>
      <c r="HN253" s="124"/>
      <c r="HO253" s="124"/>
      <c r="HP253" s="124"/>
      <c r="HQ253" s="124"/>
    </row>
    <row r="254" spans="1:225" x14ac:dyDescent="0.2">
      <c r="A254" s="122" t="s">
        <v>885</v>
      </c>
      <c r="B254" s="123">
        <v>28</v>
      </c>
      <c r="C254" s="124" t="s">
        <v>413</v>
      </c>
      <c r="D254" s="123">
        <v>245</v>
      </c>
      <c r="E254" s="124" t="s">
        <v>361</v>
      </c>
      <c r="F254" s="123">
        <v>2</v>
      </c>
      <c r="G254" s="123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  <c r="BJ254" s="124"/>
      <c r="BK254" s="124"/>
      <c r="BL254" s="124"/>
      <c r="BM254" s="124"/>
      <c r="BN254" s="124"/>
      <c r="BO254" s="124"/>
      <c r="BP254" s="124"/>
      <c r="BQ254" s="124"/>
      <c r="BR254" s="124"/>
      <c r="BS254" s="124"/>
      <c r="BT254" s="124"/>
      <c r="BU254" s="124"/>
      <c r="BV254" s="124"/>
      <c r="BW254" s="124"/>
      <c r="BX254" s="124"/>
      <c r="BY254" s="124"/>
      <c r="BZ254" s="124"/>
      <c r="CA254" s="124"/>
      <c r="CB254" s="124"/>
      <c r="CC254" s="124"/>
      <c r="CD254" s="124"/>
      <c r="CE254" s="124"/>
      <c r="CF254" s="124"/>
      <c r="CG254" s="124"/>
      <c r="CH254" s="124"/>
      <c r="CI254" s="124"/>
      <c r="CJ254" s="124"/>
      <c r="CK254" s="124"/>
      <c r="CL254" s="124"/>
      <c r="CM254" s="124"/>
      <c r="CN254" s="124"/>
      <c r="CO254" s="124"/>
      <c r="CP254" s="124"/>
      <c r="CQ254" s="124"/>
      <c r="CR254" s="124"/>
      <c r="CS254" s="124"/>
      <c r="CT254" s="124"/>
      <c r="CU254" s="124"/>
      <c r="CV254" s="124"/>
      <c r="CW254" s="124"/>
      <c r="CX254" s="124"/>
      <c r="CY254" s="124"/>
      <c r="CZ254" s="124"/>
      <c r="DA254" s="124"/>
      <c r="DB254" s="124"/>
      <c r="DC254" s="124"/>
      <c r="DD254" s="124"/>
      <c r="DE254" s="124"/>
      <c r="DF254" s="124"/>
      <c r="DG254" s="124"/>
      <c r="DH254" s="124"/>
      <c r="DI254" s="124"/>
      <c r="DJ254" s="124"/>
      <c r="DK254" s="124"/>
      <c r="DL254" s="124"/>
      <c r="DM254" s="124"/>
      <c r="DN254" s="124"/>
      <c r="DO254" s="124"/>
      <c r="DP254" s="124"/>
      <c r="DQ254" s="124"/>
      <c r="DR254" s="124"/>
      <c r="DS254" s="124"/>
      <c r="DT254" s="124"/>
      <c r="DU254" s="124"/>
      <c r="DV254" s="124"/>
      <c r="DW254" s="124"/>
      <c r="DX254" s="124"/>
      <c r="DY254" s="124"/>
      <c r="DZ254" s="124"/>
      <c r="EA254" s="124"/>
      <c r="EB254" s="124"/>
      <c r="EC254" s="124"/>
      <c r="ED254" s="124"/>
      <c r="EE254" s="124"/>
      <c r="EF254" s="124"/>
      <c r="EG254" s="124"/>
      <c r="EH254" s="124"/>
      <c r="EI254" s="124"/>
      <c r="EJ254" s="124"/>
      <c r="EK254" s="124"/>
      <c r="EL254" s="124"/>
      <c r="EM254" s="124"/>
      <c r="EN254" s="124"/>
      <c r="EO254" s="124"/>
      <c r="EP254" s="124"/>
      <c r="EQ254" s="124"/>
      <c r="ER254" s="124"/>
      <c r="ES254" s="124"/>
      <c r="ET254" s="124"/>
      <c r="EU254" s="124"/>
      <c r="EV254" s="124"/>
      <c r="EW254" s="124"/>
      <c r="EX254" s="124"/>
      <c r="EY254" s="124"/>
      <c r="EZ254" s="124"/>
      <c r="FA254" s="124"/>
      <c r="FB254" s="124"/>
      <c r="FC254" s="124"/>
      <c r="FD254" s="124"/>
      <c r="FE254" s="124"/>
      <c r="FF254" s="124"/>
      <c r="FG254" s="124"/>
      <c r="FH254" s="124"/>
      <c r="FI254" s="124"/>
      <c r="FJ254" s="124"/>
      <c r="FK254" s="124"/>
      <c r="FL254" s="124"/>
      <c r="FM254" s="124"/>
      <c r="FN254" s="124"/>
      <c r="FO254" s="124"/>
      <c r="FP254" s="124"/>
      <c r="FQ254" s="124"/>
      <c r="FR254" s="124"/>
      <c r="FS254" s="124"/>
      <c r="FT254" s="124"/>
      <c r="FU254" s="124"/>
      <c r="FV254" s="124"/>
      <c r="FW254" s="124"/>
      <c r="FX254" s="124"/>
      <c r="FY254" s="124"/>
      <c r="FZ254" s="124"/>
      <c r="GA254" s="124"/>
      <c r="GB254" s="124"/>
      <c r="GC254" s="124"/>
      <c r="GD254" s="124"/>
      <c r="GE254" s="124"/>
      <c r="GF254" s="124"/>
      <c r="GG254" s="124"/>
      <c r="GH254" s="124"/>
      <c r="GI254" s="124"/>
      <c r="GJ254" s="124"/>
      <c r="GK254" s="124"/>
      <c r="GL254" s="124"/>
      <c r="GM254" s="124"/>
      <c r="GN254" s="124"/>
      <c r="GO254" s="124"/>
      <c r="GP254" s="124"/>
      <c r="GQ254" s="124"/>
      <c r="GR254" s="124"/>
      <c r="GS254" s="124"/>
      <c r="GT254" s="124"/>
      <c r="GU254" s="124"/>
      <c r="GV254" s="124"/>
      <c r="GW254" s="124"/>
      <c r="GX254" s="124"/>
      <c r="GY254" s="124"/>
      <c r="GZ254" s="124"/>
      <c r="HA254" s="124"/>
      <c r="HB254" s="124"/>
      <c r="HC254" s="124"/>
      <c r="HD254" s="124"/>
      <c r="HE254" s="124"/>
      <c r="HF254" s="124"/>
      <c r="HG254" s="124"/>
      <c r="HH254" s="124"/>
      <c r="HI254" s="124"/>
      <c r="HJ254" s="124"/>
      <c r="HK254" s="124"/>
      <c r="HL254" s="124"/>
      <c r="HM254" s="124"/>
      <c r="HN254" s="124"/>
      <c r="HO254" s="124"/>
      <c r="HP254" s="124"/>
      <c r="HQ254" s="124"/>
    </row>
    <row r="255" spans="1:225" x14ac:dyDescent="0.2">
      <c r="A255" s="122" t="s">
        <v>886</v>
      </c>
      <c r="B255" s="123">
        <v>28</v>
      </c>
      <c r="C255" s="124" t="s">
        <v>414</v>
      </c>
      <c r="D255" s="123">
        <v>246</v>
      </c>
      <c r="E255" s="124" t="s">
        <v>361</v>
      </c>
      <c r="F255" s="123">
        <v>2</v>
      </c>
      <c r="G255" s="123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  <c r="AV255" s="124"/>
      <c r="AW255" s="124"/>
      <c r="AX255" s="124"/>
      <c r="AY255" s="124"/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  <c r="BJ255" s="124"/>
      <c r="BK255" s="124"/>
      <c r="BL255" s="124"/>
      <c r="BM255" s="124"/>
      <c r="BN255" s="124"/>
      <c r="BO255" s="124"/>
      <c r="BP255" s="124"/>
      <c r="BQ255" s="124"/>
      <c r="BR255" s="124"/>
      <c r="BS255" s="124"/>
      <c r="BT255" s="124"/>
      <c r="BU255" s="124"/>
      <c r="BV255" s="124"/>
      <c r="BW255" s="124"/>
      <c r="BX255" s="124"/>
      <c r="BY255" s="124"/>
      <c r="BZ255" s="124"/>
      <c r="CA255" s="124"/>
      <c r="CB255" s="124"/>
      <c r="CC255" s="124"/>
      <c r="CD255" s="124"/>
      <c r="CE255" s="124"/>
      <c r="CF255" s="124"/>
      <c r="CG255" s="124"/>
      <c r="CH255" s="124"/>
      <c r="CI255" s="124"/>
      <c r="CJ255" s="124"/>
      <c r="CK255" s="124"/>
      <c r="CL255" s="124"/>
      <c r="CM255" s="124"/>
      <c r="CN255" s="124"/>
      <c r="CO255" s="124"/>
      <c r="CP255" s="124"/>
      <c r="CQ255" s="124"/>
      <c r="CR255" s="124"/>
      <c r="CS255" s="124"/>
      <c r="CT255" s="124"/>
      <c r="CU255" s="124"/>
      <c r="CV255" s="124"/>
      <c r="CW255" s="124"/>
      <c r="CX255" s="124"/>
      <c r="CY255" s="124"/>
      <c r="CZ255" s="124"/>
      <c r="DA255" s="124"/>
      <c r="DB255" s="124"/>
      <c r="DC255" s="124"/>
      <c r="DD255" s="124"/>
      <c r="DE255" s="124"/>
      <c r="DF255" s="124"/>
      <c r="DG255" s="124"/>
      <c r="DH255" s="124"/>
      <c r="DI255" s="124"/>
      <c r="DJ255" s="124"/>
      <c r="DK255" s="124"/>
      <c r="DL255" s="124"/>
      <c r="DM255" s="124"/>
      <c r="DN255" s="124"/>
      <c r="DO255" s="124"/>
      <c r="DP255" s="124"/>
      <c r="DQ255" s="124"/>
      <c r="DR255" s="124"/>
      <c r="DS255" s="124"/>
      <c r="DT255" s="124"/>
      <c r="DU255" s="124"/>
      <c r="DV255" s="124"/>
      <c r="DW255" s="124"/>
      <c r="DX255" s="124"/>
      <c r="DY255" s="124"/>
      <c r="DZ255" s="124"/>
      <c r="EA255" s="124"/>
      <c r="EB255" s="124"/>
      <c r="EC255" s="124"/>
      <c r="ED255" s="124"/>
      <c r="EE255" s="124"/>
      <c r="EF255" s="124"/>
      <c r="EG255" s="124"/>
      <c r="EH255" s="124"/>
      <c r="EI255" s="124"/>
      <c r="EJ255" s="124"/>
      <c r="EK255" s="124"/>
      <c r="EL255" s="124"/>
      <c r="EM255" s="124"/>
      <c r="EN255" s="124"/>
      <c r="EO255" s="124"/>
      <c r="EP255" s="124"/>
      <c r="EQ255" s="124"/>
      <c r="ER255" s="124"/>
      <c r="ES255" s="124"/>
      <c r="ET255" s="124"/>
      <c r="EU255" s="124"/>
      <c r="EV255" s="124"/>
      <c r="EW255" s="124"/>
      <c r="EX255" s="124"/>
      <c r="EY255" s="124"/>
      <c r="EZ255" s="124"/>
      <c r="FA255" s="124"/>
      <c r="FB255" s="124"/>
      <c r="FC255" s="124"/>
      <c r="FD255" s="124"/>
      <c r="FE255" s="124"/>
      <c r="FF255" s="124"/>
      <c r="FG255" s="124"/>
      <c r="FH255" s="124"/>
      <c r="FI255" s="124"/>
      <c r="FJ255" s="124"/>
      <c r="FK255" s="124"/>
      <c r="FL255" s="124"/>
      <c r="FM255" s="124"/>
      <c r="FN255" s="124"/>
      <c r="FO255" s="124"/>
      <c r="FP255" s="124"/>
      <c r="FQ255" s="124"/>
      <c r="FR255" s="124"/>
      <c r="FS255" s="124"/>
      <c r="FT255" s="124"/>
      <c r="FU255" s="124"/>
      <c r="FV255" s="124"/>
      <c r="FW255" s="124"/>
      <c r="FX255" s="124"/>
      <c r="FY255" s="124"/>
      <c r="FZ255" s="124"/>
      <c r="GA255" s="124"/>
      <c r="GB255" s="124"/>
      <c r="GC255" s="124"/>
      <c r="GD255" s="124"/>
      <c r="GE255" s="124"/>
      <c r="GF255" s="124"/>
      <c r="GG255" s="124"/>
      <c r="GH255" s="124"/>
      <c r="GI255" s="124"/>
      <c r="GJ255" s="124"/>
      <c r="GK255" s="124"/>
      <c r="GL255" s="124"/>
      <c r="GM255" s="124"/>
      <c r="GN255" s="124"/>
      <c r="GO255" s="124"/>
      <c r="GP255" s="124"/>
      <c r="GQ255" s="124"/>
      <c r="GR255" s="124"/>
      <c r="GS255" s="124"/>
      <c r="GT255" s="124"/>
      <c r="GU255" s="124"/>
      <c r="GV255" s="124"/>
      <c r="GW255" s="124"/>
      <c r="GX255" s="124"/>
      <c r="GY255" s="124"/>
      <c r="GZ255" s="124"/>
      <c r="HA255" s="124"/>
      <c r="HB255" s="124"/>
      <c r="HC255" s="124"/>
      <c r="HD255" s="124"/>
      <c r="HE255" s="124"/>
      <c r="HF255" s="124"/>
      <c r="HG255" s="124"/>
      <c r="HH255" s="124"/>
      <c r="HI255" s="124"/>
      <c r="HJ255" s="124"/>
      <c r="HK255" s="124"/>
      <c r="HL255" s="124"/>
      <c r="HM255" s="124"/>
      <c r="HN255" s="124"/>
      <c r="HO255" s="124"/>
      <c r="HP255" s="124"/>
      <c r="HQ255" s="124"/>
    </row>
    <row r="256" spans="1:225" x14ac:dyDescent="0.2">
      <c r="A256" s="122" t="s">
        <v>887</v>
      </c>
      <c r="B256" s="123">
        <v>29</v>
      </c>
      <c r="C256" s="124" t="s">
        <v>415</v>
      </c>
      <c r="D256" s="123">
        <v>247</v>
      </c>
      <c r="E256" s="124" t="s">
        <v>361</v>
      </c>
      <c r="F256" s="123">
        <v>2</v>
      </c>
      <c r="G256" s="123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  <c r="AV256" s="124"/>
      <c r="AW256" s="124"/>
      <c r="AX256" s="124"/>
      <c r="AY256" s="124"/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  <c r="BJ256" s="124"/>
      <c r="BK256" s="124"/>
      <c r="BL256" s="124"/>
      <c r="BM256" s="124"/>
      <c r="BN256" s="124"/>
      <c r="BO256" s="124"/>
      <c r="BP256" s="124"/>
      <c r="BQ256" s="124"/>
      <c r="BR256" s="124"/>
      <c r="BS256" s="124"/>
      <c r="BT256" s="124"/>
      <c r="BU256" s="124"/>
      <c r="BV256" s="124"/>
      <c r="BW256" s="124"/>
      <c r="BX256" s="124"/>
      <c r="BY256" s="124"/>
      <c r="BZ256" s="124"/>
      <c r="CA256" s="124"/>
      <c r="CB256" s="124"/>
      <c r="CC256" s="124"/>
      <c r="CD256" s="124"/>
      <c r="CE256" s="124"/>
      <c r="CF256" s="124"/>
      <c r="CG256" s="124"/>
      <c r="CH256" s="124"/>
      <c r="CI256" s="124"/>
      <c r="CJ256" s="124"/>
      <c r="CK256" s="124"/>
      <c r="CL256" s="124"/>
      <c r="CM256" s="124"/>
      <c r="CN256" s="124"/>
      <c r="CO256" s="124"/>
      <c r="CP256" s="124"/>
      <c r="CQ256" s="124"/>
      <c r="CR256" s="124"/>
      <c r="CS256" s="124"/>
      <c r="CT256" s="124"/>
      <c r="CU256" s="124"/>
      <c r="CV256" s="124"/>
      <c r="CW256" s="124"/>
      <c r="CX256" s="124"/>
      <c r="CY256" s="124"/>
      <c r="CZ256" s="124"/>
      <c r="DA256" s="124"/>
      <c r="DB256" s="124"/>
      <c r="DC256" s="124"/>
      <c r="DD256" s="124"/>
      <c r="DE256" s="124"/>
      <c r="DF256" s="124"/>
      <c r="DG256" s="124"/>
      <c r="DH256" s="124"/>
      <c r="DI256" s="124"/>
      <c r="DJ256" s="124"/>
      <c r="DK256" s="124"/>
      <c r="DL256" s="124"/>
      <c r="DM256" s="124"/>
      <c r="DN256" s="124"/>
      <c r="DO256" s="124"/>
      <c r="DP256" s="124"/>
      <c r="DQ256" s="124"/>
      <c r="DR256" s="124"/>
      <c r="DS256" s="124"/>
      <c r="DT256" s="124"/>
      <c r="DU256" s="124"/>
      <c r="DV256" s="124"/>
      <c r="DW256" s="124"/>
      <c r="DX256" s="124"/>
      <c r="DY256" s="124"/>
      <c r="DZ256" s="124"/>
      <c r="EA256" s="124"/>
      <c r="EB256" s="124"/>
      <c r="EC256" s="124"/>
      <c r="ED256" s="124"/>
      <c r="EE256" s="124"/>
      <c r="EF256" s="124"/>
      <c r="EG256" s="124"/>
      <c r="EH256" s="124"/>
      <c r="EI256" s="124"/>
      <c r="EJ256" s="124"/>
      <c r="EK256" s="124"/>
      <c r="EL256" s="124"/>
      <c r="EM256" s="124"/>
      <c r="EN256" s="124"/>
      <c r="EO256" s="124"/>
      <c r="EP256" s="124"/>
      <c r="EQ256" s="124"/>
      <c r="ER256" s="124"/>
      <c r="ES256" s="124"/>
      <c r="ET256" s="124"/>
      <c r="EU256" s="124"/>
      <c r="EV256" s="124"/>
      <c r="EW256" s="124"/>
      <c r="EX256" s="124"/>
      <c r="EY256" s="124"/>
      <c r="EZ256" s="124"/>
      <c r="FA256" s="124"/>
      <c r="FB256" s="124"/>
      <c r="FC256" s="124"/>
      <c r="FD256" s="124"/>
      <c r="FE256" s="124"/>
      <c r="FF256" s="124"/>
      <c r="FG256" s="124"/>
      <c r="FH256" s="124"/>
      <c r="FI256" s="124"/>
      <c r="FJ256" s="124"/>
      <c r="FK256" s="124"/>
      <c r="FL256" s="124"/>
      <c r="FM256" s="124"/>
      <c r="FN256" s="124"/>
      <c r="FO256" s="124"/>
      <c r="FP256" s="124"/>
      <c r="FQ256" s="124"/>
      <c r="FR256" s="124"/>
      <c r="FS256" s="124"/>
      <c r="FT256" s="124"/>
      <c r="FU256" s="124"/>
      <c r="FV256" s="124"/>
      <c r="FW256" s="124"/>
      <c r="FX256" s="124"/>
      <c r="FY256" s="124"/>
      <c r="FZ256" s="124"/>
      <c r="GA256" s="124"/>
      <c r="GB256" s="124"/>
      <c r="GC256" s="124"/>
      <c r="GD256" s="124"/>
      <c r="GE256" s="124"/>
      <c r="GF256" s="124"/>
      <c r="GG256" s="124"/>
      <c r="GH256" s="124"/>
      <c r="GI256" s="124"/>
      <c r="GJ256" s="124"/>
      <c r="GK256" s="124"/>
      <c r="GL256" s="124"/>
      <c r="GM256" s="124"/>
      <c r="GN256" s="124"/>
      <c r="GO256" s="124"/>
      <c r="GP256" s="124"/>
      <c r="GQ256" s="124"/>
      <c r="GR256" s="124"/>
      <c r="GS256" s="124"/>
      <c r="GT256" s="124"/>
      <c r="GU256" s="124"/>
      <c r="GV256" s="124"/>
      <c r="GW256" s="124"/>
      <c r="GX256" s="124"/>
      <c r="GY256" s="124"/>
      <c r="GZ256" s="124"/>
      <c r="HA256" s="124"/>
      <c r="HB256" s="124"/>
      <c r="HC256" s="124"/>
      <c r="HD256" s="124"/>
      <c r="HE256" s="124"/>
      <c r="HF256" s="124"/>
      <c r="HG256" s="124"/>
      <c r="HH256" s="124"/>
      <c r="HI256" s="124"/>
      <c r="HJ256" s="124"/>
      <c r="HK256" s="124"/>
      <c r="HL256" s="124"/>
      <c r="HM256" s="124"/>
      <c r="HN256" s="124"/>
      <c r="HO256" s="124"/>
      <c r="HP256" s="124"/>
      <c r="HQ256" s="124"/>
    </row>
    <row r="257" spans="1:225" x14ac:dyDescent="0.2">
      <c r="A257" s="122" t="s">
        <v>888</v>
      </c>
      <c r="B257" s="123">
        <v>29</v>
      </c>
      <c r="C257" s="124" t="s">
        <v>416</v>
      </c>
      <c r="D257" s="123">
        <v>248</v>
      </c>
      <c r="E257" s="124" t="s">
        <v>361</v>
      </c>
      <c r="F257" s="123">
        <v>3</v>
      </c>
      <c r="G257" s="123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  <c r="AV257" s="124"/>
      <c r="AW257" s="124"/>
      <c r="AX257" s="124"/>
      <c r="AY257" s="124"/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  <c r="BJ257" s="124"/>
      <c r="BK257" s="124"/>
      <c r="BL257" s="124"/>
      <c r="BM257" s="124"/>
      <c r="BN257" s="124"/>
      <c r="BO257" s="124"/>
      <c r="BP257" s="124"/>
      <c r="BQ257" s="124"/>
      <c r="BR257" s="124"/>
      <c r="BS257" s="124"/>
      <c r="BT257" s="124"/>
      <c r="BU257" s="124"/>
      <c r="BV257" s="124"/>
      <c r="BW257" s="124"/>
      <c r="BX257" s="124"/>
      <c r="BY257" s="124"/>
      <c r="BZ257" s="124"/>
      <c r="CA257" s="124"/>
      <c r="CB257" s="124"/>
      <c r="CC257" s="124"/>
      <c r="CD257" s="124"/>
      <c r="CE257" s="124"/>
      <c r="CF257" s="124"/>
      <c r="CG257" s="124"/>
      <c r="CH257" s="124"/>
      <c r="CI257" s="124"/>
      <c r="CJ257" s="124"/>
      <c r="CK257" s="124"/>
      <c r="CL257" s="124"/>
      <c r="CM257" s="124"/>
      <c r="CN257" s="124"/>
      <c r="CO257" s="124"/>
      <c r="CP257" s="124"/>
      <c r="CQ257" s="124"/>
      <c r="CR257" s="124"/>
      <c r="CS257" s="124"/>
      <c r="CT257" s="124"/>
      <c r="CU257" s="124"/>
      <c r="CV257" s="124"/>
      <c r="CW257" s="124"/>
      <c r="CX257" s="124"/>
      <c r="CY257" s="124"/>
      <c r="CZ257" s="124"/>
      <c r="DA257" s="124"/>
      <c r="DB257" s="124"/>
      <c r="DC257" s="124"/>
      <c r="DD257" s="124"/>
      <c r="DE257" s="124"/>
      <c r="DF257" s="124"/>
      <c r="DG257" s="124"/>
      <c r="DH257" s="124"/>
      <c r="DI257" s="124"/>
      <c r="DJ257" s="124"/>
      <c r="DK257" s="124"/>
      <c r="DL257" s="124"/>
      <c r="DM257" s="124"/>
      <c r="DN257" s="124"/>
      <c r="DO257" s="124"/>
      <c r="DP257" s="124"/>
      <c r="DQ257" s="124"/>
      <c r="DR257" s="124"/>
      <c r="DS257" s="124"/>
      <c r="DT257" s="124"/>
      <c r="DU257" s="124"/>
      <c r="DV257" s="124"/>
      <c r="DW257" s="124"/>
      <c r="DX257" s="124"/>
      <c r="DY257" s="124"/>
      <c r="DZ257" s="124"/>
      <c r="EA257" s="124"/>
      <c r="EB257" s="124"/>
      <c r="EC257" s="124"/>
      <c r="ED257" s="124"/>
      <c r="EE257" s="124"/>
      <c r="EF257" s="124"/>
      <c r="EG257" s="124"/>
      <c r="EH257" s="124"/>
      <c r="EI257" s="124"/>
      <c r="EJ257" s="124"/>
      <c r="EK257" s="124"/>
      <c r="EL257" s="124"/>
      <c r="EM257" s="124"/>
      <c r="EN257" s="124"/>
      <c r="EO257" s="124"/>
      <c r="EP257" s="124"/>
      <c r="EQ257" s="124"/>
      <c r="ER257" s="124"/>
      <c r="ES257" s="124"/>
      <c r="ET257" s="124"/>
      <c r="EU257" s="124"/>
      <c r="EV257" s="124"/>
      <c r="EW257" s="124"/>
      <c r="EX257" s="124"/>
      <c r="EY257" s="124"/>
      <c r="EZ257" s="124"/>
      <c r="FA257" s="124"/>
      <c r="FB257" s="124"/>
      <c r="FC257" s="124"/>
      <c r="FD257" s="124"/>
      <c r="FE257" s="124"/>
      <c r="FF257" s="124"/>
      <c r="FG257" s="124"/>
      <c r="FH257" s="124"/>
      <c r="FI257" s="124"/>
      <c r="FJ257" s="124"/>
      <c r="FK257" s="124"/>
      <c r="FL257" s="124"/>
      <c r="FM257" s="124"/>
      <c r="FN257" s="124"/>
      <c r="FO257" s="124"/>
      <c r="FP257" s="124"/>
      <c r="FQ257" s="124"/>
      <c r="FR257" s="124"/>
      <c r="FS257" s="124"/>
      <c r="FT257" s="124"/>
      <c r="FU257" s="124"/>
      <c r="FV257" s="124"/>
      <c r="FW257" s="124"/>
      <c r="FX257" s="124"/>
      <c r="FY257" s="124"/>
      <c r="FZ257" s="124"/>
      <c r="GA257" s="124"/>
      <c r="GB257" s="124"/>
      <c r="GC257" s="124"/>
      <c r="GD257" s="124"/>
      <c r="GE257" s="124"/>
      <c r="GF257" s="124"/>
      <c r="GG257" s="124"/>
      <c r="GH257" s="124"/>
      <c r="GI257" s="124"/>
      <c r="GJ257" s="124"/>
      <c r="GK257" s="124"/>
      <c r="GL257" s="124"/>
      <c r="GM257" s="124"/>
      <c r="GN257" s="124"/>
      <c r="GO257" s="124"/>
      <c r="GP257" s="124"/>
      <c r="GQ257" s="124"/>
      <c r="GR257" s="124"/>
      <c r="GS257" s="124"/>
      <c r="GT257" s="124"/>
      <c r="GU257" s="124"/>
      <c r="GV257" s="124"/>
      <c r="GW257" s="124"/>
      <c r="GX257" s="124"/>
      <c r="GY257" s="124"/>
      <c r="GZ257" s="124"/>
      <c r="HA257" s="124"/>
      <c r="HB257" s="124"/>
      <c r="HC257" s="124"/>
      <c r="HD257" s="124"/>
      <c r="HE257" s="124"/>
      <c r="HF257" s="124"/>
      <c r="HG257" s="124"/>
      <c r="HH257" s="124"/>
      <c r="HI257" s="124"/>
      <c r="HJ257" s="124"/>
      <c r="HK257" s="124"/>
      <c r="HL257" s="124"/>
      <c r="HM257" s="124"/>
      <c r="HN257" s="124"/>
      <c r="HO257" s="124"/>
      <c r="HP257" s="124"/>
      <c r="HQ257" s="124"/>
    </row>
    <row r="258" spans="1:225" x14ac:dyDescent="0.2">
      <c r="A258" s="122" t="s">
        <v>889</v>
      </c>
      <c r="B258" s="123">
        <v>30</v>
      </c>
      <c r="C258" s="124" t="s">
        <v>417</v>
      </c>
      <c r="D258" s="123">
        <v>249</v>
      </c>
      <c r="E258" s="124" t="s">
        <v>361</v>
      </c>
      <c r="F258" s="123">
        <v>3</v>
      </c>
      <c r="G258" s="123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  <c r="AV258" s="124"/>
      <c r="AW258" s="124"/>
      <c r="AX258" s="124"/>
      <c r="AY258" s="124"/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  <c r="BJ258" s="124"/>
      <c r="BK258" s="124"/>
      <c r="BL258" s="124"/>
      <c r="BM258" s="124"/>
      <c r="BN258" s="124"/>
      <c r="BO258" s="124"/>
      <c r="BP258" s="124"/>
      <c r="BQ258" s="124"/>
      <c r="BR258" s="124"/>
      <c r="BS258" s="124"/>
      <c r="BT258" s="124"/>
      <c r="BU258" s="124"/>
      <c r="BV258" s="124"/>
      <c r="BW258" s="124"/>
      <c r="BX258" s="124"/>
      <c r="BY258" s="124"/>
      <c r="BZ258" s="124"/>
      <c r="CA258" s="124"/>
      <c r="CB258" s="124"/>
      <c r="CC258" s="124"/>
      <c r="CD258" s="124"/>
      <c r="CE258" s="124"/>
      <c r="CF258" s="124"/>
      <c r="CG258" s="124"/>
      <c r="CH258" s="124"/>
      <c r="CI258" s="124"/>
      <c r="CJ258" s="124"/>
      <c r="CK258" s="124"/>
      <c r="CL258" s="124"/>
      <c r="CM258" s="124"/>
      <c r="CN258" s="124"/>
      <c r="CO258" s="124"/>
      <c r="CP258" s="124"/>
      <c r="CQ258" s="124"/>
      <c r="CR258" s="124"/>
      <c r="CS258" s="124"/>
      <c r="CT258" s="124"/>
      <c r="CU258" s="124"/>
      <c r="CV258" s="124"/>
      <c r="CW258" s="124"/>
      <c r="CX258" s="124"/>
      <c r="CY258" s="124"/>
      <c r="CZ258" s="124"/>
      <c r="DA258" s="124"/>
      <c r="DB258" s="124"/>
      <c r="DC258" s="124"/>
      <c r="DD258" s="124"/>
      <c r="DE258" s="124"/>
      <c r="DF258" s="124"/>
      <c r="DG258" s="124"/>
      <c r="DH258" s="124"/>
      <c r="DI258" s="124"/>
      <c r="DJ258" s="124"/>
      <c r="DK258" s="124"/>
      <c r="DL258" s="124"/>
      <c r="DM258" s="124"/>
      <c r="DN258" s="124"/>
      <c r="DO258" s="124"/>
      <c r="DP258" s="124"/>
      <c r="DQ258" s="124"/>
      <c r="DR258" s="124"/>
      <c r="DS258" s="124"/>
      <c r="DT258" s="124"/>
      <c r="DU258" s="124"/>
      <c r="DV258" s="124"/>
      <c r="DW258" s="124"/>
      <c r="DX258" s="124"/>
      <c r="DY258" s="124"/>
      <c r="DZ258" s="124"/>
      <c r="EA258" s="124"/>
      <c r="EB258" s="124"/>
      <c r="EC258" s="124"/>
      <c r="ED258" s="124"/>
      <c r="EE258" s="124"/>
      <c r="EF258" s="124"/>
      <c r="EG258" s="124"/>
      <c r="EH258" s="124"/>
      <c r="EI258" s="124"/>
      <c r="EJ258" s="124"/>
      <c r="EK258" s="124"/>
      <c r="EL258" s="124"/>
      <c r="EM258" s="124"/>
      <c r="EN258" s="124"/>
      <c r="EO258" s="124"/>
      <c r="EP258" s="124"/>
      <c r="EQ258" s="124"/>
      <c r="ER258" s="124"/>
      <c r="ES258" s="124"/>
      <c r="ET258" s="124"/>
      <c r="EU258" s="124"/>
      <c r="EV258" s="124"/>
      <c r="EW258" s="124"/>
      <c r="EX258" s="124"/>
      <c r="EY258" s="124"/>
      <c r="EZ258" s="124"/>
      <c r="FA258" s="124"/>
      <c r="FB258" s="124"/>
      <c r="FC258" s="124"/>
      <c r="FD258" s="124"/>
      <c r="FE258" s="124"/>
      <c r="FF258" s="124"/>
      <c r="FG258" s="124"/>
      <c r="FH258" s="124"/>
      <c r="FI258" s="124"/>
      <c r="FJ258" s="124"/>
      <c r="FK258" s="124"/>
      <c r="FL258" s="124"/>
      <c r="FM258" s="124"/>
      <c r="FN258" s="124"/>
      <c r="FO258" s="124"/>
      <c r="FP258" s="124"/>
      <c r="FQ258" s="124"/>
      <c r="FR258" s="124"/>
      <c r="FS258" s="124"/>
      <c r="FT258" s="124"/>
      <c r="FU258" s="124"/>
      <c r="FV258" s="124"/>
      <c r="FW258" s="124"/>
      <c r="FX258" s="124"/>
      <c r="FY258" s="124"/>
      <c r="FZ258" s="124"/>
      <c r="GA258" s="124"/>
      <c r="GB258" s="124"/>
      <c r="GC258" s="124"/>
      <c r="GD258" s="124"/>
      <c r="GE258" s="124"/>
      <c r="GF258" s="124"/>
      <c r="GG258" s="124"/>
      <c r="GH258" s="124"/>
      <c r="GI258" s="124"/>
      <c r="GJ258" s="124"/>
      <c r="GK258" s="124"/>
      <c r="GL258" s="124"/>
      <c r="GM258" s="124"/>
      <c r="GN258" s="124"/>
      <c r="GO258" s="124"/>
      <c r="GP258" s="124"/>
      <c r="GQ258" s="124"/>
      <c r="GR258" s="124"/>
      <c r="GS258" s="124"/>
      <c r="GT258" s="124"/>
      <c r="GU258" s="124"/>
      <c r="GV258" s="124"/>
      <c r="GW258" s="124"/>
      <c r="GX258" s="124"/>
      <c r="GY258" s="124"/>
      <c r="GZ258" s="124"/>
      <c r="HA258" s="124"/>
      <c r="HB258" s="124"/>
      <c r="HC258" s="124"/>
      <c r="HD258" s="124"/>
      <c r="HE258" s="124"/>
      <c r="HF258" s="124"/>
      <c r="HG258" s="124"/>
      <c r="HH258" s="124"/>
      <c r="HI258" s="124"/>
      <c r="HJ258" s="124"/>
      <c r="HK258" s="124"/>
      <c r="HL258" s="124"/>
      <c r="HM258" s="124"/>
      <c r="HN258" s="124"/>
      <c r="HO258" s="124"/>
      <c r="HP258" s="124"/>
      <c r="HQ258" s="124"/>
    </row>
    <row r="259" spans="1:225" x14ac:dyDescent="0.2">
      <c r="A259" s="122" t="s">
        <v>890</v>
      </c>
      <c r="B259" s="123">
        <v>30</v>
      </c>
      <c r="C259" s="124" t="s">
        <v>418</v>
      </c>
      <c r="D259" s="123">
        <v>250</v>
      </c>
      <c r="E259" s="124" t="s">
        <v>361</v>
      </c>
      <c r="F259" s="123">
        <v>4</v>
      </c>
      <c r="G259" s="123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  <c r="AV259" s="124"/>
      <c r="AW259" s="124"/>
      <c r="AX259" s="124"/>
      <c r="AY259" s="124"/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  <c r="BJ259" s="124"/>
      <c r="BK259" s="124"/>
      <c r="BL259" s="124"/>
      <c r="BM259" s="124"/>
      <c r="BN259" s="124"/>
      <c r="BO259" s="124"/>
      <c r="BP259" s="124"/>
      <c r="BQ259" s="124"/>
      <c r="BR259" s="124"/>
      <c r="BS259" s="124"/>
      <c r="BT259" s="124"/>
      <c r="BU259" s="124"/>
      <c r="BV259" s="124"/>
      <c r="BW259" s="124"/>
      <c r="BX259" s="124"/>
      <c r="BY259" s="124"/>
      <c r="BZ259" s="124"/>
      <c r="CA259" s="124"/>
      <c r="CB259" s="124"/>
      <c r="CC259" s="124"/>
      <c r="CD259" s="124"/>
      <c r="CE259" s="124"/>
      <c r="CF259" s="124"/>
      <c r="CG259" s="124"/>
      <c r="CH259" s="124"/>
      <c r="CI259" s="124"/>
      <c r="CJ259" s="124"/>
      <c r="CK259" s="124"/>
      <c r="CL259" s="124"/>
      <c r="CM259" s="124"/>
      <c r="CN259" s="124"/>
      <c r="CO259" s="124"/>
      <c r="CP259" s="124"/>
      <c r="CQ259" s="124"/>
      <c r="CR259" s="124"/>
      <c r="CS259" s="124"/>
      <c r="CT259" s="124"/>
      <c r="CU259" s="124"/>
      <c r="CV259" s="124"/>
      <c r="CW259" s="124"/>
      <c r="CX259" s="124"/>
      <c r="CY259" s="124"/>
      <c r="CZ259" s="124"/>
      <c r="DA259" s="124"/>
      <c r="DB259" s="124"/>
      <c r="DC259" s="124"/>
      <c r="DD259" s="124"/>
      <c r="DE259" s="124"/>
      <c r="DF259" s="124"/>
      <c r="DG259" s="124"/>
      <c r="DH259" s="124"/>
      <c r="DI259" s="124"/>
      <c r="DJ259" s="124"/>
      <c r="DK259" s="124"/>
      <c r="DL259" s="124"/>
      <c r="DM259" s="124"/>
      <c r="DN259" s="124"/>
      <c r="DO259" s="124"/>
      <c r="DP259" s="124"/>
      <c r="DQ259" s="124"/>
      <c r="DR259" s="124"/>
      <c r="DS259" s="124"/>
      <c r="DT259" s="124"/>
      <c r="DU259" s="124"/>
      <c r="DV259" s="124"/>
      <c r="DW259" s="124"/>
      <c r="DX259" s="124"/>
      <c r="DY259" s="124"/>
      <c r="DZ259" s="124"/>
      <c r="EA259" s="124"/>
      <c r="EB259" s="124"/>
      <c r="EC259" s="124"/>
      <c r="ED259" s="124"/>
      <c r="EE259" s="124"/>
      <c r="EF259" s="124"/>
      <c r="EG259" s="124"/>
      <c r="EH259" s="124"/>
      <c r="EI259" s="124"/>
      <c r="EJ259" s="124"/>
      <c r="EK259" s="124"/>
      <c r="EL259" s="124"/>
      <c r="EM259" s="124"/>
      <c r="EN259" s="124"/>
      <c r="EO259" s="124"/>
      <c r="EP259" s="124"/>
      <c r="EQ259" s="124"/>
      <c r="ER259" s="124"/>
      <c r="ES259" s="124"/>
      <c r="ET259" s="124"/>
      <c r="EU259" s="124"/>
      <c r="EV259" s="124"/>
      <c r="EW259" s="124"/>
      <c r="EX259" s="124"/>
      <c r="EY259" s="124"/>
      <c r="EZ259" s="124"/>
      <c r="FA259" s="124"/>
      <c r="FB259" s="124"/>
      <c r="FC259" s="124"/>
      <c r="FD259" s="124"/>
      <c r="FE259" s="124"/>
      <c r="FF259" s="124"/>
      <c r="FG259" s="124"/>
      <c r="FH259" s="124"/>
      <c r="FI259" s="124"/>
      <c r="FJ259" s="124"/>
      <c r="FK259" s="124"/>
      <c r="FL259" s="124"/>
      <c r="FM259" s="124"/>
      <c r="FN259" s="124"/>
      <c r="FO259" s="124"/>
      <c r="FP259" s="124"/>
      <c r="FQ259" s="124"/>
      <c r="FR259" s="124"/>
      <c r="FS259" s="124"/>
      <c r="FT259" s="124"/>
      <c r="FU259" s="124"/>
      <c r="FV259" s="124"/>
      <c r="FW259" s="124"/>
      <c r="FX259" s="124"/>
      <c r="FY259" s="124"/>
      <c r="FZ259" s="124"/>
      <c r="GA259" s="124"/>
      <c r="GB259" s="124"/>
      <c r="GC259" s="124"/>
      <c r="GD259" s="124"/>
      <c r="GE259" s="124"/>
      <c r="GF259" s="124"/>
      <c r="GG259" s="124"/>
      <c r="GH259" s="124"/>
      <c r="GI259" s="124"/>
      <c r="GJ259" s="124"/>
      <c r="GK259" s="124"/>
      <c r="GL259" s="124"/>
      <c r="GM259" s="124"/>
      <c r="GN259" s="124"/>
      <c r="GO259" s="124"/>
      <c r="GP259" s="124"/>
      <c r="GQ259" s="124"/>
      <c r="GR259" s="124"/>
      <c r="GS259" s="124"/>
      <c r="GT259" s="124"/>
      <c r="GU259" s="124"/>
      <c r="GV259" s="124"/>
      <c r="GW259" s="124"/>
      <c r="GX259" s="124"/>
      <c r="GY259" s="124"/>
      <c r="GZ259" s="124"/>
      <c r="HA259" s="124"/>
      <c r="HB259" s="124"/>
      <c r="HC259" s="124"/>
      <c r="HD259" s="124"/>
      <c r="HE259" s="124"/>
      <c r="HF259" s="124"/>
      <c r="HG259" s="124"/>
      <c r="HH259" s="124"/>
      <c r="HI259" s="124"/>
      <c r="HJ259" s="124"/>
      <c r="HK259" s="124"/>
      <c r="HL259" s="124"/>
      <c r="HM259" s="124"/>
      <c r="HN259" s="124"/>
      <c r="HO259" s="124"/>
      <c r="HP259" s="124"/>
      <c r="HQ259" s="124"/>
    </row>
    <row r="260" spans="1:225" x14ac:dyDescent="0.2">
      <c r="A260" s="122" t="s">
        <v>891</v>
      </c>
      <c r="B260" s="123">
        <v>31</v>
      </c>
      <c r="C260" s="124" t="s">
        <v>419</v>
      </c>
      <c r="D260" s="123">
        <v>251</v>
      </c>
      <c r="E260" s="124" t="s">
        <v>361</v>
      </c>
      <c r="F260" s="123">
        <v>3</v>
      </c>
      <c r="G260" s="123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  <c r="BJ260" s="124"/>
      <c r="BK260" s="124"/>
      <c r="BL260" s="124"/>
      <c r="BM260" s="124"/>
      <c r="BN260" s="124"/>
      <c r="BO260" s="124"/>
      <c r="BP260" s="124"/>
      <c r="BQ260" s="124"/>
      <c r="BR260" s="124"/>
      <c r="BS260" s="124"/>
      <c r="BT260" s="124"/>
      <c r="BU260" s="124"/>
      <c r="BV260" s="124"/>
      <c r="BW260" s="124"/>
      <c r="BX260" s="124"/>
      <c r="BY260" s="124"/>
      <c r="BZ260" s="124"/>
      <c r="CA260" s="124"/>
      <c r="CB260" s="124"/>
      <c r="CC260" s="124"/>
      <c r="CD260" s="124"/>
      <c r="CE260" s="124"/>
      <c r="CF260" s="124"/>
      <c r="CG260" s="124"/>
      <c r="CH260" s="124"/>
      <c r="CI260" s="124"/>
      <c r="CJ260" s="124"/>
      <c r="CK260" s="124"/>
      <c r="CL260" s="124"/>
      <c r="CM260" s="124"/>
      <c r="CN260" s="124"/>
      <c r="CO260" s="124"/>
      <c r="CP260" s="124"/>
      <c r="CQ260" s="124"/>
      <c r="CR260" s="124"/>
      <c r="CS260" s="124"/>
      <c r="CT260" s="124"/>
      <c r="CU260" s="124"/>
      <c r="CV260" s="124"/>
      <c r="CW260" s="124"/>
      <c r="CX260" s="124"/>
      <c r="CY260" s="124"/>
      <c r="CZ260" s="124"/>
      <c r="DA260" s="124"/>
      <c r="DB260" s="124"/>
      <c r="DC260" s="124"/>
      <c r="DD260" s="124"/>
      <c r="DE260" s="124"/>
      <c r="DF260" s="124"/>
      <c r="DG260" s="124"/>
      <c r="DH260" s="124"/>
      <c r="DI260" s="124"/>
      <c r="DJ260" s="124"/>
      <c r="DK260" s="124"/>
      <c r="DL260" s="124"/>
      <c r="DM260" s="124"/>
      <c r="DN260" s="124"/>
      <c r="DO260" s="124"/>
      <c r="DP260" s="124"/>
      <c r="DQ260" s="124"/>
      <c r="DR260" s="124"/>
      <c r="DS260" s="124"/>
      <c r="DT260" s="124"/>
      <c r="DU260" s="124"/>
      <c r="DV260" s="124"/>
      <c r="DW260" s="124"/>
      <c r="DX260" s="124"/>
      <c r="DY260" s="124"/>
      <c r="DZ260" s="124"/>
      <c r="EA260" s="124"/>
      <c r="EB260" s="124"/>
      <c r="EC260" s="124"/>
      <c r="ED260" s="124"/>
      <c r="EE260" s="124"/>
      <c r="EF260" s="124"/>
      <c r="EG260" s="124"/>
      <c r="EH260" s="124"/>
      <c r="EI260" s="124"/>
      <c r="EJ260" s="124"/>
      <c r="EK260" s="124"/>
      <c r="EL260" s="124"/>
      <c r="EM260" s="124"/>
      <c r="EN260" s="124"/>
      <c r="EO260" s="124"/>
      <c r="EP260" s="124"/>
      <c r="EQ260" s="124"/>
      <c r="ER260" s="124"/>
      <c r="ES260" s="124"/>
      <c r="ET260" s="124"/>
      <c r="EU260" s="124"/>
      <c r="EV260" s="124"/>
      <c r="EW260" s="124"/>
      <c r="EX260" s="124"/>
      <c r="EY260" s="124"/>
      <c r="EZ260" s="124"/>
      <c r="FA260" s="124"/>
      <c r="FB260" s="124"/>
      <c r="FC260" s="124"/>
      <c r="FD260" s="124"/>
      <c r="FE260" s="124"/>
      <c r="FF260" s="124"/>
      <c r="FG260" s="124"/>
      <c r="FH260" s="124"/>
      <c r="FI260" s="124"/>
      <c r="FJ260" s="124"/>
      <c r="FK260" s="124"/>
      <c r="FL260" s="124"/>
      <c r="FM260" s="124"/>
      <c r="FN260" s="124"/>
      <c r="FO260" s="124"/>
      <c r="FP260" s="124"/>
      <c r="FQ260" s="124"/>
      <c r="FR260" s="124"/>
      <c r="FS260" s="124"/>
      <c r="FT260" s="124"/>
      <c r="FU260" s="124"/>
      <c r="FV260" s="124"/>
      <c r="FW260" s="124"/>
      <c r="FX260" s="124"/>
      <c r="FY260" s="124"/>
      <c r="FZ260" s="124"/>
      <c r="GA260" s="124"/>
      <c r="GB260" s="124"/>
      <c r="GC260" s="124"/>
      <c r="GD260" s="124"/>
      <c r="GE260" s="124"/>
      <c r="GF260" s="124"/>
      <c r="GG260" s="124"/>
      <c r="GH260" s="124"/>
      <c r="GI260" s="124"/>
      <c r="GJ260" s="124"/>
      <c r="GK260" s="124"/>
      <c r="GL260" s="124"/>
      <c r="GM260" s="124"/>
      <c r="GN260" s="124"/>
      <c r="GO260" s="124"/>
      <c r="GP260" s="124"/>
      <c r="GQ260" s="124"/>
      <c r="GR260" s="124"/>
      <c r="GS260" s="124"/>
      <c r="GT260" s="124"/>
      <c r="GU260" s="124"/>
      <c r="GV260" s="124"/>
      <c r="GW260" s="124"/>
      <c r="GX260" s="124"/>
      <c r="GY260" s="124"/>
      <c r="GZ260" s="124"/>
      <c r="HA260" s="124"/>
      <c r="HB260" s="124"/>
      <c r="HC260" s="124"/>
      <c r="HD260" s="124"/>
      <c r="HE260" s="124"/>
      <c r="HF260" s="124"/>
      <c r="HG260" s="124"/>
      <c r="HH260" s="124"/>
      <c r="HI260" s="124"/>
      <c r="HJ260" s="124"/>
      <c r="HK260" s="124"/>
      <c r="HL260" s="124"/>
      <c r="HM260" s="124"/>
      <c r="HN260" s="124"/>
      <c r="HO260" s="124"/>
      <c r="HP260" s="124"/>
      <c r="HQ260" s="124"/>
    </row>
    <row r="261" spans="1:225" x14ac:dyDescent="0.2">
      <c r="A261" s="122" t="s">
        <v>892</v>
      </c>
      <c r="B261" s="123">
        <v>31</v>
      </c>
      <c r="C261" s="124" t="s">
        <v>420</v>
      </c>
      <c r="D261" s="123">
        <v>252</v>
      </c>
      <c r="E261" s="124" t="s">
        <v>361</v>
      </c>
      <c r="F261" s="123">
        <v>2</v>
      </c>
      <c r="G261" s="123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  <c r="AV261" s="124"/>
      <c r="AW261" s="124"/>
      <c r="AX261" s="124"/>
      <c r="AY261" s="124"/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  <c r="BJ261" s="124"/>
      <c r="BK261" s="124"/>
      <c r="BL261" s="124"/>
      <c r="BM261" s="124"/>
      <c r="BN261" s="124"/>
      <c r="BO261" s="124"/>
      <c r="BP261" s="124"/>
      <c r="BQ261" s="124"/>
      <c r="BR261" s="124"/>
      <c r="BS261" s="124"/>
      <c r="BT261" s="124"/>
      <c r="BU261" s="124"/>
      <c r="BV261" s="124"/>
      <c r="BW261" s="124"/>
      <c r="BX261" s="124"/>
      <c r="BY261" s="124"/>
      <c r="BZ261" s="124"/>
      <c r="CA261" s="124"/>
      <c r="CB261" s="124"/>
      <c r="CC261" s="124"/>
      <c r="CD261" s="124"/>
      <c r="CE261" s="124"/>
      <c r="CF261" s="124"/>
      <c r="CG261" s="124"/>
      <c r="CH261" s="124"/>
      <c r="CI261" s="124"/>
      <c r="CJ261" s="124"/>
      <c r="CK261" s="124"/>
      <c r="CL261" s="124"/>
      <c r="CM261" s="124"/>
      <c r="CN261" s="124"/>
      <c r="CO261" s="124"/>
      <c r="CP261" s="124"/>
      <c r="CQ261" s="124"/>
      <c r="CR261" s="124"/>
      <c r="CS261" s="124"/>
      <c r="CT261" s="124"/>
      <c r="CU261" s="124"/>
      <c r="CV261" s="124"/>
      <c r="CW261" s="124"/>
      <c r="CX261" s="124"/>
      <c r="CY261" s="124"/>
      <c r="CZ261" s="124"/>
      <c r="DA261" s="124"/>
      <c r="DB261" s="124"/>
      <c r="DC261" s="124"/>
      <c r="DD261" s="124"/>
      <c r="DE261" s="124"/>
      <c r="DF261" s="124"/>
      <c r="DG261" s="124"/>
      <c r="DH261" s="124"/>
      <c r="DI261" s="124"/>
      <c r="DJ261" s="124"/>
      <c r="DK261" s="124"/>
      <c r="DL261" s="124"/>
      <c r="DM261" s="124"/>
      <c r="DN261" s="124"/>
      <c r="DO261" s="124"/>
      <c r="DP261" s="124"/>
      <c r="DQ261" s="124"/>
      <c r="DR261" s="124"/>
      <c r="DS261" s="124"/>
      <c r="DT261" s="124"/>
      <c r="DU261" s="124"/>
      <c r="DV261" s="124"/>
      <c r="DW261" s="124"/>
      <c r="DX261" s="124"/>
      <c r="DY261" s="124"/>
      <c r="DZ261" s="124"/>
      <c r="EA261" s="124"/>
      <c r="EB261" s="124"/>
      <c r="EC261" s="124"/>
      <c r="ED261" s="124"/>
      <c r="EE261" s="124"/>
      <c r="EF261" s="124"/>
      <c r="EG261" s="124"/>
      <c r="EH261" s="124"/>
      <c r="EI261" s="124"/>
      <c r="EJ261" s="124"/>
      <c r="EK261" s="124"/>
      <c r="EL261" s="124"/>
      <c r="EM261" s="124"/>
      <c r="EN261" s="124"/>
      <c r="EO261" s="124"/>
      <c r="EP261" s="124"/>
      <c r="EQ261" s="124"/>
      <c r="ER261" s="124"/>
      <c r="ES261" s="124"/>
      <c r="ET261" s="124"/>
      <c r="EU261" s="124"/>
      <c r="EV261" s="124"/>
      <c r="EW261" s="124"/>
      <c r="EX261" s="124"/>
      <c r="EY261" s="124"/>
      <c r="EZ261" s="124"/>
      <c r="FA261" s="124"/>
      <c r="FB261" s="124"/>
      <c r="FC261" s="124"/>
      <c r="FD261" s="124"/>
      <c r="FE261" s="124"/>
      <c r="FF261" s="124"/>
      <c r="FG261" s="124"/>
      <c r="FH261" s="124"/>
      <c r="FI261" s="124"/>
      <c r="FJ261" s="124"/>
      <c r="FK261" s="124"/>
      <c r="FL261" s="124"/>
      <c r="FM261" s="124"/>
      <c r="FN261" s="124"/>
      <c r="FO261" s="124"/>
      <c r="FP261" s="124"/>
      <c r="FQ261" s="124"/>
      <c r="FR261" s="124"/>
      <c r="FS261" s="124"/>
      <c r="FT261" s="124"/>
      <c r="FU261" s="124"/>
      <c r="FV261" s="124"/>
      <c r="FW261" s="124"/>
      <c r="FX261" s="124"/>
      <c r="FY261" s="124"/>
      <c r="FZ261" s="124"/>
      <c r="GA261" s="124"/>
      <c r="GB261" s="124"/>
      <c r="GC261" s="124"/>
      <c r="GD261" s="124"/>
      <c r="GE261" s="124"/>
      <c r="GF261" s="124"/>
      <c r="GG261" s="124"/>
      <c r="GH261" s="124"/>
      <c r="GI261" s="124"/>
      <c r="GJ261" s="124"/>
      <c r="GK261" s="124"/>
      <c r="GL261" s="124"/>
      <c r="GM261" s="124"/>
      <c r="GN261" s="124"/>
      <c r="GO261" s="124"/>
      <c r="GP261" s="124"/>
      <c r="GQ261" s="124"/>
      <c r="GR261" s="124"/>
      <c r="GS261" s="124"/>
      <c r="GT261" s="124"/>
      <c r="GU261" s="124"/>
      <c r="GV261" s="124"/>
      <c r="GW261" s="124"/>
      <c r="GX261" s="124"/>
      <c r="GY261" s="124"/>
      <c r="GZ261" s="124"/>
      <c r="HA261" s="124"/>
      <c r="HB261" s="124"/>
      <c r="HC261" s="124"/>
      <c r="HD261" s="124"/>
      <c r="HE261" s="124"/>
      <c r="HF261" s="124"/>
      <c r="HG261" s="124"/>
      <c r="HH261" s="124"/>
      <c r="HI261" s="124"/>
      <c r="HJ261" s="124"/>
      <c r="HK261" s="124"/>
      <c r="HL261" s="124"/>
      <c r="HM261" s="124"/>
      <c r="HN261" s="124"/>
      <c r="HO261" s="124"/>
      <c r="HP261" s="124"/>
      <c r="HQ261" s="124"/>
    </row>
    <row r="262" spans="1:225" x14ac:dyDescent="0.2">
      <c r="A262" s="122" t="s">
        <v>893</v>
      </c>
      <c r="B262" s="123">
        <v>32</v>
      </c>
      <c r="C262" s="124" t="s">
        <v>421</v>
      </c>
      <c r="D262" s="123">
        <v>253</v>
      </c>
      <c r="E262" s="124" t="s">
        <v>361</v>
      </c>
      <c r="F262" s="123">
        <v>3</v>
      </c>
      <c r="G262" s="123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  <c r="AV262" s="124"/>
      <c r="AW262" s="124"/>
      <c r="AX262" s="124"/>
      <c r="AY262" s="124"/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  <c r="BJ262" s="124"/>
      <c r="BK262" s="124"/>
      <c r="BL262" s="124"/>
      <c r="BM262" s="124"/>
      <c r="BN262" s="124"/>
      <c r="BO262" s="124"/>
      <c r="BP262" s="124"/>
      <c r="BQ262" s="124"/>
      <c r="BR262" s="124"/>
      <c r="BS262" s="124"/>
      <c r="BT262" s="124"/>
      <c r="BU262" s="124"/>
      <c r="BV262" s="124"/>
      <c r="BW262" s="124"/>
      <c r="BX262" s="124"/>
      <c r="BY262" s="124"/>
      <c r="BZ262" s="124"/>
      <c r="CA262" s="124"/>
      <c r="CB262" s="124"/>
      <c r="CC262" s="124"/>
      <c r="CD262" s="124"/>
      <c r="CE262" s="124"/>
      <c r="CF262" s="124"/>
      <c r="CG262" s="124"/>
      <c r="CH262" s="124"/>
      <c r="CI262" s="124"/>
      <c r="CJ262" s="124"/>
      <c r="CK262" s="124"/>
      <c r="CL262" s="124"/>
      <c r="CM262" s="124"/>
      <c r="CN262" s="124"/>
      <c r="CO262" s="124"/>
      <c r="CP262" s="124"/>
      <c r="CQ262" s="124"/>
      <c r="CR262" s="124"/>
      <c r="CS262" s="124"/>
      <c r="CT262" s="124"/>
      <c r="CU262" s="124"/>
      <c r="CV262" s="124"/>
      <c r="CW262" s="124"/>
      <c r="CX262" s="124"/>
      <c r="CY262" s="124"/>
      <c r="CZ262" s="124"/>
      <c r="DA262" s="124"/>
      <c r="DB262" s="124"/>
      <c r="DC262" s="124"/>
      <c r="DD262" s="124"/>
      <c r="DE262" s="124"/>
      <c r="DF262" s="124"/>
      <c r="DG262" s="124"/>
      <c r="DH262" s="124"/>
      <c r="DI262" s="124"/>
      <c r="DJ262" s="124"/>
      <c r="DK262" s="124"/>
      <c r="DL262" s="124"/>
      <c r="DM262" s="124"/>
      <c r="DN262" s="124"/>
      <c r="DO262" s="124"/>
      <c r="DP262" s="124"/>
      <c r="DQ262" s="124"/>
      <c r="DR262" s="124"/>
      <c r="DS262" s="124"/>
      <c r="DT262" s="124"/>
      <c r="DU262" s="124"/>
      <c r="DV262" s="124"/>
      <c r="DW262" s="124"/>
      <c r="DX262" s="124"/>
      <c r="DY262" s="124"/>
      <c r="DZ262" s="124"/>
      <c r="EA262" s="124"/>
      <c r="EB262" s="124"/>
      <c r="EC262" s="124"/>
      <c r="ED262" s="124"/>
      <c r="EE262" s="124"/>
      <c r="EF262" s="124"/>
      <c r="EG262" s="124"/>
      <c r="EH262" s="124"/>
      <c r="EI262" s="124"/>
      <c r="EJ262" s="124"/>
      <c r="EK262" s="124"/>
      <c r="EL262" s="124"/>
      <c r="EM262" s="124"/>
      <c r="EN262" s="124"/>
      <c r="EO262" s="124"/>
      <c r="EP262" s="124"/>
      <c r="EQ262" s="124"/>
      <c r="ER262" s="124"/>
      <c r="ES262" s="124"/>
      <c r="ET262" s="124"/>
      <c r="EU262" s="124"/>
      <c r="EV262" s="124"/>
      <c r="EW262" s="124"/>
      <c r="EX262" s="124"/>
      <c r="EY262" s="124"/>
      <c r="EZ262" s="124"/>
      <c r="FA262" s="124"/>
      <c r="FB262" s="124"/>
      <c r="FC262" s="124"/>
      <c r="FD262" s="124"/>
      <c r="FE262" s="124"/>
      <c r="FF262" s="124"/>
      <c r="FG262" s="124"/>
      <c r="FH262" s="124"/>
      <c r="FI262" s="124"/>
      <c r="FJ262" s="124"/>
      <c r="FK262" s="124"/>
      <c r="FL262" s="124"/>
      <c r="FM262" s="124"/>
      <c r="FN262" s="124"/>
      <c r="FO262" s="124"/>
      <c r="FP262" s="124"/>
      <c r="FQ262" s="124"/>
      <c r="FR262" s="124"/>
      <c r="FS262" s="124"/>
      <c r="FT262" s="124"/>
      <c r="FU262" s="124"/>
      <c r="FV262" s="124"/>
      <c r="FW262" s="124"/>
      <c r="FX262" s="124"/>
      <c r="FY262" s="124"/>
      <c r="FZ262" s="124"/>
      <c r="GA262" s="124"/>
      <c r="GB262" s="124"/>
      <c r="GC262" s="124"/>
      <c r="GD262" s="124"/>
      <c r="GE262" s="124"/>
      <c r="GF262" s="124"/>
      <c r="GG262" s="124"/>
      <c r="GH262" s="124"/>
      <c r="GI262" s="124"/>
      <c r="GJ262" s="124"/>
      <c r="GK262" s="124"/>
      <c r="GL262" s="124"/>
      <c r="GM262" s="124"/>
      <c r="GN262" s="124"/>
      <c r="GO262" s="124"/>
      <c r="GP262" s="124"/>
      <c r="GQ262" s="124"/>
      <c r="GR262" s="124"/>
      <c r="GS262" s="124"/>
      <c r="GT262" s="124"/>
      <c r="GU262" s="124"/>
      <c r="GV262" s="124"/>
      <c r="GW262" s="124"/>
      <c r="GX262" s="124"/>
      <c r="GY262" s="124"/>
      <c r="GZ262" s="124"/>
      <c r="HA262" s="124"/>
      <c r="HB262" s="124"/>
      <c r="HC262" s="124"/>
      <c r="HD262" s="124"/>
      <c r="HE262" s="124"/>
      <c r="HF262" s="124"/>
      <c r="HG262" s="124"/>
      <c r="HH262" s="124"/>
      <c r="HI262" s="124"/>
      <c r="HJ262" s="124"/>
      <c r="HK262" s="124"/>
      <c r="HL262" s="124"/>
      <c r="HM262" s="124"/>
      <c r="HN262" s="124"/>
      <c r="HO262" s="124"/>
      <c r="HP262" s="124"/>
      <c r="HQ262" s="124"/>
    </row>
    <row r="263" spans="1:225" x14ac:dyDescent="0.2">
      <c r="A263" s="122" t="s">
        <v>894</v>
      </c>
      <c r="B263" s="123">
        <v>32</v>
      </c>
      <c r="C263" s="124" t="s">
        <v>422</v>
      </c>
      <c r="D263" s="123">
        <v>254</v>
      </c>
      <c r="E263" s="124" t="s">
        <v>361</v>
      </c>
      <c r="F263" s="123">
        <v>4</v>
      </c>
      <c r="G263" s="123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  <c r="BJ263" s="124"/>
      <c r="BK263" s="124"/>
      <c r="BL263" s="124"/>
      <c r="BM263" s="124"/>
      <c r="BN263" s="124"/>
      <c r="BO263" s="124"/>
      <c r="BP263" s="124"/>
      <c r="BQ263" s="124"/>
      <c r="BR263" s="124"/>
      <c r="BS263" s="124"/>
      <c r="BT263" s="124"/>
      <c r="BU263" s="124"/>
      <c r="BV263" s="124"/>
      <c r="BW263" s="124"/>
      <c r="BX263" s="124"/>
      <c r="BY263" s="124"/>
      <c r="BZ263" s="124"/>
      <c r="CA263" s="124"/>
      <c r="CB263" s="124"/>
      <c r="CC263" s="124"/>
      <c r="CD263" s="124"/>
      <c r="CE263" s="124"/>
      <c r="CF263" s="124"/>
      <c r="CG263" s="124"/>
      <c r="CH263" s="124"/>
      <c r="CI263" s="124"/>
      <c r="CJ263" s="124"/>
      <c r="CK263" s="124"/>
      <c r="CL263" s="124"/>
      <c r="CM263" s="124"/>
      <c r="CN263" s="124"/>
      <c r="CO263" s="124"/>
      <c r="CP263" s="124"/>
      <c r="CQ263" s="124"/>
      <c r="CR263" s="124"/>
      <c r="CS263" s="124"/>
      <c r="CT263" s="124"/>
      <c r="CU263" s="124"/>
      <c r="CV263" s="124"/>
      <c r="CW263" s="124"/>
      <c r="CX263" s="124"/>
      <c r="CY263" s="124"/>
      <c r="CZ263" s="124"/>
      <c r="DA263" s="124"/>
      <c r="DB263" s="124"/>
      <c r="DC263" s="124"/>
      <c r="DD263" s="124"/>
      <c r="DE263" s="124"/>
      <c r="DF263" s="124"/>
      <c r="DG263" s="124"/>
      <c r="DH263" s="124"/>
      <c r="DI263" s="124"/>
      <c r="DJ263" s="124"/>
      <c r="DK263" s="124"/>
      <c r="DL263" s="124"/>
      <c r="DM263" s="124"/>
      <c r="DN263" s="124"/>
      <c r="DO263" s="124"/>
      <c r="DP263" s="124"/>
      <c r="DQ263" s="124"/>
      <c r="DR263" s="124"/>
      <c r="DS263" s="124"/>
      <c r="DT263" s="124"/>
      <c r="DU263" s="124"/>
      <c r="DV263" s="124"/>
      <c r="DW263" s="124"/>
      <c r="DX263" s="124"/>
      <c r="DY263" s="124"/>
      <c r="DZ263" s="124"/>
      <c r="EA263" s="124"/>
      <c r="EB263" s="124"/>
      <c r="EC263" s="124"/>
      <c r="ED263" s="124"/>
      <c r="EE263" s="124"/>
      <c r="EF263" s="124"/>
      <c r="EG263" s="124"/>
      <c r="EH263" s="124"/>
      <c r="EI263" s="124"/>
      <c r="EJ263" s="124"/>
      <c r="EK263" s="124"/>
      <c r="EL263" s="124"/>
      <c r="EM263" s="124"/>
      <c r="EN263" s="124"/>
      <c r="EO263" s="124"/>
      <c r="EP263" s="124"/>
      <c r="EQ263" s="124"/>
      <c r="ER263" s="124"/>
      <c r="ES263" s="124"/>
      <c r="ET263" s="124"/>
      <c r="EU263" s="124"/>
      <c r="EV263" s="124"/>
      <c r="EW263" s="124"/>
      <c r="EX263" s="124"/>
      <c r="EY263" s="124"/>
      <c r="EZ263" s="124"/>
      <c r="FA263" s="124"/>
      <c r="FB263" s="124"/>
      <c r="FC263" s="124"/>
      <c r="FD263" s="124"/>
      <c r="FE263" s="124"/>
      <c r="FF263" s="124"/>
      <c r="FG263" s="124"/>
      <c r="FH263" s="124"/>
      <c r="FI263" s="124"/>
      <c r="FJ263" s="124"/>
      <c r="FK263" s="124"/>
      <c r="FL263" s="124"/>
      <c r="FM263" s="124"/>
      <c r="FN263" s="124"/>
      <c r="FO263" s="124"/>
      <c r="FP263" s="124"/>
      <c r="FQ263" s="124"/>
      <c r="FR263" s="124"/>
      <c r="FS263" s="124"/>
      <c r="FT263" s="124"/>
      <c r="FU263" s="124"/>
      <c r="FV263" s="124"/>
      <c r="FW263" s="124"/>
      <c r="FX263" s="124"/>
      <c r="FY263" s="124"/>
      <c r="FZ263" s="124"/>
      <c r="GA263" s="124"/>
      <c r="GB263" s="124"/>
      <c r="GC263" s="124"/>
      <c r="GD263" s="124"/>
      <c r="GE263" s="124"/>
      <c r="GF263" s="124"/>
      <c r="GG263" s="124"/>
      <c r="GH263" s="124"/>
      <c r="GI263" s="124"/>
      <c r="GJ263" s="124"/>
      <c r="GK263" s="124"/>
      <c r="GL263" s="124"/>
      <c r="GM263" s="124"/>
      <c r="GN263" s="124"/>
      <c r="GO263" s="124"/>
      <c r="GP263" s="124"/>
      <c r="GQ263" s="124"/>
      <c r="GR263" s="124"/>
      <c r="GS263" s="124"/>
      <c r="GT263" s="124"/>
      <c r="GU263" s="124"/>
      <c r="GV263" s="124"/>
      <c r="GW263" s="124"/>
      <c r="GX263" s="124"/>
      <c r="GY263" s="124"/>
      <c r="GZ263" s="124"/>
      <c r="HA263" s="124"/>
      <c r="HB263" s="124"/>
      <c r="HC263" s="124"/>
      <c r="HD263" s="124"/>
      <c r="HE263" s="124"/>
      <c r="HF263" s="124"/>
      <c r="HG263" s="124"/>
      <c r="HH263" s="124"/>
      <c r="HI263" s="124"/>
      <c r="HJ263" s="124"/>
      <c r="HK263" s="124"/>
      <c r="HL263" s="124"/>
      <c r="HM263" s="124"/>
      <c r="HN263" s="124"/>
      <c r="HO263" s="124"/>
      <c r="HP263" s="124"/>
      <c r="HQ263" s="124"/>
    </row>
    <row r="264" spans="1:225" x14ac:dyDescent="0.2">
      <c r="A264" s="122" t="s">
        <v>895</v>
      </c>
      <c r="B264" s="123">
        <v>33</v>
      </c>
      <c r="C264" s="124" t="s">
        <v>423</v>
      </c>
      <c r="D264" s="123">
        <v>255</v>
      </c>
      <c r="E264" s="124" t="s">
        <v>361</v>
      </c>
      <c r="F264" s="123">
        <v>3</v>
      </c>
      <c r="G264" s="123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  <c r="AV264" s="124"/>
      <c r="AW264" s="124"/>
      <c r="AX264" s="124"/>
      <c r="AY264" s="124"/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  <c r="BJ264" s="124"/>
      <c r="BK264" s="124"/>
      <c r="BL264" s="124"/>
      <c r="BM264" s="124"/>
      <c r="BN264" s="124"/>
      <c r="BO264" s="124"/>
      <c r="BP264" s="124"/>
      <c r="BQ264" s="124"/>
      <c r="BR264" s="124"/>
      <c r="BS264" s="124"/>
      <c r="BT264" s="124"/>
      <c r="BU264" s="124"/>
      <c r="BV264" s="124"/>
      <c r="BW264" s="124"/>
      <c r="BX264" s="124"/>
      <c r="BY264" s="124"/>
      <c r="BZ264" s="124"/>
      <c r="CA264" s="124"/>
      <c r="CB264" s="124"/>
      <c r="CC264" s="124"/>
      <c r="CD264" s="124"/>
      <c r="CE264" s="124"/>
      <c r="CF264" s="124"/>
      <c r="CG264" s="124"/>
      <c r="CH264" s="124"/>
      <c r="CI264" s="124"/>
      <c r="CJ264" s="124"/>
      <c r="CK264" s="124"/>
      <c r="CL264" s="124"/>
      <c r="CM264" s="124"/>
      <c r="CN264" s="124"/>
      <c r="CO264" s="124"/>
      <c r="CP264" s="124"/>
      <c r="CQ264" s="124"/>
      <c r="CR264" s="124"/>
      <c r="CS264" s="124"/>
      <c r="CT264" s="124"/>
      <c r="CU264" s="124"/>
      <c r="CV264" s="124"/>
      <c r="CW264" s="124"/>
      <c r="CX264" s="124"/>
      <c r="CY264" s="124"/>
      <c r="CZ264" s="124"/>
      <c r="DA264" s="124"/>
      <c r="DB264" s="124"/>
      <c r="DC264" s="124"/>
      <c r="DD264" s="124"/>
      <c r="DE264" s="124"/>
      <c r="DF264" s="124"/>
      <c r="DG264" s="124"/>
      <c r="DH264" s="124"/>
      <c r="DI264" s="124"/>
      <c r="DJ264" s="124"/>
      <c r="DK264" s="124"/>
      <c r="DL264" s="124"/>
      <c r="DM264" s="124"/>
      <c r="DN264" s="124"/>
      <c r="DO264" s="124"/>
      <c r="DP264" s="124"/>
      <c r="DQ264" s="124"/>
      <c r="DR264" s="124"/>
      <c r="DS264" s="124"/>
      <c r="DT264" s="124"/>
      <c r="DU264" s="124"/>
      <c r="DV264" s="124"/>
      <c r="DW264" s="124"/>
      <c r="DX264" s="124"/>
      <c r="DY264" s="124"/>
      <c r="DZ264" s="124"/>
      <c r="EA264" s="124"/>
      <c r="EB264" s="124"/>
      <c r="EC264" s="124"/>
      <c r="ED264" s="124"/>
      <c r="EE264" s="124"/>
      <c r="EF264" s="124"/>
      <c r="EG264" s="124"/>
      <c r="EH264" s="124"/>
      <c r="EI264" s="124"/>
      <c r="EJ264" s="124"/>
      <c r="EK264" s="124"/>
      <c r="EL264" s="124"/>
      <c r="EM264" s="124"/>
      <c r="EN264" s="124"/>
      <c r="EO264" s="124"/>
      <c r="EP264" s="124"/>
      <c r="EQ264" s="124"/>
      <c r="ER264" s="124"/>
      <c r="ES264" s="124"/>
      <c r="ET264" s="124"/>
      <c r="EU264" s="124"/>
      <c r="EV264" s="124"/>
      <c r="EW264" s="124"/>
      <c r="EX264" s="124"/>
      <c r="EY264" s="124"/>
      <c r="EZ264" s="124"/>
      <c r="FA264" s="124"/>
      <c r="FB264" s="124"/>
      <c r="FC264" s="124"/>
      <c r="FD264" s="124"/>
      <c r="FE264" s="124"/>
      <c r="FF264" s="124"/>
      <c r="FG264" s="124"/>
      <c r="FH264" s="124"/>
      <c r="FI264" s="124"/>
      <c r="FJ264" s="124"/>
      <c r="FK264" s="124"/>
      <c r="FL264" s="124"/>
      <c r="FM264" s="124"/>
      <c r="FN264" s="124"/>
      <c r="FO264" s="124"/>
      <c r="FP264" s="124"/>
      <c r="FQ264" s="124"/>
      <c r="FR264" s="124"/>
      <c r="FS264" s="124"/>
      <c r="FT264" s="124"/>
      <c r="FU264" s="124"/>
      <c r="FV264" s="124"/>
      <c r="FW264" s="124"/>
      <c r="FX264" s="124"/>
      <c r="FY264" s="124"/>
      <c r="FZ264" s="124"/>
      <c r="GA264" s="124"/>
      <c r="GB264" s="124"/>
      <c r="GC264" s="124"/>
      <c r="GD264" s="124"/>
      <c r="GE264" s="124"/>
      <c r="GF264" s="124"/>
      <c r="GG264" s="124"/>
      <c r="GH264" s="124"/>
      <c r="GI264" s="124"/>
      <c r="GJ264" s="124"/>
      <c r="GK264" s="124"/>
      <c r="GL264" s="124"/>
      <c r="GM264" s="124"/>
      <c r="GN264" s="124"/>
      <c r="GO264" s="124"/>
      <c r="GP264" s="124"/>
      <c r="GQ264" s="124"/>
      <c r="GR264" s="124"/>
      <c r="GS264" s="124"/>
      <c r="GT264" s="124"/>
      <c r="GU264" s="124"/>
      <c r="GV264" s="124"/>
      <c r="GW264" s="124"/>
      <c r="GX264" s="124"/>
      <c r="GY264" s="124"/>
      <c r="GZ264" s="124"/>
      <c r="HA264" s="124"/>
      <c r="HB264" s="124"/>
      <c r="HC264" s="124"/>
      <c r="HD264" s="124"/>
      <c r="HE264" s="124"/>
      <c r="HF264" s="124"/>
      <c r="HG264" s="124"/>
      <c r="HH264" s="124"/>
      <c r="HI264" s="124"/>
      <c r="HJ264" s="124"/>
      <c r="HK264" s="124"/>
      <c r="HL264" s="124"/>
      <c r="HM264" s="124"/>
      <c r="HN264" s="124"/>
      <c r="HO264" s="124"/>
      <c r="HP264" s="124"/>
      <c r="HQ264" s="124"/>
    </row>
    <row r="265" spans="1:225" x14ac:dyDescent="0.2">
      <c r="A265" s="122" t="s">
        <v>896</v>
      </c>
      <c r="B265" s="123">
        <v>33</v>
      </c>
      <c r="C265" s="124" t="s">
        <v>424</v>
      </c>
      <c r="D265" s="123">
        <v>256</v>
      </c>
      <c r="E265" s="124" t="s">
        <v>361</v>
      </c>
      <c r="F265" s="123">
        <v>3</v>
      </c>
      <c r="G265" s="123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  <c r="AV265" s="124"/>
      <c r="AW265" s="124"/>
      <c r="AX265" s="124"/>
      <c r="AY265" s="124"/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  <c r="BJ265" s="124"/>
      <c r="BK265" s="124"/>
      <c r="BL265" s="124"/>
      <c r="BM265" s="124"/>
      <c r="BN265" s="124"/>
      <c r="BO265" s="124"/>
      <c r="BP265" s="124"/>
      <c r="BQ265" s="124"/>
      <c r="BR265" s="124"/>
      <c r="BS265" s="124"/>
      <c r="BT265" s="124"/>
      <c r="BU265" s="124"/>
      <c r="BV265" s="124"/>
      <c r="BW265" s="124"/>
      <c r="BX265" s="124"/>
      <c r="BY265" s="124"/>
      <c r="BZ265" s="124"/>
      <c r="CA265" s="124"/>
      <c r="CB265" s="124"/>
      <c r="CC265" s="124"/>
      <c r="CD265" s="124"/>
      <c r="CE265" s="124"/>
      <c r="CF265" s="124"/>
      <c r="CG265" s="124"/>
      <c r="CH265" s="124"/>
      <c r="CI265" s="124"/>
      <c r="CJ265" s="124"/>
      <c r="CK265" s="124"/>
      <c r="CL265" s="124"/>
      <c r="CM265" s="124"/>
      <c r="CN265" s="124"/>
      <c r="CO265" s="124"/>
      <c r="CP265" s="124"/>
      <c r="CQ265" s="124"/>
      <c r="CR265" s="124"/>
      <c r="CS265" s="124"/>
      <c r="CT265" s="124"/>
      <c r="CU265" s="124"/>
      <c r="CV265" s="124"/>
      <c r="CW265" s="124"/>
      <c r="CX265" s="124"/>
      <c r="CY265" s="124"/>
      <c r="CZ265" s="124"/>
      <c r="DA265" s="124"/>
      <c r="DB265" s="124"/>
      <c r="DC265" s="124"/>
      <c r="DD265" s="124"/>
      <c r="DE265" s="124"/>
      <c r="DF265" s="124"/>
      <c r="DG265" s="124"/>
      <c r="DH265" s="124"/>
      <c r="DI265" s="124"/>
      <c r="DJ265" s="124"/>
      <c r="DK265" s="124"/>
      <c r="DL265" s="124"/>
      <c r="DM265" s="124"/>
      <c r="DN265" s="124"/>
      <c r="DO265" s="124"/>
      <c r="DP265" s="124"/>
      <c r="DQ265" s="124"/>
      <c r="DR265" s="124"/>
      <c r="DS265" s="124"/>
      <c r="DT265" s="124"/>
      <c r="DU265" s="124"/>
      <c r="DV265" s="124"/>
      <c r="DW265" s="124"/>
      <c r="DX265" s="124"/>
      <c r="DY265" s="124"/>
      <c r="DZ265" s="124"/>
      <c r="EA265" s="124"/>
      <c r="EB265" s="124"/>
      <c r="EC265" s="124"/>
      <c r="ED265" s="124"/>
      <c r="EE265" s="124"/>
      <c r="EF265" s="124"/>
      <c r="EG265" s="124"/>
      <c r="EH265" s="124"/>
      <c r="EI265" s="124"/>
      <c r="EJ265" s="124"/>
      <c r="EK265" s="124"/>
      <c r="EL265" s="124"/>
      <c r="EM265" s="124"/>
      <c r="EN265" s="124"/>
      <c r="EO265" s="124"/>
      <c r="EP265" s="124"/>
      <c r="EQ265" s="124"/>
      <c r="ER265" s="124"/>
      <c r="ES265" s="124"/>
      <c r="ET265" s="124"/>
      <c r="EU265" s="124"/>
      <c r="EV265" s="124"/>
      <c r="EW265" s="124"/>
      <c r="EX265" s="124"/>
      <c r="EY265" s="124"/>
      <c r="EZ265" s="124"/>
      <c r="FA265" s="124"/>
      <c r="FB265" s="124"/>
      <c r="FC265" s="124"/>
      <c r="FD265" s="124"/>
      <c r="FE265" s="124"/>
      <c r="FF265" s="124"/>
      <c r="FG265" s="124"/>
      <c r="FH265" s="124"/>
      <c r="FI265" s="124"/>
      <c r="FJ265" s="124"/>
      <c r="FK265" s="124"/>
      <c r="FL265" s="124"/>
      <c r="FM265" s="124"/>
      <c r="FN265" s="124"/>
      <c r="FO265" s="124"/>
      <c r="FP265" s="124"/>
      <c r="FQ265" s="124"/>
      <c r="FR265" s="124"/>
      <c r="FS265" s="124"/>
      <c r="FT265" s="124"/>
      <c r="FU265" s="124"/>
      <c r="FV265" s="124"/>
      <c r="FW265" s="124"/>
      <c r="FX265" s="124"/>
      <c r="FY265" s="124"/>
      <c r="FZ265" s="124"/>
      <c r="GA265" s="124"/>
      <c r="GB265" s="124"/>
      <c r="GC265" s="124"/>
      <c r="GD265" s="124"/>
      <c r="GE265" s="124"/>
      <c r="GF265" s="124"/>
      <c r="GG265" s="124"/>
      <c r="GH265" s="124"/>
      <c r="GI265" s="124"/>
      <c r="GJ265" s="124"/>
      <c r="GK265" s="124"/>
      <c r="GL265" s="124"/>
      <c r="GM265" s="124"/>
      <c r="GN265" s="124"/>
      <c r="GO265" s="124"/>
      <c r="GP265" s="124"/>
      <c r="GQ265" s="124"/>
      <c r="GR265" s="124"/>
      <c r="GS265" s="124"/>
      <c r="GT265" s="124"/>
      <c r="GU265" s="124"/>
      <c r="GV265" s="124"/>
      <c r="GW265" s="124"/>
      <c r="GX265" s="124"/>
      <c r="GY265" s="124"/>
      <c r="GZ265" s="124"/>
      <c r="HA265" s="124"/>
      <c r="HB265" s="124"/>
      <c r="HC265" s="124"/>
      <c r="HD265" s="124"/>
      <c r="HE265" s="124"/>
      <c r="HF265" s="124"/>
      <c r="HG265" s="124"/>
      <c r="HH265" s="124"/>
      <c r="HI265" s="124"/>
      <c r="HJ265" s="124"/>
      <c r="HK265" s="124"/>
      <c r="HL265" s="124"/>
      <c r="HM265" s="124"/>
      <c r="HN265" s="124"/>
      <c r="HO265" s="124"/>
      <c r="HP265" s="124"/>
      <c r="HQ265" s="124"/>
    </row>
    <row r="266" spans="1:225" x14ac:dyDescent="0.2">
      <c r="A266" s="122" t="s">
        <v>897</v>
      </c>
      <c r="B266" s="123">
        <v>34</v>
      </c>
      <c r="C266" s="124" t="s">
        <v>425</v>
      </c>
      <c r="D266" s="123">
        <v>257</v>
      </c>
      <c r="E266" s="124" t="s">
        <v>361</v>
      </c>
      <c r="F266" s="123">
        <v>3</v>
      </c>
      <c r="G266" s="123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  <c r="AV266" s="124"/>
      <c r="AW266" s="124"/>
      <c r="AX266" s="124"/>
      <c r="AY266" s="124"/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  <c r="BJ266" s="124"/>
      <c r="BK266" s="124"/>
      <c r="BL266" s="124"/>
      <c r="BM266" s="124"/>
      <c r="BN266" s="124"/>
      <c r="BO266" s="124"/>
      <c r="BP266" s="124"/>
      <c r="BQ266" s="124"/>
      <c r="BR266" s="124"/>
      <c r="BS266" s="124"/>
      <c r="BT266" s="124"/>
      <c r="BU266" s="124"/>
      <c r="BV266" s="124"/>
      <c r="BW266" s="124"/>
      <c r="BX266" s="124"/>
      <c r="BY266" s="124"/>
      <c r="BZ266" s="124"/>
      <c r="CA266" s="124"/>
      <c r="CB266" s="124"/>
      <c r="CC266" s="124"/>
      <c r="CD266" s="124"/>
      <c r="CE266" s="124"/>
      <c r="CF266" s="124"/>
      <c r="CG266" s="124"/>
      <c r="CH266" s="124"/>
      <c r="CI266" s="124"/>
      <c r="CJ266" s="124"/>
      <c r="CK266" s="124"/>
      <c r="CL266" s="124"/>
      <c r="CM266" s="124"/>
      <c r="CN266" s="124"/>
      <c r="CO266" s="124"/>
      <c r="CP266" s="124"/>
      <c r="CQ266" s="124"/>
      <c r="CR266" s="124"/>
      <c r="CS266" s="124"/>
      <c r="CT266" s="124"/>
      <c r="CU266" s="124"/>
      <c r="CV266" s="124"/>
      <c r="CW266" s="124"/>
      <c r="CX266" s="124"/>
      <c r="CY266" s="124"/>
      <c r="CZ266" s="124"/>
      <c r="DA266" s="124"/>
      <c r="DB266" s="124"/>
      <c r="DC266" s="124"/>
      <c r="DD266" s="124"/>
      <c r="DE266" s="124"/>
      <c r="DF266" s="124"/>
      <c r="DG266" s="124"/>
      <c r="DH266" s="124"/>
      <c r="DI266" s="124"/>
      <c r="DJ266" s="124"/>
      <c r="DK266" s="124"/>
      <c r="DL266" s="124"/>
      <c r="DM266" s="124"/>
      <c r="DN266" s="124"/>
      <c r="DO266" s="124"/>
      <c r="DP266" s="124"/>
      <c r="DQ266" s="124"/>
      <c r="DR266" s="124"/>
      <c r="DS266" s="124"/>
      <c r="DT266" s="124"/>
      <c r="DU266" s="124"/>
      <c r="DV266" s="124"/>
      <c r="DW266" s="124"/>
      <c r="DX266" s="124"/>
      <c r="DY266" s="124"/>
      <c r="DZ266" s="124"/>
      <c r="EA266" s="124"/>
      <c r="EB266" s="124"/>
      <c r="EC266" s="124"/>
      <c r="ED266" s="124"/>
      <c r="EE266" s="124"/>
      <c r="EF266" s="124"/>
      <c r="EG266" s="124"/>
      <c r="EH266" s="124"/>
      <c r="EI266" s="124"/>
      <c r="EJ266" s="124"/>
      <c r="EK266" s="124"/>
      <c r="EL266" s="124"/>
      <c r="EM266" s="124"/>
      <c r="EN266" s="124"/>
      <c r="EO266" s="124"/>
      <c r="EP266" s="124"/>
      <c r="EQ266" s="124"/>
      <c r="ER266" s="124"/>
      <c r="ES266" s="124"/>
      <c r="ET266" s="124"/>
      <c r="EU266" s="124"/>
      <c r="EV266" s="124"/>
      <c r="EW266" s="124"/>
      <c r="EX266" s="124"/>
      <c r="EY266" s="124"/>
      <c r="EZ266" s="124"/>
      <c r="FA266" s="124"/>
      <c r="FB266" s="124"/>
      <c r="FC266" s="124"/>
      <c r="FD266" s="124"/>
      <c r="FE266" s="124"/>
      <c r="FF266" s="124"/>
      <c r="FG266" s="124"/>
      <c r="FH266" s="124"/>
      <c r="FI266" s="124"/>
      <c r="FJ266" s="124"/>
      <c r="FK266" s="124"/>
      <c r="FL266" s="124"/>
      <c r="FM266" s="124"/>
      <c r="FN266" s="124"/>
      <c r="FO266" s="124"/>
      <c r="FP266" s="124"/>
      <c r="FQ266" s="124"/>
      <c r="FR266" s="124"/>
      <c r="FS266" s="124"/>
      <c r="FT266" s="124"/>
      <c r="FU266" s="124"/>
      <c r="FV266" s="124"/>
      <c r="FW266" s="124"/>
      <c r="FX266" s="124"/>
      <c r="FY266" s="124"/>
      <c r="FZ266" s="124"/>
      <c r="GA266" s="124"/>
      <c r="GB266" s="124"/>
      <c r="GC266" s="124"/>
      <c r="GD266" s="124"/>
      <c r="GE266" s="124"/>
      <c r="GF266" s="124"/>
      <c r="GG266" s="124"/>
      <c r="GH266" s="124"/>
      <c r="GI266" s="124"/>
      <c r="GJ266" s="124"/>
      <c r="GK266" s="124"/>
      <c r="GL266" s="124"/>
      <c r="GM266" s="124"/>
      <c r="GN266" s="124"/>
      <c r="GO266" s="124"/>
      <c r="GP266" s="124"/>
      <c r="GQ266" s="124"/>
      <c r="GR266" s="124"/>
      <c r="GS266" s="124"/>
      <c r="GT266" s="124"/>
      <c r="GU266" s="124"/>
      <c r="GV266" s="124"/>
      <c r="GW266" s="124"/>
      <c r="GX266" s="124"/>
      <c r="GY266" s="124"/>
      <c r="GZ266" s="124"/>
      <c r="HA266" s="124"/>
      <c r="HB266" s="124"/>
      <c r="HC266" s="124"/>
      <c r="HD266" s="124"/>
      <c r="HE266" s="124"/>
      <c r="HF266" s="124"/>
      <c r="HG266" s="124"/>
      <c r="HH266" s="124"/>
      <c r="HI266" s="124"/>
      <c r="HJ266" s="124"/>
      <c r="HK266" s="124"/>
      <c r="HL266" s="124"/>
      <c r="HM266" s="124"/>
      <c r="HN266" s="124"/>
      <c r="HO266" s="124"/>
      <c r="HP266" s="124"/>
      <c r="HQ266" s="124"/>
    </row>
    <row r="267" spans="1:225" x14ac:dyDescent="0.2">
      <c r="A267" s="122" t="s">
        <v>898</v>
      </c>
      <c r="B267" s="123">
        <v>34</v>
      </c>
      <c r="C267" s="124" t="s">
        <v>426</v>
      </c>
      <c r="D267" s="123">
        <v>258</v>
      </c>
      <c r="E267" s="124" t="s">
        <v>361</v>
      </c>
      <c r="F267" s="123">
        <v>2</v>
      </c>
      <c r="G267" s="123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  <c r="AV267" s="124"/>
      <c r="AW267" s="124"/>
      <c r="AX267" s="124"/>
      <c r="AY267" s="124"/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  <c r="BJ267" s="124"/>
      <c r="BK267" s="124"/>
      <c r="BL267" s="124"/>
      <c r="BM267" s="124"/>
      <c r="BN267" s="124"/>
      <c r="BO267" s="124"/>
      <c r="BP267" s="124"/>
      <c r="BQ267" s="124"/>
      <c r="BR267" s="124"/>
      <c r="BS267" s="124"/>
      <c r="BT267" s="124"/>
      <c r="BU267" s="124"/>
      <c r="BV267" s="124"/>
      <c r="BW267" s="124"/>
      <c r="BX267" s="124"/>
      <c r="BY267" s="124"/>
      <c r="BZ267" s="124"/>
      <c r="CA267" s="124"/>
      <c r="CB267" s="124"/>
      <c r="CC267" s="124"/>
      <c r="CD267" s="124"/>
      <c r="CE267" s="124"/>
      <c r="CF267" s="124"/>
      <c r="CG267" s="124"/>
      <c r="CH267" s="124"/>
      <c r="CI267" s="124"/>
      <c r="CJ267" s="124"/>
      <c r="CK267" s="124"/>
      <c r="CL267" s="124"/>
      <c r="CM267" s="124"/>
      <c r="CN267" s="124"/>
      <c r="CO267" s="124"/>
      <c r="CP267" s="124"/>
      <c r="CQ267" s="124"/>
      <c r="CR267" s="124"/>
      <c r="CS267" s="124"/>
      <c r="CT267" s="124"/>
      <c r="CU267" s="124"/>
      <c r="CV267" s="124"/>
      <c r="CW267" s="124"/>
      <c r="CX267" s="124"/>
      <c r="CY267" s="124"/>
      <c r="CZ267" s="124"/>
      <c r="DA267" s="124"/>
      <c r="DB267" s="124"/>
      <c r="DC267" s="124"/>
      <c r="DD267" s="124"/>
      <c r="DE267" s="124"/>
      <c r="DF267" s="124"/>
      <c r="DG267" s="124"/>
      <c r="DH267" s="124"/>
      <c r="DI267" s="124"/>
      <c r="DJ267" s="124"/>
      <c r="DK267" s="124"/>
      <c r="DL267" s="124"/>
      <c r="DM267" s="124"/>
      <c r="DN267" s="124"/>
      <c r="DO267" s="124"/>
      <c r="DP267" s="124"/>
      <c r="DQ267" s="124"/>
      <c r="DR267" s="124"/>
      <c r="DS267" s="124"/>
      <c r="DT267" s="124"/>
      <c r="DU267" s="124"/>
      <c r="DV267" s="124"/>
      <c r="DW267" s="124"/>
      <c r="DX267" s="124"/>
      <c r="DY267" s="124"/>
      <c r="DZ267" s="124"/>
      <c r="EA267" s="124"/>
      <c r="EB267" s="124"/>
      <c r="EC267" s="124"/>
      <c r="ED267" s="124"/>
      <c r="EE267" s="124"/>
      <c r="EF267" s="124"/>
      <c r="EG267" s="124"/>
      <c r="EH267" s="124"/>
      <c r="EI267" s="124"/>
      <c r="EJ267" s="124"/>
      <c r="EK267" s="124"/>
      <c r="EL267" s="124"/>
      <c r="EM267" s="124"/>
      <c r="EN267" s="124"/>
      <c r="EO267" s="124"/>
      <c r="EP267" s="124"/>
      <c r="EQ267" s="124"/>
      <c r="ER267" s="124"/>
      <c r="ES267" s="124"/>
      <c r="ET267" s="124"/>
      <c r="EU267" s="124"/>
      <c r="EV267" s="124"/>
      <c r="EW267" s="124"/>
      <c r="EX267" s="124"/>
      <c r="EY267" s="124"/>
      <c r="EZ267" s="124"/>
      <c r="FA267" s="124"/>
      <c r="FB267" s="124"/>
      <c r="FC267" s="124"/>
      <c r="FD267" s="124"/>
      <c r="FE267" s="124"/>
      <c r="FF267" s="124"/>
      <c r="FG267" s="124"/>
      <c r="FH267" s="124"/>
      <c r="FI267" s="124"/>
      <c r="FJ267" s="124"/>
      <c r="FK267" s="124"/>
      <c r="FL267" s="124"/>
      <c r="FM267" s="124"/>
      <c r="FN267" s="124"/>
      <c r="FO267" s="124"/>
      <c r="FP267" s="124"/>
      <c r="FQ267" s="124"/>
      <c r="FR267" s="124"/>
      <c r="FS267" s="124"/>
      <c r="FT267" s="124"/>
      <c r="FU267" s="124"/>
      <c r="FV267" s="124"/>
      <c r="FW267" s="124"/>
      <c r="FX267" s="124"/>
      <c r="FY267" s="124"/>
      <c r="FZ267" s="124"/>
      <c r="GA267" s="124"/>
      <c r="GB267" s="124"/>
      <c r="GC267" s="124"/>
      <c r="GD267" s="124"/>
      <c r="GE267" s="124"/>
      <c r="GF267" s="124"/>
      <c r="GG267" s="124"/>
      <c r="GH267" s="124"/>
      <c r="GI267" s="124"/>
      <c r="GJ267" s="124"/>
      <c r="GK267" s="124"/>
      <c r="GL267" s="124"/>
      <c r="GM267" s="124"/>
      <c r="GN267" s="124"/>
      <c r="GO267" s="124"/>
      <c r="GP267" s="124"/>
      <c r="GQ267" s="124"/>
      <c r="GR267" s="124"/>
      <c r="GS267" s="124"/>
      <c r="GT267" s="124"/>
      <c r="GU267" s="124"/>
      <c r="GV267" s="124"/>
      <c r="GW267" s="124"/>
      <c r="GX267" s="124"/>
      <c r="GY267" s="124"/>
      <c r="GZ267" s="124"/>
      <c r="HA267" s="124"/>
      <c r="HB267" s="124"/>
      <c r="HC267" s="124"/>
      <c r="HD267" s="124"/>
      <c r="HE267" s="124"/>
      <c r="HF267" s="124"/>
      <c r="HG267" s="124"/>
      <c r="HH267" s="124"/>
      <c r="HI267" s="124"/>
      <c r="HJ267" s="124"/>
      <c r="HK267" s="124"/>
      <c r="HL267" s="124"/>
      <c r="HM267" s="124"/>
      <c r="HN267" s="124"/>
      <c r="HO267" s="124"/>
      <c r="HP267" s="124"/>
      <c r="HQ267" s="124"/>
    </row>
    <row r="268" spans="1:225" x14ac:dyDescent="0.2">
      <c r="A268" s="122" t="s">
        <v>899</v>
      </c>
      <c r="B268" s="123">
        <v>35</v>
      </c>
      <c r="C268" s="138" t="s">
        <v>427</v>
      </c>
      <c r="D268" s="123">
        <v>259</v>
      </c>
      <c r="E268" s="124" t="s">
        <v>361</v>
      </c>
      <c r="F268" s="123">
        <v>4</v>
      </c>
      <c r="G268" s="123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  <c r="BJ268" s="124"/>
      <c r="BK268" s="124"/>
      <c r="BL268" s="124"/>
      <c r="BM268" s="124"/>
      <c r="BN268" s="124"/>
      <c r="BO268" s="124"/>
      <c r="BP268" s="124"/>
      <c r="BQ268" s="124"/>
      <c r="BR268" s="124"/>
      <c r="BS268" s="124"/>
      <c r="BT268" s="124"/>
      <c r="BU268" s="124"/>
      <c r="BV268" s="124"/>
      <c r="BW268" s="124"/>
      <c r="BX268" s="124"/>
      <c r="BY268" s="124"/>
      <c r="BZ268" s="124"/>
      <c r="CA268" s="124"/>
      <c r="CB268" s="124"/>
      <c r="CC268" s="124"/>
      <c r="CD268" s="124"/>
      <c r="CE268" s="124"/>
      <c r="CF268" s="124"/>
      <c r="CG268" s="124"/>
      <c r="CH268" s="124"/>
      <c r="CI268" s="124"/>
      <c r="CJ268" s="124"/>
      <c r="CK268" s="124"/>
      <c r="CL268" s="124"/>
      <c r="CM268" s="124"/>
      <c r="CN268" s="124"/>
      <c r="CO268" s="124"/>
      <c r="CP268" s="124"/>
      <c r="CQ268" s="124"/>
      <c r="CR268" s="124"/>
      <c r="CS268" s="124"/>
      <c r="CT268" s="124"/>
      <c r="CU268" s="124"/>
      <c r="CV268" s="124"/>
      <c r="CW268" s="124"/>
      <c r="CX268" s="124"/>
      <c r="CY268" s="124"/>
      <c r="CZ268" s="124"/>
      <c r="DA268" s="124"/>
      <c r="DB268" s="124"/>
      <c r="DC268" s="124"/>
      <c r="DD268" s="124"/>
      <c r="DE268" s="124"/>
      <c r="DF268" s="124"/>
      <c r="DG268" s="124"/>
      <c r="DH268" s="124"/>
      <c r="DI268" s="124"/>
      <c r="DJ268" s="124"/>
      <c r="DK268" s="124"/>
      <c r="DL268" s="124"/>
      <c r="DM268" s="124"/>
      <c r="DN268" s="124"/>
      <c r="DO268" s="124"/>
      <c r="DP268" s="124"/>
      <c r="DQ268" s="124"/>
      <c r="DR268" s="124"/>
      <c r="DS268" s="124"/>
      <c r="DT268" s="124"/>
      <c r="DU268" s="124"/>
      <c r="DV268" s="124"/>
      <c r="DW268" s="124"/>
      <c r="DX268" s="124"/>
      <c r="DY268" s="124"/>
      <c r="DZ268" s="124"/>
      <c r="EA268" s="124"/>
      <c r="EB268" s="124"/>
      <c r="EC268" s="124"/>
      <c r="ED268" s="124"/>
      <c r="EE268" s="124"/>
      <c r="EF268" s="124"/>
      <c r="EG268" s="124"/>
      <c r="EH268" s="124"/>
      <c r="EI268" s="124"/>
      <c r="EJ268" s="124"/>
      <c r="EK268" s="124"/>
      <c r="EL268" s="124"/>
      <c r="EM268" s="124"/>
      <c r="EN268" s="124"/>
      <c r="EO268" s="124"/>
      <c r="EP268" s="124"/>
      <c r="EQ268" s="124"/>
      <c r="ER268" s="124"/>
      <c r="ES268" s="124"/>
      <c r="ET268" s="124"/>
      <c r="EU268" s="124"/>
      <c r="EV268" s="124"/>
      <c r="EW268" s="124"/>
      <c r="EX268" s="124"/>
      <c r="EY268" s="124"/>
      <c r="EZ268" s="124"/>
      <c r="FA268" s="124"/>
      <c r="FB268" s="124"/>
      <c r="FC268" s="124"/>
      <c r="FD268" s="124"/>
      <c r="FE268" s="124"/>
      <c r="FF268" s="124"/>
      <c r="FG268" s="124"/>
      <c r="FH268" s="124"/>
      <c r="FI268" s="124"/>
      <c r="FJ268" s="124"/>
      <c r="FK268" s="124"/>
      <c r="FL268" s="124"/>
      <c r="FM268" s="124"/>
      <c r="FN268" s="124"/>
      <c r="FO268" s="124"/>
      <c r="FP268" s="124"/>
      <c r="FQ268" s="124"/>
      <c r="FR268" s="124"/>
      <c r="FS268" s="124"/>
      <c r="FT268" s="124"/>
      <c r="FU268" s="124"/>
      <c r="FV268" s="124"/>
      <c r="FW268" s="124"/>
      <c r="FX268" s="124"/>
      <c r="FY268" s="124"/>
      <c r="FZ268" s="124"/>
      <c r="GA268" s="124"/>
      <c r="GB268" s="124"/>
      <c r="GC268" s="124"/>
      <c r="GD268" s="124"/>
      <c r="GE268" s="124"/>
      <c r="GF268" s="124"/>
      <c r="GG268" s="124"/>
      <c r="GH268" s="124"/>
      <c r="GI268" s="124"/>
      <c r="GJ268" s="124"/>
      <c r="GK268" s="124"/>
      <c r="GL268" s="124"/>
      <c r="GM268" s="124"/>
      <c r="GN268" s="124"/>
      <c r="GO268" s="124"/>
      <c r="GP268" s="124"/>
      <c r="GQ268" s="124"/>
      <c r="GR268" s="124"/>
      <c r="GS268" s="124"/>
      <c r="GT268" s="124"/>
      <c r="GU268" s="124"/>
      <c r="GV268" s="124"/>
      <c r="GW268" s="124"/>
      <c r="GX268" s="124"/>
      <c r="GY268" s="124"/>
      <c r="GZ268" s="124"/>
      <c r="HA268" s="124"/>
      <c r="HB268" s="124"/>
      <c r="HC268" s="124"/>
      <c r="HD268" s="124"/>
      <c r="HE268" s="124"/>
      <c r="HF268" s="124"/>
      <c r="HG268" s="124"/>
      <c r="HH268" s="124"/>
      <c r="HI268" s="124"/>
      <c r="HJ268" s="124"/>
      <c r="HK268" s="124"/>
      <c r="HL268" s="124"/>
      <c r="HM268" s="124"/>
      <c r="HN268" s="124"/>
      <c r="HO268" s="124"/>
      <c r="HP268" s="124"/>
      <c r="HQ268" s="124"/>
    </row>
    <row r="269" spans="1:225" x14ac:dyDescent="0.2">
      <c r="A269" s="122" t="s">
        <v>900</v>
      </c>
      <c r="B269" s="123">
        <v>35</v>
      </c>
      <c r="C269" s="124" t="s">
        <v>428</v>
      </c>
      <c r="D269" s="123">
        <v>260</v>
      </c>
      <c r="E269" s="124" t="s">
        <v>361</v>
      </c>
      <c r="F269" s="123">
        <v>4</v>
      </c>
      <c r="G269" s="123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  <c r="AV269" s="124"/>
      <c r="AW269" s="124"/>
      <c r="AX269" s="124"/>
      <c r="AY269" s="124"/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  <c r="BJ269" s="124"/>
      <c r="BK269" s="124"/>
      <c r="BL269" s="124"/>
      <c r="BM269" s="124"/>
      <c r="BN269" s="124"/>
      <c r="BO269" s="124"/>
      <c r="BP269" s="124"/>
      <c r="BQ269" s="124"/>
      <c r="BR269" s="124"/>
      <c r="BS269" s="124"/>
      <c r="BT269" s="124"/>
      <c r="BU269" s="124"/>
      <c r="BV269" s="124"/>
      <c r="BW269" s="124"/>
      <c r="BX269" s="124"/>
      <c r="BY269" s="124"/>
      <c r="BZ269" s="124"/>
      <c r="CA269" s="124"/>
      <c r="CB269" s="124"/>
      <c r="CC269" s="124"/>
      <c r="CD269" s="124"/>
      <c r="CE269" s="124"/>
      <c r="CF269" s="124"/>
      <c r="CG269" s="124"/>
      <c r="CH269" s="124"/>
      <c r="CI269" s="124"/>
      <c r="CJ269" s="124"/>
      <c r="CK269" s="124"/>
      <c r="CL269" s="124"/>
      <c r="CM269" s="124"/>
      <c r="CN269" s="124"/>
      <c r="CO269" s="124"/>
      <c r="CP269" s="124"/>
      <c r="CQ269" s="124"/>
      <c r="CR269" s="124"/>
      <c r="CS269" s="124"/>
      <c r="CT269" s="124"/>
      <c r="CU269" s="124"/>
      <c r="CV269" s="124"/>
      <c r="CW269" s="124"/>
      <c r="CX269" s="124"/>
      <c r="CY269" s="124"/>
      <c r="CZ269" s="124"/>
      <c r="DA269" s="124"/>
      <c r="DB269" s="124"/>
      <c r="DC269" s="124"/>
      <c r="DD269" s="124"/>
      <c r="DE269" s="124"/>
      <c r="DF269" s="124"/>
      <c r="DG269" s="124"/>
      <c r="DH269" s="124"/>
      <c r="DI269" s="124"/>
      <c r="DJ269" s="124"/>
      <c r="DK269" s="124"/>
      <c r="DL269" s="124"/>
      <c r="DM269" s="124"/>
      <c r="DN269" s="124"/>
      <c r="DO269" s="124"/>
      <c r="DP269" s="124"/>
      <c r="DQ269" s="124"/>
      <c r="DR269" s="124"/>
      <c r="DS269" s="124"/>
      <c r="DT269" s="124"/>
      <c r="DU269" s="124"/>
      <c r="DV269" s="124"/>
      <c r="DW269" s="124"/>
      <c r="DX269" s="124"/>
      <c r="DY269" s="124"/>
      <c r="DZ269" s="124"/>
      <c r="EA269" s="124"/>
      <c r="EB269" s="124"/>
      <c r="EC269" s="124"/>
      <c r="ED269" s="124"/>
      <c r="EE269" s="124"/>
      <c r="EF269" s="124"/>
      <c r="EG269" s="124"/>
      <c r="EH269" s="124"/>
      <c r="EI269" s="124"/>
      <c r="EJ269" s="124"/>
      <c r="EK269" s="124"/>
      <c r="EL269" s="124"/>
      <c r="EM269" s="124"/>
      <c r="EN269" s="124"/>
      <c r="EO269" s="124"/>
      <c r="EP269" s="124"/>
      <c r="EQ269" s="124"/>
      <c r="ER269" s="124"/>
      <c r="ES269" s="124"/>
      <c r="ET269" s="124"/>
      <c r="EU269" s="124"/>
      <c r="EV269" s="124"/>
      <c r="EW269" s="124"/>
      <c r="EX269" s="124"/>
      <c r="EY269" s="124"/>
      <c r="EZ269" s="124"/>
      <c r="FA269" s="124"/>
      <c r="FB269" s="124"/>
      <c r="FC269" s="124"/>
      <c r="FD269" s="124"/>
      <c r="FE269" s="124"/>
      <c r="FF269" s="124"/>
      <c r="FG269" s="124"/>
      <c r="FH269" s="124"/>
      <c r="FI269" s="124"/>
      <c r="FJ269" s="124"/>
      <c r="FK269" s="124"/>
      <c r="FL269" s="124"/>
      <c r="FM269" s="124"/>
      <c r="FN269" s="124"/>
      <c r="FO269" s="124"/>
      <c r="FP269" s="124"/>
      <c r="FQ269" s="124"/>
      <c r="FR269" s="124"/>
      <c r="FS269" s="124"/>
      <c r="FT269" s="124"/>
      <c r="FU269" s="124"/>
      <c r="FV269" s="124"/>
      <c r="FW269" s="124"/>
      <c r="FX269" s="124"/>
      <c r="FY269" s="124"/>
      <c r="FZ269" s="124"/>
      <c r="GA269" s="124"/>
      <c r="GB269" s="124"/>
      <c r="GC269" s="124"/>
      <c r="GD269" s="124"/>
      <c r="GE269" s="124"/>
      <c r="GF269" s="124"/>
      <c r="GG269" s="124"/>
      <c r="GH269" s="124"/>
      <c r="GI269" s="124"/>
      <c r="GJ269" s="124"/>
      <c r="GK269" s="124"/>
      <c r="GL269" s="124"/>
      <c r="GM269" s="124"/>
      <c r="GN269" s="124"/>
      <c r="GO269" s="124"/>
      <c r="GP269" s="124"/>
      <c r="GQ269" s="124"/>
      <c r="GR269" s="124"/>
      <c r="GS269" s="124"/>
      <c r="GT269" s="124"/>
      <c r="GU269" s="124"/>
      <c r="GV269" s="124"/>
      <c r="GW269" s="124"/>
      <c r="GX269" s="124"/>
      <c r="GY269" s="124"/>
      <c r="GZ269" s="124"/>
      <c r="HA269" s="124"/>
      <c r="HB269" s="124"/>
      <c r="HC269" s="124"/>
      <c r="HD269" s="124"/>
      <c r="HE269" s="124"/>
      <c r="HF269" s="124"/>
      <c r="HG269" s="124"/>
      <c r="HH269" s="124"/>
      <c r="HI269" s="124"/>
      <c r="HJ269" s="124"/>
      <c r="HK269" s="124"/>
      <c r="HL269" s="124"/>
      <c r="HM269" s="124"/>
      <c r="HN269" s="124"/>
      <c r="HO269" s="124"/>
      <c r="HP269" s="124"/>
      <c r="HQ269" s="124"/>
    </row>
    <row r="270" spans="1:225" x14ac:dyDescent="0.2">
      <c r="A270" s="122" t="s">
        <v>901</v>
      </c>
      <c r="B270" s="123">
        <v>36</v>
      </c>
      <c r="C270" s="140" t="s">
        <v>429</v>
      </c>
      <c r="D270" s="123">
        <v>261</v>
      </c>
      <c r="E270" s="124" t="s">
        <v>361</v>
      </c>
      <c r="F270" s="123">
        <v>3</v>
      </c>
      <c r="G270" s="123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  <c r="AV270" s="124"/>
      <c r="AW270" s="124"/>
      <c r="AX270" s="124"/>
      <c r="AY270" s="124"/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  <c r="BJ270" s="124"/>
      <c r="BK270" s="124"/>
      <c r="BL270" s="124"/>
      <c r="BM270" s="124"/>
      <c r="BN270" s="124"/>
      <c r="BO270" s="124"/>
      <c r="BP270" s="124"/>
      <c r="BQ270" s="124"/>
      <c r="BR270" s="124"/>
      <c r="BS270" s="124"/>
      <c r="BT270" s="124"/>
      <c r="BU270" s="124"/>
      <c r="BV270" s="124"/>
      <c r="BW270" s="124"/>
      <c r="BX270" s="124"/>
      <c r="BY270" s="124"/>
      <c r="BZ270" s="124"/>
      <c r="CA270" s="124"/>
      <c r="CB270" s="124"/>
      <c r="CC270" s="124"/>
      <c r="CD270" s="124"/>
      <c r="CE270" s="124"/>
      <c r="CF270" s="124"/>
      <c r="CG270" s="124"/>
      <c r="CH270" s="124"/>
      <c r="CI270" s="124"/>
      <c r="CJ270" s="124"/>
      <c r="CK270" s="124"/>
      <c r="CL270" s="124"/>
      <c r="CM270" s="124"/>
      <c r="CN270" s="124"/>
      <c r="CO270" s="124"/>
      <c r="CP270" s="124"/>
      <c r="CQ270" s="124"/>
      <c r="CR270" s="124"/>
      <c r="CS270" s="124"/>
      <c r="CT270" s="124"/>
      <c r="CU270" s="124"/>
      <c r="CV270" s="124"/>
      <c r="CW270" s="124"/>
      <c r="CX270" s="124"/>
      <c r="CY270" s="124"/>
      <c r="CZ270" s="124"/>
      <c r="DA270" s="124"/>
      <c r="DB270" s="124"/>
      <c r="DC270" s="124"/>
      <c r="DD270" s="124"/>
      <c r="DE270" s="124"/>
      <c r="DF270" s="124"/>
      <c r="DG270" s="124"/>
      <c r="DH270" s="124"/>
      <c r="DI270" s="124"/>
      <c r="DJ270" s="124"/>
      <c r="DK270" s="124"/>
      <c r="DL270" s="124"/>
      <c r="DM270" s="124"/>
      <c r="DN270" s="124"/>
      <c r="DO270" s="124"/>
      <c r="DP270" s="124"/>
      <c r="DQ270" s="124"/>
      <c r="DR270" s="124"/>
      <c r="DS270" s="124"/>
      <c r="DT270" s="124"/>
      <c r="DU270" s="124"/>
      <c r="DV270" s="124"/>
      <c r="DW270" s="124"/>
      <c r="DX270" s="124"/>
      <c r="DY270" s="124"/>
      <c r="DZ270" s="124"/>
      <c r="EA270" s="124"/>
      <c r="EB270" s="124"/>
      <c r="EC270" s="124"/>
      <c r="ED270" s="124"/>
      <c r="EE270" s="124"/>
      <c r="EF270" s="124"/>
      <c r="EG270" s="124"/>
      <c r="EH270" s="124"/>
      <c r="EI270" s="124"/>
      <c r="EJ270" s="124"/>
      <c r="EK270" s="124"/>
      <c r="EL270" s="124"/>
      <c r="EM270" s="124"/>
      <c r="EN270" s="124"/>
      <c r="EO270" s="124"/>
      <c r="EP270" s="124"/>
      <c r="EQ270" s="124"/>
      <c r="ER270" s="124"/>
      <c r="ES270" s="124"/>
      <c r="ET270" s="124"/>
      <c r="EU270" s="124"/>
      <c r="EV270" s="124"/>
      <c r="EW270" s="124"/>
      <c r="EX270" s="124"/>
      <c r="EY270" s="124"/>
      <c r="EZ270" s="124"/>
      <c r="FA270" s="124"/>
      <c r="FB270" s="124"/>
      <c r="FC270" s="124"/>
      <c r="FD270" s="124"/>
      <c r="FE270" s="124"/>
      <c r="FF270" s="124"/>
      <c r="FG270" s="124"/>
      <c r="FH270" s="124"/>
      <c r="FI270" s="124"/>
      <c r="FJ270" s="124"/>
      <c r="FK270" s="124"/>
      <c r="FL270" s="124"/>
      <c r="FM270" s="124"/>
      <c r="FN270" s="124"/>
      <c r="FO270" s="124"/>
      <c r="FP270" s="124"/>
      <c r="FQ270" s="124"/>
      <c r="FR270" s="124"/>
      <c r="FS270" s="124"/>
      <c r="FT270" s="124"/>
      <c r="FU270" s="124"/>
      <c r="FV270" s="124"/>
      <c r="FW270" s="124"/>
      <c r="FX270" s="124"/>
      <c r="FY270" s="124"/>
      <c r="FZ270" s="124"/>
      <c r="GA270" s="124"/>
      <c r="GB270" s="124"/>
      <c r="GC270" s="124"/>
      <c r="GD270" s="124"/>
      <c r="GE270" s="124"/>
      <c r="GF270" s="124"/>
      <c r="GG270" s="124"/>
      <c r="GH270" s="124"/>
      <c r="GI270" s="124"/>
      <c r="GJ270" s="124"/>
      <c r="GK270" s="124"/>
      <c r="GL270" s="124"/>
      <c r="GM270" s="124"/>
      <c r="GN270" s="124"/>
      <c r="GO270" s="124"/>
      <c r="GP270" s="124"/>
      <c r="GQ270" s="124"/>
      <c r="GR270" s="124"/>
      <c r="GS270" s="124"/>
      <c r="GT270" s="124"/>
      <c r="GU270" s="124"/>
      <c r="GV270" s="124"/>
      <c r="GW270" s="124"/>
      <c r="GX270" s="124"/>
      <c r="GY270" s="124"/>
      <c r="GZ270" s="124"/>
      <c r="HA270" s="124"/>
      <c r="HB270" s="124"/>
      <c r="HC270" s="124"/>
      <c r="HD270" s="124"/>
      <c r="HE270" s="124"/>
      <c r="HF270" s="124"/>
      <c r="HG270" s="124"/>
      <c r="HH270" s="124"/>
      <c r="HI270" s="124"/>
      <c r="HJ270" s="124"/>
      <c r="HK270" s="124"/>
      <c r="HL270" s="124"/>
      <c r="HM270" s="124"/>
      <c r="HN270" s="124"/>
      <c r="HO270" s="124"/>
      <c r="HP270" s="124"/>
      <c r="HQ270" s="124"/>
    </row>
    <row r="271" spans="1:225" x14ac:dyDescent="0.2">
      <c r="A271" s="122" t="s">
        <v>902</v>
      </c>
      <c r="B271" s="123">
        <v>36</v>
      </c>
      <c r="C271" s="124" t="s">
        <v>430</v>
      </c>
      <c r="D271" s="123">
        <v>262</v>
      </c>
      <c r="E271" s="124" t="s">
        <v>361</v>
      </c>
      <c r="F271" s="123">
        <v>3</v>
      </c>
      <c r="G271" s="123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  <c r="AV271" s="124"/>
      <c r="AW271" s="124"/>
      <c r="AX271" s="124"/>
      <c r="AY271" s="124"/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  <c r="BJ271" s="124"/>
      <c r="BK271" s="124"/>
      <c r="BL271" s="124"/>
      <c r="BM271" s="124"/>
      <c r="BN271" s="124"/>
      <c r="BO271" s="124"/>
      <c r="BP271" s="124"/>
      <c r="BQ271" s="124"/>
      <c r="BR271" s="124"/>
      <c r="BS271" s="124"/>
      <c r="BT271" s="124"/>
      <c r="BU271" s="124"/>
      <c r="BV271" s="124"/>
      <c r="BW271" s="124"/>
      <c r="BX271" s="124"/>
      <c r="BY271" s="124"/>
      <c r="BZ271" s="124"/>
      <c r="CA271" s="124"/>
      <c r="CB271" s="124"/>
      <c r="CC271" s="124"/>
      <c r="CD271" s="124"/>
      <c r="CE271" s="124"/>
      <c r="CF271" s="124"/>
      <c r="CG271" s="124"/>
      <c r="CH271" s="124"/>
      <c r="CI271" s="124"/>
      <c r="CJ271" s="124"/>
      <c r="CK271" s="124"/>
      <c r="CL271" s="124"/>
      <c r="CM271" s="124"/>
      <c r="CN271" s="124"/>
      <c r="CO271" s="124"/>
      <c r="CP271" s="124"/>
      <c r="CQ271" s="124"/>
      <c r="CR271" s="124"/>
      <c r="CS271" s="124"/>
      <c r="CT271" s="124"/>
      <c r="CU271" s="124"/>
      <c r="CV271" s="124"/>
      <c r="CW271" s="124"/>
      <c r="CX271" s="124"/>
      <c r="CY271" s="124"/>
      <c r="CZ271" s="124"/>
      <c r="DA271" s="124"/>
      <c r="DB271" s="124"/>
      <c r="DC271" s="124"/>
      <c r="DD271" s="124"/>
      <c r="DE271" s="124"/>
      <c r="DF271" s="124"/>
      <c r="DG271" s="124"/>
      <c r="DH271" s="124"/>
      <c r="DI271" s="124"/>
      <c r="DJ271" s="124"/>
      <c r="DK271" s="124"/>
      <c r="DL271" s="124"/>
      <c r="DM271" s="124"/>
      <c r="DN271" s="124"/>
      <c r="DO271" s="124"/>
      <c r="DP271" s="124"/>
      <c r="DQ271" s="124"/>
      <c r="DR271" s="124"/>
      <c r="DS271" s="124"/>
      <c r="DT271" s="124"/>
      <c r="DU271" s="124"/>
      <c r="DV271" s="124"/>
      <c r="DW271" s="124"/>
      <c r="DX271" s="124"/>
      <c r="DY271" s="124"/>
      <c r="DZ271" s="124"/>
      <c r="EA271" s="124"/>
      <c r="EB271" s="124"/>
      <c r="EC271" s="124"/>
      <c r="ED271" s="124"/>
      <c r="EE271" s="124"/>
      <c r="EF271" s="124"/>
      <c r="EG271" s="124"/>
      <c r="EH271" s="124"/>
      <c r="EI271" s="124"/>
      <c r="EJ271" s="124"/>
      <c r="EK271" s="124"/>
      <c r="EL271" s="124"/>
      <c r="EM271" s="124"/>
      <c r="EN271" s="124"/>
      <c r="EO271" s="124"/>
      <c r="EP271" s="124"/>
      <c r="EQ271" s="124"/>
      <c r="ER271" s="124"/>
      <c r="ES271" s="124"/>
      <c r="ET271" s="124"/>
      <c r="EU271" s="124"/>
      <c r="EV271" s="124"/>
      <c r="EW271" s="124"/>
      <c r="EX271" s="124"/>
      <c r="EY271" s="124"/>
      <c r="EZ271" s="124"/>
      <c r="FA271" s="124"/>
      <c r="FB271" s="124"/>
      <c r="FC271" s="124"/>
      <c r="FD271" s="124"/>
      <c r="FE271" s="124"/>
      <c r="FF271" s="124"/>
      <c r="FG271" s="124"/>
      <c r="FH271" s="124"/>
      <c r="FI271" s="124"/>
      <c r="FJ271" s="124"/>
      <c r="FK271" s="124"/>
      <c r="FL271" s="124"/>
      <c r="FM271" s="124"/>
      <c r="FN271" s="124"/>
      <c r="FO271" s="124"/>
      <c r="FP271" s="124"/>
      <c r="FQ271" s="124"/>
      <c r="FR271" s="124"/>
      <c r="FS271" s="124"/>
      <c r="FT271" s="124"/>
      <c r="FU271" s="124"/>
      <c r="FV271" s="124"/>
      <c r="FW271" s="124"/>
      <c r="FX271" s="124"/>
      <c r="FY271" s="124"/>
      <c r="FZ271" s="124"/>
      <c r="GA271" s="124"/>
      <c r="GB271" s="124"/>
      <c r="GC271" s="124"/>
      <c r="GD271" s="124"/>
      <c r="GE271" s="124"/>
      <c r="GF271" s="124"/>
      <c r="GG271" s="124"/>
      <c r="GH271" s="124"/>
      <c r="GI271" s="124"/>
      <c r="GJ271" s="124"/>
      <c r="GK271" s="124"/>
      <c r="GL271" s="124"/>
      <c r="GM271" s="124"/>
      <c r="GN271" s="124"/>
      <c r="GO271" s="124"/>
      <c r="GP271" s="124"/>
      <c r="GQ271" s="124"/>
      <c r="GR271" s="124"/>
      <c r="GS271" s="124"/>
      <c r="GT271" s="124"/>
      <c r="GU271" s="124"/>
      <c r="GV271" s="124"/>
      <c r="GW271" s="124"/>
      <c r="GX271" s="124"/>
      <c r="GY271" s="124"/>
      <c r="GZ271" s="124"/>
      <c r="HA271" s="124"/>
      <c r="HB271" s="124"/>
      <c r="HC271" s="124"/>
      <c r="HD271" s="124"/>
      <c r="HE271" s="124"/>
      <c r="HF271" s="124"/>
      <c r="HG271" s="124"/>
      <c r="HH271" s="124"/>
      <c r="HI271" s="124"/>
      <c r="HJ271" s="124"/>
      <c r="HK271" s="124"/>
      <c r="HL271" s="124"/>
      <c r="HM271" s="124"/>
      <c r="HN271" s="124"/>
      <c r="HO271" s="124"/>
      <c r="HP271" s="124"/>
      <c r="HQ271" s="124"/>
    </row>
    <row r="272" spans="1:225" x14ac:dyDescent="0.2">
      <c r="A272" s="122" t="s">
        <v>903</v>
      </c>
      <c r="B272" s="123">
        <v>37</v>
      </c>
      <c r="C272" s="124" t="s">
        <v>431</v>
      </c>
      <c r="D272" s="123">
        <v>263</v>
      </c>
      <c r="E272" s="124" t="s">
        <v>361</v>
      </c>
      <c r="F272" s="123">
        <v>3</v>
      </c>
      <c r="G272" s="123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  <c r="BJ272" s="124"/>
      <c r="BK272" s="124"/>
      <c r="BL272" s="124"/>
      <c r="BM272" s="124"/>
      <c r="BN272" s="124"/>
      <c r="BO272" s="124"/>
      <c r="BP272" s="124"/>
      <c r="BQ272" s="124"/>
      <c r="BR272" s="124"/>
      <c r="BS272" s="124"/>
      <c r="BT272" s="124"/>
      <c r="BU272" s="124"/>
      <c r="BV272" s="124"/>
      <c r="BW272" s="124"/>
      <c r="BX272" s="124"/>
      <c r="BY272" s="124"/>
      <c r="BZ272" s="124"/>
      <c r="CA272" s="124"/>
      <c r="CB272" s="124"/>
      <c r="CC272" s="124"/>
      <c r="CD272" s="124"/>
      <c r="CE272" s="124"/>
      <c r="CF272" s="124"/>
      <c r="CG272" s="124"/>
      <c r="CH272" s="124"/>
      <c r="CI272" s="124"/>
      <c r="CJ272" s="124"/>
      <c r="CK272" s="124"/>
      <c r="CL272" s="124"/>
      <c r="CM272" s="124"/>
      <c r="CN272" s="124"/>
      <c r="CO272" s="124"/>
      <c r="CP272" s="124"/>
      <c r="CQ272" s="124"/>
      <c r="CR272" s="124"/>
      <c r="CS272" s="124"/>
      <c r="CT272" s="124"/>
      <c r="CU272" s="124"/>
      <c r="CV272" s="124"/>
      <c r="CW272" s="124"/>
      <c r="CX272" s="124"/>
      <c r="CY272" s="124"/>
      <c r="CZ272" s="124"/>
      <c r="DA272" s="124"/>
      <c r="DB272" s="124"/>
      <c r="DC272" s="124"/>
      <c r="DD272" s="124"/>
      <c r="DE272" s="124"/>
      <c r="DF272" s="124"/>
      <c r="DG272" s="124"/>
      <c r="DH272" s="124"/>
      <c r="DI272" s="124"/>
      <c r="DJ272" s="124"/>
      <c r="DK272" s="124"/>
      <c r="DL272" s="124"/>
      <c r="DM272" s="124"/>
      <c r="DN272" s="124"/>
      <c r="DO272" s="124"/>
      <c r="DP272" s="124"/>
      <c r="DQ272" s="124"/>
      <c r="DR272" s="124"/>
      <c r="DS272" s="124"/>
      <c r="DT272" s="124"/>
      <c r="DU272" s="124"/>
      <c r="DV272" s="124"/>
      <c r="DW272" s="124"/>
      <c r="DX272" s="124"/>
      <c r="DY272" s="124"/>
      <c r="DZ272" s="124"/>
      <c r="EA272" s="124"/>
      <c r="EB272" s="124"/>
      <c r="EC272" s="124"/>
      <c r="ED272" s="124"/>
      <c r="EE272" s="124"/>
      <c r="EF272" s="124"/>
      <c r="EG272" s="124"/>
      <c r="EH272" s="124"/>
      <c r="EI272" s="124"/>
      <c r="EJ272" s="124"/>
      <c r="EK272" s="124"/>
      <c r="EL272" s="124"/>
      <c r="EM272" s="124"/>
      <c r="EN272" s="124"/>
      <c r="EO272" s="124"/>
      <c r="EP272" s="124"/>
      <c r="EQ272" s="124"/>
      <c r="ER272" s="124"/>
      <c r="ES272" s="124"/>
      <c r="ET272" s="124"/>
      <c r="EU272" s="124"/>
      <c r="EV272" s="124"/>
      <c r="EW272" s="124"/>
      <c r="EX272" s="124"/>
      <c r="EY272" s="124"/>
      <c r="EZ272" s="124"/>
      <c r="FA272" s="124"/>
      <c r="FB272" s="124"/>
      <c r="FC272" s="124"/>
      <c r="FD272" s="124"/>
      <c r="FE272" s="124"/>
      <c r="FF272" s="124"/>
      <c r="FG272" s="124"/>
      <c r="FH272" s="124"/>
      <c r="FI272" s="124"/>
      <c r="FJ272" s="124"/>
      <c r="FK272" s="124"/>
      <c r="FL272" s="124"/>
      <c r="FM272" s="124"/>
      <c r="FN272" s="124"/>
      <c r="FO272" s="124"/>
      <c r="FP272" s="124"/>
      <c r="FQ272" s="124"/>
      <c r="FR272" s="124"/>
      <c r="FS272" s="124"/>
      <c r="FT272" s="124"/>
      <c r="FU272" s="124"/>
      <c r="FV272" s="124"/>
      <c r="FW272" s="124"/>
      <c r="FX272" s="124"/>
      <c r="FY272" s="124"/>
      <c r="FZ272" s="124"/>
      <c r="GA272" s="124"/>
      <c r="GB272" s="124"/>
      <c r="GC272" s="124"/>
      <c r="GD272" s="124"/>
      <c r="GE272" s="124"/>
      <c r="GF272" s="124"/>
      <c r="GG272" s="124"/>
      <c r="GH272" s="124"/>
      <c r="GI272" s="124"/>
      <c r="GJ272" s="124"/>
      <c r="GK272" s="124"/>
      <c r="GL272" s="124"/>
      <c r="GM272" s="124"/>
      <c r="GN272" s="124"/>
      <c r="GO272" s="124"/>
      <c r="GP272" s="124"/>
      <c r="GQ272" s="124"/>
      <c r="GR272" s="124"/>
      <c r="GS272" s="124"/>
      <c r="GT272" s="124"/>
      <c r="GU272" s="124"/>
      <c r="GV272" s="124"/>
      <c r="GW272" s="124"/>
      <c r="GX272" s="124"/>
      <c r="GY272" s="124"/>
      <c r="GZ272" s="124"/>
      <c r="HA272" s="124"/>
      <c r="HB272" s="124"/>
      <c r="HC272" s="124"/>
      <c r="HD272" s="124"/>
      <c r="HE272" s="124"/>
      <c r="HF272" s="124"/>
      <c r="HG272" s="124"/>
      <c r="HH272" s="124"/>
      <c r="HI272" s="124"/>
      <c r="HJ272" s="124"/>
      <c r="HK272" s="124"/>
      <c r="HL272" s="124"/>
      <c r="HM272" s="124"/>
      <c r="HN272" s="124"/>
      <c r="HO272" s="124"/>
      <c r="HP272" s="124"/>
      <c r="HQ272" s="124"/>
    </row>
    <row r="273" spans="1:225" x14ac:dyDescent="0.2">
      <c r="A273" s="122" t="s">
        <v>904</v>
      </c>
      <c r="B273" s="123">
        <v>37</v>
      </c>
      <c r="C273" s="124" t="s">
        <v>432</v>
      </c>
      <c r="D273" s="123">
        <v>264</v>
      </c>
      <c r="E273" s="124" t="s">
        <v>361</v>
      </c>
      <c r="F273" s="123">
        <v>4</v>
      </c>
      <c r="G273" s="123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  <c r="AV273" s="124"/>
      <c r="AW273" s="124"/>
      <c r="AX273" s="124"/>
      <c r="AY273" s="124"/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  <c r="BJ273" s="124"/>
      <c r="BK273" s="124"/>
      <c r="BL273" s="124"/>
      <c r="BM273" s="124"/>
      <c r="BN273" s="124"/>
      <c r="BO273" s="124"/>
      <c r="BP273" s="124"/>
      <c r="BQ273" s="124"/>
      <c r="BR273" s="124"/>
      <c r="BS273" s="124"/>
      <c r="BT273" s="124"/>
      <c r="BU273" s="124"/>
      <c r="BV273" s="124"/>
      <c r="BW273" s="124"/>
      <c r="BX273" s="124"/>
      <c r="BY273" s="124"/>
      <c r="BZ273" s="124"/>
      <c r="CA273" s="124"/>
      <c r="CB273" s="124"/>
      <c r="CC273" s="124"/>
      <c r="CD273" s="124"/>
      <c r="CE273" s="124"/>
      <c r="CF273" s="124"/>
      <c r="CG273" s="124"/>
      <c r="CH273" s="124"/>
      <c r="CI273" s="124"/>
      <c r="CJ273" s="124"/>
      <c r="CK273" s="124"/>
      <c r="CL273" s="124"/>
      <c r="CM273" s="124"/>
      <c r="CN273" s="124"/>
      <c r="CO273" s="124"/>
      <c r="CP273" s="124"/>
      <c r="CQ273" s="124"/>
      <c r="CR273" s="124"/>
      <c r="CS273" s="124"/>
      <c r="CT273" s="124"/>
      <c r="CU273" s="124"/>
      <c r="CV273" s="124"/>
      <c r="CW273" s="124"/>
      <c r="CX273" s="124"/>
      <c r="CY273" s="124"/>
      <c r="CZ273" s="124"/>
      <c r="DA273" s="124"/>
      <c r="DB273" s="124"/>
      <c r="DC273" s="124"/>
      <c r="DD273" s="124"/>
      <c r="DE273" s="124"/>
      <c r="DF273" s="124"/>
      <c r="DG273" s="124"/>
      <c r="DH273" s="124"/>
      <c r="DI273" s="124"/>
      <c r="DJ273" s="124"/>
      <c r="DK273" s="124"/>
      <c r="DL273" s="124"/>
      <c r="DM273" s="124"/>
      <c r="DN273" s="124"/>
      <c r="DO273" s="124"/>
      <c r="DP273" s="124"/>
      <c r="DQ273" s="124"/>
      <c r="DR273" s="124"/>
      <c r="DS273" s="124"/>
      <c r="DT273" s="124"/>
      <c r="DU273" s="124"/>
      <c r="DV273" s="124"/>
      <c r="DW273" s="124"/>
      <c r="DX273" s="124"/>
      <c r="DY273" s="124"/>
      <c r="DZ273" s="124"/>
      <c r="EA273" s="124"/>
      <c r="EB273" s="124"/>
      <c r="EC273" s="124"/>
      <c r="ED273" s="124"/>
      <c r="EE273" s="124"/>
      <c r="EF273" s="124"/>
      <c r="EG273" s="124"/>
      <c r="EH273" s="124"/>
      <c r="EI273" s="124"/>
      <c r="EJ273" s="124"/>
      <c r="EK273" s="124"/>
      <c r="EL273" s="124"/>
      <c r="EM273" s="124"/>
      <c r="EN273" s="124"/>
      <c r="EO273" s="124"/>
      <c r="EP273" s="124"/>
      <c r="EQ273" s="124"/>
      <c r="ER273" s="124"/>
      <c r="ES273" s="124"/>
      <c r="ET273" s="124"/>
      <c r="EU273" s="124"/>
      <c r="EV273" s="124"/>
      <c r="EW273" s="124"/>
      <c r="EX273" s="124"/>
      <c r="EY273" s="124"/>
      <c r="EZ273" s="124"/>
      <c r="FA273" s="124"/>
      <c r="FB273" s="124"/>
      <c r="FC273" s="124"/>
      <c r="FD273" s="124"/>
      <c r="FE273" s="124"/>
      <c r="FF273" s="124"/>
      <c r="FG273" s="124"/>
      <c r="FH273" s="124"/>
      <c r="FI273" s="124"/>
      <c r="FJ273" s="124"/>
      <c r="FK273" s="124"/>
      <c r="FL273" s="124"/>
      <c r="FM273" s="124"/>
      <c r="FN273" s="124"/>
      <c r="FO273" s="124"/>
      <c r="FP273" s="124"/>
      <c r="FQ273" s="124"/>
      <c r="FR273" s="124"/>
      <c r="FS273" s="124"/>
      <c r="FT273" s="124"/>
      <c r="FU273" s="124"/>
      <c r="FV273" s="124"/>
      <c r="FW273" s="124"/>
      <c r="FX273" s="124"/>
      <c r="FY273" s="124"/>
      <c r="FZ273" s="124"/>
      <c r="GA273" s="124"/>
      <c r="GB273" s="124"/>
      <c r="GC273" s="124"/>
      <c r="GD273" s="124"/>
      <c r="GE273" s="124"/>
      <c r="GF273" s="124"/>
      <c r="GG273" s="124"/>
      <c r="GH273" s="124"/>
      <c r="GI273" s="124"/>
      <c r="GJ273" s="124"/>
      <c r="GK273" s="124"/>
      <c r="GL273" s="124"/>
      <c r="GM273" s="124"/>
      <c r="GN273" s="124"/>
      <c r="GO273" s="124"/>
      <c r="GP273" s="124"/>
      <c r="GQ273" s="124"/>
      <c r="GR273" s="124"/>
      <c r="GS273" s="124"/>
      <c r="GT273" s="124"/>
      <c r="GU273" s="124"/>
      <c r="GV273" s="124"/>
      <c r="GW273" s="124"/>
      <c r="GX273" s="124"/>
      <c r="GY273" s="124"/>
      <c r="GZ273" s="124"/>
      <c r="HA273" s="124"/>
      <c r="HB273" s="124"/>
      <c r="HC273" s="124"/>
      <c r="HD273" s="124"/>
      <c r="HE273" s="124"/>
      <c r="HF273" s="124"/>
      <c r="HG273" s="124"/>
      <c r="HH273" s="124"/>
      <c r="HI273" s="124"/>
      <c r="HJ273" s="124"/>
      <c r="HK273" s="124"/>
      <c r="HL273" s="124"/>
      <c r="HM273" s="124"/>
      <c r="HN273" s="124"/>
      <c r="HO273" s="124"/>
      <c r="HP273" s="124"/>
      <c r="HQ273" s="124"/>
    </row>
    <row r="274" spans="1:225" x14ac:dyDescent="0.2">
      <c r="A274" s="122" t="s">
        <v>905</v>
      </c>
      <c r="B274" s="123">
        <v>38</v>
      </c>
      <c r="C274" s="124" t="s">
        <v>433</v>
      </c>
      <c r="D274" s="123">
        <v>265</v>
      </c>
      <c r="E274" s="124" t="s">
        <v>361</v>
      </c>
      <c r="F274" s="123">
        <v>4</v>
      </c>
      <c r="G274" s="123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  <c r="AV274" s="124"/>
      <c r="AW274" s="124"/>
      <c r="AX274" s="124"/>
      <c r="AY274" s="124"/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  <c r="BJ274" s="124"/>
      <c r="BK274" s="124"/>
      <c r="BL274" s="124"/>
      <c r="BM274" s="124"/>
      <c r="BN274" s="124"/>
      <c r="BO274" s="124"/>
      <c r="BP274" s="124"/>
      <c r="BQ274" s="124"/>
      <c r="BR274" s="124"/>
      <c r="BS274" s="124"/>
      <c r="BT274" s="124"/>
      <c r="BU274" s="124"/>
      <c r="BV274" s="124"/>
      <c r="BW274" s="124"/>
      <c r="BX274" s="124"/>
      <c r="BY274" s="124"/>
      <c r="BZ274" s="124"/>
      <c r="CA274" s="124"/>
      <c r="CB274" s="124"/>
      <c r="CC274" s="124"/>
      <c r="CD274" s="124"/>
      <c r="CE274" s="124"/>
      <c r="CF274" s="124"/>
      <c r="CG274" s="124"/>
      <c r="CH274" s="124"/>
      <c r="CI274" s="124"/>
      <c r="CJ274" s="124"/>
      <c r="CK274" s="124"/>
      <c r="CL274" s="124"/>
      <c r="CM274" s="124"/>
      <c r="CN274" s="124"/>
      <c r="CO274" s="124"/>
      <c r="CP274" s="124"/>
      <c r="CQ274" s="124"/>
      <c r="CR274" s="124"/>
      <c r="CS274" s="124"/>
      <c r="CT274" s="124"/>
      <c r="CU274" s="124"/>
      <c r="CV274" s="124"/>
      <c r="CW274" s="124"/>
      <c r="CX274" s="124"/>
      <c r="CY274" s="124"/>
      <c r="CZ274" s="124"/>
      <c r="DA274" s="124"/>
      <c r="DB274" s="124"/>
      <c r="DC274" s="124"/>
      <c r="DD274" s="124"/>
      <c r="DE274" s="124"/>
      <c r="DF274" s="124"/>
      <c r="DG274" s="124"/>
      <c r="DH274" s="124"/>
      <c r="DI274" s="124"/>
      <c r="DJ274" s="124"/>
      <c r="DK274" s="124"/>
      <c r="DL274" s="124"/>
      <c r="DM274" s="124"/>
      <c r="DN274" s="124"/>
      <c r="DO274" s="124"/>
      <c r="DP274" s="124"/>
      <c r="DQ274" s="124"/>
      <c r="DR274" s="124"/>
      <c r="DS274" s="124"/>
      <c r="DT274" s="124"/>
      <c r="DU274" s="124"/>
      <c r="DV274" s="124"/>
      <c r="DW274" s="124"/>
      <c r="DX274" s="124"/>
      <c r="DY274" s="124"/>
      <c r="DZ274" s="124"/>
      <c r="EA274" s="124"/>
      <c r="EB274" s="124"/>
      <c r="EC274" s="124"/>
      <c r="ED274" s="124"/>
      <c r="EE274" s="124"/>
      <c r="EF274" s="124"/>
      <c r="EG274" s="124"/>
      <c r="EH274" s="124"/>
      <c r="EI274" s="124"/>
      <c r="EJ274" s="124"/>
      <c r="EK274" s="124"/>
      <c r="EL274" s="124"/>
      <c r="EM274" s="124"/>
      <c r="EN274" s="124"/>
      <c r="EO274" s="124"/>
      <c r="EP274" s="124"/>
      <c r="EQ274" s="124"/>
      <c r="ER274" s="124"/>
      <c r="ES274" s="124"/>
      <c r="ET274" s="124"/>
      <c r="EU274" s="124"/>
      <c r="EV274" s="124"/>
      <c r="EW274" s="124"/>
      <c r="EX274" s="124"/>
      <c r="EY274" s="124"/>
      <c r="EZ274" s="124"/>
      <c r="FA274" s="124"/>
      <c r="FB274" s="124"/>
      <c r="FC274" s="124"/>
      <c r="FD274" s="124"/>
      <c r="FE274" s="124"/>
      <c r="FF274" s="124"/>
      <c r="FG274" s="124"/>
      <c r="FH274" s="124"/>
      <c r="FI274" s="124"/>
      <c r="FJ274" s="124"/>
      <c r="FK274" s="124"/>
      <c r="FL274" s="124"/>
      <c r="FM274" s="124"/>
      <c r="FN274" s="124"/>
      <c r="FO274" s="124"/>
      <c r="FP274" s="124"/>
      <c r="FQ274" s="124"/>
      <c r="FR274" s="124"/>
      <c r="FS274" s="124"/>
      <c r="FT274" s="124"/>
      <c r="FU274" s="124"/>
      <c r="FV274" s="124"/>
      <c r="FW274" s="124"/>
      <c r="FX274" s="124"/>
      <c r="FY274" s="124"/>
      <c r="FZ274" s="124"/>
      <c r="GA274" s="124"/>
      <c r="GB274" s="124"/>
      <c r="GC274" s="124"/>
      <c r="GD274" s="124"/>
      <c r="GE274" s="124"/>
      <c r="GF274" s="124"/>
      <c r="GG274" s="124"/>
      <c r="GH274" s="124"/>
      <c r="GI274" s="124"/>
      <c r="GJ274" s="124"/>
      <c r="GK274" s="124"/>
      <c r="GL274" s="124"/>
      <c r="GM274" s="124"/>
      <c r="GN274" s="124"/>
      <c r="GO274" s="124"/>
      <c r="GP274" s="124"/>
      <c r="GQ274" s="124"/>
      <c r="GR274" s="124"/>
      <c r="GS274" s="124"/>
      <c r="GT274" s="124"/>
      <c r="GU274" s="124"/>
      <c r="GV274" s="124"/>
      <c r="GW274" s="124"/>
      <c r="GX274" s="124"/>
      <c r="GY274" s="124"/>
      <c r="GZ274" s="124"/>
      <c r="HA274" s="124"/>
      <c r="HB274" s="124"/>
      <c r="HC274" s="124"/>
      <c r="HD274" s="124"/>
      <c r="HE274" s="124"/>
      <c r="HF274" s="124"/>
      <c r="HG274" s="124"/>
      <c r="HH274" s="124"/>
      <c r="HI274" s="124"/>
      <c r="HJ274" s="124"/>
      <c r="HK274" s="124"/>
      <c r="HL274" s="124"/>
      <c r="HM274" s="124"/>
      <c r="HN274" s="124"/>
      <c r="HO274" s="124"/>
      <c r="HP274" s="124"/>
      <c r="HQ274" s="124"/>
    </row>
    <row r="275" spans="1:225" x14ac:dyDescent="0.2">
      <c r="A275" s="122" t="s">
        <v>906</v>
      </c>
      <c r="B275" s="123">
        <v>38</v>
      </c>
      <c r="C275" s="124" t="s">
        <v>434</v>
      </c>
      <c r="D275" s="123">
        <v>266</v>
      </c>
      <c r="E275" s="124" t="s">
        <v>361</v>
      </c>
      <c r="F275" s="123">
        <v>4</v>
      </c>
      <c r="G275" s="123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  <c r="BJ275" s="124"/>
      <c r="BK275" s="124"/>
      <c r="BL275" s="124"/>
      <c r="BM275" s="124"/>
      <c r="BN275" s="124"/>
      <c r="BO275" s="124"/>
      <c r="BP275" s="124"/>
      <c r="BQ275" s="124"/>
      <c r="BR275" s="124"/>
      <c r="BS275" s="124"/>
      <c r="BT275" s="124"/>
      <c r="BU275" s="124"/>
      <c r="BV275" s="124"/>
      <c r="BW275" s="124"/>
      <c r="BX275" s="124"/>
      <c r="BY275" s="124"/>
      <c r="BZ275" s="124"/>
      <c r="CA275" s="124"/>
      <c r="CB275" s="124"/>
      <c r="CC275" s="124"/>
      <c r="CD275" s="124"/>
      <c r="CE275" s="124"/>
      <c r="CF275" s="124"/>
      <c r="CG275" s="124"/>
      <c r="CH275" s="124"/>
      <c r="CI275" s="124"/>
      <c r="CJ275" s="124"/>
      <c r="CK275" s="124"/>
      <c r="CL275" s="124"/>
      <c r="CM275" s="124"/>
      <c r="CN275" s="124"/>
      <c r="CO275" s="124"/>
      <c r="CP275" s="124"/>
      <c r="CQ275" s="124"/>
      <c r="CR275" s="124"/>
      <c r="CS275" s="124"/>
      <c r="CT275" s="124"/>
      <c r="CU275" s="124"/>
      <c r="CV275" s="124"/>
      <c r="CW275" s="124"/>
      <c r="CX275" s="124"/>
      <c r="CY275" s="124"/>
      <c r="CZ275" s="124"/>
      <c r="DA275" s="124"/>
      <c r="DB275" s="124"/>
      <c r="DC275" s="124"/>
      <c r="DD275" s="124"/>
      <c r="DE275" s="124"/>
      <c r="DF275" s="124"/>
      <c r="DG275" s="124"/>
      <c r="DH275" s="124"/>
      <c r="DI275" s="124"/>
      <c r="DJ275" s="124"/>
      <c r="DK275" s="124"/>
      <c r="DL275" s="124"/>
      <c r="DM275" s="124"/>
      <c r="DN275" s="124"/>
      <c r="DO275" s="124"/>
      <c r="DP275" s="124"/>
      <c r="DQ275" s="124"/>
      <c r="DR275" s="124"/>
      <c r="DS275" s="124"/>
      <c r="DT275" s="124"/>
      <c r="DU275" s="124"/>
      <c r="DV275" s="124"/>
      <c r="DW275" s="124"/>
      <c r="DX275" s="124"/>
      <c r="DY275" s="124"/>
      <c r="DZ275" s="124"/>
      <c r="EA275" s="124"/>
      <c r="EB275" s="124"/>
      <c r="EC275" s="124"/>
      <c r="ED275" s="124"/>
      <c r="EE275" s="124"/>
      <c r="EF275" s="124"/>
      <c r="EG275" s="124"/>
      <c r="EH275" s="124"/>
      <c r="EI275" s="124"/>
      <c r="EJ275" s="124"/>
      <c r="EK275" s="124"/>
      <c r="EL275" s="124"/>
      <c r="EM275" s="124"/>
      <c r="EN275" s="124"/>
      <c r="EO275" s="124"/>
      <c r="EP275" s="124"/>
      <c r="EQ275" s="124"/>
      <c r="ER275" s="124"/>
      <c r="ES275" s="124"/>
      <c r="ET275" s="124"/>
      <c r="EU275" s="124"/>
      <c r="EV275" s="124"/>
      <c r="EW275" s="124"/>
      <c r="EX275" s="124"/>
      <c r="EY275" s="124"/>
      <c r="EZ275" s="124"/>
      <c r="FA275" s="124"/>
      <c r="FB275" s="124"/>
      <c r="FC275" s="124"/>
      <c r="FD275" s="124"/>
      <c r="FE275" s="124"/>
      <c r="FF275" s="124"/>
      <c r="FG275" s="124"/>
      <c r="FH275" s="124"/>
      <c r="FI275" s="124"/>
      <c r="FJ275" s="124"/>
      <c r="FK275" s="124"/>
      <c r="FL275" s="124"/>
      <c r="FM275" s="124"/>
      <c r="FN275" s="124"/>
      <c r="FO275" s="124"/>
      <c r="FP275" s="124"/>
      <c r="FQ275" s="124"/>
      <c r="FR275" s="124"/>
      <c r="FS275" s="124"/>
      <c r="FT275" s="124"/>
      <c r="FU275" s="124"/>
      <c r="FV275" s="124"/>
      <c r="FW275" s="124"/>
      <c r="FX275" s="124"/>
      <c r="FY275" s="124"/>
      <c r="FZ275" s="124"/>
      <c r="GA275" s="124"/>
      <c r="GB275" s="124"/>
      <c r="GC275" s="124"/>
      <c r="GD275" s="124"/>
      <c r="GE275" s="124"/>
      <c r="GF275" s="124"/>
      <c r="GG275" s="124"/>
      <c r="GH275" s="124"/>
      <c r="GI275" s="124"/>
      <c r="GJ275" s="124"/>
      <c r="GK275" s="124"/>
      <c r="GL275" s="124"/>
      <c r="GM275" s="124"/>
      <c r="GN275" s="124"/>
      <c r="GO275" s="124"/>
      <c r="GP275" s="124"/>
      <c r="GQ275" s="124"/>
      <c r="GR275" s="124"/>
      <c r="GS275" s="124"/>
      <c r="GT275" s="124"/>
      <c r="GU275" s="124"/>
      <c r="GV275" s="124"/>
      <c r="GW275" s="124"/>
      <c r="GX275" s="124"/>
      <c r="GY275" s="124"/>
      <c r="GZ275" s="124"/>
      <c r="HA275" s="124"/>
      <c r="HB275" s="124"/>
      <c r="HC275" s="124"/>
      <c r="HD275" s="124"/>
      <c r="HE275" s="124"/>
      <c r="HF275" s="124"/>
      <c r="HG275" s="124"/>
      <c r="HH275" s="124"/>
      <c r="HI275" s="124"/>
      <c r="HJ275" s="124"/>
      <c r="HK275" s="124"/>
      <c r="HL275" s="124"/>
      <c r="HM275" s="124"/>
      <c r="HN275" s="124"/>
      <c r="HO275" s="124"/>
      <c r="HP275" s="124"/>
      <c r="HQ275" s="124"/>
    </row>
    <row r="276" spans="1:225" x14ac:dyDescent="0.2">
      <c r="A276" s="122" t="s">
        <v>907</v>
      </c>
      <c r="B276" s="123">
        <v>39</v>
      </c>
      <c r="C276" s="124" t="s">
        <v>435</v>
      </c>
      <c r="D276" s="123">
        <v>267</v>
      </c>
      <c r="E276" s="124" t="s">
        <v>361</v>
      </c>
      <c r="F276" s="123">
        <v>3</v>
      </c>
      <c r="G276" s="123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  <c r="AV276" s="124"/>
      <c r="AW276" s="124"/>
      <c r="AX276" s="124"/>
      <c r="AY276" s="124"/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  <c r="BJ276" s="124"/>
      <c r="BK276" s="124"/>
      <c r="BL276" s="124"/>
      <c r="BM276" s="124"/>
      <c r="BN276" s="124"/>
      <c r="BO276" s="124"/>
      <c r="BP276" s="124"/>
      <c r="BQ276" s="124"/>
      <c r="BR276" s="124"/>
      <c r="BS276" s="124"/>
      <c r="BT276" s="124"/>
      <c r="BU276" s="124"/>
      <c r="BV276" s="124"/>
      <c r="BW276" s="124"/>
      <c r="BX276" s="124"/>
      <c r="BY276" s="124"/>
      <c r="BZ276" s="124"/>
      <c r="CA276" s="124"/>
      <c r="CB276" s="124"/>
      <c r="CC276" s="124"/>
      <c r="CD276" s="124"/>
      <c r="CE276" s="124"/>
      <c r="CF276" s="124"/>
      <c r="CG276" s="124"/>
      <c r="CH276" s="124"/>
      <c r="CI276" s="124"/>
      <c r="CJ276" s="124"/>
      <c r="CK276" s="124"/>
      <c r="CL276" s="124"/>
      <c r="CM276" s="124"/>
      <c r="CN276" s="124"/>
      <c r="CO276" s="124"/>
      <c r="CP276" s="124"/>
      <c r="CQ276" s="124"/>
      <c r="CR276" s="124"/>
      <c r="CS276" s="124"/>
      <c r="CT276" s="124"/>
      <c r="CU276" s="124"/>
      <c r="CV276" s="124"/>
      <c r="CW276" s="124"/>
      <c r="CX276" s="124"/>
      <c r="CY276" s="124"/>
      <c r="CZ276" s="124"/>
      <c r="DA276" s="124"/>
      <c r="DB276" s="124"/>
      <c r="DC276" s="124"/>
      <c r="DD276" s="124"/>
      <c r="DE276" s="124"/>
      <c r="DF276" s="124"/>
      <c r="DG276" s="124"/>
      <c r="DH276" s="124"/>
      <c r="DI276" s="124"/>
      <c r="DJ276" s="124"/>
      <c r="DK276" s="124"/>
      <c r="DL276" s="124"/>
      <c r="DM276" s="124"/>
      <c r="DN276" s="124"/>
      <c r="DO276" s="124"/>
      <c r="DP276" s="124"/>
      <c r="DQ276" s="124"/>
      <c r="DR276" s="124"/>
      <c r="DS276" s="124"/>
      <c r="DT276" s="124"/>
      <c r="DU276" s="124"/>
      <c r="DV276" s="124"/>
      <c r="DW276" s="124"/>
      <c r="DX276" s="124"/>
      <c r="DY276" s="124"/>
      <c r="DZ276" s="124"/>
      <c r="EA276" s="124"/>
      <c r="EB276" s="124"/>
      <c r="EC276" s="124"/>
      <c r="ED276" s="124"/>
      <c r="EE276" s="124"/>
      <c r="EF276" s="124"/>
      <c r="EG276" s="124"/>
      <c r="EH276" s="124"/>
      <c r="EI276" s="124"/>
      <c r="EJ276" s="124"/>
      <c r="EK276" s="124"/>
      <c r="EL276" s="124"/>
      <c r="EM276" s="124"/>
      <c r="EN276" s="124"/>
      <c r="EO276" s="124"/>
      <c r="EP276" s="124"/>
      <c r="EQ276" s="124"/>
      <c r="ER276" s="124"/>
      <c r="ES276" s="124"/>
      <c r="ET276" s="124"/>
      <c r="EU276" s="124"/>
      <c r="EV276" s="124"/>
      <c r="EW276" s="124"/>
      <c r="EX276" s="124"/>
      <c r="EY276" s="124"/>
      <c r="EZ276" s="124"/>
      <c r="FA276" s="124"/>
      <c r="FB276" s="124"/>
      <c r="FC276" s="124"/>
      <c r="FD276" s="124"/>
      <c r="FE276" s="124"/>
      <c r="FF276" s="124"/>
      <c r="FG276" s="124"/>
      <c r="FH276" s="124"/>
      <c r="FI276" s="124"/>
      <c r="FJ276" s="124"/>
      <c r="FK276" s="124"/>
      <c r="FL276" s="124"/>
      <c r="FM276" s="124"/>
      <c r="FN276" s="124"/>
      <c r="FO276" s="124"/>
      <c r="FP276" s="124"/>
      <c r="FQ276" s="124"/>
      <c r="FR276" s="124"/>
      <c r="FS276" s="124"/>
      <c r="FT276" s="124"/>
      <c r="FU276" s="124"/>
      <c r="FV276" s="124"/>
      <c r="FW276" s="124"/>
      <c r="FX276" s="124"/>
      <c r="FY276" s="124"/>
      <c r="FZ276" s="124"/>
      <c r="GA276" s="124"/>
      <c r="GB276" s="124"/>
      <c r="GC276" s="124"/>
      <c r="GD276" s="124"/>
      <c r="GE276" s="124"/>
      <c r="GF276" s="124"/>
      <c r="GG276" s="124"/>
      <c r="GH276" s="124"/>
      <c r="GI276" s="124"/>
      <c r="GJ276" s="124"/>
      <c r="GK276" s="124"/>
      <c r="GL276" s="124"/>
      <c r="GM276" s="124"/>
      <c r="GN276" s="124"/>
      <c r="GO276" s="124"/>
      <c r="GP276" s="124"/>
      <c r="GQ276" s="124"/>
      <c r="GR276" s="124"/>
      <c r="GS276" s="124"/>
      <c r="GT276" s="124"/>
      <c r="GU276" s="124"/>
      <c r="GV276" s="124"/>
      <c r="GW276" s="124"/>
      <c r="GX276" s="124"/>
      <c r="GY276" s="124"/>
      <c r="GZ276" s="124"/>
      <c r="HA276" s="124"/>
      <c r="HB276" s="124"/>
      <c r="HC276" s="124"/>
      <c r="HD276" s="124"/>
      <c r="HE276" s="124"/>
      <c r="HF276" s="124"/>
      <c r="HG276" s="124"/>
      <c r="HH276" s="124"/>
      <c r="HI276" s="124"/>
      <c r="HJ276" s="124"/>
      <c r="HK276" s="124"/>
      <c r="HL276" s="124"/>
      <c r="HM276" s="124"/>
      <c r="HN276" s="124"/>
      <c r="HO276" s="124"/>
      <c r="HP276" s="124"/>
      <c r="HQ276" s="124"/>
    </row>
    <row r="277" spans="1:225" x14ac:dyDescent="0.2">
      <c r="A277" s="122" t="s">
        <v>908</v>
      </c>
      <c r="B277" s="123">
        <v>39</v>
      </c>
      <c r="C277" s="124" t="s">
        <v>436</v>
      </c>
      <c r="D277" s="123">
        <v>268</v>
      </c>
      <c r="E277" s="124" t="s">
        <v>361</v>
      </c>
      <c r="F277" s="123">
        <v>2</v>
      </c>
      <c r="G277" s="123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  <c r="BJ277" s="124"/>
      <c r="BK277" s="124"/>
      <c r="BL277" s="124"/>
      <c r="BM277" s="124"/>
      <c r="BN277" s="124"/>
      <c r="BO277" s="124"/>
      <c r="BP277" s="124"/>
      <c r="BQ277" s="124"/>
      <c r="BR277" s="124"/>
      <c r="BS277" s="124"/>
      <c r="BT277" s="124"/>
      <c r="BU277" s="124"/>
      <c r="BV277" s="124"/>
      <c r="BW277" s="124"/>
      <c r="BX277" s="124"/>
      <c r="BY277" s="124"/>
      <c r="BZ277" s="124"/>
      <c r="CA277" s="124"/>
      <c r="CB277" s="124"/>
      <c r="CC277" s="124"/>
      <c r="CD277" s="124"/>
      <c r="CE277" s="124"/>
      <c r="CF277" s="124"/>
      <c r="CG277" s="124"/>
      <c r="CH277" s="124"/>
      <c r="CI277" s="124"/>
      <c r="CJ277" s="124"/>
      <c r="CK277" s="124"/>
      <c r="CL277" s="124"/>
      <c r="CM277" s="124"/>
      <c r="CN277" s="124"/>
      <c r="CO277" s="124"/>
      <c r="CP277" s="124"/>
      <c r="CQ277" s="124"/>
      <c r="CR277" s="124"/>
      <c r="CS277" s="124"/>
      <c r="CT277" s="124"/>
      <c r="CU277" s="124"/>
      <c r="CV277" s="124"/>
      <c r="CW277" s="124"/>
      <c r="CX277" s="124"/>
      <c r="CY277" s="124"/>
      <c r="CZ277" s="124"/>
      <c r="DA277" s="124"/>
      <c r="DB277" s="124"/>
      <c r="DC277" s="124"/>
      <c r="DD277" s="124"/>
      <c r="DE277" s="124"/>
      <c r="DF277" s="124"/>
      <c r="DG277" s="124"/>
      <c r="DH277" s="124"/>
      <c r="DI277" s="124"/>
      <c r="DJ277" s="124"/>
      <c r="DK277" s="124"/>
      <c r="DL277" s="124"/>
      <c r="DM277" s="124"/>
      <c r="DN277" s="124"/>
      <c r="DO277" s="124"/>
      <c r="DP277" s="124"/>
      <c r="DQ277" s="124"/>
      <c r="DR277" s="124"/>
      <c r="DS277" s="124"/>
      <c r="DT277" s="124"/>
      <c r="DU277" s="124"/>
      <c r="DV277" s="124"/>
      <c r="DW277" s="124"/>
      <c r="DX277" s="124"/>
      <c r="DY277" s="124"/>
      <c r="DZ277" s="124"/>
      <c r="EA277" s="124"/>
      <c r="EB277" s="124"/>
      <c r="EC277" s="124"/>
      <c r="ED277" s="124"/>
      <c r="EE277" s="124"/>
      <c r="EF277" s="124"/>
      <c r="EG277" s="124"/>
      <c r="EH277" s="124"/>
      <c r="EI277" s="124"/>
      <c r="EJ277" s="124"/>
      <c r="EK277" s="124"/>
      <c r="EL277" s="124"/>
      <c r="EM277" s="124"/>
      <c r="EN277" s="124"/>
      <c r="EO277" s="124"/>
      <c r="EP277" s="124"/>
      <c r="EQ277" s="124"/>
      <c r="ER277" s="124"/>
      <c r="ES277" s="124"/>
      <c r="ET277" s="124"/>
      <c r="EU277" s="124"/>
      <c r="EV277" s="124"/>
      <c r="EW277" s="124"/>
      <c r="EX277" s="124"/>
      <c r="EY277" s="124"/>
      <c r="EZ277" s="124"/>
      <c r="FA277" s="124"/>
      <c r="FB277" s="124"/>
      <c r="FC277" s="124"/>
      <c r="FD277" s="124"/>
      <c r="FE277" s="124"/>
      <c r="FF277" s="124"/>
      <c r="FG277" s="124"/>
      <c r="FH277" s="124"/>
      <c r="FI277" s="124"/>
      <c r="FJ277" s="124"/>
      <c r="FK277" s="124"/>
      <c r="FL277" s="124"/>
      <c r="FM277" s="124"/>
      <c r="FN277" s="124"/>
      <c r="FO277" s="124"/>
      <c r="FP277" s="124"/>
      <c r="FQ277" s="124"/>
      <c r="FR277" s="124"/>
      <c r="FS277" s="124"/>
      <c r="FT277" s="124"/>
      <c r="FU277" s="124"/>
      <c r="FV277" s="124"/>
      <c r="FW277" s="124"/>
      <c r="FX277" s="124"/>
      <c r="FY277" s="124"/>
      <c r="FZ277" s="124"/>
      <c r="GA277" s="124"/>
      <c r="GB277" s="124"/>
      <c r="GC277" s="124"/>
      <c r="GD277" s="124"/>
      <c r="GE277" s="124"/>
      <c r="GF277" s="124"/>
      <c r="GG277" s="124"/>
      <c r="GH277" s="124"/>
      <c r="GI277" s="124"/>
      <c r="GJ277" s="124"/>
      <c r="GK277" s="124"/>
      <c r="GL277" s="124"/>
      <c r="GM277" s="124"/>
      <c r="GN277" s="124"/>
      <c r="GO277" s="124"/>
      <c r="GP277" s="124"/>
      <c r="GQ277" s="124"/>
      <c r="GR277" s="124"/>
      <c r="GS277" s="124"/>
      <c r="GT277" s="124"/>
      <c r="GU277" s="124"/>
      <c r="GV277" s="124"/>
      <c r="GW277" s="124"/>
      <c r="GX277" s="124"/>
      <c r="GY277" s="124"/>
      <c r="GZ277" s="124"/>
      <c r="HA277" s="124"/>
      <c r="HB277" s="124"/>
      <c r="HC277" s="124"/>
      <c r="HD277" s="124"/>
      <c r="HE277" s="124"/>
      <c r="HF277" s="124"/>
      <c r="HG277" s="124"/>
      <c r="HH277" s="124"/>
      <c r="HI277" s="124"/>
      <c r="HJ277" s="124"/>
      <c r="HK277" s="124"/>
      <c r="HL277" s="124"/>
      <c r="HM277" s="124"/>
      <c r="HN277" s="124"/>
      <c r="HO277" s="124"/>
      <c r="HP277" s="124"/>
      <c r="HQ277" s="124"/>
    </row>
    <row r="278" spans="1:225" x14ac:dyDescent="0.2">
      <c r="A278" s="122" t="s">
        <v>909</v>
      </c>
      <c r="B278" s="123">
        <v>40</v>
      </c>
      <c r="C278" s="124" t="s">
        <v>437</v>
      </c>
      <c r="D278" s="123">
        <v>269</v>
      </c>
      <c r="E278" s="124" t="s">
        <v>361</v>
      </c>
      <c r="F278" s="123">
        <v>2</v>
      </c>
      <c r="G278" s="123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  <c r="AV278" s="124"/>
      <c r="AW278" s="124"/>
      <c r="AX278" s="124"/>
      <c r="AY278" s="124"/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  <c r="BJ278" s="124"/>
      <c r="BK278" s="124"/>
      <c r="BL278" s="124"/>
      <c r="BM278" s="124"/>
      <c r="BN278" s="124"/>
      <c r="BO278" s="124"/>
      <c r="BP278" s="124"/>
      <c r="BQ278" s="124"/>
      <c r="BR278" s="124"/>
      <c r="BS278" s="124"/>
      <c r="BT278" s="124"/>
      <c r="BU278" s="124"/>
      <c r="BV278" s="124"/>
      <c r="BW278" s="124"/>
      <c r="BX278" s="124"/>
      <c r="BY278" s="124"/>
      <c r="BZ278" s="124"/>
      <c r="CA278" s="124"/>
      <c r="CB278" s="124"/>
      <c r="CC278" s="124"/>
      <c r="CD278" s="124"/>
      <c r="CE278" s="124"/>
      <c r="CF278" s="124"/>
      <c r="CG278" s="124"/>
      <c r="CH278" s="124"/>
      <c r="CI278" s="124"/>
      <c r="CJ278" s="124"/>
      <c r="CK278" s="124"/>
      <c r="CL278" s="124"/>
      <c r="CM278" s="124"/>
      <c r="CN278" s="124"/>
      <c r="CO278" s="124"/>
      <c r="CP278" s="124"/>
      <c r="CQ278" s="124"/>
      <c r="CR278" s="124"/>
      <c r="CS278" s="124"/>
      <c r="CT278" s="124"/>
      <c r="CU278" s="124"/>
      <c r="CV278" s="124"/>
      <c r="CW278" s="124"/>
      <c r="CX278" s="124"/>
      <c r="CY278" s="124"/>
      <c r="CZ278" s="124"/>
      <c r="DA278" s="124"/>
      <c r="DB278" s="124"/>
      <c r="DC278" s="124"/>
      <c r="DD278" s="124"/>
      <c r="DE278" s="124"/>
      <c r="DF278" s="124"/>
      <c r="DG278" s="124"/>
      <c r="DH278" s="124"/>
      <c r="DI278" s="124"/>
      <c r="DJ278" s="124"/>
      <c r="DK278" s="124"/>
      <c r="DL278" s="124"/>
      <c r="DM278" s="124"/>
      <c r="DN278" s="124"/>
      <c r="DO278" s="124"/>
      <c r="DP278" s="124"/>
      <c r="DQ278" s="124"/>
      <c r="DR278" s="124"/>
      <c r="DS278" s="124"/>
      <c r="DT278" s="124"/>
      <c r="DU278" s="124"/>
      <c r="DV278" s="124"/>
      <c r="DW278" s="124"/>
      <c r="DX278" s="124"/>
      <c r="DY278" s="124"/>
      <c r="DZ278" s="124"/>
      <c r="EA278" s="124"/>
      <c r="EB278" s="124"/>
      <c r="EC278" s="124"/>
      <c r="ED278" s="124"/>
      <c r="EE278" s="124"/>
      <c r="EF278" s="124"/>
      <c r="EG278" s="124"/>
      <c r="EH278" s="124"/>
      <c r="EI278" s="124"/>
      <c r="EJ278" s="124"/>
      <c r="EK278" s="124"/>
      <c r="EL278" s="124"/>
      <c r="EM278" s="124"/>
      <c r="EN278" s="124"/>
      <c r="EO278" s="124"/>
      <c r="EP278" s="124"/>
      <c r="EQ278" s="124"/>
      <c r="ER278" s="124"/>
      <c r="ES278" s="124"/>
      <c r="ET278" s="124"/>
      <c r="EU278" s="124"/>
      <c r="EV278" s="124"/>
      <c r="EW278" s="124"/>
      <c r="EX278" s="124"/>
      <c r="EY278" s="124"/>
      <c r="EZ278" s="124"/>
      <c r="FA278" s="124"/>
      <c r="FB278" s="124"/>
      <c r="FC278" s="124"/>
      <c r="FD278" s="124"/>
      <c r="FE278" s="124"/>
      <c r="FF278" s="124"/>
      <c r="FG278" s="124"/>
      <c r="FH278" s="124"/>
      <c r="FI278" s="124"/>
      <c r="FJ278" s="124"/>
      <c r="FK278" s="124"/>
      <c r="FL278" s="124"/>
      <c r="FM278" s="124"/>
      <c r="FN278" s="124"/>
      <c r="FO278" s="124"/>
      <c r="FP278" s="124"/>
      <c r="FQ278" s="124"/>
      <c r="FR278" s="124"/>
      <c r="FS278" s="124"/>
      <c r="FT278" s="124"/>
      <c r="FU278" s="124"/>
      <c r="FV278" s="124"/>
      <c r="FW278" s="124"/>
      <c r="FX278" s="124"/>
      <c r="FY278" s="124"/>
      <c r="FZ278" s="124"/>
      <c r="GA278" s="124"/>
      <c r="GB278" s="124"/>
      <c r="GC278" s="124"/>
      <c r="GD278" s="124"/>
      <c r="GE278" s="124"/>
      <c r="GF278" s="124"/>
      <c r="GG278" s="124"/>
      <c r="GH278" s="124"/>
      <c r="GI278" s="124"/>
      <c r="GJ278" s="124"/>
      <c r="GK278" s="124"/>
      <c r="GL278" s="124"/>
      <c r="GM278" s="124"/>
      <c r="GN278" s="124"/>
      <c r="GO278" s="124"/>
      <c r="GP278" s="124"/>
      <c r="GQ278" s="124"/>
      <c r="GR278" s="124"/>
      <c r="GS278" s="124"/>
      <c r="GT278" s="124"/>
      <c r="GU278" s="124"/>
      <c r="GV278" s="124"/>
      <c r="GW278" s="124"/>
      <c r="GX278" s="124"/>
      <c r="GY278" s="124"/>
      <c r="GZ278" s="124"/>
      <c r="HA278" s="124"/>
      <c r="HB278" s="124"/>
      <c r="HC278" s="124"/>
      <c r="HD278" s="124"/>
      <c r="HE278" s="124"/>
      <c r="HF278" s="124"/>
      <c r="HG278" s="124"/>
      <c r="HH278" s="124"/>
      <c r="HI278" s="124"/>
      <c r="HJ278" s="124"/>
      <c r="HK278" s="124"/>
      <c r="HL278" s="124"/>
      <c r="HM278" s="124"/>
      <c r="HN278" s="124"/>
      <c r="HO278" s="124"/>
      <c r="HP278" s="124"/>
      <c r="HQ278" s="124"/>
    </row>
    <row r="279" spans="1:225" x14ac:dyDescent="0.2">
      <c r="A279" s="122" t="s">
        <v>910</v>
      </c>
      <c r="B279" s="123">
        <v>40</v>
      </c>
      <c r="C279" s="124" t="s">
        <v>438</v>
      </c>
      <c r="D279" s="123">
        <v>270</v>
      </c>
      <c r="E279" s="124" t="s">
        <v>361</v>
      </c>
      <c r="F279" s="123">
        <v>3</v>
      </c>
      <c r="G279" s="123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  <c r="AV279" s="124"/>
      <c r="AW279" s="124"/>
      <c r="AX279" s="124"/>
      <c r="AY279" s="124"/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  <c r="BJ279" s="124"/>
      <c r="BK279" s="124"/>
      <c r="BL279" s="124"/>
      <c r="BM279" s="124"/>
      <c r="BN279" s="124"/>
      <c r="BO279" s="124"/>
      <c r="BP279" s="124"/>
      <c r="BQ279" s="124"/>
      <c r="BR279" s="124"/>
      <c r="BS279" s="124"/>
      <c r="BT279" s="124"/>
      <c r="BU279" s="124"/>
      <c r="BV279" s="124"/>
      <c r="BW279" s="124"/>
      <c r="BX279" s="124"/>
      <c r="BY279" s="124"/>
      <c r="BZ279" s="124"/>
      <c r="CA279" s="124"/>
      <c r="CB279" s="124"/>
      <c r="CC279" s="124"/>
      <c r="CD279" s="124"/>
      <c r="CE279" s="124"/>
      <c r="CF279" s="124"/>
      <c r="CG279" s="124"/>
      <c r="CH279" s="124"/>
      <c r="CI279" s="124"/>
      <c r="CJ279" s="124"/>
      <c r="CK279" s="124"/>
      <c r="CL279" s="124"/>
      <c r="CM279" s="124"/>
      <c r="CN279" s="124"/>
      <c r="CO279" s="124"/>
      <c r="CP279" s="124"/>
      <c r="CQ279" s="124"/>
      <c r="CR279" s="124"/>
      <c r="CS279" s="124"/>
      <c r="CT279" s="124"/>
      <c r="CU279" s="124"/>
      <c r="CV279" s="124"/>
      <c r="CW279" s="124"/>
      <c r="CX279" s="124"/>
      <c r="CY279" s="124"/>
      <c r="CZ279" s="124"/>
      <c r="DA279" s="124"/>
      <c r="DB279" s="124"/>
      <c r="DC279" s="124"/>
      <c r="DD279" s="124"/>
      <c r="DE279" s="124"/>
      <c r="DF279" s="124"/>
      <c r="DG279" s="124"/>
      <c r="DH279" s="124"/>
      <c r="DI279" s="124"/>
      <c r="DJ279" s="124"/>
      <c r="DK279" s="124"/>
      <c r="DL279" s="124"/>
      <c r="DM279" s="124"/>
      <c r="DN279" s="124"/>
      <c r="DO279" s="124"/>
      <c r="DP279" s="124"/>
      <c r="DQ279" s="124"/>
      <c r="DR279" s="124"/>
      <c r="DS279" s="124"/>
      <c r="DT279" s="124"/>
      <c r="DU279" s="124"/>
      <c r="DV279" s="124"/>
      <c r="DW279" s="124"/>
      <c r="DX279" s="124"/>
      <c r="DY279" s="124"/>
      <c r="DZ279" s="124"/>
      <c r="EA279" s="124"/>
      <c r="EB279" s="124"/>
      <c r="EC279" s="124"/>
      <c r="ED279" s="124"/>
      <c r="EE279" s="124"/>
      <c r="EF279" s="124"/>
      <c r="EG279" s="124"/>
      <c r="EH279" s="124"/>
      <c r="EI279" s="124"/>
      <c r="EJ279" s="124"/>
      <c r="EK279" s="124"/>
      <c r="EL279" s="124"/>
      <c r="EM279" s="124"/>
      <c r="EN279" s="124"/>
      <c r="EO279" s="124"/>
      <c r="EP279" s="124"/>
      <c r="EQ279" s="124"/>
      <c r="ER279" s="124"/>
      <c r="ES279" s="124"/>
      <c r="ET279" s="124"/>
      <c r="EU279" s="124"/>
      <c r="EV279" s="124"/>
      <c r="EW279" s="124"/>
      <c r="EX279" s="124"/>
      <c r="EY279" s="124"/>
      <c r="EZ279" s="124"/>
      <c r="FA279" s="124"/>
      <c r="FB279" s="124"/>
      <c r="FC279" s="124"/>
      <c r="FD279" s="124"/>
      <c r="FE279" s="124"/>
      <c r="FF279" s="124"/>
      <c r="FG279" s="124"/>
      <c r="FH279" s="124"/>
      <c r="FI279" s="124"/>
      <c r="FJ279" s="124"/>
      <c r="FK279" s="124"/>
      <c r="FL279" s="124"/>
      <c r="FM279" s="124"/>
      <c r="FN279" s="124"/>
      <c r="FO279" s="124"/>
      <c r="FP279" s="124"/>
      <c r="FQ279" s="124"/>
      <c r="FR279" s="124"/>
      <c r="FS279" s="124"/>
      <c r="FT279" s="124"/>
      <c r="FU279" s="124"/>
      <c r="FV279" s="124"/>
      <c r="FW279" s="124"/>
      <c r="FX279" s="124"/>
      <c r="FY279" s="124"/>
      <c r="FZ279" s="124"/>
      <c r="GA279" s="124"/>
      <c r="GB279" s="124"/>
      <c r="GC279" s="124"/>
      <c r="GD279" s="124"/>
      <c r="GE279" s="124"/>
      <c r="GF279" s="124"/>
      <c r="GG279" s="124"/>
      <c r="GH279" s="124"/>
      <c r="GI279" s="124"/>
      <c r="GJ279" s="124"/>
      <c r="GK279" s="124"/>
      <c r="GL279" s="124"/>
      <c r="GM279" s="124"/>
      <c r="GN279" s="124"/>
      <c r="GO279" s="124"/>
      <c r="GP279" s="124"/>
      <c r="GQ279" s="124"/>
      <c r="GR279" s="124"/>
      <c r="GS279" s="124"/>
      <c r="GT279" s="124"/>
      <c r="GU279" s="124"/>
      <c r="GV279" s="124"/>
      <c r="GW279" s="124"/>
      <c r="GX279" s="124"/>
      <c r="GY279" s="124"/>
      <c r="GZ279" s="124"/>
      <c r="HA279" s="124"/>
      <c r="HB279" s="124"/>
      <c r="HC279" s="124"/>
      <c r="HD279" s="124"/>
      <c r="HE279" s="124"/>
      <c r="HF279" s="124"/>
      <c r="HG279" s="124"/>
      <c r="HH279" s="124"/>
      <c r="HI279" s="124"/>
      <c r="HJ279" s="124"/>
      <c r="HK279" s="124"/>
      <c r="HL279" s="124"/>
      <c r="HM279" s="124"/>
      <c r="HN279" s="124"/>
      <c r="HO279" s="124"/>
      <c r="HP279" s="124"/>
      <c r="HQ279" s="124"/>
    </row>
    <row r="280" spans="1:225" x14ac:dyDescent="0.2">
      <c r="A280" s="122" t="s">
        <v>911</v>
      </c>
      <c r="B280" s="123">
        <v>41</v>
      </c>
      <c r="C280" s="124" t="s">
        <v>439</v>
      </c>
      <c r="D280" s="123">
        <v>271</v>
      </c>
      <c r="E280" s="124" t="s">
        <v>361</v>
      </c>
      <c r="F280" s="123">
        <v>4</v>
      </c>
      <c r="G280" s="123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  <c r="AV280" s="124"/>
      <c r="AW280" s="124"/>
      <c r="AX280" s="124"/>
      <c r="AY280" s="124"/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  <c r="BJ280" s="124"/>
      <c r="BK280" s="124"/>
      <c r="BL280" s="124"/>
      <c r="BM280" s="124"/>
      <c r="BN280" s="124"/>
      <c r="BO280" s="124"/>
      <c r="BP280" s="124"/>
      <c r="BQ280" s="124"/>
      <c r="BR280" s="124"/>
      <c r="BS280" s="124"/>
      <c r="BT280" s="124"/>
      <c r="BU280" s="124"/>
      <c r="BV280" s="124"/>
      <c r="BW280" s="124"/>
      <c r="BX280" s="124"/>
      <c r="BY280" s="124"/>
      <c r="BZ280" s="124"/>
      <c r="CA280" s="124"/>
      <c r="CB280" s="124"/>
      <c r="CC280" s="124"/>
      <c r="CD280" s="124"/>
      <c r="CE280" s="124"/>
      <c r="CF280" s="124"/>
      <c r="CG280" s="124"/>
      <c r="CH280" s="124"/>
      <c r="CI280" s="124"/>
      <c r="CJ280" s="124"/>
      <c r="CK280" s="124"/>
      <c r="CL280" s="124"/>
      <c r="CM280" s="124"/>
      <c r="CN280" s="124"/>
      <c r="CO280" s="124"/>
      <c r="CP280" s="124"/>
      <c r="CQ280" s="124"/>
      <c r="CR280" s="124"/>
      <c r="CS280" s="124"/>
      <c r="CT280" s="124"/>
      <c r="CU280" s="124"/>
      <c r="CV280" s="124"/>
      <c r="CW280" s="124"/>
      <c r="CX280" s="124"/>
      <c r="CY280" s="124"/>
      <c r="CZ280" s="124"/>
      <c r="DA280" s="124"/>
      <c r="DB280" s="124"/>
      <c r="DC280" s="124"/>
      <c r="DD280" s="124"/>
      <c r="DE280" s="124"/>
      <c r="DF280" s="124"/>
      <c r="DG280" s="124"/>
      <c r="DH280" s="124"/>
      <c r="DI280" s="124"/>
      <c r="DJ280" s="124"/>
      <c r="DK280" s="124"/>
      <c r="DL280" s="124"/>
      <c r="DM280" s="124"/>
      <c r="DN280" s="124"/>
      <c r="DO280" s="124"/>
      <c r="DP280" s="124"/>
      <c r="DQ280" s="124"/>
      <c r="DR280" s="124"/>
      <c r="DS280" s="124"/>
      <c r="DT280" s="124"/>
      <c r="DU280" s="124"/>
      <c r="DV280" s="124"/>
      <c r="DW280" s="124"/>
      <c r="DX280" s="124"/>
      <c r="DY280" s="124"/>
      <c r="DZ280" s="124"/>
      <c r="EA280" s="124"/>
      <c r="EB280" s="124"/>
      <c r="EC280" s="124"/>
      <c r="ED280" s="124"/>
      <c r="EE280" s="124"/>
      <c r="EF280" s="124"/>
      <c r="EG280" s="124"/>
      <c r="EH280" s="124"/>
      <c r="EI280" s="124"/>
      <c r="EJ280" s="124"/>
      <c r="EK280" s="124"/>
      <c r="EL280" s="124"/>
      <c r="EM280" s="124"/>
      <c r="EN280" s="124"/>
      <c r="EO280" s="124"/>
      <c r="EP280" s="124"/>
      <c r="EQ280" s="124"/>
      <c r="ER280" s="124"/>
      <c r="ES280" s="124"/>
      <c r="ET280" s="124"/>
      <c r="EU280" s="124"/>
      <c r="EV280" s="124"/>
      <c r="EW280" s="124"/>
      <c r="EX280" s="124"/>
      <c r="EY280" s="124"/>
      <c r="EZ280" s="124"/>
      <c r="FA280" s="124"/>
      <c r="FB280" s="124"/>
      <c r="FC280" s="124"/>
      <c r="FD280" s="124"/>
      <c r="FE280" s="124"/>
      <c r="FF280" s="124"/>
      <c r="FG280" s="124"/>
      <c r="FH280" s="124"/>
      <c r="FI280" s="124"/>
      <c r="FJ280" s="124"/>
      <c r="FK280" s="124"/>
      <c r="FL280" s="124"/>
      <c r="FM280" s="124"/>
      <c r="FN280" s="124"/>
      <c r="FO280" s="124"/>
      <c r="FP280" s="124"/>
      <c r="FQ280" s="124"/>
      <c r="FR280" s="124"/>
      <c r="FS280" s="124"/>
      <c r="FT280" s="124"/>
      <c r="FU280" s="124"/>
      <c r="FV280" s="124"/>
      <c r="FW280" s="124"/>
      <c r="FX280" s="124"/>
      <c r="FY280" s="124"/>
      <c r="FZ280" s="124"/>
      <c r="GA280" s="124"/>
      <c r="GB280" s="124"/>
      <c r="GC280" s="124"/>
      <c r="GD280" s="124"/>
      <c r="GE280" s="124"/>
      <c r="GF280" s="124"/>
      <c r="GG280" s="124"/>
      <c r="GH280" s="124"/>
      <c r="GI280" s="124"/>
      <c r="GJ280" s="124"/>
      <c r="GK280" s="124"/>
      <c r="GL280" s="124"/>
      <c r="GM280" s="124"/>
      <c r="GN280" s="124"/>
      <c r="GO280" s="124"/>
      <c r="GP280" s="124"/>
      <c r="GQ280" s="124"/>
      <c r="GR280" s="124"/>
      <c r="GS280" s="124"/>
      <c r="GT280" s="124"/>
      <c r="GU280" s="124"/>
      <c r="GV280" s="124"/>
      <c r="GW280" s="124"/>
      <c r="GX280" s="124"/>
      <c r="GY280" s="124"/>
      <c r="GZ280" s="124"/>
      <c r="HA280" s="124"/>
      <c r="HB280" s="124"/>
      <c r="HC280" s="124"/>
      <c r="HD280" s="124"/>
      <c r="HE280" s="124"/>
      <c r="HF280" s="124"/>
      <c r="HG280" s="124"/>
      <c r="HH280" s="124"/>
      <c r="HI280" s="124"/>
      <c r="HJ280" s="124"/>
      <c r="HK280" s="124"/>
      <c r="HL280" s="124"/>
      <c r="HM280" s="124"/>
      <c r="HN280" s="124"/>
      <c r="HO280" s="124"/>
      <c r="HP280" s="124"/>
      <c r="HQ280" s="124"/>
    </row>
    <row r="281" spans="1:225" x14ac:dyDescent="0.2">
      <c r="A281" s="122" t="s">
        <v>912</v>
      </c>
      <c r="B281" s="123">
        <v>41</v>
      </c>
      <c r="C281" s="124" t="s">
        <v>440</v>
      </c>
      <c r="D281" s="123">
        <v>272</v>
      </c>
      <c r="E281" s="124" t="s">
        <v>361</v>
      </c>
      <c r="F281" s="123">
        <v>4</v>
      </c>
      <c r="G281" s="123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  <c r="BJ281" s="124"/>
      <c r="BK281" s="124"/>
      <c r="BL281" s="124"/>
      <c r="BM281" s="124"/>
      <c r="BN281" s="124"/>
      <c r="BO281" s="124"/>
      <c r="BP281" s="124"/>
      <c r="BQ281" s="124"/>
      <c r="BR281" s="124"/>
      <c r="BS281" s="124"/>
      <c r="BT281" s="124"/>
      <c r="BU281" s="124"/>
      <c r="BV281" s="124"/>
      <c r="BW281" s="124"/>
      <c r="BX281" s="124"/>
      <c r="BY281" s="124"/>
      <c r="BZ281" s="124"/>
      <c r="CA281" s="124"/>
      <c r="CB281" s="124"/>
      <c r="CC281" s="124"/>
      <c r="CD281" s="124"/>
      <c r="CE281" s="124"/>
      <c r="CF281" s="124"/>
      <c r="CG281" s="124"/>
      <c r="CH281" s="124"/>
      <c r="CI281" s="124"/>
      <c r="CJ281" s="124"/>
      <c r="CK281" s="124"/>
      <c r="CL281" s="124"/>
      <c r="CM281" s="124"/>
      <c r="CN281" s="124"/>
      <c r="CO281" s="124"/>
      <c r="CP281" s="124"/>
      <c r="CQ281" s="124"/>
      <c r="CR281" s="124"/>
      <c r="CS281" s="124"/>
      <c r="CT281" s="124"/>
      <c r="CU281" s="124"/>
      <c r="CV281" s="124"/>
      <c r="CW281" s="124"/>
      <c r="CX281" s="124"/>
      <c r="CY281" s="124"/>
      <c r="CZ281" s="124"/>
      <c r="DA281" s="124"/>
      <c r="DB281" s="124"/>
      <c r="DC281" s="124"/>
      <c r="DD281" s="124"/>
      <c r="DE281" s="124"/>
      <c r="DF281" s="124"/>
      <c r="DG281" s="124"/>
      <c r="DH281" s="124"/>
      <c r="DI281" s="124"/>
      <c r="DJ281" s="124"/>
      <c r="DK281" s="124"/>
      <c r="DL281" s="124"/>
      <c r="DM281" s="124"/>
      <c r="DN281" s="124"/>
      <c r="DO281" s="124"/>
      <c r="DP281" s="124"/>
      <c r="DQ281" s="124"/>
      <c r="DR281" s="124"/>
      <c r="DS281" s="124"/>
      <c r="DT281" s="124"/>
      <c r="DU281" s="124"/>
      <c r="DV281" s="124"/>
      <c r="DW281" s="124"/>
      <c r="DX281" s="124"/>
      <c r="DY281" s="124"/>
      <c r="DZ281" s="124"/>
      <c r="EA281" s="124"/>
      <c r="EB281" s="124"/>
      <c r="EC281" s="124"/>
      <c r="ED281" s="124"/>
      <c r="EE281" s="124"/>
      <c r="EF281" s="124"/>
      <c r="EG281" s="124"/>
      <c r="EH281" s="124"/>
      <c r="EI281" s="124"/>
      <c r="EJ281" s="124"/>
      <c r="EK281" s="124"/>
      <c r="EL281" s="124"/>
      <c r="EM281" s="124"/>
      <c r="EN281" s="124"/>
      <c r="EO281" s="124"/>
      <c r="EP281" s="124"/>
      <c r="EQ281" s="124"/>
      <c r="ER281" s="124"/>
      <c r="ES281" s="124"/>
      <c r="ET281" s="124"/>
      <c r="EU281" s="124"/>
      <c r="EV281" s="124"/>
      <c r="EW281" s="124"/>
      <c r="EX281" s="124"/>
      <c r="EY281" s="124"/>
      <c r="EZ281" s="124"/>
      <c r="FA281" s="124"/>
      <c r="FB281" s="124"/>
      <c r="FC281" s="124"/>
      <c r="FD281" s="124"/>
      <c r="FE281" s="124"/>
      <c r="FF281" s="124"/>
      <c r="FG281" s="124"/>
      <c r="FH281" s="124"/>
      <c r="FI281" s="124"/>
      <c r="FJ281" s="124"/>
      <c r="FK281" s="124"/>
      <c r="FL281" s="124"/>
      <c r="FM281" s="124"/>
      <c r="FN281" s="124"/>
      <c r="FO281" s="124"/>
      <c r="FP281" s="124"/>
      <c r="FQ281" s="124"/>
      <c r="FR281" s="124"/>
      <c r="FS281" s="124"/>
      <c r="FT281" s="124"/>
      <c r="FU281" s="124"/>
      <c r="FV281" s="124"/>
      <c r="FW281" s="124"/>
      <c r="FX281" s="124"/>
      <c r="FY281" s="124"/>
      <c r="FZ281" s="124"/>
      <c r="GA281" s="124"/>
      <c r="GB281" s="124"/>
      <c r="GC281" s="124"/>
      <c r="GD281" s="124"/>
      <c r="GE281" s="124"/>
      <c r="GF281" s="124"/>
      <c r="GG281" s="124"/>
      <c r="GH281" s="124"/>
      <c r="GI281" s="124"/>
      <c r="GJ281" s="124"/>
      <c r="GK281" s="124"/>
      <c r="GL281" s="124"/>
      <c r="GM281" s="124"/>
      <c r="GN281" s="124"/>
      <c r="GO281" s="124"/>
      <c r="GP281" s="124"/>
      <c r="GQ281" s="124"/>
      <c r="GR281" s="124"/>
      <c r="GS281" s="124"/>
      <c r="GT281" s="124"/>
      <c r="GU281" s="124"/>
      <c r="GV281" s="124"/>
      <c r="GW281" s="124"/>
      <c r="GX281" s="124"/>
      <c r="GY281" s="124"/>
      <c r="GZ281" s="124"/>
      <c r="HA281" s="124"/>
      <c r="HB281" s="124"/>
      <c r="HC281" s="124"/>
      <c r="HD281" s="124"/>
      <c r="HE281" s="124"/>
      <c r="HF281" s="124"/>
      <c r="HG281" s="124"/>
      <c r="HH281" s="124"/>
      <c r="HI281" s="124"/>
      <c r="HJ281" s="124"/>
      <c r="HK281" s="124"/>
      <c r="HL281" s="124"/>
      <c r="HM281" s="124"/>
      <c r="HN281" s="124"/>
      <c r="HO281" s="124"/>
      <c r="HP281" s="124"/>
      <c r="HQ281" s="124"/>
    </row>
    <row r="282" spans="1:225" x14ac:dyDescent="0.2">
      <c r="A282" s="122" t="s">
        <v>913</v>
      </c>
      <c r="B282" s="123">
        <v>42</v>
      </c>
      <c r="C282" s="124" t="s">
        <v>441</v>
      </c>
      <c r="D282" s="123">
        <v>273</v>
      </c>
      <c r="E282" s="124" t="s">
        <v>361</v>
      </c>
      <c r="F282" s="123">
        <v>3</v>
      </c>
      <c r="G282" s="123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  <c r="AV282" s="124"/>
      <c r="AW282" s="124"/>
      <c r="AX282" s="124"/>
      <c r="AY282" s="124"/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  <c r="BJ282" s="124"/>
      <c r="BK282" s="124"/>
      <c r="BL282" s="124"/>
      <c r="BM282" s="124"/>
      <c r="BN282" s="124"/>
      <c r="BO282" s="124"/>
      <c r="BP282" s="124"/>
      <c r="BQ282" s="124"/>
      <c r="BR282" s="124"/>
      <c r="BS282" s="124"/>
      <c r="BT282" s="124"/>
      <c r="BU282" s="124"/>
      <c r="BV282" s="124"/>
      <c r="BW282" s="124"/>
      <c r="BX282" s="124"/>
      <c r="BY282" s="124"/>
      <c r="BZ282" s="124"/>
      <c r="CA282" s="124"/>
      <c r="CB282" s="124"/>
      <c r="CC282" s="124"/>
      <c r="CD282" s="124"/>
      <c r="CE282" s="124"/>
      <c r="CF282" s="124"/>
      <c r="CG282" s="124"/>
      <c r="CH282" s="124"/>
      <c r="CI282" s="124"/>
      <c r="CJ282" s="124"/>
      <c r="CK282" s="124"/>
      <c r="CL282" s="124"/>
      <c r="CM282" s="124"/>
      <c r="CN282" s="124"/>
      <c r="CO282" s="124"/>
      <c r="CP282" s="124"/>
      <c r="CQ282" s="124"/>
      <c r="CR282" s="124"/>
      <c r="CS282" s="124"/>
      <c r="CT282" s="124"/>
      <c r="CU282" s="124"/>
      <c r="CV282" s="124"/>
      <c r="CW282" s="124"/>
      <c r="CX282" s="124"/>
      <c r="CY282" s="124"/>
      <c r="CZ282" s="124"/>
      <c r="DA282" s="124"/>
      <c r="DB282" s="124"/>
      <c r="DC282" s="124"/>
      <c r="DD282" s="124"/>
      <c r="DE282" s="124"/>
      <c r="DF282" s="124"/>
      <c r="DG282" s="124"/>
      <c r="DH282" s="124"/>
      <c r="DI282" s="124"/>
      <c r="DJ282" s="124"/>
      <c r="DK282" s="124"/>
      <c r="DL282" s="124"/>
      <c r="DM282" s="124"/>
      <c r="DN282" s="124"/>
      <c r="DO282" s="124"/>
      <c r="DP282" s="124"/>
      <c r="DQ282" s="124"/>
      <c r="DR282" s="124"/>
      <c r="DS282" s="124"/>
      <c r="DT282" s="124"/>
      <c r="DU282" s="124"/>
      <c r="DV282" s="124"/>
      <c r="DW282" s="124"/>
      <c r="DX282" s="124"/>
      <c r="DY282" s="124"/>
      <c r="DZ282" s="124"/>
      <c r="EA282" s="124"/>
      <c r="EB282" s="124"/>
      <c r="EC282" s="124"/>
      <c r="ED282" s="124"/>
      <c r="EE282" s="124"/>
      <c r="EF282" s="124"/>
      <c r="EG282" s="124"/>
      <c r="EH282" s="124"/>
      <c r="EI282" s="124"/>
      <c r="EJ282" s="124"/>
      <c r="EK282" s="124"/>
      <c r="EL282" s="124"/>
      <c r="EM282" s="124"/>
      <c r="EN282" s="124"/>
      <c r="EO282" s="124"/>
      <c r="EP282" s="124"/>
      <c r="EQ282" s="124"/>
      <c r="ER282" s="124"/>
      <c r="ES282" s="124"/>
      <c r="ET282" s="124"/>
      <c r="EU282" s="124"/>
      <c r="EV282" s="124"/>
      <c r="EW282" s="124"/>
      <c r="EX282" s="124"/>
      <c r="EY282" s="124"/>
      <c r="EZ282" s="124"/>
      <c r="FA282" s="124"/>
      <c r="FB282" s="124"/>
      <c r="FC282" s="124"/>
      <c r="FD282" s="124"/>
      <c r="FE282" s="124"/>
      <c r="FF282" s="124"/>
      <c r="FG282" s="124"/>
      <c r="FH282" s="124"/>
      <c r="FI282" s="124"/>
      <c r="FJ282" s="124"/>
      <c r="FK282" s="124"/>
      <c r="FL282" s="124"/>
      <c r="FM282" s="124"/>
      <c r="FN282" s="124"/>
      <c r="FO282" s="124"/>
      <c r="FP282" s="124"/>
      <c r="FQ282" s="124"/>
      <c r="FR282" s="124"/>
      <c r="FS282" s="124"/>
      <c r="FT282" s="124"/>
      <c r="FU282" s="124"/>
      <c r="FV282" s="124"/>
      <c r="FW282" s="124"/>
      <c r="FX282" s="124"/>
      <c r="FY282" s="124"/>
      <c r="FZ282" s="124"/>
      <c r="GA282" s="124"/>
      <c r="GB282" s="124"/>
      <c r="GC282" s="124"/>
      <c r="GD282" s="124"/>
      <c r="GE282" s="124"/>
      <c r="GF282" s="124"/>
      <c r="GG282" s="124"/>
      <c r="GH282" s="124"/>
      <c r="GI282" s="124"/>
      <c r="GJ282" s="124"/>
      <c r="GK282" s="124"/>
      <c r="GL282" s="124"/>
      <c r="GM282" s="124"/>
      <c r="GN282" s="124"/>
      <c r="GO282" s="124"/>
      <c r="GP282" s="124"/>
      <c r="GQ282" s="124"/>
      <c r="GR282" s="124"/>
      <c r="GS282" s="124"/>
      <c r="GT282" s="124"/>
      <c r="GU282" s="124"/>
      <c r="GV282" s="124"/>
      <c r="GW282" s="124"/>
      <c r="GX282" s="124"/>
      <c r="GY282" s="124"/>
      <c r="GZ282" s="124"/>
      <c r="HA282" s="124"/>
      <c r="HB282" s="124"/>
      <c r="HC282" s="124"/>
      <c r="HD282" s="124"/>
      <c r="HE282" s="124"/>
      <c r="HF282" s="124"/>
      <c r="HG282" s="124"/>
      <c r="HH282" s="124"/>
      <c r="HI282" s="124"/>
      <c r="HJ282" s="124"/>
      <c r="HK282" s="124"/>
      <c r="HL282" s="124"/>
      <c r="HM282" s="124"/>
      <c r="HN282" s="124"/>
      <c r="HO282" s="124"/>
      <c r="HP282" s="124"/>
      <c r="HQ282" s="124"/>
    </row>
    <row r="283" spans="1:225" x14ac:dyDescent="0.2">
      <c r="A283" s="122" t="s">
        <v>914</v>
      </c>
      <c r="B283" s="123">
        <v>42</v>
      </c>
      <c r="C283" s="124" t="s">
        <v>442</v>
      </c>
      <c r="D283" s="123">
        <v>274</v>
      </c>
      <c r="E283" s="124" t="s">
        <v>361</v>
      </c>
      <c r="F283" s="123">
        <v>4</v>
      </c>
      <c r="G283" s="123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  <c r="AV283" s="124"/>
      <c r="AW283" s="124"/>
      <c r="AX283" s="124"/>
      <c r="AY283" s="124"/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  <c r="BJ283" s="124"/>
      <c r="BK283" s="124"/>
      <c r="BL283" s="124"/>
      <c r="BM283" s="124"/>
      <c r="BN283" s="124"/>
      <c r="BO283" s="124"/>
      <c r="BP283" s="124"/>
      <c r="BQ283" s="124"/>
      <c r="BR283" s="124"/>
      <c r="BS283" s="124"/>
      <c r="BT283" s="124"/>
      <c r="BU283" s="124"/>
      <c r="BV283" s="124"/>
      <c r="BW283" s="124"/>
      <c r="BX283" s="124"/>
      <c r="BY283" s="124"/>
      <c r="BZ283" s="124"/>
      <c r="CA283" s="124"/>
      <c r="CB283" s="124"/>
      <c r="CC283" s="124"/>
      <c r="CD283" s="124"/>
      <c r="CE283" s="124"/>
      <c r="CF283" s="124"/>
      <c r="CG283" s="124"/>
      <c r="CH283" s="124"/>
      <c r="CI283" s="124"/>
      <c r="CJ283" s="124"/>
      <c r="CK283" s="124"/>
      <c r="CL283" s="124"/>
      <c r="CM283" s="124"/>
      <c r="CN283" s="124"/>
      <c r="CO283" s="124"/>
      <c r="CP283" s="124"/>
      <c r="CQ283" s="124"/>
      <c r="CR283" s="124"/>
      <c r="CS283" s="124"/>
      <c r="CT283" s="124"/>
      <c r="CU283" s="124"/>
      <c r="CV283" s="124"/>
      <c r="CW283" s="124"/>
      <c r="CX283" s="124"/>
      <c r="CY283" s="124"/>
      <c r="CZ283" s="124"/>
      <c r="DA283" s="124"/>
      <c r="DB283" s="124"/>
      <c r="DC283" s="124"/>
      <c r="DD283" s="124"/>
      <c r="DE283" s="124"/>
      <c r="DF283" s="124"/>
      <c r="DG283" s="124"/>
      <c r="DH283" s="124"/>
      <c r="DI283" s="124"/>
      <c r="DJ283" s="124"/>
      <c r="DK283" s="124"/>
      <c r="DL283" s="124"/>
      <c r="DM283" s="124"/>
      <c r="DN283" s="124"/>
      <c r="DO283" s="124"/>
      <c r="DP283" s="124"/>
      <c r="DQ283" s="124"/>
      <c r="DR283" s="124"/>
      <c r="DS283" s="124"/>
      <c r="DT283" s="124"/>
      <c r="DU283" s="124"/>
      <c r="DV283" s="124"/>
      <c r="DW283" s="124"/>
      <c r="DX283" s="124"/>
      <c r="DY283" s="124"/>
      <c r="DZ283" s="124"/>
      <c r="EA283" s="124"/>
      <c r="EB283" s="124"/>
      <c r="EC283" s="124"/>
      <c r="ED283" s="124"/>
      <c r="EE283" s="124"/>
      <c r="EF283" s="124"/>
      <c r="EG283" s="124"/>
      <c r="EH283" s="124"/>
      <c r="EI283" s="124"/>
      <c r="EJ283" s="124"/>
      <c r="EK283" s="124"/>
      <c r="EL283" s="124"/>
      <c r="EM283" s="124"/>
      <c r="EN283" s="124"/>
      <c r="EO283" s="124"/>
      <c r="EP283" s="124"/>
      <c r="EQ283" s="124"/>
      <c r="ER283" s="124"/>
      <c r="ES283" s="124"/>
      <c r="ET283" s="124"/>
      <c r="EU283" s="124"/>
      <c r="EV283" s="124"/>
      <c r="EW283" s="124"/>
      <c r="EX283" s="124"/>
      <c r="EY283" s="124"/>
      <c r="EZ283" s="124"/>
      <c r="FA283" s="124"/>
      <c r="FB283" s="124"/>
      <c r="FC283" s="124"/>
      <c r="FD283" s="124"/>
      <c r="FE283" s="124"/>
      <c r="FF283" s="124"/>
      <c r="FG283" s="124"/>
      <c r="FH283" s="124"/>
      <c r="FI283" s="124"/>
      <c r="FJ283" s="124"/>
      <c r="FK283" s="124"/>
      <c r="FL283" s="124"/>
      <c r="FM283" s="124"/>
      <c r="FN283" s="124"/>
      <c r="FO283" s="124"/>
      <c r="FP283" s="124"/>
      <c r="FQ283" s="124"/>
      <c r="FR283" s="124"/>
      <c r="FS283" s="124"/>
      <c r="FT283" s="124"/>
      <c r="FU283" s="124"/>
      <c r="FV283" s="124"/>
      <c r="FW283" s="124"/>
      <c r="FX283" s="124"/>
      <c r="FY283" s="124"/>
      <c r="FZ283" s="124"/>
      <c r="GA283" s="124"/>
      <c r="GB283" s="124"/>
      <c r="GC283" s="124"/>
      <c r="GD283" s="124"/>
      <c r="GE283" s="124"/>
      <c r="GF283" s="124"/>
      <c r="GG283" s="124"/>
      <c r="GH283" s="124"/>
      <c r="GI283" s="124"/>
      <c r="GJ283" s="124"/>
      <c r="GK283" s="124"/>
      <c r="GL283" s="124"/>
      <c r="GM283" s="124"/>
      <c r="GN283" s="124"/>
      <c r="GO283" s="124"/>
      <c r="GP283" s="124"/>
      <c r="GQ283" s="124"/>
      <c r="GR283" s="124"/>
      <c r="GS283" s="124"/>
      <c r="GT283" s="124"/>
      <c r="GU283" s="124"/>
      <c r="GV283" s="124"/>
      <c r="GW283" s="124"/>
      <c r="GX283" s="124"/>
      <c r="GY283" s="124"/>
      <c r="GZ283" s="124"/>
      <c r="HA283" s="124"/>
      <c r="HB283" s="124"/>
      <c r="HC283" s="124"/>
      <c r="HD283" s="124"/>
      <c r="HE283" s="124"/>
      <c r="HF283" s="124"/>
      <c r="HG283" s="124"/>
      <c r="HH283" s="124"/>
      <c r="HI283" s="124"/>
      <c r="HJ283" s="124"/>
      <c r="HK283" s="124"/>
      <c r="HL283" s="124"/>
      <c r="HM283" s="124"/>
      <c r="HN283" s="124"/>
      <c r="HO283" s="124"/>
      <c r="HP283" s="124"/>
      <c r="HQ283" s="124"/>
    </row>
    <row r="284" spans="1:225" x14ac:dyDescent="0.2">
      <c r="A284" s="122" t="s">
        <v>915</v>
      </c>
      <c r="B284" s="123">
        <v>43</v>
      </c>
      <c r="C284" s="124" t="s">
        <v>443</v>
      </c>
      <c r="D284" s="123">
        <v>275</v>
      </c>
      <c r="E284" s="124" t="s">
        <v>361</v>
      </c>
      <c r="F284" s="123">
        <v>3</v>
      </c>
      <c r="G284" s="123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  <c r="BJ284" s="124"/>
      <c r="BK284" s="124"/>
      <c r="BL284" s="124"/>
      <c r="BM284" s="124"/>
      <c r="BN284" s="124"/>
      <c r="BO284" s="124"/>
      <c r="BP284" s="124"/>
      <c r="BQ284" s="124"/>
      <c r="BR284" s="124"/>
      <c r="BS284" s="124"/>
      <c r="BT284" s="124"/>
      <c r="BU284" s="124"/>
      <c r="BV284" s="124"/>
      <c r="BW284" s="124"/>
      <c r="BX284" s="124"/>
      <c r="BY284" s="124"/>
      <c r="BZ284" s="124"/>
      <c r="CA284" s="124"/>
      <c r="CB284" s="124"/>
      <c r="CC284" s="124"/>
      <c r="CD284" s="124"/>
      <c r="CE284" s="124"/>
      <c r="CF284" s="124"/>
      <c r="CG284" s="124"/>
      <c r="CH284" s="124"/>
      <c r="CI284" s="124"/>
      <c r="CJ284" s="124"/>
      <c r="CK284" s="124"/>
      <c r="CL284" s="124"/>
      <c r="CM284" s="124"/>
      <c r="CN284" s="124"/>
      <c r="CO284" s="124"/>
      <c r="CP284" s="124"/>
      <c r="CQ284" s="124"/>
      <c r="CR284" s="124"/>
      <c r="CS284" s="124"/>
      <c r="CT284" s="124"/>
      <c r="CU284" s="124"/>
      <c r="CV284" s="124"/>
      <c r="CW284" s="124"/>
      <c r="CX284" s="124"/>
      <c r="CY284" s="124"/>
      <c r="CZ284" s="124"/>
      <c r="DA284" s="124"/>
      <c r="DB284" s="124"/>
      <c r="DC284" s="124"/>
      <c r="DD284" s="124"/>
      <c r="DE284" s="124"/>
      <c r="DF284" s="124"/>
      <c r="DG284" s="124"/>
      <c r="DH284" s="124"/>
      <c r="DI284" s="124"/>
      <c r="DJ284" s="124"/>
      <c r="DK284" s="124"/>
      <c r="DL284" s="124"/>
      <c r="DM284" s="124"/>
      <c r="DN284" s="124"/>
      <c r="DO284" s="124"/>
      <c r="DP284" s="124"/>
      <c r="DQ284" s="124"/>
      <c r="DR284" s="124"/>
      <c r="DS284" s="124"/>
      <c r="DT284" s="124"/>
      <c r="DU284" s="124"/>
      <c r="DV284" s="124"/>
      <c r="DW284" s="124"/>
      <c r="DX284" s="124"/>
      <c r="DY284" s="124"/>
      <c r="DZ284" s="124"/>
      <c r="EA284" s="124"/>
      <c r="EB284" s="124"/>
      <c r="EC284" s="124"/>
      <c r="ED284" s="124"/>
      <c r="EE284" s="124"/>
      <c r="EF284" s="124"/>
      <c r="EG284" s="124"/>
      <c r="EH284" s="124"/>
      <c r="EI284" s="124"/>
      <c r="EJ284" s="124"/>
      <c r="EK284" s="124"/>
      <c r="EL284" s="124"/>
      <c r="EM284" s="124"/>
      <c r="EN284" s="124"/>
      <c r="EO284" s="124"/>
      <c r="EP284" s="124"/>
      <c r="EQ284" s="124"/>
      <c r="ER284" s="124"/>
      <c r="ES284" s="124"/>
      <c r="ET284" s="124"/>
      <c r="EU284" s="124"/>
      <c r="EV284" s="124"/>
      <c r="EW284" s="124"/>
      <c r="EX284" s="124"/>
      <c r="EY284" s="124"/>
      <c r="EZ284" s="124"/>
      <c r="FA284" s="124"/>
      <c r="FB284" s="124"/>
      <c r="FC284" s="124"/>
      <c r="FD284" s="124"/>
      <c r="FE284" s="124"/>
      <c r="FF284" s="124"/>
      <c r="FG284" s="124"/>
      <c r="FH284" s="124"/>
      <c r="FI284" s="124"/>
      <c r="FJ284" s="124"/>
      <c r="FK284" s="124"/>
      <c r="FL284" s="124"/>
      <c r="FM284" s="124"/>
      <c r="FN284" s="124"/>
      <c r="FO284" s="124"/>
      <c r="FP284" s="124"/>
      <c r="FQ284" s="124"/>
      <c r="FR284" s="124"/>
      <c r="FS284" s="124"/>
      <c r="FT284" s="124"/>
      <c r="FU284" s="124"/>
      <c r="FV284" s="124"/>
      <c r="FW284" s="124"/>
      <c r="FX284" s="124"/>
      <c r="FY284" s="124"/>
      <c r="FZ284" s="124"/>
      <c r="GA284" s="124"/>
      <c r="GB284" s="124"/>
      <c r="GC284" s="124"/>
      <c r="GD284" s="124"/>
      <c r="GE284" s="124"/>
      <c r="GF284" s="124"/>
      <c r="GG284" s="124"/>
      <c r="GH284" s="124"/>
      <c r="GI284" s="124"/>
      <c r="GJ284" s="124"/>
      <c r="GK284" s="124"/>
      <c r="GL284" s="124"/>
      <c r="GM284" s="124"/>
      <c r="GN284" s="124"/>
      <c r="GO284" s="124"/>
      <c r="GP284" s="124"/>
      <c r="GQ284" s="124"/>
      <c r="GR284" s="124"/>
      <c r="GS284" s="124"/>
      <c r="GT284" s="124"/>
      <c r="GU284" s="124"/>
      <c r="GV284" s="124"/>
      <c r="GW284" s="124"/>
      <c r="GX284" s="124"/>
      <c r="GY284" s="124"/>
      <c r="GZ284" s="124"/>
      <c r="HA284" s="124"/>
      <c r="HB284" s="124"/>
      <c r="HC284" s="124"/>
      <c r="HD284" s="124"/>
      <c r="HE284" s="124"/>
      <c r="HF284" s="124"/>
      <c r="HG284" s="124"/>
      <c r="HH284" s="124"/>
      <c r="HI284" s="124"/>
      <c r="HJ284" s="124"/>
      <c r="HK284" s="124"/>
      <c r="HL284" s="124"/>
      <c r="HM284" s="124"/>
      <c r="HN284" s="124"/>
      <c r="HO284" s="124"/>
      <c r="HP284" s="124"/>
      <c r="HQ284" s="124"/>
    </row>
    <row r="285" spans="1:225" x14ac:dyDescent="0.2">
      <c r="A285" s="122" t="s">
        <v>916</v>
      </c>
      <c r="B285" s="123">
        <v>43</v>
      </c>
      <c r="C285" s="124" t="s">
        <v>444</v>
      </c>
      <c r="D285" s="123">
        <v>276</v>
      </c>
      <c r="E285" s="124" t="s">
        <v>361</v>
      </c>
      <c r="F285" s="123">
        <v>2</v>
      </c>
      <c r="G285" s="123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  <c r="AV285" s="124"/>
      <c r="AW285" s="124"/>
      <c r="AX285" s="124"/>
      <c r="AY285" s="124"/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  <c r="BJ285" s="124"/>
      <c r="BK285" s="124"/>
      <c r="BL285" s="124"/>
      <c r="BM285" s="124"/>
      <c r="BN285" s="124"/>
      <c r="BO285" s="124"/>
      <c r="BP285" s="124"/>
      <c r="BQ285" s="124"/>
      <c r="BR285" s="124"/>
      <c r="BS285" s="124"/>
      <c r="BT285" s="124"/>
      <c r="BU285" s="124"/>
      <c r="BV285" s="124"/>
      <c r="BW285" s="124"/>
      <c r="BX285" s="124"/>
      <c r="BY285" s="124"/>
      <c r="BZ285" s="124"/>
      <c r="CA285" s="124"/>
      <c r="CB285" s="124"/>
      <c r="CC285" s="124"/>
      <c r="CD285" s="124"/>
      <c r="CE285" s="124"/>
      <c r="CF285" s="124"/>
      <c r="CG285" s="124"/>
      <c r="CH285" s="124"/>
      <c r="CI285" s="124"/>
      <c r="CJ285" s="124"/>
      <c r="CK285" s="124"/>
      <c r="CL285" s="124"/>
      <c r="CM285" s="124"/>
      <c r="CN285" s="124"/>
      <c r="CO285" s="124"/>
      <c r="CP285" s="124"/>
      <c r="CQ285" s="124"/>
      <c r="CR285" s="124"/>
      <c r="CS285" s="124"/>
      <c r="CT285" s="124"/>
      <c r="CU285" s="124"/>
      <c r="CV285" s="124"/>
      <c r="CW285" s="124"/>
      <c r="CX285" s="124"/>
      <c r="CY285" s="124"/>
      <c r="CZ285" s="124"/>
      <c r="DA285" s="124"/>
      <c r="DB285" s="124"/>
      <c r="DC285" s="124"/>
      <c r="DD285" s="124"/>
      <c r="DE285" s="124"/>
      <c r="DF285" s="124"/>
      <c r="DG285" s="124"/>
      <c r="DH285" s="124"/>
      <c r="DI285" s="124"/>
      <c r="DJ285" s="124"/>
      <c r="DK285" s="124"/>
      <c r="DL285" s="124"/>
      <c r="DM285" s="124"/>
      <c r="DN285" s="124"/>
      <c r="DO285" s="124"/>
      <c r="DP285" s="124"/>
      <c r="DQ285" s="124"/>
      <c r="DR285" s="124"/>
      <c r="DS285" s="124"/>
      <c r="DT285" s="124"/>
      <c r="DU285" s="124"/>
      <c r="DV285" s="124"/>
      <c r="DW285" s="124"/>
      <c r="DX285" s="124"/>
      <c r="DY285" s="124"/>
      <c r="DZ285" s="124"/>
      <c r="EA285" s="124"/>
      <c r="EB285" s="124"/>
      <c r="EC285" s="124"/>
      <c r="ED285" s="124"/>
      <c r="EE285" s="124"/>
      <c r="EF285" s="124"/>
      <c r="EG285" s="124"/>
      <c r="EH285" s="124"/>
      <c r="EI285" s="124"/>
      <c r="EJ285" s="124"/>
      <c r="EK285" s="124"/>
      <c r="EL285" s="124"/>
      <c r="EM285" s="124"/>
      <c r="EN285" s="124"/>
      <c r="EO285" s="124"/>
      <c r="EP285" s="124"/>
      <c r="EQ285" s="124"/>
      <c r="ER285" s="124"/>
      <c r="ES285" s="124"/>
      <c r="ET285" s="124"/>
      <c r="EU285" s="124"/>
      <c r="EV285" s="124"/>
      <c r="EW285" s="124"/>
      <c r="EX285" s="124"/>
      <c r="EY285" s="124"/>
      <c r="EZ285" s="124"/>
      <c r="FA285" s="124"/>
      <c r="FB285" s="124"/>
      <c r="FC285" s="124"/>
      <c r="FD285" s="124"/>
      <c r="FE285" s="124"/>
      <c r="FF285" s="124"/>
      <c r="FG285" s="124"/>
      <c r="FH285" s="124"/>
      <c r="FI285" s="124"/>
      <c r="FJ285" s="124"/>
      <c r="FK285" s="124"/>
      <c r="FL285" s="124"/>
      <c r="FM285" s="124"/>
      <c r="FN285" s="124"/>
      <c r="FO285" s="124"/>
      <c r="FP285" s="124"/>
      <c r="FQ285" s="124"/>
      <c r="FR285" s="124"/>
      <c r="FS285" s="124"/>
      <c r="FT285" s="124"/>
      <c r="FU285" s="124"/>
      <c r="FV285" s="124"/>
      <c r="FW285" s="124"/>
      <c r="FX285" s="124"/>
      <c r="FY285" s="124"/>
      <c r="FZ285" s="124"/>
      <c r="GA285" s="124"/>
      <c r="GB285" s="124"/>
      <c r="GC285" s="124"/>
      <c r="GD285" s="124"/>
      <c r="GE285" s="124"/>
      <c r="GF285" s="124"/>
      <c r="GG285" s="124"/>
      <c r="GH285" s="124"/>
      <c r="GI285" s="124"/>
      <c r="GJ285" s="124"/>
      <c r="GK285" s="124"/>
      <c r="GL285" s="124"/>
      <c r="GM285" s="124"/>
      <c r="GN285" s="124"/>
      <c r="GO285" s="124"/>
      <c r="GP285" s="124"/>
      <c r="GQ285" s="124"/>
      <c r="GR285" s="124"/>
      <c r="GS285" s="124"/>
      <c r="GT285" s="124"/>
      <c r="GU285" s="124"/>
      <c r="GV285" s="124"/>
      <c r="GW285" s="124"/>
      <c r="GX285" s="124"/>
      <c r="GY285" s="124"/>
      <c r="GZ285" s="124"/>
      <c r="HA285" s="124"/>
      <c r="HB285" s="124"/>
      <c r="HC285" s="124"/>
      <c r="HD285" s="124"/>
      <c r="HE285" s="124"/>
      <c r="HF285" s="124"/>
      <c r="HG285" s="124"/>
      <c r="HH285" s="124"/>
      <c r="HI285" s="124"/>
      <c r="HJ285" s="124"/>
      <c r="HK285" s="124"/>
      <c r="HL285" s="124"/>
      <c r="HM285" s="124"/>
      <c r="HN285" s="124"/>
      <c r="HO285" s="124"/>
      <c r="HP285" s="124"/>
      <c r="HQ285" s="124"/>
    </row>
    <row r="286" spans="1:225" x14ac:dyDescent="0.2">
      <c r="A286" s="122" t="s">
        <v>917</v>
      </c>
      <c r="B286" s="123">
        <v>44</v>
      </c>
      <c r="C286" s="124" t="s">
        <v>445</v>
      </c>
      <c r="D286" s="123">
        <v>277</v>
      </c>
      <c r="E286" s="124" t="s">
        <v>361</v>
      </c>
      <c r="F286" s="123">
        <v>3</v>
      </c>
      <c r="G286" s="123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  <c r="AV286" s="124"/>
      <c r="AW286" s="124"/>
      <c r="AX286" s="124"/>
      <c r="AY286" s="124"/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  <c r="BJ286" s="124"/>
      <c r="BK286" s="124"/>
      <c r="BL286" s="124"/>
      <c r="BM286" s="124"/>
      <c r="BN286" s="124"/>
      <c r="BO286" s="124"/>
      <c r="BP286" s="124"/>
      <c r="BQ286" s="124"/>
      <c r="BR286" s="124"/>
      <c r="BS286" s="124"/>
      <c r="BT286" s="124"/>
      <c r="BU286" s="124"/>
      <c r="BV286" s="124"/>
      <c r="BW286" s="124"/>
      <c r="BX286" s="124"/>
      <c r="BY286" s="124"/>
      <c r="BZ286" s="124"/>
      <c r="CA286" s="124"/>
      <c r="CB286" s="124"/>
      <c r="CC286" s="124"/>
      <c r="CD286" s="124"/>
      <c r="CE286" s="124"/>
      <c r="CF286" s="124"/>
      <c r="CG286" s="124"/>
      <c r="CH286" s="124"/>
      <c r="CI286" s="124"/>
      <c r="CJ286" s="124"/>
      <c r="CK286" s="124"/>
      <c r="CL286" s="124"/>
      <c r="CM286" s="124"/>
      <c r="CN286" s="124"/>
      <c r="CO286" s="124"/>
      <c r="CP286" s="124"/>
      <c r="CQ286" s="124"/>
      <c r="CR286" s="124"/>
      <c r="CS286" s="124"/>
      <c r="CT286" s="124"/>
      <c r="CU286" s="124"/>
      <c r="CV286" s="124"/>
      <c r="CW286" s="124"/>
      <c r="CX286" s="124"/>
      <c r="CY286" s="124"/>
      <c r="CZ286" s="124"/>
      <c r="DA286" s="124"/>
      <c r="DB286" s="124"/>
      <c r="DC286" s="124"/>
      <c r="DD286" s="124"/>
      <c r="DE286" s="124"/>
      <c r="DF286" s="124"/>
      <c r="DG286" s="124"/>
      <c r="DH286" s="124"/>
      <c r="DI286" s="124"/>
      <c r="DJ286" s="124"/>
      <c r="DK286" s="124"/>
      <c r="DL286" s="124"/>
      <c r="DM286" s="124"/>
      <c r="DN286" s="124"/>
      <c r="DO286" s="124"/>
      <c r="DP286" s="124"/>
      <c r="DQ286" s="124"/>
      <c r="DR286" s="124"/>
      <c r="DS286" s="124"/>
      <c r="DT286" s="124"/>
      <c r="DU286" s="124"/>
      <c r="DV286" s="124"/>
      <c r="DW286" s="124"/>
      <c r="DX286" s="124"/>
      <c r="DY286" s="124"/>
      <c r="DZ286" s="124"/>
      <c r="EA286" s="124"/>
      <c r="EB286" s="124"/>
      <c r="EC286" s="124"/>
      <c r="ED286" s="124"/>
      <c r="EE286" s="124"/>
      <c r="EF286" s="124"/>
      <c r="EG286" s="124"/>
      <c r="EH286" s="124"/>
      <c r="EI286" s="124"/>
      <c r="EJ286" s="124"/>
      <c r="EK286" s="124"/>
      <c r="EL286" s="124"/>
      <c r="EM286" s="124"/>
      <c r="EN286" s="124"/>
      <c r="EO286" s="124"/>
      <c r="EP286" s="124"/>
      <c r="EQ286" s="124"/>
      <c r="ER286" s="124"/>
      <c r="ES286" s="124"/>
      <c r="ET286" s="124"/>
      <c r="EU286" s="124"/>
      <c r="EV286" s="124"/>
      <c r="EW286" s="124"/>
      <c r="EX286" s="124"/>
      <c r="EY286" s="124"/>
      <c r="EZ286" s="124"/>
      <c r="FA286" s="124"/>
      <c r="FB286" s="124"/>
      <c r="FC286" s="124"/>
      <c r="FD286" s="124"/>
      <c r="FE286" s="124"/>
      <c r="FF286" s="124"/>
      <c r="FG286" s="124"/>
      <c r="FH286" s="124"/>
      <c r="FI286" s="124"/>
      <c r="FJ286" s="124"/>
      <c r="FK286" s="124"/>
      <c r="FL286" s="124"/>
      <c r="FM286" s="124"/>
      <c r="FN286" s="124"/>
      <c r="FO286" s="124"/>
      <c r="FP286" s="124"/>
      <c r="FQ286" s="124"/>
      <c r="FR286" s="124"/>
      <c r="FS286" s="124"/>
      <c r="FT286" s="124"/>
      <c r="FU286" s="124"/>
      <c r="FV286" s="124"/>
      <c r="FW286" s="124"/>
      <c r="FX286" s="124"/>
      <c r="FY286" s="124"/>
      <c r="FZ286" s="124"/>
      <c r="GA286" s="124"/>
      <c r="GB286" s="124"/>
      <c r="GC286" s="124"/>
      <c r="GD286" s="124"/>
      <c r="GE286" s="124"/>
      <c r="GF286" s="124"/>
      <c r="GG286" s="124"/>
      <c r="GH286" s="124"/>
      <c r="GI286" s="124"/>
      <c r="GJ286" s="124"/>
      <c r="GK286" s="124"/>
      <c r="GL286" s="124"/>
      <c r="GM286" s="124"/>
      <c r="GN286" s="124"/>
      <c r="GO286" s="124"/>
      <c r="GP286" s="124"/>
      <c r="GQ286" s="124"/>
      <c r="GR286" s="124"/>
      <c r="GS286" s="124"/>
      <c r="GT286" s="124"/>
      <c r="GU286" s="124"/>
      <c r="GV286" s="124"/>
      <c r="GW286" s="124"/>
      <c r="GX286" s="124"/>
      <c r="GY286" s="124"/>
      <c r="GZ286" s="124"/>
      <c r="HA286" s="124"/>
      <c r="HB286" s="124"/>
      <c r="HC286" s="124"/>
      <c r="HD286" s="124"/>
      <c r="HE286" s="124"/>
      <c r="HF286" s="124"/>
      <c r="HG286" s="124"/>
      <c r="HH286" s="124"/>
      <c r="HI286" s="124"/>
      <c r="HJ286" s="124"/>
      <c r="HK286" s="124"/>
      <c r="HL286" s="124"/>
      <c r="HM286" s="124"/>
      <c r="HN286" s="124"/>
      <c r="HO286" s="124"/>
      <c r="HP286" s="124"/>
      <c r="HQ286" s="124"/>
    </row>
    <row r="287" spans="1:225" x14ac:dyDescent="0.2">
      <c r="A287" s="122" t="s">
        <v>918</v>
      </c>
      <c r="B287" s="123">
        <v>44</v>
      </c>
      <c r="C287" s="124" t="s">
        <v>446</v>
      </c>
      <c r="D287" s="123">
        <v>278</v>
      </c>
      <c r="E287" s="124" t="s">
        <v>361</v>
      </c>
      <c r="F287" s="123">
        <v>4</v>
      </c>
      <c r="G287" s="123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  <c r="BJ287" s="124"/>
      <c r="BK287" s="124"/>
      <c r="BL287" s="124"/>
      <c r="BM287" s="124"/>
      <c r="BN287" s="124"/>
      <c r="BO287" s="124"/>
      <c r="BP287" s="124"/>
      <c r="BQ287" s="124"/>
      <c r="BR287" s="124"/>
      <c r="BS287" s="124"/>
      <c r="BT287" s="124"/>
      <c r="BU287" s="124"/>
      <c r="BV287" s="124"/>
      <c r="BW287" s="124"/>
      <c r="BX287" s="124"/>
      <c r="BY287" s="124"/>
      <c r="BZ287" s="124"/>
      <c r="CA287" s="124"/>
      <c r="CB287" s="124"/>
      <c r="CC287" s="124"/>
      <c r="CD287" s="124"/>
      <c r="CE287" s="124"/>
      <c r="CF287" s="124"/>
      <c r="CG287" s="124"/>
      <c r="CH287" s="124"/>
      <c r="CI287" s="124"/>
      <c r="CJ287" s="124"/>
      <c r="CK287" s="124"/>
      <c r="CL287" s="124"/>
      <c r="CM287" s="124"/>
      <c r="CN287" s="124"/>
      <c r="CO287" s="124"/>
      <c r="CP287" s="124"/>
      <c r="CQ287" s="124"/>
      <c r="CR287" s="124"/>
      <c r="CS287" s="124"/>
      <c r="CT287" s="124"/>
      <c r="CU287" s="124"/>
      <c r="CV287" s="124"/>
      <c r="CW287" s="124"/>
      <c r="CX287" s="124"/>
      <c r="CY287" s="124"/>
      <c r="CZ287" s="124"/>
      <c r="DA287" s="124"/>
      <c r="DB287" s="124"/>
      <c r="DC287" s="124"/>
      <c r="DD287" s="124"/>
      <c r="DE287" s="124"/>
      <c r="DF287" s="124"/>
      <c r="DG287" s="124"/>
      <c r="DH287" s="124"/>
      <c r="DI287" s="124"/>
      <c r="DJ287" s="124"/>
      <c r="DK287" s="124"/>
      <c r="DL287" s="124"/>
      <c r="DM287" s="124"/>
      <c r="DN287" s="124"/>
      <c r="DO287" s="124"/>
      <c r="DP287" s="124"/>
      <c r="DQ287" s="124"/>
      <c r="DR287" s="124"/>
      <c r="DS287" s="124"/>
      <c r="DT287" s="124"/>
      <c r="DU287" s="124"/>
      <c r="DV287" s="124"/>
      <c r="DW287" s="124"/>
      <c r="DX287" s="124"/>
      <c r="DY287" s="124"/>
      <c r="DZ287" s="124"/>
      <c r="EA287" s="124"/>
      <c r="EB287" s="124"/>
      <c r="EC287" s="124"/>
      <c r="ED287" s="124"/>
      <c r="EE287" s="124"/>
      <c r="EF287" s="124"/>
      <c r="EG287" s="124"/>
      <c r="EH287" s="124"/>
      <c r="EI287" s="124"/>
      <c r="EJ287" s="124"/>
      <c r="EK287" s="124"/>
      <c r="EL287" s="124"/>
      <c r="EM287" s="124"/>
      <c r="EN287" s="124"/>
      <c r="EO287" s="124"/>
      <c r="EP287" s="124"/>
      <c r="EQ287" s="124"/>
      <c r="ER287" s="124"/>
      <c r="ES287" s="124"/>
      <c r="ET287" s="124"/>
      <c r="EU287" s="124"/>
      <c r="EV287" s="124"/>
      <c r="EW287" s="124"/>
      <c r="EX287" s="124"/>
      <c r="EY287" s="124"/>
      <c r="EZ287" s="124"/>
      <c r="FA287" s="124"/>
      <c r="FB287" s="124"/>
      <c r="FC287" s="124"/>
      <c r="FD287" s="124"/>
      <c r="FE287" s="124"/>
      <c r="FF287" s="124"/>
      <c r="FG287" s="124"/>
      <c r="FH287" s="124"/>
      <c r="FI287" s="124"/>
      <c r="FJ287" s="124"/>
      <c r="FK287" s="124"/>
      <c r="FL287" s="124"/>
      <c r="FM287" s="124"/>
      <c r="FN287" s="124"/>
      <c r="FO287" s="124"/>
      <c r="FP287" s="124"/>
      <c r="FQ287" s="124"/>
      <c r="FR287" s="124"/>
      <c r="FS287" s="124"/>
      <c r="FT287" s="124"/>
      <c r="FU287" s="124"/>
      <c r="FV287" s="124"/>
      <c r="FW287" s="124"/>
      <c r="FX287" s="124"/>
      <c r="FY287" s="124"/>
      <c r="FZ287" s="124"/>
      <c r="GA287" s="124"/>
      <c r="GB287" s="124"/>
      <c r="GC287" s="124"/>
      <c r="GD287" s="124"/>
      <c r="GE287" s="124"/>
      <c r="GF287" s="124"/>
      <c r="GG287" s="124"/>
      <c r="GH287" s="124"/>
      <c r="GI287" s="124"/>
      <c r="GJ287" s="124"/>
      <c r="GK287" s="124"/>
      <c r="GL287" s="124"/>
      <c r="GM287" s="124"/>
      <c r="GN287" s="124"/>
      <c r="GO287" s="124"/>
      <c r="GP287" s="124"/>
      <c r="GQ287" s="124"/>
      <c r="GR287" s="124"/>
      <c r="GS287" s="124"/>
      <c r="GT287" s="124"/>
      <c r="GU287" s="124"/>
      <c r="GV287" s="124"/>
      <c r="GW287" s="124"/>
      <c r="GX287" s="124"/>
      <c r="GY287" s="124"/>
      <c r="GZ287" s="124"/>
      <c r="HA287" s="124"/>
      <c r="HB287" s="124"/>
      <c r="HC287" s="124"/>
      <c r="HD287" s="124"/>
      <c r="HE287" s="124"/>
      <c r="HF287" s="124"/>
      <c r="HG287" s="124"/>
      <c r="HH287" s="124"/>
      <c r="HI287" s="124"/>
      <c r="HJ287" s="124"/>
      <c r="HK287" s="124"/>
      <c r="HL287" s="124"/>
      <c r="HM287" s="124"/>
      <c r="HN287" s="124"/>
      <c r="HO287" s="124"/>
      <c r="HP287" s="124"/>
      <c r="HQ287" s="124"/>
    </row>
    <row r="288" spans="1:225" x14ac:dyDescent="0.2">
      <c r="A288" s="122" t="s">
        <v>919</v>
      </c>
      <c r="B288" s="123">
        <v>45</v>
      </c>
      <c r="C288" s="124" t="s">
        <v>447</v>
      </c>
      <c r="D288" s="123">
        <v>279</v>
      </c>
      <c r="E288" s="124" t="s">
        <v>361</v>
      </c>
      <c r="F288" s="123">
        <v>3</v>
      </c>
      <c r="G288" s="123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  <c r="AV288" s="124"/>
      <c r="AW288" s="124"/>
      <c r="AX288" s="124"/>
      <c r="AY288" s="124"/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  <c r="BJ288" s="124"/>
      <c r="BK288" s="124"/>
      <c r="BL288" s="124"/>
      <c r="BM288" s="124"/>
      <c r="BN288" s="124"/>
      <c r="BO288" s="124"/>
      <c r="BP288" s="124"/>
      <c r="BQ288" s="124"/>
      <c r="BR288" s="124"/>
      <c r="BS288" s="124"/>
      <c r="BT288" s="124"/>
      <c r="BU288" s="124"/>
      <c r="BV288" s="124"/>
      <c r="BW288" s="124"/>
      <c r="BX288" s="124"/>
      <c r="BY288" s="124"/>
      <c r="BZ288" s="124"/>
      <c r="CA288" s="124"/>
      <c r="CB288" s="124"/>
      <c r="CC288" s="124"/>
      <c r="CD288" s="124"/>
      <c r="CE288" s="124"/>
      <c r="CF288" s="124"/>
      <c r="CG288" s="124"/>
      <c r="CH288" s="124"/>
      <c r="CI288" s="124"/>
      <c r="CJ288" s="124"/>
      <c r="CK288" s="124"/>
      <c r="CL288" s="124"/>
      <c r="CM288" s="124"/>
      <c r="CN288" s="124"/>
      <c r="CO288" s="124"/>
      <c r="CP288" s="124"/>
      <c r="CQ288" s="124"/>
      <c r="CR288" s="124"/>
      <c r="CS288" s="124"/>
      <c r="CT288" s="124"/>
      <c r="CU288" s="124"/>
      <c r="CV288" s="124"/>
      <c r="CW288" s="124"/>
      <c r="CX288" s="124"/>
      <c r="CY288" s="124"/>
      <c r="CZ288" s="124"/>
      <c r="DA288" s="124"/>
      <c r="DB288" s="124"/>
      <c r="DC288" s="124"/>
      <c r="DD288" s="124"/>
      <c r="DE288" s="124"/>
      <c r="DF288" s="124"/>
      <c r="DG288" s="124"/>
      <c r="DH288" s="124"/>
      <c r="DI288" s="124"/>
      <c r="DJ288" s="124"/>
      <c r="DK288" s="124"/>
      <c r="DL288" s="124"/>
      <c r="DM288" s="124"/>
      <c r="DN288" s="124"/>
      <c r="DO288" s="124"/>
      <c r="DP288" s="124"/>
      <c r="DQ288" s="124"/>
      <c r="DR288" s="124"/>
      <c r="DS288" s="124"/>
      <c r="DT288" s="124"/>
      <c r="DU288" s="124"/>
      <c r="DV288" s="124"/>
      <c r="DW288" s="124"/>
      <c r="DX288" s="124"/>
      <c r="DY288" s="124"/>
      <c r="DZ288" s="124"/>
      <c r="EA288" s="124"/>
      <c r="EB288" s="124"/>
      <c r="EC288" s="124"/>
      <c r="ED288" s="124"/>
      <c r="EE288" s="124"/>
      <c r="EF288" s="124"/>
      <c r="EG288" s="124"/>
      <c r="EH288" s="124"/>
      <c r="EI288" s="124"/>
      <c r="EJ288" s="124"/>
      <c r="EK288" s="124"/>
      <c r="EL288" s="124"/>
      <c r="EM288" s="124"/>
      <c r="EN288" s="124"/>
      <c r="EO288" s="124"/>
      <c r="EP288" s="124"/>
      <c r="EQ288" s="124"/>
      <c r="ER288" s="124"/>
      <c r="ES288" s="124"/>
      <c r="ET288" s="124"/>
      <c r="EU288" s="124"/>
      <c r="EV288" s="124"/>
      <c r="EW288" s="124"/>
      <c r="EX288" s="124"/>
      <c r="EY288" s="124"/>
      <c r="EZ288" s="124"/>
      <c r="FA288" s="124"/>
      <c r="FB288" s="124"/>
      <c r="FC288" s="124"/>
      <c r="FD288" s="124"/>
      <c r="FE288" s="124"/>
      <c r="FF288" s="124"/>
      <c r="FG288" s="124"/>
      <c r="FH288" s="124"/>
      <c r="FI288" s="124"/>
      <c r="FJ288" s="124"/>
      <c r="FK288" s="124"/>
      <c r="FL288" s="124"/>
      <c r="FM288" s="124"/>
      <c r="FN288" s="124"/>
      <c r="FO288" s="124"/>
      <c r="FP288" s="124"/>
      <c r="FQ288" s="124"/>
      <c r="FR288" s="124"/>
      <c r="FS288" s="124"/>
      <c r="FT288" s="124"/>
      <c r="FU288" s="124"/>
      <c r="FV288" s="124"/>
      <c r="FW288" s="124"/>
      <c r="FX288" s="124"/>
      <c r="FY288" s="124"/>
      <c r="FZ288" s="124"/>
      <c r="GA288" s="124"/>
      <c r="GB288" s="124"/>
      <c r="GC288" s="124"/>
      <c r="GD288" s="124"/>
      <c r="GE288" s="124"/>
      <c r="GF288" s="124"/>
      <c r="GG288" s="124"/>
      <c r="GH288" s="124"/>
      <c r="GI288" s="124"/>
      <c r="GJ288" s="124"/>
      <c r="GK288" s="124"/>
      <c r="GL288" s="124"/>
      <c r="GM288" s="124"/>
      <c r="GN288" s="124"/>
      <c r="GO288" s="124"/>
      <c r="GP288" s="124"/>
      <c r="GQ288" s="124"/>
      <c r="GR288" s="124"/>
      <c r="GS288" s="124"/>
      <c r="GT288" s="124"/>
      <c r="GU288" s="124"/>
      <c r="GV288" s="124"/>
      <c r="GW288" s="124"/>
      <c r="GX288" s="124"/>
      <c r="GY288" s="124"/>
      <c r="GZ288" s="124"/>
      <c r="HA288" s="124"/>
      <c r="HB288" s="124"/>
      <c r="HC288" s="124"/>
      <c r="HD288" s="124"/>
      <c r="HE288" s="124"/>
      <c r="HF288" s="124"/>
      <c r="HG288" s="124"/>
      <c r="HH288" s="124"/>
      <c r="HI288" s="124"/>
      <c r="HJ288" s="124"/>
      <c r="HK288" s="124"/>
      <c r="HL288" s="124"/>
      <c r="HM288" s="124"/>
      <c r="HN288" s="124"/>
      <c r="HO288" s="124"/>
      <c r="HP288" s="124"/>
      <c r="HQ288" s="124"/>
    </row>
    <row r="289" spans="1:225" x14ac:dyDescent="0.2">
      <c r="A289" s="122" t="s">
        <v>920</v>
      </c>
      <c r="B289" s="123">
        <v>45</v>
      </c>
      <c r="C289" s="124" t="s">
        <v>448</v>
      </c>
      <c r="D289" s="123">
        <v>280</v>
      </c>
      <c r="E289" s="124" t="s">
        <v>361</v>
      </c>
      <c r="F289" s="123">
        <v>3</v>
      </c>
      <c r="G289" s="123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  <c r="AV289" s="124"/>
      <c r="AW289" s="124"/>
      <c r="AX289" s="124"/>
      <c r="AY289" s="124"/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  <c r="BJ289" s="124"/>
      <c r="BK289" s="124"/>
      <c r="BL289" s="124"/>
      <c r="BM289" s="124"/>
      <c r="BN289" s="124"/>
      <c r="BO289" s="124"/>
      <c r="BP289" s="124"/>
      <c r="BQ289" s="124"/>
      <c r="BR289" s="124"/>
      <c r="BS289" s="124"/>
      <c r="BT289" s="124"/>
      <c r="BU289" s="124"/>
      <c r="BV289" s="124"/>
      <c r="BW289" s="124"/>
      <c r="BX289" s="124"/>
      <c r="BY289" s="124"/>
      <c r="BZ289" s="124"/>
      <c r="CA289" s="124"/>
      <c r="CB289" s="124"/>
      <c r="CC289" s="124"/>
      <c r="CD289" s="124"/>
      <c r="CE289" s="124"/>
      <c r="CF289" s="124"/>
      <c r="CG289" s="124"/>
      <c r="CH289" s="124"/>
      <c r="CI289" s="124"/>
      <c r="CJ289" s="124"/>
      <c r="CK289" s="124"/>
      <c r="CL289" s="124"/>
      <c r="CM289" s="124"/>
      <c r="CN289" s="124"/>
      <c r="CO289" s="124"/>
      <c r="CP289" s="124"/>
      <c r="CQ289" s="124"/>
      <c r="CR289" s="124"/>
      <c r="CS289" s="124"/>
      <c r="CT289" s="124"/>
      <c r="CU289" s="124"/>
      <c r="CV289" s="124"/>
      <c r="CW289" s="124"/>
      <c r="CX289" s="124"/>
      <c r="CY289" s="124"/>
      <c r="CZ289" s="124"/>
      <c r="DA289" s="124"/>
      <c r="DB289" s="124"/>
      <c r="DC289" s="124"/>
      <c r="DD289" s="124"/>
      <c r="DE289" s="124"/>
      <c r="DF289" s="124"/>
      <c r="DG289" s="124"/>
      <c r="DH289" s="124"/>
      <c r="DI289" s="124"/>
      <c r="DJ289" s="124"/>
      <c r="DK289" s="124"/>
      <c r="DL289" s="124"/>
      <c r="DM289" s="124"/>
      <c r="DN289" s="124"/>
      <c r="DO289" s="124"/>
      <c r="DP289" s="124"/>
      <c r="DQ289" s="124"/>
      <c r="DR289" s="124"/>
      <c r="DS289" s="124"/>
      <c r="DT289" s="124"/>
      <c r="DU289" s="124"/>
      <c r="DV289" s="124"/>
      <c r="DW289" s="124"/>
      <c r="DX289" s="124"/>
      <c r="DY289" s="124"/>
      <c r="DZ289" s="124"/>
      <c r="EA289" s="124"/>
      <c r="EB289" s="124"/>
      <c r="EC289" s="124"/>
      <c r="ED289" s="124"/>
      <c r="EE289" s="124"/>
      <c r="EF289" s="124"/>
      <c r="EG289" s="124"/>
      <c r="EH289" s="124"/>
      <c r="EI289" s="124"/>
      <c r="EJ289" s="124"/>
      <c r="EK289" s="124"/>
      <c r="EL289" s="124"/>
      <c r="EM289" s="124"/>
      <c r="EN289" s="124"/>
      <c r="EO289" s="124"/>
      <c r="EP289" s="124"/>
      <c r="EQ289" s="124"/>
      <c r="ER289" s="124"/>
      <c r="ES289" s="124"/>
      <c r="ET289" s="124"/>
      <c r="EU289" s="124"/>
      <c r="EV289" s="124"/>
      <c r="EW289" s="124"/>
      <c r="EX289" s="124"/>
      <c r="EY289" s="124"/>
      <c r="EZ289" s="124"/>
      <c r="FA289" s="124"/>
      <c r="FB289" s="124"/>
      <c r="FC289" s="124"/>
      <c r="FD289" s="124"/>
      <c r="FE289" s="124"/>
      <c r="FF289" s="124"/>
      <c r="FG289" s="124"/>
      <c r="FH289" s="124"/>
      <c r="FI289" s="124"/>
      <c r="FJ289" s="124"/>
      <c r="FK289" s="124"/>
      <c r="FL289" s="124"/>
      <c r="FM289" s="124"/>
      <c r="FN289" s="124"/>
      <c r="FO289" s="124"/>
      <c r="FP289" s="124"/>
      <c r="FQ289" s="124"/>
      <c r="FR289" s="124"/>
      <c r="FS289" s="124"/>
      <c r="FT289" s="124"/>
      <c r="FU289" s="124"/>
      <c r="FV289" s="124"/>
      <c r="FW289" s="124"/>
      <c r="FX289" s="124"/>
      <c r="FY289" s="124"/>
      <c r="FZ289" s="124"/>
      <c r="GA289" s="124"/>
      <c r="GB289" s="124"/>
      <c r="GC289" s="124"/>
      <c r="GD289" s="124"/>
      <c r="GE289" s="124"/>
      <c r="GF289" s="124"/>
      <c r="GG289" s="124"/>
      <c r="GH289" s="124"/>
      <c r="GI289" s="124"/>
      <c r="GJ289" s="124"/>
      <c r="GK289" s="124"/>
      <c r="GL289" s="124"/>
      <c r="GM289" s="124"/>
      <c r="GN289" s="124"/>
      <c r="GO289" s="124"/>
      <c r="GP289" s="124"/>
      <c r="GQ289" s="124"/>
      <c r="GR289" s="124"/>
      <c r="GS289" s="124"/>
      <c r="GT289" s="124"/>
      <c r="GU289" s="124"/>
      <c r="GV289" s="124"/>
      <c r="GW289" s="124"/>
      <c r="GX289" s="124"/>
      <c r="GY289" s="124"/>
      <c r="GZ289" s="124"/>
      <c r="HA289" s="124"/>
      <c r="HB289" s="124"/>
      <c r="HC289" s="124"/>
      <c r="HD289" s="124"/>
      <c r="HE289" s="124"/>
      <c r="HF289" s="124"/>
      <c r="HG289" s="124"/>
      <c r="HH289" s="124"/>
      <c r="HI289" s="124"/>
      <c r="HJ289" s="124"/>
      <c r="HK289" s="124"/>
      <c r="HL289" s="124"/>
      <c r="HM289" s="124"/>
      <c r="HN289" s="124"/>
      <c r="HO289" s="124"/>
      <c r="HP289" s="124"/>
      <c r="HQ289" s="124"/>
    </row>
    <row r="290" spans="1:225" x14ac:dyDescent="0.2">
      <c r="A290" s="122" t="s">
        <v>921</v>
      </c>
      <c r="B290" s="123">
        <v>46</v>
      </c>
      <c r="C290" s="124" t="s">
        <v>449</v>
      </c>
      <c r="D290" s="123">
        <v>281</v>
      </c>
      <c r="E290" s="124" t="s">
        <v>361</v>
      </c>
      <c r="F290" s="123">
        <v>2</v>
      </c>
      <c r="G290" s="123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  <c r="BJ290" s="124"/>
      <c r="BK290" s="124"/>
      <c r="BL290" s="124"/>
      <c r="BM290" s="124"/>
      <c r="BN290" s="124"/>
      <c r="BO290" s="124"/>
      <c r="BP290" s="124"/>
      <c r="BQ290" s="124"/>
      <c r="BR290" s="124"/>
      <c r="BS290" s="124"/>
      <c r="BT290" s="124"/>
      <c r="BU290" s="124"/>
      <c r="BV290" s="124"/>
      <c r="BW290" s="124"/>
      <c r="BX290" s="124"/>
      <c r="BY290" s="124"/>
      <c r="BZ290" s="124"/>
      <c r="CA290" s="124"/>
      <c r="CB290" s="124"/>
      <c r="CC290" s="124"/>
      <c r="CD290" s="124"/>
      <c r="CE290" s="124"/>
      <c r="CF290" s="124"/>
      <c r="CG290" s="124"/>
      <c r="CH290" s="124"/>
      <c r="CI290" s="124"/>
      <c r="CJ290" s="124"/>
      <c r="CK290" s="124"/>
      <c r="CL290" s="124"/>
      <c r="CM290" s="124"/>
      <c r="CN290" s="124"/>
      <c r="CO290" s="124"/>
      <c r="CP290" s="124"/>
      <c r="CQ290" s="124"/>
      <c r="CR290" s="124"/>
      <c r="CS290" s="124"/>
      <c r="CT290" s="124"/>
      <c r="CU290" s="124"/>
      <c r="CV290" s="124"/>
      <c r="CW290" s="124"/>
      <c r="CX290" s="124"/>
      <c r="CY290" s="124"/>
      <c r="CZ290" s="124"/>
      <c r="DA290" s="124"/>
      <c r="DB290" s="124"/>
      <c r="DC290" s="124"/>
      <c r="DD290" s="124"/>
      <c r="DE290" s="124"/>
      <c r="DF290" s="124"/>
      <c r="DG290" s="124"/>
      <c r="DH290" s="124"/>
      <c r="DI290" s="124"/>
      <c r="DJ290" s="124"/>
      <c r="DK290" s="124"/>
      <c r="DL290" s="124"/>
      <c r="DM290" s="124"/>
      <c r="DN290" s="124"/>
      <c r="DO290" s="124"/>
      <c r="DP290" s="124"/>
      <c r="DQ290" s="124"/>
      <c r="DR290" s="124"/>
      <c r="DS290" s="124"/>
      <c r="DT290" s="124"/>
      <c r="DU290" s="124"/>
      <c r="DV290" s="124"/>
      <c r="DW290" s="124"/>
      <c r="DX290" s="124"/>
      <c r="DY290" s="124"/>
      <c r="DZ290" s="124"/>
      <c r="EA290" s="124"/>
      <c r="EB290" s="124"/>
      <c r="EC290" s="124"/>
      <c r="ED290" s="124"/>
      <c r="EE290" s="124"/>
      <c r="EF290" s="124"/>
      <c r="EG290" s="124"/>
      <c r="EH290" s="124"/>
      <c r="EI290" s="124"/>
      <c r="EJ290" s="124"/>
      <c r="EK290" s="124"/>
      <c r="EL290" s="124"/>
      <c r="EM290" s="124"/>
      <c r="EN290" s="124"/>
      <c r="EO290" s="124"/>
      <c r="EP290" s="124"/>
      <c r="EQ290" s="124"/>
      <c r="ER290" s="124"/>
      <c r="ES290" s="124"/>
      <c r="ET290" s="124"/>
      <c r="EU290" s="124"/>
      <c r="EV290" s="124"/>
      <c r="EW290" s="124"/>
      <c r="EX290" s="124"/>
      <c r="EY290" s="124"/>
      <c r="EZ290" s="124"/>
      <c r="FA290" s="124"/>
      <c r="FB290" s="124"/>
      <c r="FC290" s="124"/>
      <c r="FD290" s="124"/>
      <c r="FE290" s="124"/>
      <c r="FF290" s="124"/>
      <c r="FG290" s="124"/>
      <c r="FH290" s="124"/>
      <c r="FI290" s="124"/>
      <c r="FJ290" s="124"/>
      <c r="FK290" s="124"/>
      <c r="FL290" s="124"/>
      <c r="FM290" s="124"/>
      <c r="FN290" s="124"/>
      <c r="FO290" s="124"/>
      <c r="FP290" s="124"/>
      <c r="FQ290" s="124"/>
      <c r="FR290" s="124"/>
      <c r="FS290" s="124"/>
      <c r="FT290" s="124"/>
      <c r="FU290" s="124"/>
      <c r="FV290" s="124"/>
      <c r="FW290" s="124"/>
      <c r="FX290" s="124"/>
      <c r="FY290" s="124"/>
      <c r="FZ290" s="124"/>
      <c r="GA290" s="124"/>
      <c r="GB290" s="124"/>
      <c r="GC290" s="124"/>
      <c r="GD290" s="124"/>
      <c r="GE290" s="124"/>
      <c r="GF290" s="124"/>
      <c r="GG290" s="124"/>
      <c r="GH290" s="124"/>
      <c r="GI290" s="124"/>
      <c r="GJ290" s="124"/>
      <c r="GK290" s="124"/>
      <c r="GL290" s="124"/>
      <c r="GM290" s="124"/>
      <c r="GN290" s="124"/>
      <c r="GO290" s="124"/>
      <c r="GP290" s="124"/>
      <c r="GQ290" s="124"/>
      <c r="GR290" s="124"/>
      <c r="GS290" s="124"/>
      <c r="GT290" s="124"/>
      <c r="GU290" s="124"/>
      <c r="GV290" s="124"/>
      <c r="GW290" s="124"/>
      <c r="GX290" s="124"/>
      <c r="GY290" s="124"/>
      <c r="GZ290" s="124"/>
      <c r="HA290" s="124"/>
      <c r="HB290" s="124"/>
      <c r="HC290" s="124"/>
      <c r="HD290" s="124"/>
      <c r="HE290" s="124"/>
      <c r="HF290" s="124"/>
      <c r="HG290" s="124"/>
      <c r="HH290" s="124"/>
      <c r="HI290" s="124"/>
      <c r="HJ290" s="124"/>
      <c r="HK290" s="124"/>
      <c r="HL290" s="124"/>
      <c r="HM290" s="124"/>
      <c r="HN290" s="124"/>
      <c r="HO290" s="124"/>
      <c r="HP290" s="124"/>
      <c r="HQ290" s="124"/>
    </row>
    <row r="291" spans="1:225" x14ac:dyDescent="0.2">
      <c r="A291" s="122" t="s">
        <v>922</v>
      </c>
      <c r="B291" s="123">
        <v>46</v>
      </c>
      <c r="C291" s="124" t="s">
        <v>450</v>
      </c>
      <c r="D291" s="123">
        <v>282</v>
      </c>
      <c r="E291" s="124" t="s">
        <v>361</v>
      </c>
      <c r="F291" s="123">
        <v>2</v>
      </c>
      <c r="G291" s="123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  <c r="AV291" s="124"/>
      <c r="AW291" s="124"/>
      <c r="AX291" s="124"/>
      <c r="AY291" s="124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  <c r="BJ291" s="124"/>
      <c r="BK291" s="124"/>
      <c r="BL291" s="124"/>
      <c r="BM291" s="124"/>
      <c r="BN291" s="124"/>
      <c r="BO291" s="124"/>
      <c r="BP291" s="124"/>
      <c r="BQ291" s="124"/>
      <c r="BR291" s="124"/>
      <c r="BS291" s="124"/>
      <c r="BT291" s="124"/>
      <c r="BU291" s="124"/>
      <c r="BV291" s="124"/>
      <c r="BW291" s="124"/>
      <c r="BX291" s="124"/>
      <c r="BY291" s="124"/>
      <c r="BZ291" s="124"/>
      <c r="CA291" s="124"/>
      <c r="CB291" s="124"/>
      <c r="CC291" s="124"/>
      <c r="CD291" s="124"/>
      <c r="CE291" s="124"/>
      <c r="CF291" s="124"/>
      <c r="CG291" s="124"/>
      <c r="CH291" s="124"/>
      <c r="CI291" s="124"/>
      <c r="CJ291" s="124"/>
      <c r="CK291" s="124"/>
      <c r="CL291" s="124"/>
      <c r="CM291" s="124"/>
      <c r="CN291" s="124"/>
      <c r="CO291" s="124"/>
      <c r="CP291" s="124"/>
      <c r="CQ291" s="124"/>
      <c r="CR291" s="124"/>
      <c r="CS291" s="124"/>
      <c r="CT291" s="124"/>
      <c r="CU291" s="124"/>
      <c r="CV291" s="124"/>
      <c r="CW291" s="124"/>
      <c r="CX291" s="124"/>
      <c r="CY291" s="124"/>
      <c r="CZ291" s="124"/>
      <c r="DA291" s="124"/>
      <c r="DB291" s="124"/>
      <c r="DC291" s="124"/>
      <c r="DD291" s="124"/>
      <c r="DE291" s="124"/>
      <c r="DF291" s="124"/>
      <c r="DG291" s="124"/>
      <c r="DH291" s="124"/>
      <c r="DI291" s="124"/>
      <c r="DJ291" s="124"/>
      <c r="DK291" s="124"/>
      <c r="DL291" s="124"/>
      <c r="DM291" s="124"/>
      <c r="DN291" s="124"/>
      <c r="DO291" s="124"/>
      <c r="DP291" s="124"/>
      <c r="DQ291" s="124"/>
      <c r="DR291" s="124"/>
      <c r="DS291" s="124"/>
      <c r="DT291" s="124"/>
      <c r="DU291" s="124"/>
      <c r="DV291" s="124"/>
      <c r="DW291" s="124"/>
      <c r="DX291" s="124"/>
      <c r="DY291" s="124"/>
      <c r="DZ291" s="124"/>
      <c r="EA291" s="124"/>
      <c r="EB291" s="124"/>
      <c r="EC291" s="124"/>
      <c r="ED291" s="124"/>
      <c r="EE291" s="124"/>
      <c r="EF291" s="124"/>
      <c r="EG291" s="124"/>
      <c r="EH291" s="124"/>
      <c r="EI291" s="124"/>
      <c r="EJ291" s="124"/>
      <c r="EK291" s="124"/>
      <c r="EL291" s="124"/>
      <c r="EM291" s="124"/>
      <c r="EN291" s="124"/>
      <c r="EO291" s="124"/>
      <c r="EP291" s="124"/>
      <c r="EQ291" s="124"/>
      <c r="ER291" s="124"/>
      <c r="ES291" s="124"/>
      <c r="ET291" s="124"/>
      <c r="EU291" s="124"/>
      <c r="EV291" s="124"/>
      <c r="EW291" s="124"/>
      <c r="EX291" s="124"/>
      <c r="EY291" s="124"/>
      <c r="EZ291" s="124"/>
      <c r="FA291" s="124"/>
      <c r="FB291" s="124"/>
      <c r="FC291" s="124"/>
      <c r="FD291" s="124"/>
      <c r="FE291" s="124"/>
      <c r="FF291" s="124"/>
      <c r="FG291" s="124"/>
      <c r="FH291" s="124"/>
      <c r="FI291" s="124"/>
      <c r="FJ291" s="124"/>
      <c r="FK291" s="124"/>
      <c r="FL291" s="124"/>
      <c r="FM291" s="124"/>
      <c r="FN291" s="124"/>
      <c r="FO291" s="124"/>
      <c r="FP291" s="124"/>
      <c r="FQ291" s="124"/>
      <c r="FR291" s="124"/>
      <c r="FS291" s="124"/>
      <c r="FT291" s="124"/>
      <c r="FU291" s="124"/>
      <c r="FV291" s="124"/>
      <c r="FW291" s="124"/>
      <c r="FX291" s="124"/>
      <c r="FY291" s="124"/>
      <c r="FZ291" s="124"/>
      <c r="GA291" s="124"/>
      <c r="GB291" s="124"/>
      <c r="GC291" s="124"/>
      <c r="GD291" s="124"/>
      <c r="GE291" s="124"/>
      <c r="GF291" s="124"/>
      <c r="GG291" s="124"/>
      <c r="GH291" s="124"/>
      <c r="GI291" s="124"/>
      <c r="GJ291" s="124"/>
      <c r="GK291" s="124"/>
      <c r="GL291" s="124"/>
      <c r="GM291" s="124"/>
      <c r="GN291" s="124"/>
      <c r="GO291" s="124"/>
      <c r="GP291" s="124"/>
      <c r="GQ291" s="124"/>
      <c r="GR291" s="124"/>
      <c r="GS291" s="124"/>
      <c r="GT291" s="124"/>
      <c r="GU291" s="124"/>
      <c r="GV291" s="124"/>
      <c r="GW291" s="124"/>
      <c r="GX291" s="124"/>
      <c r="GY291" s="124"/>
      <c r="GZ291" s="124"/>
      <c r="HA291" s="124"/>
      <c r="HB291" s="124"/>
      <c r="HC291" s="124"/>
      <c r="HD291" s="124"/>
      <c r="HE291" s="124"/>
      <c r="HF291" s="124"/>
      <c r="HG291" s="124"/>
      <c r="HH291" s="124"/>
      <c r="HI291" s="124"/>
      <c r="HJ291" s="124"/>
      <c r="HK291" s="124"/>
      <c r="HL291" s="124"/>
      <c r="HM291" s="124"/>
      <c r="HN291" s="124"/>
      <c r="HO291" s="124"/>
      <c r="HP291" s="124"/>
      <c r="HQ291" s="124"/>
    </row>
    <row r="292" spans="1:225" x14ac:dyDescent="0.2">
      <c r="A292" s="122" t="s">
        <v>923</v>
      </c>
      <c r="B292" s="123">
        <v>47</v>
      </c>
      <c r="C292" s="124" t="s">
        <v>451</v>
      </c>
      <c r="D292" s="123">
        <v>283</v>
      </c>
      <c r="E292" s="124" t="s">
        <v>361</v>
      </c>
      <c r="F292" s="123">
        <v>4</v>
      </c>
      <c r="G292" s="123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  <c r="AV292" s="124"/>
      <c r="AW292" s="124"/>
      <c r="AX292" s="124"/>
      <c r="AY292" s="124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  <c r="BJ292" s="124"/>
      <c r="BK292" s="124"/>
      <c r="BL292" s="124"/>
      <c r="BM292" s="124"/>
      <c r="BN292" s="124"/>
      <c r="BO292" s="124"/>
      <c r="BP292" s="124"/>
      <c r="BQ292" s="124"/>
      <c r="BR292" s="124"/>
      <c r="BS292" s="124"/>
      <c r="BT292" s="124"/>
      <c r="BU292" s="124"/>
      <c r="BV292" s="124"/>
      <c r="BW292" s="124"/>
      <c r="BX292" s="124"/>
      <c r="BY292" s="124"/>
      <c r="BZ292" s="124"/>
      <c r="CA292" s="124"/>
      <c r="CB292" s="124"/>
      <c r="CC292" s="124"/>
      <c r="CD292" s="124"/>
      <c r="CE292" s="124"/>
      <c r="CF292" s="124"/>
      <c r="CG292" s="124"/>
      <c r="CH292" s="124"/>
      <c r="CI292" s="124"/>
      <c r="CJ292" s="124"/>
      <c r="CK292" s="124"/>
      <c r="CL292" s="124"/>
      <c r="CM292" s="124"/>
      <c r="CN292" s="124"/>
      <c r="CO292" s="124"/>
      <c r="CP292" s="124"/>
      <c r="CQ292" s="124"/>
      <c r="CR292" s="124"/>
      <c r="CS292" s="124"/>
      <c r="CT292" s="124"/>
      <c r="CU292" s="124"/>
      <c r="CV292" s="124"/>
      <c r="CW292" s="124"/>
      <c r="CX292" s="124"/>
      <c r="CY292" s="124"/>
      <c r="CZ292" s="124"/>
      <c r="DA292" s="124"/>
      <c r="DB292" s="124"/>
      <c r="DC292" s="124"/>
      <c r="DD292" s="124"/>
      <c r="DE292" s="124"/>
      <c r="DF292" s="124"/>
      <c r="DG292" s="124"/>
      <c r="DH292" s="124"/>
      <c r="DI292" s="124"/>
      <c r="DJ292" s="124"/>
      <c r="DK292" s="124"/>
      <c r="DL292" s="124"/>
      <c r="DM292" s="124"/>
      <c r="DN292" s="124"/>
      <c r="DO292" s="124"/>
      <c r="DP292" s="124"/>
      <c r="DQ292" s="124"/>
      <c r="DR292" s="124"/>
      <c r="DS292" s="124"/>
      <c r="DT292" s="124"/>
      <c r="DU292" s="124"/>
      <c r="DV292" s="124"/>
      <c r="DW292" s="124"/>
      <c r="DX292" s="124"/>
      <c r="DY292" s="124"/>
      <c r="DZ292" s="124"/>
      <c r="EA292" s="124"/>
      <c r="EB292" s="124"/>
      <c r="EC292" s="124"/>
      <c r="ED292" s="124"/>
      <c r="EE292" s="124"/>
      <c r="EF292" s="124"/>
      <c r="EG292" s="124"/>
      <c r="EH292" s="124"/>
      <c r="EI292" s="124"/>
      <c r="EJ292" s="124"/>
      <c r="EK292" s="124"/>
      <c r="EL292" s="124"/>
      <c r="EM292" s="124"/>
      <c r="EN292" s="124"/>
      <c r="EO292" s="124"/>
      <c r="EP292" s="124"/>
      <c r="EQ292" s="124"/>
      <c r="ER292" s="124"/>
      <c r="ES292" s="124"/>
      <c r="ET292" s="124"/>
      <c r="EU292" s="124"/>
      <c r="EV292" s="124"/>
      <c r="EW292" s="124"/>
      <c r="EX292" s="124"/>
      <c r="EY292" s="124"/>
      <c r="EZ292" s="124"/>
      <c r="FA292" s="124"/>
      <c r="FB292" s="124"/>
      <c r="FC292" s="124"/>
      <c r="FD292" s="124"/>
      <c r="FE292" s="124"/>
      <c r="FF292" s="124"/>
      <c r="FG292" s="124"/>
      <c r="FH292" s="124"/>
      <c r="FI292" s="124"/>
      <c r="FJ292" s="124"/>
      <c r="FK292" s="124"/>
      <c r="FL292" s="124"/>
      <c r="FM292" s="124"/>
      <c r="FN292" s="124"/>
      <c r="FO292" s="124"/>
      <c r="FP292" s="124"/>
      <c r="FQ292" s="124"/>
      <c r="FR292" s="124"/>
      <c r="FS292" s="124"/>
      <c r="FT292" s="124"/>
      <c r="FU292" s="124"/>
      <c r="FV292" s="124"/>
      <c r="FW292" s="124"/>
      <c r="FX292" s="124"/>
      <c r="FY292" s="124"/>
      <c r="FZ292" s="124"/>
      <c r="GA292" s="124"/>
      <c r="GB292" s="124"/>
      <c r="GC292" s="124"/>
      <c r="GD292" s="124"/>
      <c r="GE292" s="124"/>
      <c r="GF292" s="124"/>
      <c r="GG292" s="124"/>
      <c r="GH292" s="124"/>
      <c r="GI292" s="124"/>
      <c r="GJ292" s="124"/>
      <c r="GK292" s="124"/>
      <c r="GL292" s="124"/>
      <c r="GM292" s="124"/>
      <c r="GN292" s="124"/>
      <c r="GO292" s="124"/>
      <c r="GP292" s="124"/>
      <c r="GQ292" s="124"/>
      <c r="GR292" s="124"/>
      <c r="GS292" s="124"/>
      <c r="GT292" s="124"/>
      <c r="GU292" s="124"/>
      <c r="GV292" s="124"/>
      <c r="GW292" s="124"/>
      <c r="GX292" s="124"/>
      <c r="GY292" s="124"/>
      <c r="GZ292" s="124"/>
      <c r="HA292" s="124"/>
      <c r="HB292" s="124"/>
      <c r="HC292" s="124"/>
      <c r="HD292" s="124"/>
      <c r="HE292" s="124"/>
      <c r="HF292" s="124"/>
      <c r="HG292" s="124"/>
      <c r="HH292" s="124"/>
      <c r="HI292" s="124"/>
      <c r="HJ292" s="124"/>
      <c r="HK292" s="124"/>
      <c r="HL292" s="124"/>
      <c r="HM292" s="124"/>
      <c r="HN292" s="124"/>
      <c r="HO292" s="124"/>
      <c r="HP292" s="124"/>
      <c r="HQ292" s="124"/>
    </row>
    <row r="293" spans="1:225" x14ac:dyDescent="0.2">
      <c r="A293" s="122" t="s">
        <v>924</v>
      </c>
      <c r="B293" s="123">
        <v>47</v>
      </c>
      <c r="C293" s="124" t="s">
        <v>452</v>
      </c>
      <c r="D293" s="123">
        <v>284</v>
      </c>
      <c r="E293" s="124" t="s">
        <v>361</v>
      </c>
      <c r="F293" s="123">
        <v>4</v>
      </c>
      <c r="G293" s="123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  <c r="AV293" s="124"/>
      <c r="AW293" s="124"/>
      <c r="AX293" s="124"/>
      <c r="AY293" s="124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  <c r="BJ293" s="124"/>
      <c r="BK293" s="124"/>
      <c r="BL293" s="124"/>
      <c r="BM293" s="124"/>
      <c r="BN293" s="124"/>
      <c r="BO293" s="124"/>
      <c r="BP293" s="124"/>
      <c r="BQ293" s="124"/>
      <c r="BR293" s="124"/>
      <c r="BS293" s="124"/>
      <c r="BT293" s="124"/>
      <c r="BU293" s="124"/>
      <c r="BV293" s="124"/>
      <c r="BW293" s="124"/>
      <c r="BX293" s="124"/>
      <c r="BY293" s="124"/>
      <c r="BZ293" s="124"/>
      <c r="CA293" s="124"/>
      <c r="CB293" s="124"/>
      <c r="CC293" s="124"/>
      <c r="CD293" s="124"/>
      <c r="CE293" s="124"/>
      <c r="CF293" s="124"/>
      <c r="CG293" s="124"/>
      <c r="CH293" s="124"/>
      <c r="CI293" s="124"/>
      <c r="CJ293" s="124"/>
      <c r="CK293" s="124"/>
      <c r="CL293" s="124"/>
      <c r="CM293" s="124"/>
      <c r="CN293" s="124"/>
      <c r="CO293" s="124"/>
      <c r="CP293" s="124"/>
      <c r="CQ293" s="124"/>
      <c r="CR293" s="124"/>
      <c r="CS293" s="124"/>
      <c r="CT293" s="124"/>
      <c r="CU293" s="124"/>
      <c r="CV293" s="124"/>
      <c r="CW293" s="124"/>
      <c r="CX293" s="124"/>
      <c r="CY293" s="124"/>
      <c r="CZ293" s="124"/>
      <c r="DA293" s="124"/>
      <c r="DB293" s="124"/>
      <c r="DC293" s="124"/>
      <c r="DD293" s="124"/>
      <c r="DE293" s="124"/>
      <c r="DF293" s="124"/>
      <c r="DG293" s="124"/>
      <c r="DH293" s="124"/>
      <c r="DI293" s="124"/>
      <c r="DJ293" s="124"/>
      <c r="DK293" s="124"/>
      <c r="DL293" s="124"/>
      <c r="DM293" s="124"/>
      <c r="DN293" s="124"/>
      <c r="DO293" s="124"/>
      <c r="DP293" s="124"/>
      <c r="DQ293" s="124"/>
      <c r="DR293" s="124"/>
      <c r="DS293" s="124"/>
      <c r="DT293" s="124"/>
      <c r="DU293" s="124"/>
      <c r="DV293" s="124"/>
      <c r="DW293" s="124"/>
      <c r="DX293" s="124"/>
      <c r="DY293" s="124"/>
      <c r="DZ293" s="124"/>
      <c r="EA293" s="124"/>
      <c r="EB293" s="124"/>
      <c r="EC293" s="124"/>
      <c r="ED293" s="124"/>
      <c r="EE293" s="124"/>
      <c r="EF293" s="124"/>
      <c r="EG293" s="124"/>
      <c r="EH293" s="124"/>
      <c r="EI293" s="124"/>
      <c r="EJ293" s="124"/>
      <c r="EK293" s="124"/>
      <c r="EL293" s="124"/>
      <c r="EM293" s="124"/>
      <c r="EN293" s="124"/>
      <c r="EO293" s="124"/>
      <c r="EP293" s="124"/>
      <c r="EQ293" s="124"/>
      <c r="ER293" s="124"/>
      <c r="ES293" s="124"/>
      <c r="ET293" s="124"/>
      <c r="EU293" s="124"/>
      <c r="EV293" s="124"/>
      <c r="EW293" s="124"/>
      <c r="EX293" s="124"/>
      <c r="EY293" s="124"/>
      <c r="EZ293" s="124"/>
      <c r="FA293" s="124"/>
      <c r="FB293" s="124"/>
      <c r="FC293" s="124"/>
      <c r="FD293" s="124"/>
      <c r="FE293" s="124"/>
      <c r="FF293" s="124"/>
      <c r="FG293" s="124"/>
      <c r="FH293" s="124"/>
      <c r="FI293" s="124"/>
      <c r="FJ293" s="124"/>
      <c r="FK293" s="124"/>
      <c r="FL293" s="124"/>
      <c r="FM293" s="124"/>
      <c r="FN293" s="124"/>
      <c r="FO293" s="124"/>
      <c r="FP293" s="124"/>
      <c r="FQ293" s="124"/>
      <c r="FR293" s="124"/>
      <c r="FS293" s="124"/>
      <c r="FT293" s="124"/>
      <c r="FU293" s="124"/>
      <c r="FV293" s="124"/>
      <c r="FW293" s="124"/>
      <c r="FX293" s="124"/>
      <c r="FY293" s="124"/>
      <c r="FZ293" s="124"/>
      <c r="GA293" s="124"/>
      <c r="GB293" s="124"/>
      <c r="GC293" s="124"/>
      <c r="GD293" s="124"/>
      <c r="GE293" s="124"/>
      <c r="GF293" s="124"/>
      <c r="GG293" s="124"/>
      <c r="GH293" s="124"/>
      <c r="GI293" s="124"/>
      <c r="GJ293" s="124"/>
      <c r="GK293" s="124"/>
      <c r="GL293" s="124"/>
      <c r="GM293" s="124"/>
      <c r="GN293" s="124"/>
      <c r="GO293" s="124"/>
      <c r="GP293" s="124"/>
      <c r="GQ293" s="124"/>
      <c r="GR293" s="124"/>
      <c r="GS293" s="124"/>
      <c r="GT293" s="124"/>
      <c r="GU293" s="124"/>
      <c r="GV293" s="124"/>
      <c r="GW293" s="124"/>
      <c r="GX293" s="124"/>
      <c r="GY293" s="124"/>
      <c r="GZ293" s="124"/>
      <c r="HA293" s="124"/>
      <c r="HB293" s="124"/>
      <c r="HC293" s="124"/>
      <c r="HD293" s="124"/>
      <c r="HE293" s="124"/>
      <c r="HF293" s="124"/>
      <c r="HG293" s="124"/>
      <c r="HH293" s="124"/>
      <c r="HI293" s="124"/>
      <c r="HJ293" s="124"/>
      <c r="HK293" s="124"/>
      <c r="HL293" s="124"/>
      <c r="HM293" s="124"/>
      <c r="HN293" s="124"/>
      <c r="HO293" s="124"/>
      <c r="HP293" s="124"/>
      <c r="HQ293" s="124"/>
    </row>
    <row r="294" spans="1:225" x14ac:dyDescent="0.2">
      <c r="A294" s="122" t="s">
        <v>925</v>
      </c>
      <c r="B294" s="123">
        <v>48</v>
      </c>
      <c r="C294" s="124" t="s">
        <v>453</v>
      </c>
      <c r="D294" s="123">
        <v>285</v>
      </c>
      <c r="E294" s="124" t="s">
        <v>361</v>
      </c>
      <c r="F294" s="123">
        <v>3</v>
      </c>
      <c r="G294" s="123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  <c r="AV294" s="124"/>
      <c r="AW294" s="124"/>
      <c r="AX294" s="124"/>
      <c r="AY294" s="124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4"/>
      <c r="BK294" s="124"/>
      <c r="BL294" s="124"/>
      <c r="BM294" s="124"/>
      <c r="BN294" s="124"/>
      <c r="BO294" s="124"/>
      <c r="BP294" s="124"/>
      <c r="BQ294" s="124"/>
      <c r="BR294" s="124"/>
      <c r="BS294" s="124"/>
      <c r="BT294" s="124"/>
      <c r="BU294" s="124"/>
      <c r="BV294" s="124"/>
      <c r="BW294" s="124"/>
      <c r="BX294" s="124"/>
      <c r="BY294" s="124"/>
      <c r="BZ294" s="124"/>
      <c r="CA294" s="124"/>
      <c r="CB294" s="124"/>
      <c r="CC294" s="124"/>
      <c r="CD294" s="124"/>
      <c r="CE294" s="124"/>
      <c r="CF294" s="124"/>
      <c r="CG294" s="124"/>
      <c r="CH294" s="124"/>
      <c r="CI294" s="124"/>
      <c r="CJ294" s="124"/>
      <c r="CK294" s="124"/>
      <c r="CL294" s="124"/>
      <c r="CM294" s="124"/>
      <c r="CN294" s="124"/>
      <c r="CO294" s="124"/>
      <c r="CP294" s="124"/>
      <c r="CQ294" s="124"/>
      <c r="CR294" s="124"/>
      <c r="CS294" s="124"/>
      <c r="CT294" s="124"/>
      <c r="CU294" s="124"/>
      <c r="CV294" s="124"/>
      <c r="CW294" s="124"/>
      <c r="CX294" s="124"/>
      <c r="CY294" s="124"/>
      <c r="CZ294" s="124"/>
      <c r="DA294" s="124"/>
      <c r="DB294" s="124"/>
      <c r="DC294" s="124"/>
      <c r="DD294" s="124"/>
      <c r="DE294" s="124"/>
      <c r="DF294" s="124"/>
      <c r="DG294" s="124"/>
      <c r="DH294" s="124"/>
      <c r="DI294" s="124"/>
      <c r="DJ294" s="124"/>
      <c r="DK294" s="124"/>
      <c r="DL294" s="124"/>
      <c r="DM294" s="124"/>
      <c r="DN294" s="124"/>
      <c r="DO294" s="124"/>
      <c r="DP294" s="124"/>
      <c r="DQ294" s="124"/>
      <c r="DR294" s="124"/>
      <c r="DS294" s="124"/>
      <c r="DT294" s="124"/>
      <c r="DU294" s="124"/>
      <c r="DV294" s="124"/>
      <c r="DW294" s="124"/>
      <c r="DX294" s="124"/>
      <c r="DY294" s="124"/>
      <c r="DZ294" s="124"/>
      <c r="EA294" s="124"/>
      <c r="EB294" s="124"/>
      <c r="EC294" s="124"/>
      <c r="ED294" s="124"/>
      <c r="EE294" s="124"/>
      <c r="EF294" s="124"/>
      <c r="EG294" s="124"/>
      <c r="EH294" s="124"/>
      <c r="EI294" s="124"/>
      <c r="EJ294" s="124"/>
      <c r="EK294" s="124"/>
      <c r="EL294" s="124"/>
      <c r="EM294" s="124"/>
      <c r="EN294" s="124"/>
      <c r="EO294" s="124"/>
      <c r="EP294" s="124"/>
      <c r="EQ294" s="124"/>
      <c r="ER294" s="124"/>
      <c r="ES294" s="124"/>
      <c r="ET294" s="124"/>
      <c r="EU294" s="124"/>
      <c r="EV294" s="124"/>
      <c r="EW294" s="124"/>
      <c r="EX294" s="124"/>
      <c r="EY294" s="124"/>
      <c r="EZ294" s="124"/>
      <c r="FA294" s="124"/>
      <c r="FB294" s="124"/>
      <c r="FC294" s="124"/>
      <c r="FD294" s="124"/>
      <c r="FE294" s="124"/>
      <c r="FF294" s="124"/>
      <c r="FG294" s="124"/>
      <c r="FH294" s="124"/>
      <c r="FI294" s="124"/>
      <c r="FJ294" s="124"/>
      <c r="FK294" s="124"/>
      <c r="FL294" s="124"/>
      <c r="FM294" s="124"/>
      <c r="FN294" s="124"/>
      <c r="FO294" s="124"/>
      <c r="FP294" s="124"/>
      <c r="FQ294" s="124"/>
      <c r="FR294" s="124"/>
      <c r="FS294" s="124"/>
      <c r="FT294" s="124"/>
      <c r="FU294" s="124"/>
      <c r="FV294" s="124"/>
      <c r="FW294" s="124"/>
      <c r="FX294" s="124"/>
      <c r="FY294" s="124"/>
      <c r="FZ294" s="124"/>
      <c r="GA294" s="124"/>
      <c r="GB294" s="124"/>
      <c r="GC294" s="124"/>
      <c r="GD294" s="124"/>
      <c r="GE294" s="124"/>
      <c r="GF294" s="124"/>
      <c r="GG294" s="124"/>
      <c r="GH294" s="124"/>
      <c r="GI294" s="124"/>
      <c r="GJ294" s="124"/>
      <c r="GK294" s="124"/>
      <c r="GL294" s="124"/>
      <c r="GM294" s="124"/>
      <c r="GN294" s="124"/>
      <c r="GO294" s="124"/>
      <c r="GP294" s="124"/>
      <c r="GQ294" s="124"/>
      <c r="GR294" s="124"/>
      <c r="GS294" s="124"/>
      <c r="GT294" s="124"/>
      <c r="GU294" s="124"/>
      <c r="GV294" s="124"/>
      <c r="GW294" s="124"/>
      <c r="GX294" s="124"/>
      <c r="GY294" s="124"/>
      <c r="GZ294" s="124"/>
      <c r="HA294" s="124"/>
      <c r="HB294" s="124"/>
      <c r="HC294" s="124"/>
      <c r="HD294" s="124"/>
      <c r="HE294" s="124"/>
      <c r="HF294" s="124"/>
      <c r="HG294" s="124"/>
      <c r="HH294" s="124"/>
      <c r="HI294" s="124"/>
      <c r="HJ294" s="124"/>
      <c r="HK294" s="124"/>
      <c r="HL294" s="124"/>
      <c r="HM294" s="124"/>
      <c r="HN294" s="124"/>
      <c r="HO294" s="124"/>
      <c r="HP294" s="124"/>
      <c r="HQ294" s="124"/>
    </row>
    <row r="295" spans="1:225" x14ac:dyDescent="0.2">
      <c r="A295" s="122" t="s">
        <v>926</v>
      </c>
      <c r="B295" s="123">
        <v>48</v>
      </c>
      <c r="C295" s="124" t="s">
        <v>454</v>
      </c>
      <c r="D295" s="123">
        <v>286</v>
      </c>
      <c r="E295" s="124" t="s">
        <v>361</v>
      </c>
      <c r="F295" s="123">
        <v>3</v>
      </c>
      <c r="G295" s="123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  <c r="AV295" s="124"/>
      <c r="AW295" s="124"/>
      <c r="AX295" s="124"/>
      <c r="AY295" s="124"/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  <c r="BJ295" s="124"/>
      <c r="BK295" s="124"/>
      <c r="BL295" s="124"/>
      <c r="BM295" s="124"/>
      <c r="BN295" s="124"/>
      <c r="BO295" s="124"/>
      <c r="BP295" s="124"/>
      <c r="BQ295" s="124"/>
      <c r="BR295" s="124"/>
      <c r="BS295" s="124"/>
      <c r="BT295" s="124"/>
      <c r="BU295" s="124"/>
      <c r="BV295" s="124"/>
      <c r="BW295" s="124"/>
      <c r="BX295" s="124"/>
      <c r="BY295" s="124"/>
      <c r="BZ295" s="124"/>
      <c r="CA295" s="124"/>
      <c r="CB295" s="124"/>
      <c r="CC295" s="124"/>
      <c r="CD295" s="124"/>
      <c r="CE295" s="124"/>
      <c r="CF295" s="124"/>
      <c r="CG295" s="124"/>
      <c r="CH295" s="124"/>
      <c r="CI295" s="124"/>
      <c r="CJ295" s="124"/>
      <c r="CK295" s="124"/>
      <c r="CL295" s="124"/>
      <c r="CM295" s="124"/>
      <c r="CN295" s="124"/>
      <c r="CO295" s="124"/>
      <c r="CP295" s="124"/>
      <c r="CQ295" s="124"/>
      <c r="CR295" s="124"/>
      <c r="CS295" s="124"/>
      <c r="CT295" s="124"/>
      <c r="CU295" s="124"/>
      <c r="CV295" s="124"/>
      <c r="CW295" s="124"/>
      <c r="CX295" s="124"/>
      <c r="CY295" s="124"/>
      <c r="CZ295" s="124"/>
      <c r="DA295" s="124"/>
      <c r="DB295" s="124"/>
      <c r="DC295" s="124"/>
      <c r="DD295" s="124"/>
      <c r="DE295" s="124"/>
      <c r="DF295" s="124"/>
      <c r="DG295" s="124"/>
      <c r="DH295" s="124"/>
      <c r="DI295" s="124"/>
      <c r="DJ295" s="124"/>
      <c r="DK295" s="124"/>
      <c r="DL295" s="124"/>
      <c r="DM295" s="124"/>
      <c r="DN295" s="124"/>
      <c r="DO295" s="124"/>
      <c r="DP295" s="124"/>
      <c r="DQ295" s="124"/>
      <c r="DR295" s="124"/>
      <c r="DS295" s="124"/>
      <c r="DT295" s="124"/>
      <c r="DU295" s="124"/>
      <c r="DV295" s="124"/>
      <c r="DW295" s="124"/>
      <c r="DX295" s="124"/>
      <c r="DY295" s="124"/>
      <c r="DZ295" s="124"/>
      <c r="EA295" s="124"/>
      <c r="EB295" s="124"/>
      <c r="EC295" s="124"/>
      <c r="ED295" s="124"/>
      <c r="EE295" s="124"/>
      <c r="EF295" s="124"/>
      <c r="EG295" s="124"/>
      <c r="EH295" s="124"/>
      <c r="EI295" s="124"/>
      <c r="EJ295" s="124"/>
      <c r="EK295" s="124"/>
      <c r="EL295" s="124"/>
      <c r="EM295" s="124"/>
      <c r="EN295" s="124"/>
      <c r="EO295" s="124"/>
      <c r="EP295" s="124"/>
      <c r="EQ295" s="124"/>
      <c r="ER295" s="124"/>
      <c r="ES295" s="124"/>
      <c r="ET295" s="124"/>
      <c r="EU295" s="124"/>
      <c r="EV295" s="124"/>
      <c r="EW295" s="124"/>
      <c r="EX295" s="124"/>
      <c r="EY295" s="124"/>
      <c r="EZ295" s="124"/>
      <c r="FA295" s="124"/>
      <c r="FB295" s="124"/>
      <c r="FC295" s="124"/>
      <c r="FD295" s="124"/>
      <c r="FE295" s="124"/>
      <c r="FF295" s="124"/>
      <c r="FG295" s="124"/>
      <c r="FH295" s="124"/>
      <c r="FI295" s="124"/>
      <c r="FJ295" s="124"/>
      <c r="FK295" s="124"/>
      <c r="FL295" s="124"/>
      <c r="FM295" s="124"/>
      <c r="FN295" s="124"/>
      <c r="FO295" s="124"/>
      <c r="FP295" s="124"/>
      <c r="FQ295" s="124"/>
      <c r="FR295" s="124"/>
      <c r="FS295" s="124"/>
      <c r="FT295" s="124"/>
      <c r="FU295" s="124"/>
      <c r="FV295" s="124"/>
      <c r="FW295" s="124"/>
      <c r="FX295" s="124"/>
      <c r="FY295" s="124"/>
      <c r="FZ295" s="124"/>
      <c r="GA295" s="124"/>
      <c r="GB295" s="124"/>
      <c r="GC295" s="124"/>
      <c r="GD295" s="124"/>
      <c r="GE295" s="124"/>
      <c r="GF295" s="124"/>
      <c r="GG295" s="124"/>
      <c r="GH295" s="124"/>
      <c r="GI295" s="124"/>
      <c r="GJ295" s="124"/>
      <c r="GK295" s="124"/>
      <c r="GL295" s="124"/>
      <c r="GM295" s="124"/>
      <c r="GN295" s="124"/>
      <c r="GO295" s="124"/>
      <c r="GP295" s="124"/>
      <c r="GQ295" s="124"/>
      <c r="GR295" s="124"/>
      <c r="GS295" s="124"/>
      <c r="GT295" s="124"/>
      <c r="GU295" s="124"/>
      <c r="GV295" s="124"/>
      <c r="GW295" s="124"/>
      <c r="GX295" s="124"/>
      <c r="GY295" s="124"/>
      <c r="GZ295" s="124"/>
      <c r="HA295" s="124"/>
      <c r="HB295" s="124"/>
      <c r="HC295" s="124"/>
      <c r="HD295" s="124"/>
      <c r="HE295" s="124"/>
      <c r="HF295" s="124"/>
      <c r="HG295" s="124"/>
      <c r="HH295" s="124"/>
      <c r="HI295" s="124"/>
      <c r="HJ295" s="124"/>
      <c r="HK295" s="124"/>
      <c r="HL295" s="124"/>
      <c r="HM295" s="124"/>
      <c r="HN295" s="124"/>
      <c r="HO295" s="124"/>
      <c r="HP295" s="124"/>
      <c r="HQ295" s="124"/>
    </row>
    <row r="296" spans="1:225" x14ac:dyDescent="0.2">
      <c r="A296" s="122" t="s">
        <v>927</v>
      </c>
      <c r="B296" s="123">
        <v>49</v>
      </c>
      <c r="C296" s="124" t="s">
        <v>455</v>
      </c>
      <c r="D296" s="123">
        <v>287</v>
      </c>
      <c r="E296" s="124" t="s">
        <v>361</v>
      </c>
      <c r="F296" s="123">
        <v>3</v>
      </c>
      <c r="G296" s="123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  <c r="BJ296" s="124"/>
      <c r="BK296" s="124"/>
      <c r="BL296" s="124"/>
      <c r="BM296" s="124"/>
      <c r="BN296" s="124"/>
      <c r="BO296" s="124"/>
      <c r="BP296" s="124"/>
      <c r="BQ296" s="124"/>
      <c r="BR296" s="124"/>
      <c r="BS296" s="124"/>
      <c r="BT296" s="124"/>
      <c r="BU296" s="124"/>
      <c r="BV296" s="124"/>
      <c r="BW296" s="124"/>
      <c r="BX296" s="124"/>
      <c r="BY296" s="124"/>
      <c r="BZ296" s="124"/>
      <c r="CA296" s="124"/>
      <c r="CB296" s="124"/>
      <c r="CC296" s="124"/>
      <c r="CD296" s="124"/>
      <c r="CE296" s="124"/>
      <c r="CF296" s="124"/>
      <c r="CG296" s="124"/>
      <c r="CH296" s="124"/>
      <c r="CI296" s="124"/>
      <c r="CJ296" s="124"/>
      <c r="CK296" s="124"/>
      <c r="CL296" s="124"/>
      <c r="CM296" s="124"/>
      <c r="CN296" s="124"/>
      <c r="CO296" s="124"/>
      <c r="CP296" s="124"/>
      <c r="CQ296" s="124"/>
      <c r="CR296" s="124"/>
      <c r="CS296" s="124"/>
      <c r="CT296" s="124"/>
      <c r="CU296" s="124"/>
      <c r="CV296" s="124"/>
      <c r="CW296" s="124"/>
      <c r="CX296" s="124"/>
      <c r="CY296" s="124"/>
      <c r="CZ296" s="124"/>
      <c r="DA296" s="124"/>
      <c r="DB296" s="124"/>
      <c r="DC296" s="124"/>
      <c r="DD296" s="124"/>
      <c r="DE296" s="124"/>
      <c r="DF296" s="124"/>
      <c r="DG296" s="124"/>
      <c r="DH296" s="124"/>
      <c r="DI296" s="124"/>
      <c r="DJ296" s="124"/>
      <c r="DK296" s="124"/>
      <c r="DL296" s="124"/>
      <c r="DM296" s="124"/>
      <c r="DN296" s="124"/>
      <c r="DO296" s="124"/>
      <c r="DP296" s="124"/>
      <c r="DQ296" s="124"/>
      <c r="DR296" s="124"/>
      <c r="DS296" s="124"/>
      <c r="DT296" s="124"/>
      <c r="DU296" s="124"/>
      <c r="DV296" s="124"/>
      <c r="DW296" s="124"/>
      <c r="DX296" s="124"/>
      <c r="DY296" s="124"/>
      <c r="DZ296" s="124"/>
      <c r="EA296" s="124"/>
      <c r="EB296" s="124"/>
      <c r="EC296" s="124"/>
      <c r="ED296" s="124"/>
      <c r="EE296" s="124"/>
      <c r="EF296" s="124"/>
      <c r="EG296" s="124"/>
      <c r="EH296" s="124"/>
      <c r="EI296" s="124"/>
      <c r="EJ296" s="124"/>
      <c r="EK296" s="124"/>
      <c r="EL296" s="124"/>
      <c r="EM296" s="124"/>
      <c r="EN296" s="124"/>
      <c r="EO296" s="124"/>
      <c r="EP296" s="124"/>
      <c r="EQ296" s="124"/>
      <c r="ER296" s="124"/>
      <c r="ES296" s="124"/>
      <c r="ET296" s="124"/>
      <c r="EU296" s="124"/>
      <c r="EV296" s="124"/>
      <c r="EW296" s="124"/>
      <c r="EX296" s="124"/>
      <c r="EY296" s="124"/>
      <c r="EZ296" s="124"/>
      <c r="FA296" s="124"/>
      <c r="FB296" s="124"/>
      <c r="FC296" s="124"/>
      <c r="FD296" s="124"/>
      <c r="FE296" s="124"/>
      <c r="FF296" s="124"/>
      <c r="FG296" s="124"/>
      <c r="FH296" s="124"/>
      <c r="FI296" s="124"/>
      <c r="FJ296" s="124"/>
      <c r="FK296" s="124"/>
      <c r="FL296" s="124"/>
      <c r="FM296" s="124"/>
      <c r="FN296" s="124"/>
      <c r="FO296" s="124"/>
      <c r="FP296" s="124"/>
      <c r="FQ296" s="124"/>
      <c r="FR296" s="124"/>
      <c r="FS296" s="124"/>
      <c r="FT296" s="124"/>
      <c r="FU296" s="124"/>
      <c r="FV296" s="124"/>
      <c r="FW296" s="124"/>
      <c r="FX296" s="124"/>
      <c r="FY296" s="124"/>
      <c r="FZ296" s="124"/>
      <c r="GA296" s="124"/>
      <c r="GB296" s="124"/>
      <c r="GC296" s="124"/>
      <c r="GD296" s="124"/>
      <c r="GE296" s="124"/>
      <c r="GF296" s="124"/>
      <c r="GG296" s="124"/>
      <c r="GH296" s="124"/>
      <c r="GI296" s="124"/>
      <c r="GJ296" s="124"/>
      <c r="GK296" s="124"/>
      <c r="GL296" s="124"/>
      <c r="GM296" s="124"/>
      <c r="GN296" s="124"/>
      <c r="GO296" s="124"/>
      <c r="GP296" s="124"/>
      <c r="GQ296" s="124"/>
      <c r="GR296" s="124"/>
      <c r="GS296" s="124"/>
      <c r="GT296" s="124"/>
      <c r="GU296" s="124"/>
      <c r="GV296" s="124"/>
      <c r="GW296" s="124"/>
      <c r="GX296" s="124"/>
      <c r="GY296" s="124"/>
      <c r="GZ296" s="124"/>
      <c r="HA296" s="124"/>
      <c r="HB296" s="124"/>
      <c r="HC296" s="124"/>
      <c r="HD296" s="124"/>
      <c r="HE296" s="124"/>
      <c r="HF296" s="124"/>
      <c r="HG296" s="124"/>
      <c r="HH296" s="124"/>
      <c r="HI296" s="124"/>
      <c r="HJ296" s="124"/>
      <c r="HK296" s="124"/>
      <c r="HL296" s="124"/>
      <c r="HM296" s="124"/>
      <c r="HN296" s="124"/>
      <c r="HO296" s="124"/>
      <c r="HP296" s="124"/>
      <c r="HQ296" s="124"/>
    </row>
    <row r="297" spans="1:225" x14ac:dyDescent="0.2">
      <c r="A297" s="122" t="s">
        <v>928</v>
      </c>
      <c r="B297" s="123">
        <v>49</v>
      </c>
      <c r="C297" s="140" t="s">
        <v>456</v>
      </c>
      <c r="D297" s="123">
        <v>288</v>
      </c>
      <c r="E297" s="124" t="s">
        <v>361</v>
      </c>
      <c r="F297" s="123">
        <v>2</v>
      </c>
      <c r="G297" s="123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  <c r="AV297" s="124"/>
      <c r="AW297" s="124"/>
      <c r="AX297" s="124"/>
      <c r="AY297" s="124"/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  <c r="BJ297" s="124"/>
      <c r="BK297" s="124"/>
      <c r="BL297" s="124"/>
      <c r="BM297" s="124"/>
      <c r="BN297" s="124"/>
      <c r="BO297" s="124"/>
      <c r="BP297" s="124"/>
      <c r="BQ297" s="124"/>
      <c r="BR297" s="124"/>
      <c r="BS297" s="124"/>
      <c r="BT297" s="124"/>
      <c r="BU297" s="124"/>
      <c r="BV297" s="124"/>
      <c r="BW297" s="124"/>
      <c r="BX297" s="124"/>
      <c r="BY297" s="124"/>
      <c r="BZ297" s="124"/>
      <c r="CA297" s="124"/>
      <c r="CB297" s="124"/>
      <c r="CC297" s="124"/>
      <c r="CD297" s="124"/>
      <c r="CE297" s="124"/>
      <c r="CF297" s="124"/>
      <c r="CG297" s="124"/>
      <c r="CH297" s="124"/>
      <c r="CI297" s="124"/>
      <c r="CJ297" s="124"/>
      <c r="CK297" s="124"/>
      <c r="CL297" s="124"/>
      <c r="CM297" s="124"/>
      <c r="CN297" s="124"/>
      <c r="CO297" s="124"/>
      <c r="CP297" s="124"/>
      <c r="CQ297" s="124"/>
      <c r="CR297" s="124"/>
      <c r="CS297" s="124"/>
      <c r="CT297" s="124"/>
      <c r="CU297" s="124"/>
      <c r="CV297" s="124"/>
      <c r="CW297" s="124"/>
      <c r="CX297" s="124"/>
      <c r="CY297" s="124"/>
      <c r="CZ297" s="124"/>
      <c r="DA297" s="124"/>
      <c r="DB297" s="124"/>
      <c r="DC297" s="124"/>
      <c r="DD297" s="124"/>
      <c r="DE297" s="124"/>
      <c r="DF297" s="124"/>
      <c r="DG297" s="124"/>
      <c r="DH297" s="124"/>
      <c r="DI297" s="124"/>
      <c r="DJ297" s="124"/>
      <c r="DK297" s="124"/>
      <c r="DL297" s="124"/>
      <c r="DM297" s="124"/>
      <c r="DN297" s="124"/>
      <c r="DO297" s="124"/>
      <c r="DP297" s="124"/>
      <c r="DQ297" s="124"/>
      <c r="DR297" s="124"/>
      <c r="DS297" s="124"/>
      <c r="DT297" s="124"/>
      <c r="DU297" s="124"/>
      <c r="DV297" s="124"/>
      <c r="DW297" s="124"/>
      <c r="DX297" s="124"/>
      <c r="DY297" s="124"/>
      <c r="DZ297" s="124"/>
      <c r="EA297" s="124"/>
      <c r="EB297" s="124"/>
      <c r="EC297" s="124"/>
      <c r="ED297" s="124"/>
      <c r="EE297" s="124"/>
      <c r="EF297" s="124"/>
      <c r="EG297" s="124"/>
      <c r="EH297" s="124"/>
      <c r="EI297" s="124"/>
      <c r="EJ297" s="124"/>
      <c r="EK297" s="124"/>
      <c r="EL297" s="124"/>
      <c r="EM297" s="124"/>
      <c r="EN297" s="124"/>
      <c r="EO297" s="124"/>
      <c r="EP297" s="124"/>
      <c r="EQ297" s="124"/>
      <c r="ER297" s="124"/>
      <c r="ES297" s="124"/>
      <c r="ET297" s="124"/>
      <c r="EU297" s="124"/>
      <c r="EV297" s="124"/>
      <c r="EW297" s="124"/>
      <c r="EX297" s="124"/>
      <c r="EY297" s="124"/>
      <c r="EZ297" s="124"/>
      <c r="FA297" s="124"/>
      <c r="FB297" s="124"/>
      <c r="FC297" s="124"/>
      <c r="FD297" s="124"/>
      <c r="FE297" s="124"/>
      <c r="FF297" s="124"/>
      <c r="FG297" s="124"/>
      <c r="FH297" s="124"/>
      <c r="FI297" s="124"/>
      <c r="FJ297" s="124"/>
      <c r="FK297" s="124"/>
      <c r="FL297" s="124"/>
      <c r="FM297" s="124"/>
      <c r="FN297" s="124"/>
      <c r="FO297" s="124"/>
      <c r="FP297" s="124"/>
      <c r="FQ297" s="124"/>
      <c r="FR297" s="124"/>
      <c r="FS297" s="124"/>
      <c r="FT297" s="124"/>
      <c r="FU297" s="124"/>
      <c r="FV297" s="124"/>
      <c r="FW297" s="124"/>
      <c r="FX297" s="124"/>
      <c r="FY297" s="124"/>
      <c r="FZ297" s="124"/>
      <c r="GA297" s="124"/>
      <c r="GB297" s="124"/>
      <c r="GC297" s="124"/>
      <c r="GD297" s="124"/>
      <c r="GE297" s="124"/>
      <c r="GF297" s="124"/>
      <c r="GG297" s="124"/>
      <c r="GH297" s="124"/>
      <c r="GI297" s="124"/>
      <c r="GJ297" s="124"/>
      <c r="GK297" s="124"/>
      <c r="GL297" s="124"/>
      <c r="GM297" s="124"/>
      <c r="GN297" s="124"/>
      <c r="GO297" s="124"/>
      <c r="GP297" s="124"/>
      <c r="GQ297" s="124"/>
      <c r="GR297" s="124"/>
      <c r="GS297" s="124"/>
      <c r="GT297" s="124"/>
      <c r="GU297" s="124"/>
      <c r="GV297" s="124"/>
      <c r="GW297" s="124"/>
      <c r="GX297" s="124"/>
      <c r="GY297" s="124"/>
      <c r="GZ297" s="124"/>
      <c r="HA297" s="124"/>
      <c r="HB297" s="124"/>
      <c r="HC297" s="124"/>
      <c r="HD297" s="124"/>
      <c r="HE297" s="124"/>
      <c r="HF297" s="124"/>
      <c r="HG297" s="124"/>
      <c r="HH297" s="124"/>
      <c r="HI297" s="124"/>
      <c r="HJ297" s="124"/>
      <c r="HK297" s="124"/>
      <c r="HL297" s="124"/>
      <c r="HM297" s="124"/>
      <c r="HN297" s="124"/>
      <c r="HO297" s="124"/>
      <c r="HP297" s="124"/>
      <c r="HQ297" s="124"/>
    </row>
    <row r="298" spans="1:225" x14ac:dyDescent="0.2">
      <c r="A298" s="122" t="s">
        <v>929</v>
      </c>
      <c r="B298" s="123">
        <v>50</v>
      </c>
      <c r="C298" s="124" t="s">
        <v>457</v>
      </c>
      <c r="D298" s="123">
        <v>289</v>
      </c>
      <c r="E298" s="124" t="s">
        <v>361</v>
      </c>
      <c r="F298" s="123">
        <v>2</v>
      </c>
      <c r="G298" s="123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  <c r="BJ298" s="124"/>
      <c r="BK298" s="124"/>
      <c r="BL298" s="124"/>
      <c r="BM298" s="124"/>
      <c r="BN298" s="124"/>
      <c r="BO298" s="124"/>
      <c r="BP298" s="124"/>
      <c r="BQ298" s="124"/>
      <c r="BR298" s="124"/>
      <c r="BS298" s="124"/>
      <c r="BT298" s="124"/>
      <c r="BU298" s="124"/>
      <c r="BV298" s="124"/>
      <c r="BW298" s="124"/>
      <c r="BX298" s="124"/>
      <c r="BY298" s="124"/>
      <c r="BZ298" s="124"/>
      <c r="CA298" s="124"/>
      <c r="CB298" s="124"/>
      <c r="CC298" s="124"/>
      <c r="CD298" s="124"/>
      <c r="CE298" s="124"/>
      <c r="CF298" s="124"/>
      <c r="CG298" s="124"/>
      <c r="CH298" s="124"/>
      <c r="CI298" s="124"/>
      <c r="CJ298" s="124"/>
      <c r="CK298" s="124"/>
      <c r="CL298" s="124"/>
      <c r="CM298" s="124"/>
      <c r="CN298" s="124"/>
      <c r="CO298" s="124"/>
      <c r="CP298" s="124"/>
      <c r="CQ298" s="124"/>
      <c r="CR298" s="124"/>
      <c r="CS298" s="124"/>
      <c r="CT298" s="124"/>
      <c r="CU298" s="124"/>
      <c r="CV298" s="124"/>
      <c r="CW298" s="124"/>
      <c r="CX298" s="124"/>
      <c r="CY298" s="124"/>
      <c r="CZ298" s="124"/>
      <c r="DA298" s="124"/>
      <c r="DB298" s="124"/>
      <c r="DC298" s="124"/>
      <c r="DD298" s="124"/>
      <c r="DE298" s="124"/>
      <c r="DF298" s="124"/>
      <c r="DG298" s="124"/>
      <c r="DH298" s="124"/>
      <c r="DI298" s="124"/>
      <c r="DJ298" s="124"/>
      <c r="DK298" s="124"/>
      <c r="DL298" s="124"/>
      <c r="DM298" s="124"/>
      <c r="DN298" s="124"/>
      <c r="DO298" s="124"/>
      <c r="DP298" s="124"/>
      <c r="DQ298" s="124"/>
      <c r="DR298" s="124"/>
      <c r="DS298" s="124"/>
      <c r="DT298" s="124"/>
      <c r="DU298" s="124"/>
      <c r="DV298" s="124"/>
      <c r="DW298" s="124"/>
      <c r="DX298" s="124"/>
      <c r="DY298" s="124"/>
      <c r="DZ298" s="124"/>
      <c r="EA298" s="124"/>
      <c r="EB298" s="124"/>
      <c r="EC298" s="124"/>
      <c r="ED298" s="124"/>
      <c r="EE298" s="124"/>
      <c r="EF298" s="124"/>
      <c r="EG298" s="124"/>
      <c r="EH298" s="124"/>
      <c r="EI298" s="124"/>
      <c r="EJ298" s="124"/>
      <c r="EK298" s="124"/>
      <c r="EL298" s="124"/>
      <c r="EM298" s="124"/>
      <c r="EN298" s="124"/>
      <c r="EO298" s="124"/>
      <c r="EP298" s="124"/>
      <c r="EQ298" s="124"/>
      <c r="ER298" s="124"/>
      <c r="ES298" s="124"/>
      <c r="ET298" s="124"/>
      <c r="EU298" s="124"/>
      <c r="EV298" s="124"/>
      <c r="EW298" s="124"/>
      <c r="EX298" s="124"/>
      <c r="EY298" s="124"/>
      <c r="EZ298" s="124"/>
      <c r="FA298" s="124"/>
      <c r="FB298" s="124"/>
      <c r="FC298" s="124"/>
      <c r="FD298" s="124"/>
      <c r="FE298" s="124"/>
      <c r="FF298" s="124"/>
      <c r="FG298" s="124"/>
      <c r="FH298" s="124"/>
      <c r="FI298" s="124"/>
      <c r="FJ298" s="124"/>
      <c r="FK298" s="124"/>
      <c r="FL298" s="124"/>
      <c r="FM298" s="124"/>
      <c r="FN298" s="124"/>
      <c r="FO298" s="124"/>
      <c r="FP298" s="124"/>
      <c r="FQ298" s="124"/>
      <c r="FR298" s="124"/>
      <c r="FS298" s="124"/>
      <c r="FT298" s="124"/>
      <c r="FU298" s="124"/>
      <c r="FV298" s="124"/>
      <c r="FW298" s="124"/>
      <c r="FX298" s="124"/>
      <c r="FY298" s="124"/>
      <c r="FZ298" s="124"/>
      <c r="GA298" s="124"/>
      <c r="GB298" s="124"/>
      <c r="GC298" s="124"/>
      <c r="GD298" s="124"/>
      <c r="GE298" s="124"/>
      <c r="GF298" s="124"/>
      <c r="GG298" s="124"/>
      <c r="GH298" s="124"/>
      <c r="GI298" s="124"/>
      <c r="GJ298" s="124"/>
      <c r="GK298" s="124"/>
      <c r="GL298" s="124"/>
      <c r="GM298" s="124"/>
      <c r="GN298" s="124"/>
      <c r="GO298" s="124"/>
      <c r="GP298" s="124"/>
      <c r="GQ298" s="124"/>
      <c r="GR298" s="124"/>
      <c r="GS298" s="124"/>
      <c r="GT298" s="124"/>
      <c r="GU298" s="124"/>
      <c r="GV298" s="124"/>
      <c r="GW298" s="124"/>
      <c r="GX298" s="124"/>
      <c r="GY298" s="124"/>
      <c r="GZ298" s="124"/>
      <c r="HA298" s="124"/>
      <c r="HB298" s="124"/>
      <c r="HC298" s="124"/>
      <c r="HD298" s="124"/>
      <c r="HE298" s="124"/>
      <c r="HF298" s="124"/>
      <c r="HG298" s="124"/>
      <c r="HH298" s="124"/>
      <c r="HI298" s="124"/>
      <c r="HJ298" s="124"/>
      <c r="HK298" s="124"/>
      <c r="HL298" s="124"/>
      <c r="HM298" s="124"/>
      <c r="HN298" s="124"/>
      <c r="HO298" s="124"/>
      <c r="HP298" s="124"/>
      <c r="HQ298" s="124"/>
    </row>
    <row r="299" spans="1:225" x14ac:dyDescent="0.2">
      <c r="A299" s="122" t="s">
        <v>930</v>
      </c>
      <c r="B299" s="123">
        <v>50</v>
      </c>
      <c r="C299" s="124" t="s">
        <v>458</v>
      </c>
      <c r="D299" s="123">
        <v>290</v>
      </c>
      <c r="E299" s="124" t="s">
        <v>361</v>
      </c>
      <c r="F299" s="123">
        <v>3</v>
      </c>
      <c r="G299" s="123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  <c r="BJ299" s="124"/>
      <c r="BK299" s="124"/>
      <c r="BL299" s="124"/>
      <c r="BM299" s="124"/>
      <c r="BN299" s="124"/>
      <c r="BO299" s="124"/>
      <c r="BP299" s="124"/>
      <c r="BQ299" s="124"/>
      <c r="BR299" s="124"/>
      <c r="BS299" s="124"/>
      <c r="BT299" s="124"/>
      <c r="BU299" s="124"/>
      <c r="BV299" s="124"/>
      <c r="BW299" s="124"/>
      <c r="BX299" s="124"/>
      <c r="BY299" s="124"/>
      <c r="BZ299" s="124"/>
      <c r="CA299" s="124"/>
      <c r="CB299" s="124"/>
      <c r="CC299" s="124"/>
      <c r="CD299" s="124"/>
      <c r="CE299" s="124"/>
      <c r="CF299" s="124"/>
      <c r="CG299" s="124"/>
      <c r="CH299" s="124"/>
      <c r="CI299" s="124"/>
      <c r="CJ299" s="124"/>
      <c r="CK299" s="124"/>
      <c r="CL299" s="124"/>
      <c r="CM299" s="124"/>
      <c r="CN299" s="124"/>
      <c r="CO299" s="124"/>
      <c r="CP299" s="124"/>
      <c r="CQ299" s="124"/>
      <c r="CR299" s="124"/>
      <c r="CS299" s="124"/>
      <c r="CT299" s="124"/>
      <c r="CU299" s="124"/>
      <c r="CV299" s="124"/>
      <c r="CW299" s="124"/>
      <c r="CX299" s="124"/>
      <c r="CY299" s="124"/>
      <c r="CZ299" s="124"/>
      <c r="DA299" s="124"/>
      <c r="DB299" s="124"/>
      <c r="DC299" s="124"/>
      <c r="DD299" s="124"/>
      <c r="DE299" s="124"/>
      <c r="DF299" s="124"/>
      <c r="DG299" s="124"/>
      <c r="DH299" s="124"/>
      <c r="DI299" s="124"/>
      <c r="DJ299" s="124"/>
      <c r="DK299" s="124"/>
      <c r="DL299" s="124"/>
      <c r="DM299" s="124"/>
      <c r="DN299" s="124"/>
      <c r="DO299" s="124"/>
      <c r="DP299" s="124"/>
      <c r="DQ299" s="124"/>
      <c r="DR299" s="124"/>
      <c r="DS299" s="124"/>
      <c r="DT299" s="124"/>
      <c r="DU299" s="124"/>
      <c r="DV299" s="124"/>
      <c r="DW299" s="124"/>
      <c r="DX299" s="124"/>
      <c r="DY299" s="124"/>
      <c r="DZ299" s="124"/>
      <c r="EA299" s="124"/>
      <c r="EB299" s="124"/>
      <c r="EC299" s="124"/>
      <c r="ED299" s="124"/>
      <c r="EE299" s="124"/>
      <c r="EF299" s="124"/>
      <c r="EG299" s="124"/>
      <c r="EH299" s="124"/>
      <c r="EI299" s="124"/>
      <c r="EJ299" s="124"/>
      <c r="EK299" s="124"/>
      <c r="EL299" s="124"/>
      <c r="EM299" s="124"/>
      <c r="EN299" s="124"/>
      <c r="EO299" s="124"/>
      <c r="EP299" s="124"/>
      <c r="EQ299" s="124"/>
      <c r="ER299" s="124"/>
      <c r="ES299" s="124"/>
      <c r="ET299" s="124"/>
      <c r="EU299" s="124"/>
      <c r="EV299" s="124"/>
      <c r="EW299" s="124"/>
      <c r="EX299" s="124"/>
      <c r="EY299" s="124"/>
      <c r="EZ299" s="124"/>
      <c r="FA299" s="124"/>
      <c r="FB299" s="124"/>
      <c r="FC299" s="124"/>
      <c r="FD299" s="124"/>
      <c r="FE299" s="124"/>
      <c r="FF299" s="124"/>
      <c r="FG299" s="124"/>
      <c r="FH299" s="124"/>
      <c r="FI299" s="124"/>
      <c r="FJ299" s="124"/>
      <c r="FK299" s="124"/>
      <c r="FL299" s="124"/>
      <c r="FM299" s="124"/>
      <c r="FN299" s="124"/>
      <c r="FO299" s="124"/>
      <c r="FP299" s="124"/>
      <c r="FQ299" s="124"/>
      <c r="FR299" s="124"/>
      <c r="FS299" s="124"/>
      <c r="FT299" s="124"/>
      <c r="FU299" s="124"/>
      <c r="FV299" s="124"/>
      <c r="FW299" s="124"/>
      <c r="FX299" s="124"/>
      <c r="FY299" s="124"/>
      <c r="FZ299" s="124"/>
      <c r="GA299" s="124"/>
      <c r="GB299" s="124"/>
      <c r="GC299" s="124"/>
      <c r="GD299" s="124"/>
      <c r="GE299" s="124"/>
      <c r="GF299" s="124"/>
      <c r="GG299" s="124"/>
      <c r="GH299" s="124"/>
      <c r="GI299" s="124"/>
      <c r="GJ299" s="124"/>
      <c r="GK299" s="124"/>
      <c r="GL299" s="124"/>
      <c r="GM299" s="124"/>
      <c r="GN299" s="124"/>
      <c r="GO299" s="124"/>
      <c r="GP299" s="124"/>
      <c r="GQ299" s="124"/>
      <c r="GR299" s="124"/>
      <c r="GS299" s="124"/>
      <c r="GT299" s="124"/>
      <c r="GU299" s="124"/>
      <c r="GV299" s="124"/>
      <c r="GW299" s="124"/>
      <c r="GX299" s="124"/>
      <c r="GY299" s="124"/>
      <c r="GZ299" s="124"/>
      <c r="HA299" s="124"/>
      <c r="HB299" s="124"/>
      <c r="HC299" s="124"/>
      <c r="HD299" s="124"/>
      <c r="HE299" s="124"/>
      <c r="HF299" s="124"/>
      <c r="HG299" s="124"/>
      <c r="HH299" s="124"/>
      <c r="HI299" s="124"/>
      <c r="HJ299" s="124"/>
      <c r="HK299" s="124"/>
      <c r="HL299" s="124"/>
      <c r="HM299" s="124"/>
      <c r="HN299" s="124"/>
      <c r="HO299" s="124"/>
      <c r="HP299" s="124"/>
      <c r="HQ299" s="124"/>
    </row>
    <row r="300" spans="1:225" x14ac:dyDescent="0.2">
      <c r="A300" s="122" t="s">
        <v>931</v>
      </c>
      <c r="B300" s="123">
        <v>51</v>
      </c>
      <c r="C300" s="124" t="s">
        <v>459</v>
      </c>
      <c r="D300" s="123">
        <v>291</v>
      </c>
      <c r="E300" s="124" t="s">
        <v>361</v>
      </c>
      <c r="F300" s="123">
        <v>2</v>
      </c>
      <c r="G300" s="123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  <c r="BJ300" s="124"/>
      <c r="BK300" s="124"/>
      <c r="BL300" s="124"/>
      <c r="BM300" s="124"/>
      <c r="BN300" s="124"/>
      <c r="BO300" s="124"/>
      <c r="BP300" s="124"/>
      <c r="BQ300" s="124"/>
      <c r="BR300" s="124"/>
      <c r="BS300" s="124"/>
      <c r="BT300" s="124"/>
      <c r="BU300" s="124"/>
      <c r="BV300" s="124"/>
      <c r="BW300" s="124"/>
      <c r="BX300" s="124"/>
      <c r="BY300" s="124"/>
      <c r="BZ300" s="124"/>
      <c r="CA300" s="124"/>
      <c r="CB300" s="124"/>
      <c r="CC300" s="124"/>
      <c r="CD300" s="124"/>
      <c r="CE300" s="124"/>
      <c r="CF300" s="124"/>
      <c r="CG300" s="124"/>
      <c r="CH300" s="124"/>
      <c r="CI300" s="124"/>
      <c r="CJ300" s="124"/>
      <c r="CK300" s="124"/>
      <c r="CL300" s="124"/>
      <c r="CM300" s="124"/>
      <c r="CN300" s="124"/>
      <c r="CO300" s="124"/>
      <c r="CP300" s="124"/>
      <c r="CQ300" s="124"/>
      <c r="CR300" s="124"/>
      <c r="CS300" s="124"/>
      <c r="CT300" s="124"/>
      <c r="CU300" s="124"/>
      <c r="CV300" s="124"/>
      <c r="CW300" s="124"/>
      <c r="CX300" s="124"/>
      <c r="CY300" s="124"/>
      <c r="CZ300" s="124"/>
      <c r="DA300" s="124"/>
      <c r="DB300" s="124"/>
      <c r="DC300" s="124"/>
      <c r="DD300" s="124"/>
      <c r="DE300" s="124"/>
      <c r="DF300" s="124"/>
      <c r="DG300" s="124"/>
      <c r="DH300" s="124"/>
      <c r="DI300" s="124"/>
      <c r="DJ300" s="124"/>
      <c r="DK300" s="124"/>
      <c r="DL300" s="124"/>
      <c r="DM300" s="124"/>
      <c r="DN300" s="124"/>
      <c r="DO300" s="124"/>
      <c r="DP300" s="124"/>
      <c r="DQ300" s="124"/>
      <c r="DR300" s="124"/>
      <c r="DS300" s="124"/>
      <c r="DT300" s="124"/>
      <c r="DU300" s="124"/>
      <c r="DV300" s="124"/>
      <c r="DW300" s="124"/>
      <c r="DX300" s="124"/>
      <c r="DY300" s="124"/>
      <c r="DZ300" s="124"/>
      <c r="EA300" s="124"/>
      <c r="EB300" s="124"/>
      <c r="EC300" s="124"/>
      <c r="ED300" s="124"/>
      <c r="EE300" s="124"/>
      <c r="EF300" s="124"/>
      <c r="EG300" s="124"/>
      <c r="EH300" s="124"/>
      <c r="EI300" s="124"/>
      <c r="EJ300" s="124"/>
      <c r="EK300" s="124"/>
      <c r="EL300" s="124"/>
      <c r="EM300" s="124"/>
      <c r="EN300" s="124"/>
      <c r="EO300" s="124"/>
      <c r="EP300" s="124"/>
      <c r="EQ300" s="124"/>
      <c r="ER300" s="124"/>
      <c r="ES300" s="124"/>
      <c r="ET300" s="124"/>
      <c r="EU300" s="124"/>
      <c r="EV300" s="124"/>
      <c r="EW300" s="124"/>
      <c r="EX300" s="124"/>
      <c r="EY300" s="124"/>
      <c r="EZ300" s="124"/>
      <c r="FA300" s="124"/>
      <c r="FB300" s="124"/>
      <c r="FC300" s="124"/>
      <c r="FD300" s="124"/>
      <c r="FE300" s="124"/>
      <c r="FF300" s="124"/>
      <c r="FG300" s="124"/>
      <c r="FH300" s="124"/>
      <c r="FI300" s="124"/>
      <c r="FJ300" s="124"/>
      <c r="FK300" s="124"/>
      <c r="FL300" s="124"/>
      <c r="FM300" s="124"/>
      <c r="FN300" s="124"/>
      <c r="FO300" s="124"/>
      <c r="FP300" s="124"/>
      <c r="FQ300" s="124"/>
      <c r="FR300" s="124"/>
      <c r="FS300" s="124"/>
      <c r="FT300" s="124"/>
      <c r="FU300" s="124"/>
      <c r="FV300" s="124"/>
      <c r="FW300" s="124"/>
      <c r="FX300" s="124"/>
      <c r="FY300" s="124"/>
      <c r="FZ300" s="124"/>
      <c r="GA300" s="124"/>
      <c r="GB300" s="124"/>
      <c r="GC300" s="124"/>
      <c r="GD300" s="124"/>
      <c r="GE300" s="124"/>
      <c r="GF300" s="124"/>
      <c r="GG300" s="124"/>
      <c r="GH300" s="124"/>
      <c r="GI300" s="124"/>
      <c r="GJ300" s="124"/>
      <c r="GK300" s="124"/>
      <c r="GL300" s="124"/>
      <c r="GM300" s="124"/>
      <c r="GN300" s="124"/>
      <c r="GO300" s="124"/>
      <c r="GP300" s="124"/>
      <c r="GQ300" s="124"/>
      <c r="GR300" s="124"/>
      <c r="GS300" s="124"/>
      <c r="GT300" s="124"/>
      <c r="GU300" s="124"/>
      <c r="GV300" s="124"/>
      <c r="GW300" s="124"/>
      <c r="GX300" s="124"/>
      <c r="GY300" s="124"/>
      <c r="GZ300" s="124"/>
      <c r="HA300" s="124"/>
      <c r="HB300" s="124"/>
      <c r="HC300" s="124"/>
      <c r="HD300" s="124"/>
      <c r="HE300" s="124"/>
      <c r="HF300" s="124"/>
      <c r="HG300" s="124"/>
      <c r="HH300" s="124"/>
      <c r="HI300" s="124"/>
      <c r="HJ300" s="124"/>
      <c r="HK300" s="124"/>
      <c r="HL300" s="124"/>
      <c r="HM300" s="124"/>
      <c r="HN300" s="124"/>
      <c r="HO300" s="124"/>
      <c r="HP300" s="124"/>
      <c r="HQ300" s="124"/>
    </row>
    <row r="301" spans="1:225" x14ac:dyDescent="0.2">
      <c r="A301" s="122" t="s">
        <v>932</v>
      </c>
      <c r="B301" s="123">
        <v>51</v>
      </c>
      <c r="C301" s="124" t="s">
        <v>460</v>
      </c>
      <c r="D301" s="123">
        <v>292</v>
      </c>
      <c r="E301" s="124" t="s">
        <v>361</v>
      </c>
      <c r="F301" s="123">
        <v>2</v>
      </c>
      <c r="G301" s="123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24"/>
      <c r="BK301" s="124"/>
      <c r="BL301" s="124"/>
      <c r="BM301" s="124"/>
      <c r="BN301" s="124"/>
      <c r="BO301" s="124"/>
      <c r="BP301" s="124"/>
      <c r="BQ301" s="124"/>
      <c r="BR301" s="124"/>
      <c r="BS301" s="124"/>
      <c r="BT301" s="124"/>
      <c r="BU301" s="124"/>
      <c r="BV301" s="124"/>
      <c r="BW301" s="124"/>
      <c r="BX301" s="124"/>
      <c r="BY301" s="124"/>
      <c r="BZ301" s="124"/>
      <c r="CA301" s="124"/>
      <c r="CB301" s="124"/>
      <c r="CC301" s="124"/>
      <c r="CD301" s="124"/>
      <c r="CE301" s="124"/>
      <c r="CF301" s="124"/>
      <c r="CG301" s="124"/>
      <c r="CH301" s="124"/>
      <c r="CI301" s="124"/>
      <c r="CJ301" s="124"/>
      <c r="CK301" s="124"/>
      <c r="CL301" s="124"/>
      <c r="CM301" s="124"/>
      <c r="CN301" s="124"/>
      <c r="CO301" s="124"/>
      <c r="CP301" s="124"/>
      <c r="CQ301" s="124"/>
      <c r="CR301" s="124"/>
      <c r="CS301" s="124"/>
      <c r="CT301" s="124"/>
      <c r="CU301" s="124"/>
      <c r="CV301" s="124"/>
      <c r="CW301" s="124"/>
      <c r="CX301" s="124"/>
      <c r="CY301" s="124"/>
      <c r="CZ301" s="124"/>
      <c r="DA301" s="124"/>
      <c r="DB301" s="124"/>
      <c r="DC301" s="124"/>
      <c r="DD301" s="124"/>
      <c r="DE301" s="124"/>
      <c r="DF301" s="124"/>
      <c r="DG301" s="124"/>
      <c r="DH301" s="124"/>
      <c r="DI301" s="124"/>
      <c r="DJ301" s="124"/>
      <c r="DK301" s="124"/>
      <c r="DL301" s="124"/>
      <c r="DM301" s="124"/>
      <c r="DN301" s="124"/>
      <c r="DO301" s="124"/>
      <c r="DP301" s="124"/>
      <c r="DQ301" s="124"/>
      <c r="DR301" s="124"/>
      <c r="DS301" s="124"/>
      <c r="DT301" s="124"/>
      <c r="DU301" s="124"/>
      <c r="DV301" s="124"/>
      <c r="DW301" s="124"/>
      <c r="DX301" s="124"/>
      <c r="DY301" s="124"/>
      <c r="DZ301" s="124"/>
      <c r="EA301" s="124"/>
      <c r="EB301" s="124"/>
      <c r="EC301" s="124"/>
      <c r="ED301" s="124"/>
      <c r="EE301" s="124"/>
      <c r="EF301" s="124"/>
      <c r="EG301" s="124"/>
      <c r="EH301" s="124"/>
      <c r="EI301" s="124"/>
      <c r="EJ301" s="124"/>
      <c r="EK301" s="124"/>
      <c r="EL301" s="124"/>
      <c r="EM301" s="124"/>
      <c r="EN301" s="124"/>
      <c r="EO301" s="124"/>
      <c r="EP301" s="124"/>
      <c r="EQ301" s="124"/>
      <c r="ER301" s="124"/>
      <c r="ES301" s="124"/>
      <c r="ET301" s="124"/>
      <c r="EU301" s="124"/>
      <c r="EV301" s="124"/>
      <c r="EW301" s="124"/>
      <c r="EX301" s="124"/>
      <c r="EY301" s="124"/>
      <c r="EZ301" s="124"/>
      <c r="FA301" s="124"/>
      <c r="FB301" s="124"/>
      <c r="FC301" s="124"/>
      <c r="FD301" s="124"/>
      <c r="FE301" s="124"/>
      <c r="FF301" s="124"/>
      <c r="FG301" s="124"/>
      <c r="FH301" s="124"/>
      <c r="FI301" s="124"/>
      <c r="FJ301" s="124"/>
      <c r="FK301" s="124"/>
      <c r="FL301" s="124"/>
      <c r="FM301" s="124"/>
      <c r="FN301" s="124"/>
      <c r="FO301" s="124"/>
      <c r="FP301" s="124"/>
      <c r="FQ301" s="124"/>
      <c r="FR301" s="124"/>
      <c r="FS301" s="124"/>
      <c r="FT301" s="124"/>
      <c r="FU301" s="124"/>
      <c r="FV301" s="124"/>
      <c r="FW301" s="124"/>
      <c r="FX301" s="124"/>
      <c r="FY301" s="124"/>
      <c r="FZ301" s="124"/>
      <c r="GA301" s="124"/>
      <c r="GB301" s="124"/>
      <c r="GC301" s="124"/>
      <c r="GD301" s="124"/>
      <c r="GE301" s="124"/>
      <c r="GF301" s="124"/>
      <c r="GG301" s="124"/>
      <c r="GH301" s="124"/>
      <c r="GI301" s="124"/>
      <c r="GJ301" s="124"/>
      <c r="GK301" s="124"/>
      <c r="GL301" s="124"/>
      <c r="GM301" s="124"/>
      <c r="GN301" s="124"/>
      <c r="GO301" s="124"/>
      <c r="GP301" s="124"/>
      <c r="GQ301" s="124"/>
      <c r="GR301" s="124"/>
      <c r="GS301" s="124"/>
      <c r="GT301" s="124"/>
      <c r="GU301" s="124"/>
      <c r="GV301" s="124"/>
      <c r="GW301" s="124"/>
      <c r="GX301" s="124"/>
      <c r="GY301" s="124"/>
      <c r="GZ301" s="124"/>
      <c r="HA301" s="124"/>
      <c r="HB301" s="124"/>
      <c r="HC301" s="124"/>
      <c r="HD301" s="124"/>
      <c r="HE301" s="124"/>
      <c r="HF301" s="124"/>
      <c r="HG301" s="124"/>
      <c r="HH301" s="124"/>
      <c r="HI301" s="124"/>
      <c r="HJ301" s="124"/>
      <c r="HK301" s="124"/>
      <c r="HL301" s="124"/>
      <c r="HM301" s="124"/>
      <c r="HN301" s="124"/>
      <c r="HO301" s="124"/>
      <c r="HP301" s="124"/>
      <c r="HQ301" s="124"/>
    </row>
    <row r="302" spans="1:225" x14ac:dyDescent="0.2">
      <c r="A302" s="122" t="s">
        <v>933</v>
      </c>
      <c r="B302" s="123">
        <v>52</v>
      </c>
      <c r="C302" s="124" t="s">
        <v>461</v>
      </c>
      <c r="D302" s="123">
        <v>293</v>
      </c>
      <c r="E302" s="124" t="s">
        <v>361</v>
      </c>
      <c r="F302" s="123">
        <v>3</v>
      </c>
      <c r="G302" s="123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24"/>
      <c r="BK302" s="124"/>
      <c r="BL302" s="124"/>
      <c r="BM302" s="124"/>
      <c r="BN302" s="124"/>
      <c r="BO302" s="124"/>
      <c r="BP302" s="124"/>
      <c r="BQ302" s="124"/>
      <c r="BR302" s="124"/>
      <c r="BS302" s="124"/>
      <c r="BT302" s="124"/>
      <c r="BU302" s="124"/>
      <c r="BV302" s="124"/>
      <c r="BW302" s="124"/>
      <c r="BX302" s="124"/>
      <c r="BY302" s="124"/>
      <c r="BZ302" s="124"/>
      <c r="CA302" s="124"/>
      <c r="CB302" s="124"/>
      <c r="CC302" s="124"/>
      <c r="CD302" s="124"/>
      <c r="CE302" s="124"/>
      <c r="CF302" s="124"/>
      <c r="CG302" s="124"/>
      <c r="CH302" s="124"/>
      <c r="CI302" s="124"/>
      <c r="CJ302" s="124"/>
      <c r="CK302" s="124"/>
      <c r="CL302" s="124"/>
      <c r="CM302" s="124"/>
      <c r="CN302" s="124"/>
      <c r="CO302" s="124"/>
      <c r="CP302" s="124"/>
      <c r="CQ302" s="124"/>
      <c r="CR302" s="124"/>
      <c r="CS302" s="124"/>
      <c r="CT302" s="124"/>
      <c r="CU302" s="124"/>
      <c r="CV302" s="124"/>
      <c r="CW302" s="124"/>
      <c r="CX302" s="124"/>
      <c r="CY302" s="124"/>
      <c r="CZ302" s="124"/>
      <c r="DA302" s="124"/>
      <c r="DB302" s="124"/>
      <c r="DC302" s="124"/>
      <c r="DD302" s="124"/>
      <c r="DE302" s="124"/>
      <c r="DF302" s="124"/>
      <c r="DG302" s="124"/>
      <c r="DH302" s="124"/>
      <c r="DI302" s="124"/>
      <c r="DJ302" s="124"/>
      <c r="DK302" s="124"/>
      <c r="DL302" s="124"/>
      <c r="DM302" s="124"/>
      <c r="DN302" s="124"/>
      <c r="DO302" s="124"/>
      <c r="DP302" s="124"/>
      <c r="DQ302" s="124"/>
      <c r="DR302" s="124"/>
      <c r="DS302" s="124"/>
      <c r="DT302" s="124"/>
      <c r="DU302" s="124"/>
      <c r="DV302" s="124"/>
      <c r="DW302" s="124"/>
      <c r="DX302" s="124"/>
      <c r="DY302" s="124"/>
      <c r="DZ302" s="124"/>
      <c r="EA302" s="124"/>
      <c r="EB302" s="124"/>
      <c r="EC302" s="124"/>
      <c r="ED302" s="124"/>
      <c r="EE302" s="124"/>
      <c r="EF302" s="124"/>
      <c r="EG302" s="124"/>
      <c r="EH302" s="124"/>
      <c r="EI302" s="124"/>
      <c r="EJ302" s="124"/>
      <c r="EK302" s="124"/>
      <c r="EL302" s="124"/>
      <c r="EM302" s="124"/>
      <c r="EN302" s="124"/>
      <c r="EO302" s="124"/>
      <c r="EP302" s="124"/>
      <c r="EQ302" s="124"/>
      <c r="ER302" s="124"/>
      <c r="ES302" s="124"/>
      <c r="ET302" s="124"/>
      <c r="EU302" s="124"/>
      <c r="EV302" s="124"/>
      <c r="EW302" s="124"/>
      <c r="EX302" s="124"/>
      <c r="EY302" s="124"/>
      <c r="EZ302" s="124"/>
      <c r="FA302" s="124"/>
      <c r="FB302" s="124"/>
      <c r="FC302" s="124"/>
      <c r="FD302" s="124"/>
      <c r="FE302" s="124"/>
      <c r="FF302" s="124"/>
      <c r="FG302" s="124"/>
      <c r="FH302" s="124"/>
      <c r="FI302" s="124"/>
      <c r="FJ302" s="124"/>
      <c r="FK302" s="124"/>
      <c r="FL302" s="124"/>
      <c r="FM302" s="124"/>
      <c r="FN302" s="124"/>
      <c r="FO302" s="124"/>
      <c r="FP302" s="124"/>
      <c r="FQ302" s="124"/>
      <c r="FR302" s="124"/>
      <c r="FS302" s="124"/>
      <c r="FT302" s="124"/>
      <c r="FU302" s="124"/>
      <c r="FV302" s="124"/>
      <c r="FW302" s="124"/>
      <c r="FX302" s="124"/>
      <c r="FY302" s="124"/>
      <c r="FZ302" s="124"/>
      <c r="GA302" s="124"/>
      <c r="GB302" s="124"/>
      <c r="GC302" s="124"/>
      <c r="GD302" s="124"/>
      <c r="GE302" s="124"/>
      <c r="GF302" s="124"/>
      <c r="GG302" s="124"/>
      <c r="GH302" s="124"/>
      <c r="GI302" s="124"/>
      <c r="GJ302" s="124"/>
      <c r="GK302" s="124"/>
      <c r="GL302" s="124"/>
      <c r="GM302" s="124"/>
      <c r="GN302" s="124"/>
      <c r="GO302" s="124"/>
      <c r="GP302" s="124"/>
      <c r="GQ302" s="124"/>
      <c r="GR302" s="124"/>
      <c r="GS302" s="124"/>
      <c r="GT302" s="124"/>
      <c r="GU302" s="124"/>
      <c r="GV302" s="124"/>
      <c r="GW302" s="124"/>
      <c r="GX302" s="124"/>
      <c r="GY302" s="124"/>
      <c r="GZ302" s="124"/>
      <c r="HA302" s="124"/>
      <c r="HB302" s="124"/>
      <c r="HC302" s="124"/>
      <c r="HD302" s="124"/>
      <c r="HE302" s="124"/>
      <c r="HF302" s="124"/>
      <c r="HG302" s="124"/>
      <c r="HH302" s="124"/>
      <c r="HI302" s="124"/>
      <c r="HJ302" s="124"/>
      <c r="HK302" s="124"/>
      <c r="HL302" s="124"/>
      <c r="HM302" s="124"/>
      <c r="HN302" s="124"/>
      <c r="HO302" s="124"/>
      <c r="HP302" s="124"/>
      <c r="HQ302" s="124"/>
    </row>
    <row r="303" spans="1:225" x14ac:dyDescent="0.2">
      <c r="A303" s="122" t="s">
        <v>934</v>
      </c>
      <c r="B303" s="123">
        <v>52</v>
      </c>
      <c r="C303" s="124" t="s">
        <v>462</v>
      </c>
      <c r="D303" s="123">
        <v>294</v>
      </c>
      <c r="E303" s="124" t="s">
        <v>361</v>
      </c>
      <c r="F303" s="123">
        <v>4</v>
      </c>
      <c r="G303" s="123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24"/>
      <c r="BK303" s="124"/>
      <c r="BL303" s="124"/>
      <c r="BM303" s="124"/>
      <c r="BN303" s="124"/>
      <c r="BO303" s="124"/>
      <c r="BP303" s="124"/>
      <c r="BQ303" s="124"/>
      <c r="BR303" s="124"/>
      <c r="BS303" s="124"/>
      <c r="BT303" s="124"/>
      <c r="BU303" s="124"/>
      <c r="BV303" s="124"/>
      <c r="BW303" s="124"/>
      <c r="BX303" s="124"/>
      <c r="BY303" s="124"/>
      <c r="BZ303" s="124"/>
      <c r="CA303" s="124"/>
      <c r="CB303" s="124"/>
      <c r="CC303" s="124"/>
      <c r="CD303" s="124"/>
      <c r="CE303" s="124"/>
      <c r="CF303" s="124"/>
      <c r="CG303" s="124"/>
      <c r="CH303" s="124"/>
      <c r="CI303" s="124"/>
      <c r="CJ303" s="124"/>
      <c r="CK303" s="124"/>
      <c r="CL303" s="124"/>
      <c r="CM303" s="124"/>
      <c r="CN303" s="124"/>
      <c r="CO303" s="124"/>
      <c r="CP303" s="124"/>
      <c r="CQ303" s="124"/>
      <c r="CR303" s="124"/>
      <c r="CS303" s="124"/>
      <c r="CT303" s="124"/>
      <c r="CU303" s="124"/>
      <c r="CV303" s="124"/>
      <c r="CW303" s="124"/>
      <c r="CX303" s="124"/>
      <c r="CY303" s="124"/>
      <c r="CZ303" s="124"/>
      <c r="DA303" s="124"/>
      <c r="DB303" s="124"/>
      <c r="DC303" s="124"/>
      <c r="DD303" s="124"/>
      <c r="DE303" s="124"/>
      <c r="DF303" s="124"/>
      <c r="DG303" s="124"/>
      <c r="DH303" s="124"/>
      <c r="DI303" s="124"/>
      <c r="DJ303" s="124"/>
      <c r="DK303" s="124"/>
      <c r="DL303" s="124"/>
      <c r="DM303" s="124"/>
      <c r="DN303" s="124"/>
      <c r="DO303" s="124"/>
      <c r="DP303" s="124"/>
      <c r="DQ303" s="124"/>
      <c r="DR303" s="124"/>
      <c r="DS303" s="124"/>
      <c r="DT303" s="124"/>
      <c r="DU303" s="124"/>
      <c r="DV303" s="124"/>
      <c r="DW303" s="124"/>
      <c r="DX303" s="124"/>
      <c r="DY303" s="124"/>
      <c r="DZ303" s="124"/>
      <c r="EA303" s="124"/>
      <c r="EB303" s="124"/>
      <c r="EC303" s="124"/>
      <c r="ED303" s="124"/>
      <c r="EE303" s="124"/>
      <c r="EF303" s="124"/>
      <c r="EG303" s="124"/>
      <c r="EH303" s="124"/>
      <c r="EI303" s="124"/>
      <c r="EJ303" s="124"/>
      <c r="EK303" s="124"/>
      <c r="EL303" s="124"/>
      <c r="EM303" s="124"/>
      <c r="EN303" s="124"/>
      <c r="EO303" s="124"/>
      <c r="EP303" s="124"/>
      <c r="EQ303" s="124"/>
      <c r="ER303" s="124"/>
      <c r="ES303" s="124"/>
      <c r="ET303" s="124"/>
      <c r="EU303" s="124"/>
      <c r="EV303" s="124"/>
      <c r="EW303" s="124"/>
      <c r="EX303" s="124"/>
      <c r="EY303" s="124"/>
      <c r="EZ303" s="124"/>
      <c r="FA303" s="124"/>
      <c r="FB303" s="124"/>
      <c r="FC303" s="124"/>
      <c r="FD303" s="124"/>
      <c r="FE303" s="124"/>
      <c r="FF303" s="124"/>
      <c r="FG303" s="124"/>
      <c r="FH303" s="124"/>
      <c r="FI303" s="124"/>
      <c r="FJ303" s="124"/>
      <c r="FK303" s="124"/>
      <c r="FL303" s="124"/>
      <c r="FM303" s="124"/>
      <c r="FN303" s="124"/>
      <c r="FO303" s="124"/>
      <c r="FP303" s="124"/>
      <c r="FQ303" s="124"/>
      <c r="FR303" s="124"/>
      <c r="FS303" s="124"/>
      <c r="FT303" s="124"/>
      <c r="FU303" s="124"/>
      <c r="FV303" s="124"/>
      <c r="FW303" s="124"/>
      <c r="FX303" s="124"/>
      <c r="FY303" s="124"/>
      <c r="FZ303" s="124"/>
      <c r="GA303" s="124"/>
      <c r="GB303" s="124"/>
      <c r="GC303" s="124"/>
      <c r="GD303" s="124"/>
      <c r="GE303" s="124"/>
      <c r="GF303" s="124"/>
      <c r="GG303" s="124"/>
      <c r="GH303" s="124"/>
      <c r="GI303" s="124"/>
      <c r="GJ303" s="124"/>
      <c r="GK303" s="124"/>
      <c r="GL303" s="124"/>
      <c r="GM303" s="124"/>
      <c r="GN303" s="124"/>
      <c r="GO303" s="124"/>
      <c r="GP303" s="124"/>
      <c r="GQ303" s="124"/>
      <c r="GR303" s="124"/>
      <c r="GS303" s="124"/>
      <c r="GT303" s="124"/>
      <c r="GU303" s="124"/>
      <c r="GV303" s="124"/>
      <c r="GW303" s="124"/>
      <c r="GX303" s="124"/>
      <c r="GY303" s="124"/>
      <c r="GZ303" s="124"/>
      <c r="HA303" s="124"/>
      <c r="HB303" s="124"/>
      <c r="HC303" s="124"/>
      <c r="HD303" s="124"/>
      <c r="HE303" s="124"/>
      <c r="HF303" s="124"/>
      <c r="HG303" s="124"/>
      <c r="HH303" s="124"/>
      <c r="HI303" s="124"/>
      <c r="HJ303" s="124"/>
      <c r="HK303" s="124"/>
      <c r="HL303" s="124"/>
      <c r="HM303" s="124"/>
      <c r="HN303" s="124"/>
      <c r="HO303" s="124"/>
      <c r="HP303" s="124"/>
      <c r="HQ303" s="124"/>
    </row>
    <row r="304" spans="1:225" x14ac:dyDescent="0.2">
      <c r="A304" s="122" t="s">
        <v>935</v>
      </c>
      <c r="B304" s="123">
        <v>53</v>
      </c>
      <c r="C304" s="124" t="s">
        <v>463</v>
      </c>
      <c r="D304" s="123">
        <v>295</v>
      </c>
      <c r="E304" s="124" t="s">
        <v>361</v>
      </c>
      <c r="F304" s="123">
        <v>4</v>
      </c>
      <c r="G304" s="123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  <c r="BK304" s="124"/>
      <c r="BL304" s="124"/>
      <c r="BM304" s="124"/>
      <c r="BN304" s="124"/>
      <c r="BO304" s="124"/>
      <c r="BP304" s="124"/>
      <c r="BQ304" s="124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4"/>
      <c r="CH304" s="124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4"/>
      <c r="CY304" s="124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4"/>
      <c r="DP304" s="124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4"/>
      <c r="EG304" s="124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4"/>
      <c r="EX304" s="124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4"/>
      <c r="FO304" s="124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4"/>
      <c r="GF304" s="124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4"/>
      <c r="GW304" s="124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4"/>
      <c r="HN304" s="124"/>
      <c r="HO304" s="124"/>
      <c r="HP304" s="124"/>
      <c r="HQ304" s="124"/>
    </row>
    <row r="305" spans="1:225" x14ac:dyDescent="0.2">
      <c r="A305" s="122" t="s">
        <v>936</v>
      </c>
      <c r="B305" s="123">
        <v>53</v>
      </c>
      <c r="C305" s="138" t="s">
        <v>464</v>
      </c>
      <c r="D305" s="123">
        <v>296</v>
      </c>
      <c r="E305" s="124" t="s">
        <v>361</v>
      </c>
      <c r="F305" s="123">
        <v>4</v>
      </c>
      <c r="G305" s="123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4"/>
      <c r="BO305" s="124"/>
      <c r="BP305" s="124"/>
      <c r="BQ305" s="124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4"/>
      <c r="CH305" s="124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4"/>
      <c r="CY305" s="124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4"/>
      <c r="DP305" s="124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4"/>
      <c r="EG305" s="124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4"/>
      <c r="EX305" s="124"/>
      <c r="EY305" s="124"/>
      <c r="EZ305" s="124"/>
      <c r="FA305" s="124"/>
      <c r="FB305" s="124"/>
      <c r="FC305" s="124"/>
      <c r="FD305" s="124"/>
      <c r="FE305" s="124"/>
      <c r="FF305" s="124"/>
      <c r="FG305" s="124"/>
      <c r="FH305" s="124"/>
      <c r="FI305" s="124"/>
      <c r="FJ305" s="124"/>
      <c r="FK305" s="124"/>
      <c r="FL305" s="124"/>
      <c r="FM305" s="124"/>
      <c r="FN305" s="124"/>
      <c r="FO305" s="124"/>
      <c r="FP305" s="124"/>
      <c r="FQ305" s="124"/>
      <c r="FR305" s="124"/>
      <c r="FS305" s="124"/>
      <c r="FT305" s="124"/>
      <c r="FU305" s="124"/>
      <c r="FV305" s="124"/>
      <c r="FW305" s="124"/>
      <c r="FX305" s="124"/>
      <c r="FY305" s="124"/>
      <c r="FZ305" s="124"/>
      <c r="GA305" s="124"/>
      <c r="GB305" s="124"/>
      <c r="GC305" s="124"/>
      <c r="GD305" s="124"/>
      <c r="GE305" s="124"/>
      <c r="GF305" s="124"/>
      <c r="GG305" s="124"/>
      <c r="GH305" s="124"/>
      <c r="GI305" s="124"/>
      <c r="GJ305" s="124"/>
      <c r="GK305" s="124"/>
      <c r="GL305" s="124"/>
      <c r="GM305" s="124"/>
      <c r="GN305" s="124"/>
      <c r="GO305" s="124"/>
      <c r="GP305" s="124"/>
      <c r="GQ305" s="124"/>
      <c r="GR305" s="124"/>
      <c r="GS305" s="124"/>
      <c r="GT305" s="124"/>
      <c r="GU305" s="124"/>
      <c r="GV305" s="124"/>
      <c r="GW305" s="124"/>
      <c r="GX305" s="124"/>
      <c r="GY305" s="124"/>
      <c r="GZ305" s="124"/>
      <c r="HA305" s="124"/>
      <c r="HB305" s="124"/>
      <c r="HC305" s="124"/>
      <c r="HD305" s="124"/>
      <c r="HE305" s="124"/>
      <c r="HF305" s="124"/>
      <c r="HG305" s="124"/>
      <c r="HH305" s="124"/>
      <c r="HI305" s="124"/>
      <c r="HJ305" s="124"/>
      <c r="HK305" s="124"/>
      <c r="HL305" s="124"/>
      <c r="HM305" s="124"/>
      <c r="HN305" s="124"/>
      <c r="HO305" s="124"/>
      <c r="HP305" s="124"/>
      <c r="HQ305" s="124"/>
    </row>
    <row r="306" spans="1:225" x14ac:dyDescent="0.2">
      <c r="A306" s="122" t="s">
        <v>937</v>
      </c>
      <c r="B306" s="123">
        <v>54</v>
      </c>
      <c r="C306" s="124" t="s">
        <v>465</v>
      </c>
      <c r="D306" s="123">
        <v>297</v>
      </c>
      <c r="E306" s="124" t="s">
        <v>361</v>
      </c>
      <c r="F306" s="123">
        <v>3</v>
      </c>
      <c r="G306" s="123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  <c r="BK306" s="124"/>
      <c r="BL306" s="124"/>
      <c r="BM306" s="124"/>
      <c r="BN306" s="124"/>
      <c r="BO306" s="124"/>
      <c r="BP306" s="124"/>
      <c r="BQ306" s="124"/>
      <c r="BR306" s="124"/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4"/>
      <c r="CH306" s="124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4"/>
      <c r="CY306" s="124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4"/>
      <c r="DP306" s="124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4"/>
      <c r="EG306" s="124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4"/>
      <c r="EX306" s="124"/>
      <c r="EY306" s="124"/>
      <c r="EZ306" s="124"/>
      <c r="FA306" s="124"/>
      <c r="FB306" s="124"/>
      <c r="FC306" s="124"/>
      <c r="FD306" s="124"/>
      <c r="FE306" s="124"/>
      <c r="FF306" s="124"/>
      <c r="FG306" s="124"/>
      <c r="FH306" s="124"/>
      <c r="FI306" s="124"/>
      <c r="FJ306" s="124"/>
      <c r="FK306" s="124"/>
      <c r="FL306" s="124"/>
      <c r="FM306" s="124"/>
      <c r="FN306" s="124"/>
      <c r="FO306" s="124"/>
      <c r="FP306" s="124"/>
      <c r="FQ306" s="124"/>
      <c r="FR306" s="124"/>
      <c r="FS306" s="124"/>
      <c r="FT306" s="124"/>
      <c r="FU306" s="124"/>
      <c r="FV306" s="124"/>
      <c r="FW306" s="124"/>
      <c r="FX306" s="124"/>
      <c r="FY306" s="124"/>
      <c r="FZ306" s="124"/>
      <c r="GA306" s="124"/>
      <c r="GB306" s="124"/>
      <c r="GC306" s="124"/>
      <c r="GD306" s="124"/>
      <c r="GE306" s="124"/>
      <c r="GF306" s="124"/>
      <c r="GG306" s="124"/>
      <c r="GH306" s="124"/>
      <c r="GI306" s="124"/>
      <c r="GJ306" s="124"/>
      <c r="GK306" s="124"/>
      <c r="GL306" s="124"/>
      <c r="GM306" s="124"/>
      <c r="GN306" s="124"/>
      <c r="GO306" s="124"/>
      <c r="GP306" s="124"/>
      <c r="GQ306" s="124"/>
      <c r="GR306" s="124"/>
      <c r="GS306" s="124"/>
      <c r="GT306" s="124"/>
      <c r="GU306" s="124"/>
      <c r="GV306" s="124"/>
      <c r="GW306" s="124"/>
      <c r="GX306" s="124"/>
      <c r="GY306" s="124"/>
      <c r="GZ306" s="124"/>
      <c r="HA306" s="124"/>
      <c r="HB306" s="124"/>
      <c r="HC306" s="124"/>
      <c r="HD306" s="124"/>
      <c r="HE306" s="124"/>
      <c r="HF306" s="124"/>
      <c r="HG306" s="124"/>
      <c r="HH306" s="124"/>
      <c r="HI306" s="124"/>
      <c r="HJ306" s="124"/>
      <c r="HK306" s="124"/>
      <c r="HL306" s="124"/>
      <c r="HM306" s="124"/>
      <c r="HN306" s="124"/>
      <c r="HO306" s="124"/>
      <c r="HP306" s="124"/>
      <c r="HQ306" s="124"/>
    </row>
    <row r="307" spans="1:225" x14ac:dyDescent="0.2">
      <c r="A307" s="122" t="s">
        <v>938</v>
      </c>
      <c r="B307" s="123">
        <v>54</v>
      </c>
      <c r="C307" s="124" t="s">
        <v>466</v>
      </c>
      <c r="D307" s="123">
        <v>298</v>
      </c>
      <c r="E307" s="124" t="s">
        <v>361</v>
      </c>
      <c r="F307" s="123">
        <v>2</v>
      </c>
      <c r="G307" s="123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  <c r="BJ307" s="124"/>
      <c r="BK307" s="124"/>
      <c r="BL307" s="124"/>
      <c r="BM307" s="124"/>
      <c r="BN307" s="124"/>
      <c r="BO307" s="124"/>
      <c r="BP307" s="124"/>
      <c r="BQ307" s="124"/>
      <c r="BR307" s="124"/>
      <c r="BS307" s="124"/>
      <c r="BT307" s="124"/>
      <c r="BU307" s="124"/>
      <c r="BV307" s="124"/>
      <c r="BW307" s="124"/>
      <c r="BX307" s="124"/>
      <c r="BY307" s="124"/>
      <c r="BZ307" s="124"/>
      <c r="CA307" s="124"/>
      <c r="CB307" s="124"/>
      <c r="CC307" s="124"/>
      <c r="CD307" s="124"/>
      <c r="CE307" s="124"/>
      <c r="CF307" s="124"/>
      <c r="CG307" s="124"/>
      <c r="CH307" s="124"/>
      <c r="CI307" s="124"/>
      <c r="CJ307" s="124"/>
      <c r="CK307" s="124"/>
      <c r="CL307" s="124"/>
      <c r="CM307" s="124"/>
      <c r="CN307" s="124"/>
      <c r="CO307" s="124"/>
      <c r="CP307" s="124"/>
      <c r="CQ307" s="124"/>
      <c r="CR307" s="124"/>
      <c r="CS307" s="124"/>
      <c r="CT307" s="124"/>
      <c r="CU307" s="124"/>
      <c r="CV307" s="124"/>
      <c r="CW307" s="124"/>
      <c r="CX307" s="124"/>
      <c r="CY307" s="124"/>
      <c r="CZ307" s="124"/>
      <c r="DA307" s="124"/>
      <c r="DB307" s="124"/>
      <c r="DC307" s="124"/>
      <c r="DD307" s="124"/>
      <c r="DE307" s="124"/>
      <c r="DF307" s="124"/>
      <c r="DG307" s="124"/>
      <c r="DH307" s="124"/>
      <c r="DI307" s="124"/>
      <c r="DJ307" s="124"/>
      <c r="DK307" s="124"/>
      <c r="DL307" s="124"/>
      <c r="DM307" s="124"/>
      <c r="DN307" s="124"/>
      <c r="DO307" s="124"/>
      <c r="DP307" s="124"/>
      <c r="DQ307" s="124"/>
      <c r="DR307" s="124"/>
      <c r="DS307" s="124"/>
      <c r="DT307" s="124"/>
      <c r="DU307" s="124"/>
      <c r="DV307" s="124"/>
      <c r="DW307" s="124"/>
      <c r="DX307" s="124"/>
      <c r="DY307" s="124"/>
      <c r="DZ307" s="124"/>
      <c r="EA307" s="124"/>
      <c r="EB307" s="124"/>
      <c r="EC307" s="124"/>
      <c r="ED307" s="124"/>
      <c r="EE307" s="124"/>
      <c r="EF307" s="124"/>
      <c r="EG307" s="124"/>
      <c r="EH307" s="124"/>
      <c r="EI307" s="124"/>
      <c r="EJ307" s="124"/>
      <c r="EK307" s="124"/>
      <c r="EL307" s="124"/>
      <c r="EM307" s="124"/>
      <c r="EN307" s="124"/>
      <c r="EO307" s="124"/>
      <c r="EP307" s="124"/>
      <c r="EQ307" s="124"/>
      <c r="ER307" s="124"/>
      <c r="ES307" s="124"/>
      <c r="ET307" s="124"/>
      <c r="EU307" s="124"/>
      <c r="EV307" s="124"/>
      <c r="EW307" s="124"/>
      <c r="EX307" s="124"/>
      <c r="EY307" s="124"/>
      <c r="EZ307" s="124"/>
      <c r="FA307" s="124"/>
      <c r="FB307" s="124"/>
      <c r="FC307" s="124"/>
      <c r="FD307" s="124"/>
      <c r="FE307" s="124"/>
      <c r="FF307" s="124"/>
      <c r="FG307" s="124"/>
      <c r="FH307" s="124"/>
      <c r="FI307" s="124"/>
      <c r="FJ307" s="124"/>
      <c r="FK307" s="124"/>
      <c r="FL307" s="124"/>
      <c r="FM307" s="124"/>
      <c r="FN307" s="124"/>
      <c r="FO307" s="124"/>
      <c r="FP307" s="124"/>
      <c r="FQ307" s="124"/>
      <c r="FR307" s="124"/>
      <c r="FS307" s="124"/>
      <c r="FT307" s="124"/>
      <c r="FU307" s="124"/>
      <c r="FV307" s="124"/>
      <c r="FW307" s="124"/>
      <c r="FX307" s="124"/>
      <c r="FY307" s="124"/>
      <c r="FZ307" s="124"/>
      <c r="GA307" s="124"/>
      <c r="GB307" s="124"/>
      <c r="GC307" s="124"/>
      <c r="GD307" s="124"/>
      <c r="GE307" s="124"/>
      <c r="GF307" s="124"/>
      <c r="GG307" s="124"/>
      <c r="GH307" s="124"/>
      <c r="GI307" s="124"/>
      <c r="GJ307" s="124"/>
      <c r="GK307" s="124"/>
      <c r="GL307" s="124"/>
      <c r="GM307" s="124"/>
      <c r="GN307" s="124"/>
      <c r="GO307" s="124"/>
      <c r="GP307" s="124"/>
      <c r="GQ307" s="124"/>
      <c r="GR307" s="124"/>
      <c r="GS307" s="124"/>
      <c r="GT307" s="124"/>
      <c r="GU307" s="124"/>
      <c r="GV307" s="124"/>
      <c r="GW307" s="124"/>
      <c r="GX307" s="124"/>
      <c r="GY307" s="124"/>
      <c r="GZ307" s="124"/>
      <c r="HA307" s="124"/>
      <c r="HB307" s="124"/>
      <c r="HC307" s="124"/>
      <c r="HD307" s="124"/>
      <c r="HE307" s="124"/>
      <c r="HF307" s="124"/>
      <c r="HG307" s="124"/>
      <c r="HH307" s="124"/>
      <c r="HI307" s="124"/>
      <c r="HJ307" s="124"/>
      <c r="HK307" s="124"/>
      <c r="HL307" s="124"/>
      <c r="HM307" s="124"/>
      <c r="HN307" s="124"/>
      <c r="HO307" s="124"/>
      <c r="HP307" s="124"/>
      <c r="HQ307" s="124"/>
    </row>
    <row r="308" spans="1:225" x14ac:dyDescent="0.2">
      <c r="A308" s="122" t="s">
        <v>939</v>
      </c>
      <c r="B308" s="123">
        <v>55</v>
      </c>
      <c r="C308" s="124" t="s">
        <v>467</v>
      </c>
      <c r="D308" s="123">
        <v>299</v>
      </c>
      <c r="E308" s="124" t="s">
        <v>361</v>
      </c>
      <c r="F308" s="123">
        <v>2</v>
      </c>
      <c r="G308" s="123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  <c r="BJ308" s="124"/>
      <c r="BK308" s="124"/>
      <c r="BL308" s="124"/>
      <c r="BM308" s="124"/>
      <c r="BN308" s="124"/>
      <c r="BO308" s="124"/>
      <c r="BP308" s="124"/>
      <c r="BQ308" s="124"/>
      <c r="BR308" s="124"/>
      <c r="BS308" s="124"/>
      <c r="BT308" s="124"/>
      <c r="BU308" s="124"/>
      <c r="BV308" s="124"/>
      <c r="BW308" s="124"/>
      <c r="BX308" s="124"/>
      <c r="BY308" s="124"/>
      <c r="BZ308" s="124"/>
      <c r="CA308" s="124"/>
      <c r="CB308" s="124"/>
      <c r="CC308" s="124"/>
      <c r="CD308" s="124"/>
      <c r="CE308" s="124"/>
      <c r="CF308" s="124"/>
      <c r="CG308" s="124"/>
      <c r="CH308" s="124"/>
      <c r="CI308" s="124"/>
      <c r="CJ308" s="124"/>
      <c r="CK308" s="124"/>
      <c r="CL308" s="124"/>
      <c r="CM308" s="124"/>
      <c r="CN308" s="124"/>
      <c r="CO308" s="124"/>
      <c r="CP308" s="124"/>
      <c r="CQ308" s="124"/>
      <c r="CR308" s="124"/>
      <c r="CS308" s="124"/>
      <c r="CT308" s="124"/>
      <c r="CU308" s="124"/>
      <c r="CV308" s="124"/>
      <c r="CW308" s="124"/>
      <c r="CX308" s="124"/>
      <c r="CY308" s="124"/>
      <c r="CZ308" s="124"/>
      <c r="DA308" s="124"/>
      <c r="DB308" s="124"/>
      <c r="DC308" s="124"/>
      <c r="DD308" s="124"/>
      <c r="DE308" s="124"/>
      <c r="DF308" s="124"/>
      <c r="DG308" s="124"/>
      <c r="DH308" s="124"/>
      <c r="DI308" s="124"/>
      <c r="DJ308" s="124"/>
      <c r="DK308" s="124"/>
      <c r="DL308" s="124"/>
      <c r="DM308" s="124"/>
      <c r="DN308" s="124"/>
      <c r="DO308" s="124"/>
      <c r="DP308" s="124"/>
      <c r="DQ308" s="124"/>
      <c r="DR308" s="124"/>
      <c r="DS308" s="124"/>
      <c r="DT308" s="124"/>
      <c r="DU308" s="124"/>
      <c r="DV308" s="124"/>
      <c r="DW308" s="124"/>
      <c r="DX308" s="124"/>
      <c r="DY308" s="124"/>
      <c r="DZ308" s="124"/>
      <c r="EA308" s="124"/>
      <c r="EB308" s="124"/>
      <c r="EC308" s="124"/>
      <c r="ED308" s="124"/>
      <c r="EE308" s="124"/>
      <c r="EF308" s="124"/>
      <c r="EG308" s="124"/>
      <c r="EH308" s="124"/>
      <c r="EI308" s="124"/>
      <c r="EJ308" s="124"/>
      <c r="EK308" s="124"/>
      <c r="EL308" s="124"/>
      <c r="EM308" s="124"/>
      <c r="EN308" s="124"/>
      <c r="EO308" s="124"/>
      <c r="EP308" s="124"/>
      <c r="EQ308" s="124"/>
      <c r="ER308" s="124"/>
      <c r="ES308" s="124"/>
      <c r="ET308" s="124"/>
      <c r="EU308" s="124"/>
      <c r="EV308" s="124"/>
      <c r="EW308" s="124"/>
      <c r="EX308" s="124"/>
      <c r="EY308" s="124"/>
      <c r="EZ308" s="124"/>
      <c r="FA308" s="124"/>
      <c r="FB308" s="124"/>
      <c r="FC308" s="124"/>
      <c r="FD308" s="124"/>
      <c r="FE308" s="124"/>
      <c r="FF308" s="124"/>
      <c r="FG308" s="124"/>
      <c r="FH308" s="124"/>
      <c r="FI308" s="124"/>
      <c r="FJ308" s="124"/>
      <c r="FK308" s="124"/>
      <c r="FL308" s="124"/>
      <c r="FM308" s="124"/>
      <c r="FN308" s="124"/>
      <c r="FO308" s="124"/>
      <c r="FP308" s="124"/>
      <c r="FQ308" s="124"/>
      <c r="FR308" s="124"/>
      <c r="FS308" s="124"/>
      <c r="FT308" s="124"/>
      <c r="FU308" s="124"/>
      <c r="FV308" s="124"/>
      <c r="FW308" s="124"/>
      <c r="FX308" s="124"/>
      <c r="FY308" s="124"/>
      <c r="FZ308" s="124"/>
      <c r="GA308" s="124"/>
      <c r="GB308" s="124"/>
      <c r="GC308" s="124"/>
      <c r="GD308" s="124"/>
      <c r="GE308" s="124"/>
      <c r="GF308" s="124"/>
      <c r="GG308" s="124"/>
      <c r="GH308" s="124"/>
      <c r="GI308" s="124"/>
      <c r="GJ308" s="124"/>
      <c r="GK308" s="124"/>
      <c r="GL308" s="124"/>
      <c r="GM308" s="124"/>
      <c r="GN308" s="124"/>
      <c r="GO308" s="124"/>
      <c r="GP308" s="124"/>
      <c r="GQ308" s="124"/>
      <c r="GR308" s="124"/>
      <c r="GS308" s="124"/>
      <c r="GT308" s="124"/>
      <c r="GU308" s="124"/>
      <c r="GV308" s="124"/>
      <c r="GW308" s="124"/>
      <c r="GX308" s="124"/>
      <c r="GY308" s="124"/>
      <c r="GZ308" s="124"/>
      <c r="HA308" s="124"/>
      <c r="HB308" s="124"/>
      <c r="HC308" s="124"/>
      <c r="HD308" s="124"/>
      <c r="HE308" s="124"/>
      <c r="HF308" s="124"/>
      <c r="HG308" s="124"/>
      <c r="HH308" s="124"/>
      <c r="HI308" s="124"/>
      <c r="HJ308" s="124"/>
      <c r="HK308" s="124"/>
      <c r="HL308" s="124"/>
      <c r="HM308" s="124"/>
      <c r="HN308" s="124"/>
      <c r="HO308" s="124"/>
      <c r="HP308" s="124"/>
      <c r="HQ308" s="124"/>
    </row>
    <row r="309" spans="1:225" x14ac:dyDescent="0.2">
      <c r="A309" s="122" t="s">
        <v>940</v>
      </c>
      <c r="B309" s="123">
        <v>55</v>
      </c>
      <c r="C309" s="124" t="s">
        <v>468</v>
      </c>
      <c r="D309" s="123">
        <v>300</v>
      </c>
      <c r="E309" s="124" t="s">
        <v>361</v>
      </c>
      <c r="F309" s="123">
        <v>2</v>
      </c>
      <c r="G309" s="123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  <c r="AV309" s="124"/>
      <c r="AW309" s="124"/>
      <c r="AX309" s="124"/>
      <c r="AY309" s="124"/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  <c r="BJ309" s="124"/>
      <c r="BK309" s="124"/>
      <c r="BL309" s="124"/>
      <c r="BM309" s="124"/>
      <c r="BN309" s="124"/>
      <c r="BO309" s="124"/>
      <c r="BP309" s="124"/>
      <c r="BQ309" s="124"/>
      <c r="BR309" s="124"/>
      <c r="BS309" s="124"/>
      <c r="BT309" s="124"/>
      <c r="BU309" s="124"/>
      <c r="BV309" s="124"/>
      <c r="BW309" s="124"/>
      <c r="BX309" s="124"/>
      <c r="BY309" s="124"/>
      <c r="BZ309" s="124"/>
      <c r="CA309" s="124"/>
      <c r="CB309" s="124"/>
      <c r="CC309" s="124"/>
      <c r="CD309" s="124"/>
      <c r="CE309" s="124"/>
      <c r="CF309" s="124"/>
      <c r="CG309" s="124"/>
      <c r="CH309" s="124"/>
      <c r="CI309" s="124"/>
      <c r="CJ309" s="124"/>
      <c r="CK309" s="124"/>
      <c r="CL309" s="124"/>
      <c r="CM309" s="124"/>
      <c r="CN309" s="124"/>
      <c r="CO309" s="124"/>
      <c r="CP309" s="124"/>
      <c r="CQ309" s="124"/>
      <c r="CR309" s="124"/>
      <c r="CS309" s="124"/>
      <c r="CT309" s="124"/>
      <c r="CU309" s="124"/>
      <c r="CV309" s="124"/>
      <c r="CW309" s="124"/>
      <c r="CX309" s="124"/>
      <c r="CY309" s="124"/>
      <c r="CZ309" s="124"/>
      <c r="DA309" s="124"/>
      <c r="DB309" s="124"/>
      <c r="DC309" s="124"/>
      <c r="DD309" s="124"/>
      <c r="DE309" s="124"/>
      <c r="DF309" s="124"/>
      <c r="DG309" s="124"/>
      <c r="DH309" s="124"/>
      <c r="DI309" s="124"/>
      <c r="DJ309" s="124"/>
      <c r="DK309" s="124"/>
      <c r="DL309" s="124"/>
      <c r="DM309" s="124"/>
      <c r="DN309" s="124"/>
      <c r="DO309" s="124"/>
      <c r="DP309" s="124"/>
      <c r="DQ309" s="124"/>
      <c r="DR309" s="124"/>
      <c r="DS309" s="124"/>
      <c r="DT309" s="124"/>
      <c r="DU309" s="124"/>
      <c r="DV309" s="124"/>
      <c r="DW309" s="124"/>
      <c r="DX309" s="124"/>
      <c r="DY309" s="124"/>
      <c r="DZ309" s="124"/>
      <c r="EA309" s="124"/>
      <c r="EB309" s="124"/>
      <c r="EC309" s="124"/>
      <c r="ED309" s="124"/>
      <c r="EE309" s="124"/>
      <c r="EF309" s="124"/>
      <c r="EG309" s="124"/>
      <c r="EH309" s="124"/>
      <c r="EI309" s="124"/>
      <c r="EJ309" s="124"/>
      <c r="EK309" s="124"/>
      <c r="EL309" s="124"/>
      <c r="EM309" s="124"/>
      <c r="EN309" s="124"/>
      <c r="EO309" s="124"/>
      <c r="EP309" s="124"/>
      <c r="EQ309" s="124"/>
      <c r="ER309" s="124"/>
      <c r="ES309" s="124"/>
      <c r="ET309" s="124"/>
      <c r="EU309" s="124"/>
      <c r="EV309" s="124"/>
      <c r="EW309" s="124"/>
      <c r="EX309" s="124"/>
      <c r="EY309" s="124"/>
      <c r="EZ309" s="124"/>
      <c r="FA309" s="124"/>
      <c r="FB309" s="124"/>
      <c r="FC309" s="124"/>
      <c r="FD309" s="124"/>
      <c r="FE309" s="124"/>
      <c r="FF309" s="124"/>
      <c r="FG309" s="124"/>
      <c r="FH309" s="124"/>
      <c r="FI309" s="124"/>
      <c r="FJ309" s="124"/>
      <c r="FK309" s="124"/>
      <c r="FL309" s="124"/>
      <c r="FM309" s="124"/>
      <c r="FN309" s="124"/>
      <c r="FO309" s="124"/>
      <c r="FP309" s="124"/>
      <c r="FQ309" s="124"/>
      <c r="FR309" s="124"/>
      <c r="FS309" s="124"/>
      <c r="FT309" s="124"/>
      <c r="FU309" s="124"/>
      <c r="FV309" s="124"/>
      <c r="FW309" s="124"/>
      <c r="FX309" s="124"/>
      <c r="FY309" s="124"/>
      <c r="FZ309" s="124"/>
      <c r="GA309" s="124"/>
      <c r="GB309" s="124"/>
      <c r="GC309" s="124"/>
      <c r="GD309" s="124"/>
      <c r="GE309" s="124"/>
      <c r="GF309" s="124"/>
      <c r="GG309" s="124"/>
      <c r="GH309" s="124"/>
      <c r="GI309" s="124"/>
      <c r="GJ309" s="124"/>
      <c r="GK309" s="124"/>
      <c r="GL309" s="124"/>
      <c r="GM309" s="124"/>
      <c r="GN309" s="124"/>
      <c r="GO309" s="124"/>
      <c r="GP309" s="124"/>
      <c r="GQ309" s="124"/>
      <c r="GR309" s="124"/>
      <c r="GS309" s="124"/>
      <c r="GT309" s="124"/>
      <c r="GU309" s="124"/>
      <c r="GV309" s="124"/>
      <c r="GW309" s="124"/>
      <c r="GX309" s="124"/>
      <c r="GY309" s="124"/>
      <c r="GZ309" s="124"/>
      <c r="HA309" s="124"/>
      <c r="HB309" s="124"/>
      <c r="HC309" s="124"/>
      <c r="HD309" s="124"/>
      <c r="HE309" s="124"/>
      <c r="HF309" s="124"/>
      <c r="HG309" s="124"/>
      <c r="HH309" s="124"/>
      <c r="HI309" s="124"/>
      <c r="HJ309" s="124"/>
      <c r="HK309" s="124"/>
      <c r="HL309" s="124"/>
      <c r="HM309" s="124"/>
      <c r="HN309" s="124"/>
      <c r="HO309" s="124"/>
      <c r="HP309" s="124"/>
      <c r="HQ309" s="124"/>
    </row>
    <row r="310" spans="1:225" x14ac:dyDescent="0.2">
      <c r="A310" s="122" t="s">
        <v>941</v>
      </c>
      <c r="B310" s="123">
        <v>56</v>
      </c>
      <c r="C310" s="138" t="s">
        <v>469</v>
      </c>
      <c r="D310" s="123">
        <v>301</v>
      </c>
      <c r="E310" s="124" t="s">
        <v>361</v>
      </c>
      <c r="F310" s="123">
        <v>3</v>
      </c>
      <c r="G310" s="123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  <c r="AV310" s="124"/>
      <c r="AW310" s="124"/>
      <c r="AX310" s="124"/>
      <c r="AY310" s="124"/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  <c r="BJ310" s="124"/>
      <c r="BK310" s="124"/>
      <c r="BL310" s="124"/>
      <c r="BM310" s="124"/>
      <c r="BN310" s="124"/>
      <c r="BO310" s="124"/>
      <c r="BP310" s="124"/>
      <c r="BQ310" s="124"/>
      <c r="BR310" s="124"/>
      <c r="BS310" s="124"/>
      <c r="BT310" s="124"/>
      <c r="BU310" s="124"/>
      <c r="BV310" s="124"/>
      <c r="BW310" s="124"/>
      <c r="BX310" s="124"/>
      <c r="BY310" s="124"/>
      <c r="BZ310" s="124"/>
      <c r="CA310" s="124"/>
      <c r="CB310" s="124"/>
      <c r="CC310" s="124"/>
      <c r="CD310" s="124"/>
      <c r="CE310" s="124"/>
      <c r="CF310" s="124"/>
      <c r="CG310" s="124"/>
      <c r="CH310" s="124"/>
      <c r="CI310" s="124"/>
      <c r="CJ310" s="124"/>
      <c r="CK310" s="124"/>
      <c r="CL310" s="124"/>
      <c r="CM310" s="124"/>
      <c r="CN310" s="124"/>
      <c r="CO310" s="124"/>
      <c r="CP310" s="124"/>
      <c r="CQ310" s="124"/>
      <c r="CR310" s="124"/>
      <c r="CS310" s="124"/>
      <c r="CT310" s="124"/>
      <c r="CU310" s="124"/>
      <c r="CV310" s="124"/>
      <c r="CW310" s="124"/>
      <c r="CX310" s="124"/>
      <c r="CY310" s="124"/>
      <c r="CZ310" s="124"/>
      <c r="DA310" s="124"/>
      <c r="DB310" s="124"/>
      <c r="DC310" s="124"/>
      <c r="DD310" s="124"/>
      <c r="DE310" s="124"/>
      <c r="DF310" s="124"/>
      <c r="DG310" s="124"/>
      <c r="DH310" s="124"/>
      <c r="DI310" s="124"/>
      <c r="DJ310" s="124"/>
      <c r="DK310" s="124"/>
      <c r="DL310" s="124"/>
      <c r="DM310" s="124"/>
      <c r="DN310" s="124"/>
      <c r="DO310" s="124"/>
      <c r="DP310" s="124"/>
      <c r="DQ310" s="124"/>
      <c r="DR310" s="124"/>
      <c r="DS310" s="124"/>
      <c r="DT310" s="124"/>
      <c r="DU310" s="124"/>
      <c r="DV310" s="124"/>
      <c r="DW310" s="124"/>
      <c r="DX310" s="124"/>
      <c r="DY310" s="124"/>
      <c r="DZ310" s="124"/>
      <c r="EA310" s="124"/>
      <c r="EB310" s="124"/>
      <c r="EC310" s="124"/>
      <c r="ED310" s="124"/>
      <c r="EE310" s="124"/>
      <c r="EF310" s="124"/>
      <c r="EG310" s="124"/>
      <c r="EH310" s="124"/>
      <c r="EI310" s="124"/>
      <c r="EJ310" s="124"/>
      <c r="EK310" s="124"/>
      <c r="EL310" s="124"/>
      <c r="EM310" s="124"/>
      <c r="EN310" s="124"/>
      <c r="EO310" s="124"/>
      <c r="EP310" s="124"/>
      <c r="EQ310" s="124"/>
      <c r="ER310" s="124"/>
      <c r="ES310" s="124"/>
      <c r="ET310" s="124"/>
      <c r="EU310" s="124"/>
      <c r="EV310" s="124"/>
      <c r="EW310" s="124"/>
      <c r="EX310" s="124"/>
      <c r="EY310" s="124"/>
      <c r="EZ310" s="124"/>
      <c r="FA310" s="124"/>
      <c r="FB310" s="124"/>
      <c r="FC310" s="124"/>
      <c r="FD310" s="124"/>
      <c r="FE310" s="124"/>
      <c r="FF310" s="124"/>
      <c r="FG310" s="124"/>
      <c r="FH310" s="124"/>
      <c r="FI310" s="124"/>
      <c r="FJ310" s="124"/>
      <c r="FK310" s="124"/>
      <c r="FL310" s="124"/>
      <c r="FM310" s="124"/>
      <c r="FN310" s="124"/>
      <c r="FO310" s="124"/>
      <c r="FP310" s="124"/>
      <c r="FQ310" s="124"/>
      <c r="FR310" s="124"/>
      <c r="FS310" s="124"/>
      <c r="FT310" s="124"/>
      <c r="FU310" s="124"/>
      <c r="FV310" s="124"/>
      <c r="FW310" s="124"/>
      <c r="FX310" s="124"/>
      <c r="FY310" s="124"/>
      <c r="FZ310" s="124"/>
      <c r="GA310" s="124"/>
      <c r="GB310" s="124"/>
      <c r="GC310" s="124"/>
      <c r="GD310" s="124"/>
      <c r="GE310" s="124"/>
      <c r="GF310" s="124"/>
      <c r="GG310" s="124"/>
      <c r="GH310" s="124"/>
      <c r="GI310" s="124"/>
      <c r="GJ310" s="124"/>
      <c r="GK310" s="124"/>
      <c r="GL310" s="124"/>
      <c r="GM310" s="124"/>
      <c r="GN310" s="124"/>
      <c r="GO310" s="124"/>
      <c r="GP310" s="124"/>
      <c r="GQ310" s="124"/>
      <c r="GR310" s="124"/>
      <c r="GS310" s="124"/>
      <c r="GT310" s="124"/>
      <c r="GU310" s="124"/>
      <c r="GV310" s="124"/>
      <c r="GW310" s="124"/>
      <c r="GX310" s="124"/>
      <c r="GY310" s="124"/>
      <c r="GZ310" s="124"/>
      <c r="HA310" s="124"/>
      <c r="HB310" s="124"/>
      <c r="HC310" s="124"/>
      <c r="HD310" s="124"/>
      <c r="HE310" s="124"/>
      <c r="HF310" s="124"/>
      <c r="HG310" s="124"/>
      <c r="HH310" s="124"/>
      <c r="HI310" s="124"/>
      <c r="HJ310" s="124"/>
      <c r="HK310" s="124"/>
      <c r="HL310" s="124"/>
      <c r="HM310" s="124"/>
      <c r="HN310" s="124"/>
      <c r="HO310" s="124"/>
      <c r="HP310" s="124"/>
      <c r="HQ310" s="124"/>
    </row>
    <row r="311" spans="1:225" x14ac:dyDescent="0.2">
      <c r="A311" s="122" t="s">
        <v>942</v>
      </c>
      <c r="B311" s="123">
        <v>56</v>
      </c>
      <c r="C311" s="124" t="s">
        <v>470</v>
      </c>
      <c r="D311" s="123">
        <v>302</v>
      </c>
      <c r="E311" s="124" t="s">
        <v>361</v>
      </c>
      <c r="F311" s="123">
        <v>2</v>
      </c>
      <c r="G311" s="123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  <c r="BJ311" s="124"/>
      <c r="BK311" s="124"/>
      <c r="BL311" s="124"/>
      <c r="BM311" s="124"/>
      <c r="BN311" s="124"/>
      <c r="BO311" s="124"/>
      <c r="BP311" s="124"/>
      <c r="BQ311" s="124"/>
      <c r="BR311" s="124"/>
      <c r="BS311" s="124"/>
      <c r="BT311" s="124"/>
      <c r="BU311" s="124"/>
      <c r="BV311" s="124"/>
      <c r="BW311" s="124"/>
      <c r="BX311" s="124"/>
      <c r="BY311" s="124"/>
      <c r="BZ311" s="124"/>
      <c r="CA311" s="124"/>
      <c r="CB311" s="124"/>
      <c r="CC311" s="124"/>
      <c r="CD311" s="124"/>
      <c r="CE311" s="124"/>
      <c r="CF311" s="124"/>
      <c r="CG311" s="124"/>
      <c r="CH311" s="124"/>
      <c r="CI311" s="124"/>
      <c r="CJ311" s="124"/>
      <c r="CK311" s="124"/>
      <c r="CL311" s="124"/>
      <c r="CM311" s="124"/>
      <c r="CN311" s="124"/>
      <c r="CO311" s="124"/>
      <c r="CP311" s="124"/>
      <c r="CQ311" s="124"/>
      <c r="CR311" s="124"/>
      <c r="CS311" s="124"/>
      <c r="CT311" s="124"/>
      <c r="CU311" s="124"/>
      <c r="CV311" s="124"/>
      <c r="CW311" s="124"/>
      <c r="CX311" s="124"/>
      <c r="CY311" s="124"/>
      <c r="CZ311" s="124"/>
      <c r="DA311" s="124"/>
      <c r="DB311" s="124"/>
      <c r="DC311" s="124"/>
      <c r="DD311" s="124"/>
      <c r="DE311" s="124"/>
      <c r="DF311" s="124"/>
      <c r="DG311" s="124"/>
      <c r="DH311" s="124"/>
      <c r="DI311" s="124"/>
      <c r="DJ311" s="124"/>
      <c r="DK311" s="124"/>
      <c r="DL311" s="124"/>
      <c r="DM311" s="124"/>
      <c r="DN311" s="124"/>
      <c r="DO311" s="124"/>
      <c r="DP311" s="124"/>
      <c r="DQ311" s="124"/>
      <c r="DR311" s="124"/>
      <c r="DS311" s="124"/>
      <c r="DT311" s="124"/>
      <c r="DU311" s="124"/>
      <c r="DV311" s="124"/>
      <c r="DW311" s="124"/>
      <c r="DX311" s="124"/>
      <c r="DY311" s="124"/>
      <c r="DZ311" s="124"/>
      <c r="EA311" s="124"/>
      <c r="EB311" s="124"/>
      <c r="EC311" s="124"/>
      <c r="ED311" s="124"/>
      <c r="EE311" s="124"/>
      <c r="EF311" s="124"/>
      <c r="EG311" s="124"/>
      <c r="EH311" s="124"/>
      <c r="EI311" s="124"/>
      <c r="EJ311" s="124"/>
      <c r="EK311" s="124"/>
      <c r="EL311" s="124"/>
      <c r="EM311" s="124"/>
      <c r="EN311" s="124"/>
      <c r="EO311" s="124"/>
      <c r="EP311" s="124"/>
      <c r="EQ311" s="124"/>
      <c r="ER311" s="124"/>
      <c r="ES311" s="124"/>
      <c r="ET311" s="124"/>
      <c r="EU311" s="124"/>
      <c r="EV311" s="124"/>
      <c r="EW311" s="124"/>
      <c r="EX311" s="124"/>
      <c r="EY311" s="124"/>
      <c r="EZ311" s="124"/>
      <c r="FA311" s="124"/>
      <c r="FB311" s="124"/>
      <c r="FC311" s="124"/>
      <c r="FD311" s="124"/>
      <c r="FE311" s="124"/>
      <c r="FF311" s="124"/>
      <c r="FG311" s="124"/>
      <c r="FH311" s="124"/>
      <c r="FI311" s="124"/>
      <c r="FJ311" s="124"/>
      <c r="FK311" s="124"/>
      <c r="FL311" s="124"/>
      <c r="FM311" s="124"/>
      <c r="FN311" s="124"/>
      <c r="FO311" s="124"/>
      <c r="FP311" s="124"/>
      <c r="FQ311" s="124"/>
      <c r="FR311" s="124"/>
      <c r="FS311" s="124"/>
      <c r="FT311" s="124"/>
      <c r="FU311" s="124"/>
      <c r="FV311" s="124"/>
      <c r="FW311" s="124"/>
      <c r="FX311" s="124"/>
      <c r="FY311" s="124"/>
      <c r="FZ311" s="124"/>
      <c r="GA311" s="124"/>
      <c r="GB311" s="124"/>
      <c r="GC311" s="124"/>
      <c r="GD311" s="124"/>
      <c r="GE311" s="124"/>
      <c r="GF311" s="124"/>
      <c r="GG311" s="124"/>
      <c r="GH311" s="124"/>
      <c r="GI311" s="124"/>
      <c r="GJ311" s="124"/>
      <c r="GK311" s="124"/>
      <c r="GL311" s="124"/>
      <c r="GM311" s="124"/>
      <c r="GN311" s="124"/>
      <c r="GO311" s="124"/>
      <c r="GP311" s="124"/>
      <c r="GQ311" s="124"/>
      <c r="GR311" s="124"/>
      <c r="GS311" s="124"/>
      <c r="GT311" s="124"/>
      <c r="GU311" s="124"/>
      <c r="GV311" s="124"/>
      <c r="GW311" s="124"/>
      <c r="GX311" s="124"/>
      <c r="GY311" s="124"/>
      <c r="GZ311" s="124"/>
      <c r="HA311" s="124"/>
      <c r="HB311" s="124"/>
      <c r="HC311" s="124"/>
      <c r="HD311" s="124"/>
      <c r="HE311" s="124"/>
      <c r="HF311" s="124"/>
      <c r="HG311" s="124"/>
      <c r="HH311" s="124"/>
      <c r="HI311" s="124"/>
      <c r="HJ311" s="124"/>
      <c r="HK311" s="124"/>
      <c r="HL311" s="124"/>
      <c r="HM311" s="124"/>
      <c r="HN311" s="124"/>
      <c r="HO311" s="124"/>
      <c r="HP311" s="124"/>
      <c r="HQ311" s="124"/>
    </row>
    <row r="312" spans="1:225" x14ac:dyDescent="0.2">
      <c r="A312" s="122" t="s">
        <v>943</v>
      </c>
      <c r="B312" s="123">
        <v>57</v>
      </c>
      <c r="C312" s="124" t="s">
        <v>471</v>
      </c>
      <c r="D312" s="123">
        <v>303</v>
      </c>
      <c r="E312" s="124" t="s">
        <v>361</v>
      </c>
      <c r="F312" s="123">
        <v>3</v>
      </c>
      <c r="G312" s="123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  <c r="BJ312" s="124"/>
      <c r="BK312" s="124"/>
      <c r="BL312" s="124"/>
      <c r="BM312" s="124"/>
      <c r="BN312" s="124"/>
      <c r="BO312" s="124"/>
      <c r="BP312" s="124"/>
      <c r="BQ312" s="124"/>
      <c r="BR312" s="124"/>
      <c r="BS312" s="124"/>
      <c r="BT312" s="124"/>
      <c r="BU312" s="124"/>
      <c r="BV312" s="124"/>
      <c r="BW312" s="124"/>
      <c r="BX312" s="124"/>
      <c r="BY312" s="124"/>
      <c r="BZ312" s="124"/>
      <c r="CA312" s="124"/>
      <c r="CB312" s="124"/>
      <c r="CC312" s="124"/>
      <c r="CD312" s="124"/>
      <c r="CE312" s="124"/>
      <c r="CF312" s="124"/>
      <c r="CG312" s="124"/>
      <c r="CH312" s="124"/>
      <c r="CI312" s="124"/>
      <c r="CJ312" s="124"/>
      <c r="CK312" s="124"/>
      <c r="CL312" s="124"/>
      <c r="CM312" s="124"/>
      <c r="CN312" s="124"/>
      <c r="CO312" s="124"/>
      <c r="CP312" s="124"/>
      <c r="CQ312" s="124"/>
      <c r="CR312" s="124"/>
      <c r="CS312" s="124"/>
      <c r="CT312" s="124"/>
      <c r="CU312" s="124"/>
      <c r="CV312" s="124"/>
      <c r="CW312" s="124"/>
      <c r="CX312" s="124"/>
      <c r="CY312" s="124"/>
      <c r="CZ312" s="124"/>
      <c r="DA312" s="124"/>
      <c r="DB312" s="124"/>
      <c r="DC312" s="124"/>
      <c r="DD312" s="124"/>
      <c r="DE312" s="124"/>
      <c r="DF312" s="124"/>
      <c r="DG312" s="124"/>
      <c r="DH312" s="124"/>
      <c r="DI312" s="124"/>
      <c r="DJ312" s="124"/>
      <c r="DK312" s="124"/>
      <c r="DL312" s="124"/>
      <c r="DM312" s="124"/>
      <c r="DN312" s="124"/>
      <c r="DO312" s="124"/>
      <c r="DP312" s="124"/>
      <c r="DQ312" s="124"/>
      <c r="DR312" s="124"/>
      <c r="DS312" s="124"/>
      <c r="DT312" s="124"/>
      <c r="DU312" s="124"/>
      <c r="DV312" s="124"/>
      <c r="DW312" s="124"/>
      <c r="DX312" s="124"/>
      <c r="DY312" s="124"/>
      <c r="DZ312" s="124"/>
      <c r="EA312" s="124"/>
      <c r="EB312" s="124"/>
      <c r="EC312" s="124"/>
      <c r="ED312" s="124"/>
      <c r="EE312" s="124"/>
      <c r="EF312" s="124"/>
      <c r="EG312" s="124"/>
      <c r="EH312" s="124"/>
      <c r="EI312" s="124"/>
      <c r="EJ312" s="124"/>
      <c r="EK312" s="124"/>
      <c r="EL312" s="124"/>
      <c r="EM312" s="124"/>
      <c r="EN312" s="124"/>
      <c r="EO312" s="124"/>
      <c r="EP312" s="124"/>
      <c r="EQ312" s="124"/>
      <c r="ER312" s="124"/>
      <c r="ES312" s="124"/>
      <c r="ET312" s="124"/>
      <c r="EU312" s="124"/>
      <c r="EV312" s="124"/>
      <c r="EW312" s="124"/>
      <c r="EX312" s="124"/>
      <c r="EY312" s="124"/>
      <c r="EZ312" s="124"/>
      <c r="FA312" s="124"/>
      <c r="FB312" s="124"/>
      <c r="FC312" s="124"/>
      <c r="FD312" s="124"/>
      <c r="FE312" s="124"/>
      <c r="FF312" s="124"/>
      <c r="FG312" s="124"/>
      <c r="FH312" s="124"/>
      <c r="FI312" s="124"/>
      <c r="FJ312" s="124"/>
      <c r="FK312" s="124"/>
      <c r="FL312" s="124"/>
      <c r="FM312" s="124"/>
      <c r="FN312" s="124"/>
      <c r="FO312" s="124"/>
      <c r="FP312" s="124"/>
      <c r="FQ312" s="124"/>
      <c r="FR312" s="124"/>
      <c r="FS312" s="124"/>
      <c r="FT312" s="124"/>
      <c r="FU312" s="124"/>
      <c r="FV312" s="124"/>
      <c r="FW312" s="124"/>
      <c r="FX312" s="124"/>
      <c r="FY312" s="124"/>
      <c r="FZ312" s="124"/>
      <c r="GA312" s="124"/>
      <c r="GB312" s="124"/>
      <c r="GC312" s="124"/>
      <c r="GD312" s="124"/>
      <c r="GE312" s="124"/>
      <c r="GF312" s="124"/>
      <c r="GG312" s="124"/>
      <c r="GH312" s="124"/>
      <c r="GI312" s="124"/>
      <c r="GJ312" s="124"/>
      <c r="GK312" s="124"/>
      <c r="GL312" s="124"/>
      <c r="GM312" s="124"/>
      <c r="GN312" s="124"/>
      <c r="GO312" s="124"/>
      <c r="GP312" s="124"/>
      <c r="GQ312" s="124"/>
      <c r="GR312" s="124"/>
      <c r="GS312" s="124"/>
      <c r="GT312" s="124"/>
      <c r="GU312" s="124"/>
      <c r="GV312" s="124"/>
      <c r="GW312" s="124"/>
      <c r="GX312" s="124"/>
      <c r="GY312" s="124"/>
      <c r="GZ312" s="124"/>
      <c r="HA312" s="124"/>
      <c r="HB312" s="124"/>
      <c r="HC312" s="124"/>
      <c r="HD312" s="124"/>
      <c r="HE312" s="124"/>
      <c r="HF312" s="124"/>
      <c r="HG312" s="124"/>
      <c r="HH312" s="124"/>
      <c r="HI312" s="124"/>
      <c r="HJ312" s="124"/>
      <c r="HK312" s="124"/>
      <c r="HL312" s="124"/>
      <c r="HM312" s="124"/>
      <c r="HN312" s="124"/>
      <c r="HO312" s="124"/>
      <c r="HP312" s="124"/>
      <c r="HQ312" s="124"/>
    </row>
    <row r="313" spans="1:225" x14ac:dyDescent="0.2">
      <c r="A313" s="122" t="s">
        <v>944</v>
      </c>
      <c r="B313" s="123">
        <v>57</v>
      </c>
      <c r="C313" s="124" t="s">
        <v>472</v>
      </c>
      <c r="D313" s="123">
        <v>304</v>
      </c>
      <c r="E313" s="124" t="s">
        <v>361</v>
      </c>
      <c r="F313" s="123">
        <v>4</v>
      </c>
      <c r="G313" s="123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  <c r="AV313" s="124"/>
      <c r="AW313" s="124"/>
      <c r="AX313" s="124"/>
      <c r="AY313" s="124"/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  <c r="BJ313" s="124"/>
      <c r="BK313" s="124"/>
      <c r="BL313" s="124"/>
      <c r="BM313" s="124"/>
      <c r="BN313" s="124"/>
      <c r="BO313" s="124"/>
      <c r="BP313" s="124"/>
      <c r="BQ313" s="124"/>
      <c r="BR313" s="124"/>
      <c r="BS313" s="124"/>
      <c r="BT313" s="124"/>
      <c r="BU313" s="124"/>
      <c r="BV313" s="124"/>
      <c r="BW313" s="124"/>
      <c r="BX313" s="124"/>
      <c r="BY313" s="124"/>
      <c r="BZ313" s="124"/>
      <c r="CA313" s="124"/>
      <c r="CB313" s="124"/>
      <c r="CC313" s="124"/>
      <c r="CD313" s="124"/>
      <c r="CE313" s="124"/>
      <c r="CF313" s="124"/>
      <c r="CG313" s="124"/>
      <c r="CH313" s="124"/>
      <c r="CI313" s="124"/>
      <c r="CJ313" s="124"/>
      <c r="CK313" s="124"/>
      <c r="CL313" s="124"/>
      <c r="CM313" s="124"/>
      <c r="CN313" s="124"/>
      <c r="CO313" s="124"/>
      <c r="CP313" s="124"/>
      <c r="CQ313" s="124"/>
      <c r="CR313" s="124"/>
      <c r="CS313" s="124"/>
      <c r="CT313" s="124"/>
      <c r="CU313" s="124"/>
      <c r="CV313" s="124"/>
      <c r="CW313" s="124"/>
      <c r="CX313" s="124"/>
      <c r="CY313" s="124"/>
      <c r="CZ313" s="124"/>
      <c r="DA313" s="124"/>
      <c r="DB313" s="124"/>
      <c r="DC313" s="124"/>
      <c r="DD313" s="124"/>
      <c r="DE313" s="124"/>
      <c r="DF313" s="124"/>
      <c r="DG313" s="124"/>
      <c r="DH313" s="124"/>
      <c r="DI313" s="124"/>
      <c r="DJ313" s="124"/>
      <c r="DK313" s="124"/>
      <c r="DL313" s="124"/>
      <c r="DM313" s="124"/>
      <c r="DN313" s="124"/>
      <c r="DO313" s="124"/>
      <c r="DP313" s="124"/>
      <c r="DQ313" s="124"/>
      <c r="DR313" s="124"/>
      <c r="DS313" s="124"/>
      <c r="DT313" s="124"/>
      <c r="DU313" s="124"/>
      <c r="DV313" s="124"/>
      <c r="DW313" s="124"/>
      <c r="DX313" s="124"/>
      <c r="DY313" s="124"/>
      <c r="DZ313" s="124"/>
      <c r="EA313" s="124"/>
      <c r="EB313" s="124"/>
      <c r="EC313" s="124"/>
      <c r="ED313" s="124"/>
      <c r="EE313" s="124"/>
      <c r="EF313" s="124"/>
      <c r="EG313" s="124"/>
      <c r="EH313" s="124"/>
      <c r="EI313" s="124"/>
      <c r="EJ313" s="124"/>
      <c r="EK313" s="124"/>
      <c r="EL313" s="124"/>
      <c r="EM313" s="124"/>
      <c r="EN313" s="124"/>
      <c r="EO313" s="124"/>
      <c r="EP313" s="124"/>
      <c r="EQ313" s="124"/>
      <c r="ER313" s="124"/>
      <c r="ES313" s="124"/>
      <c r="ET313" s="124"/>
      <c r="EU313" s="124"/>
      <c r="EV313" s="124"/>
      <c r="EW313" s="124"/>
      <c r="EX313" s="124"/>
      <c r="EY313" s="124"/>
      <c r="EZ313" s="124"/>
      <c r="FA313" s="124"/>
      <c r="FB313" s="124"/>
      <c r="FC313" s="124"/>
      <c r="FD313" s="124"/>
      <c r="FE313" s="124"/>
      <c r="FF313" s="124"/>
      <c r="FG313" s="124"/>
      <c r="FH313" s="124"/>
      <c r="FI313" s="124"/>
      <c r="FJ313" s="124"/>
      <c r="FK313" s="124"/>
      <c r="FL313" s="124"/>
      <c r="FM313" s="124"/>
      <c r="FN313" s="124"/>
      <c r="FO313" s="124"/>
      <c r="FP313" s="124"/>
      <c r="FQ313" s="124"/>
      <c r="FR313" s="124"/>
      <c r="FS313" s="124"/>
      <c r="FT313" s="124"/>
      <c r="FU313" s="124"/>
      <c r="FV313" s="124"/>
      <c r="FW313" s="124"/>
      <c r="FX313" s="124"/>
      <c r="FY313" s="124"/>
      <c r="FZ313" s="124"/>
      <c r="GA313" s="124"/>
      <c r="GB313" s="124"/>
      <c r="GC313" s="124"/>
      <c r="GD313" s="124"/>
      <c r="GE313" s="124"/>
      <c r="GF313" s="124"/>
      <c r="GG313" s="124"/>
      <c r="GH313" s="124"/>
      <c r="GI313" s="124"/>
      <c r="GJ313" s="124"/>
      <c r="GK313" s="124"/>
      <c r="GL313" s="124"/>
      <c r="GM313" s="124"/>
      <c r="GN313" s="124"/>
      <c r="GO313" s="124"/>
      <c r="GP313" s="124"/>
      <c r="GQ313" s="124"/>
      <c r="GR313" s="124"/>
      <c r="GS313" s="124"/>
      <c r="GT313" s="124"/>
      <c r="GU313" s="124"/>
      <c r="GV313" s="124"/>
      <c r="GW313" s="124"/>
      <c r="GX313" s="124"/>
      <c r="GY313" s="124"/>
      <c r="GZ313" s="124"/>
      <c r="HA313" s="124"/>
      <c r="HB313" s="124"/>
      <c r="HC313" s="124"/>
      <c r="HD313" s="124"/>
      <c r="HE313" s="124"/>
      <c r="HF313" s="124"/>
      <c r="HG313" s="124"/>
      <c r="HH313" s="124"/>
      <c r="HI313" s="124"/>
      <c r="HJ313" s="124"/>
      <c r="HK313" s="124"/>
      <c r="HL313" s="124"/>
      <c r="HM313" s="124"/>
      <c r="HN313" s="124"/>
      <c r="HO313" s="124"/>
      <c r="HP313" s="124"/>
      <c r="HQ313" s="124"/>
    </row>
    <row r="314" spans="1:225" x14ac:dyDescent="0.2">
      <c r="A314" s="122" t="s">
        <v>945</v>
      </c>
      <c r="B314" s="123">
        <v>58</v>
      </c>
      <c r="C314" s="124" t="s">
        <v>473</v>
      </c>
      <c r="D314" s="123">
        <v>305</v>
      </c>
      <c r="E314" s="124" t="s">
        <v>361</v>
      </c>
      <c r="F314" s="123">
        <v>4</v>
      </c>
      <c r="G314" s="123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  <c r="AV314" s="124"/>
      <c r="AW314" s="124"/>
      <c r="AX314" s="124"/>
      <c r="AY314" s="124"/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  <c r="BJ314" s="124"/>
      <c r="BK314" s="124"/>
      <c r="BL314" s="124"/>
      <c r="BM314" s="124"/>
      <c r="BN314" s="124"/>
      <c r="BO314" s="124"/>
      <c r="BP314" s="124"/>
      <c r="BQ314" s="124"/>
      <c r="BR314" s="124"/>
      <c r="BS314" s="124"/>
      <c r="BT314" s="124"/>
      <c r="BU314" s="124"/>
      <c r="BV314" s="124"/>
      <c r="BW314" s="124"/>
      <c r="BX314" s="124"/>
      <c r="BY314" s="124"/>
      <c r="BZ314" s="124"/>
      <c r="CA314" s="124"/>
      <c r="CB314" s="124"/>
      <c r="CC314" s="124"/>
      <c r="CD314" s="124"/>
      <c r="CE314" s="124"/>
      <c r="CF314" s="124"/>
      <c r="CG314" s="124"/>
      <c r="CH314" s="124"/>
      <c r="CI314" s="124"/>
      <c r="CJ314" s="124"/>
      <c r="CK314" s="124"/>
      <c r="CL314" s="124"/>
      <c r="CM314" s="124"/>
      <c r="CN314" s="124"/>
      <c r="CO314" s="124"/>
      <c r="CP314" s="124"/>
      <c r="CQ314" s="124"/>
      <c r="CR314" s="124"/>
      <c r="CS314" s="124"/>
      <c r="CT314" s="124"/>
      <c r="CU314" s="124"/>
      <c r="CV314" s="124"/>
      <c r="CW314" s="124"/>
      <c r="CX314" s="124"/>
      <c r="CY314" s="124"/>
      <c r="CZ314" s="124"/>
      <c r="DA314" s="124"/>
      <c r="DB314" s="124"/>
      <c r="DC314" s="124"/>
      <c r="DD314" s="124"/>
      <c r="DE314" s="124"/>
      <c r="DF314" s="124"/>
      <c r="DG314" s="124"/>
      <c r="DH314" s="124"/>
      <c r="DI314" s="124"/>
      <c r="DJ314" s="124"/>
      <c r="DK314" s="124"/>
      <c r="DL314" s="124"/>
      <c r="DM314" s="124"/>
      <c r="DN314" s="124"/>
      <c r="DO314" s="124"/>
      <c r="DP314" s="124"/>
      <c r="DQ314" s="124"/>
      <c r="DR314" s="124"/>
      <c r="DS314" s="124"/>
      <c r="DT314" s="124"/>
      <c r="DU314" s="124"/>
      <c r="DV314" s="124"/>
      <c r="DW314" s="124"/>
      <c r="DX314" s="124"/>
      <c r="DY314" s="124"/>
      <c r="DZ314" s="124"/>
      <c r="EA314" s="124"/>
      <c r="EB314" s="124"/>
      <c r="EC314" s="124"/>
      <c r="ED314" s="124"/>
      <c r="EE314" s="124"/>
      <c r="EF314" s="124"/>
      <c r="EG314" s="124"/>
      <c r="EH314" s="124"/>
      <c r="EI314" s="124"/>
      <c r="EJ314" s="124"/>
      <c r="EK314" s="124"/>
      <c r="EL314" s="124"/>
      <c r="EM314" s="124"/>
      <c r="EN314" s="124"/>
      <c r="EO314" s="124"/>
      <c r="EP314" s="124"/>
      <c r="EQ314" s="124"/>
      <c r="ER314" s="124"/>
      <c r="ES314" s="124"/>
      <c r="ET314" s="124"/>
      <c r="EU314" s="124"/>
      <c r="EV314" s="124"/>
      <c r="EW314" s="124"/>
      <c r="EX314" s="124"/>
      <c r="EY314" s="124"/>
      <c r="EZ314" s="124"/>
      <c r="FA314" s="124"/>
      <c r="FB314" s="124"/>
      <c r="FC314" s="124"/>
      <c r="FD314" s="124"/>
      <c r="FE314" s="124"/>
      <c r="FF314" s="124"/>
      <c r="FG314" s="124"/>
      <c r="FH314" s="124"/>
      <c r="FI314" s="124"/>
      <c r="FJ314" s="124"/>
      <c r="FK314" s="124"/>
      <c r="FL314" s="124"/>
      <c r="FM314" s="124"/>
      <c r="FN314" s="124"/>
      <c r="FO314" s="124"/>
      <c r="FP314" s="124"/>
      <c r="FQ314" s="124"/>
      <c r="FR314" s="124"/>
      <c r="FS314" s="124"/>
      <c r="FT314" s="124"/>
      <c r="FU314" s="124"/>
      <c r="FV314" s="124"/>
      <c r="FW314" s="124"/>
      <c r="FX314" s="124"/>
      <c r="FY314" s="124"/>
      <c r="FZ314" s="124"/>
      <c r="GA314" s="124"/>
      <c r="GB314" s="124"/>
      <c r="GC314" s="124"/>
      <c r="GD314" s="124"/>
      <c r="GE314" s="124"/>
      <c r="GF314" s="124"/>
      <c r="GG314" s="124"/>
      <c r="GH314" s="124"/>
      <c r="GI314" s="124"/>
      <c r="GJ314" s="124"/>
      <c r="GK314" s="124"/>
      <c r="GL314" s="124"/>
      <c r="GM314" s="124"/>
      <c r="GN314" s="124"/>
      <c r="GO314" s="124"/>
      <c r="GP314" s="124"/>
      <c r="GQ314" s="124"/>
      <c r="GR314" s="124"/>
      <c r="GS314" s="124"/>
      <c r="GT314" s="124"/>
      <c r="GU314" s="124"/>
      <c r="GV314" s="124"/>
      <c r="GW314" s="124"/>
      <c r="GX314" s="124"/>
      <c r="GY314" s="124"/>
      <c r="GZ314" s="124"/>
      <c r="HA314" s="124"/>
      <c r="HB314" s="124"/>
      <c r="HC314" s="124"/>
      <c r="HD314" s="124"/>
      <c r="HE314" s="124"/>
      <c r="HF314" s="124"/>
      <c r="HG314" s="124"/>
      <c r="HH314" s="124"/>
      <c r="HI314" s="124"/>
      <c r="HJ314" s="124"/>
      <c r="HK314" s="124"/>
      <c r="HL314" s="124"/>
      <c r="HM314" s="124"/>
      <c r="HN314" s="124"/>
      <c r="HO314" s="124"/>
      <c r="HP314" s="124"/>
      <c r="HQ314" s="124"/>
    </row>
    <row r="315" spans="1:225" x14ac:dyDescent="0.2">
      <c r="A315" s="122" t="s">
        <v>946</v>
      </c>
      <c r="B315" s="123">
        <v>58</v>
      </c>
      <c r="C315" s="124" t="s">
        <v>474</v>
      </c>
      <c r="D315" s="123">
        <v>306</v>
      </c>
      <c r="E315" s="124" t="s">
        <v>361</v>
      </c>
      <c r="F315" s="123">
        <v>4</v>
      </c>
      <c r="G315" s="123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  <c r="AV315" s="124"/>
      <c r="AW315" s="124"/>
      <c r="AX315" s="124"/>
      <c r="AY315" s="124"/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  <c r="BJ315" s="124"/>
      <c r="BK315" s="124"/>
      <c r="BL315" s="124"/>
      <c r="BM315" s="124"/>
      <c r="BN315" s="124"/>
      <c r="BO315" s="124"/>
      <c r="BP315" s="124"/>
      <c r="BQ315" s="124"/>
      <c r="BR315" s="124"/>
      <c r="BS315" s="124"/>
      <c r="BT315" s="124"/>
      <c r="BU315" s="124"/>
      <c r="BV315" s="124"/>
      <c r="BW315" s="124"/>
      <c r="BX315" s="124"/>
      <c r="BY315" s="124"/>
      <c r="BZ315" s="124"/>
      <c r="CA315" s="124"/>
      <c r="CB315" s="124"/>
      <c r="CC315" s="124"/>
      <c r="CD315" s="124"/>
      <c r="CE315" s="124"/>
      <c r="CF315" s="124"/>
      <c r="CG315" s="124"/>
      <c r="CH315" s="124"/>
      <c r="CI315" s="124"/>
      <c r="CJ315" s="124"/>
      <c r="CK315" s="124"/>
      <c r="CL315" s="124"/>
      <c r="CM315" s="124"/>
      <c r="CN315" s="124"/>
      <c r="CO315" s="124"/>
      <c r="CP315" s="124"/>
      <c r="CQ315" s="124"/>
      <c r="CR315" s="124"/>
      <c r="CS315" s="124"/>
      <c r="CT315" s="124"/>
      <c r="CU315" s="124"/>
      <c r="CV315" s="124"/>
      <c r="CW315" s="124"/>
      <c r="CX315" s="124"/>
      <c r="CY315" s="124"/>
      <c r="CZ315" s="124"/>
      <c r="DA315" s="124"/>
      <c r="DB315" s="124"/>
      <c r="DC315" s="124"/>
      <c r="DD315" s="124"/>
      <c r="DE315" s="124"/>
      <c r="DF315" s="124"/>
      <c r="DG315" s="124"/>
      <c r="DH315" s="124"/>
      <c r="DI315" s="124"/>
      <c r="DJ315" s="124"/>
      <c r="DK315" s="124"/>
      <c r="DL315" s="124"/>
      <c r="DM315" s="124"/>
      <c r="DN315" s="124"/>
      <c r="DO315" s="124"/>
      <c r="DP315" s="124"/>
      <c r="DQ315" s="124"/>
      <c r="DR315" s="124"/>
      <c r="DS315" s="124"/>
      <c r="DT315" s="124"/>
      <c r="DU315" s="124"/>
      <c r="DV315" s="124"/>
      <c r="DW315" s="124"/>
      <c r="DX315" s="124"/>
      <c r="DY315" s="124"/>
      <c r="DZ315" s="124"/>
      <c r="EA315" s="124"/>
      <c r="EB315" s="124"/>
      <c r="EC315" s="124"/>
      <c r="ED315" s="124"/>
      <c r="EE315" s="124"/>
      <c r="EF315" s="124"/>
      <c r="EG315" s="124"/>
      <c r="EH315" s="124"/>
      <c r="EI315" s="124"/>
      <c r="EJ315" s="124"/>
      <c r="EK315" s="124"/>
      <c r="EL315" s="124"/>
      <c r="EM315" s="124"/>
      <c r="EN315" s="124"/>
      <c r="EO315" s="124"/>
      <c r="EP315" s="124"/>
      <c r="EQ315" s="124"/>
      <c r="ER315" s="124"/>
      <c r="ES315" s="124"/>
      <c r="ET315" s="124"/>
      <c r="EU315" s="124"/>
      <c r="EV315" s="124"/>
      <c r="EW315" s="124"/>
      <c r="EX315" s="124"/>
      <c r="EY315" s="124"/>
      <c r="EZ315" s="124"/>
      <c r="FA315" s="124"/>
      <c r="FB315" s="124"/>
      <c r="FC315" s="124"/>
      <c r="FD315" s="124"/>
      <c r="FE315" s="124"/>
      <c r="FF315" s="124"/>
      <c r="FG315" s="124"/>
      <c r="FH315" s="124"/>
      <c r="FI315" s="124"/>
      <c r="FJ315" s="124"/>
      <c r="FK315" s="124"/>
      <c r="FL315" s="124"/>
      <c r="FM315" s="124"/>
      <c r="FN315" s="124"/>
      <c r="FO315" s="124"/>
      <c r="FP315" s="124"/>
      <c r="FQ315" s="124"/>
      <c r="FR315" s="124"/>
      <c r="FS315" s="124"/>
      <c r="FT315" s="124"/>
      <c r="FU315" s="124"/>
      <c r="FV315" s="124"/>
      <c r="FW315" s="124"/>
      <c r="FX315" s="124"/>
      <c r="FY315" s="124"/>
      <c r="FZ315" s="124"/>
      <c r="GA315" s="124"/>
      <c r="GB315" s="124"/>
      <c r="GC315" s="124"/>
      <c r="GD315" s="124"/>
      <c r="GE315" s="124"/>
      <c r="GF315" s="124"/>
      <c r="GG315" s="124"/>
      <c r="GH315" s="124"/>
      <c r="GI315" s="124"/>
      <c r="GJ315" s="124"/>
      <c r="GK315" s="124"/>
      <c r="GL315" s="124"/>
      <c r="GM315" s="124"/>
      <c r="GN315" s="124"/>
      <c r="GO315" s="124"/>
      <c r="GP315" s="124"/>
      <c r="GQ315" s="124"/>
      <c r="GR315" s="124"/>
      <c r="GS315" s="124"/>
      <c r="GT315" s="124"/>
      <c r="GU315" s="124"/>
      <c r="GV315" s="124"/>
      <c r="GW315" s="124"/>
      <c r="GX315" s="124"/>
      <c r="GY315" s="124"/>
      <c r="GZ315" s="124"/>
      <c r="HA315" s="124"/>
      <c r="HB315" s="124"/>
      <c r="HC315" s="124"/>
      <c r="HD315" s="124"/>
      <c r="HE315" s="124"/>
      <c r="HF315" s="124"/>
      <c r="HG315" s="124"/>
      <c r="HH315" s="124"/>
      <c r="HI315" s="124"/>
      <c r="HJ315" s="124"/>
      <c r="HK315" s="124"/>
      <c r="HL315" s="124"/>
      <c r="HM315" s="124"/>
      <c r="HN315" s="124"/>
      <c r="HO315" s="124"/>
      <c r="HP315" s="124"/>
      <c r="HQ315" s="124"/>
    </row>
    <row r="316" spans="1:225" x14ac:dyDescent="0.2">
      <c r="A316" s="122" t="s">
        <v>947</v>
      </c>
      <c r="B316" s="123">
        <v>59</v>
      </c>
      <c r="C316" s="124" t="s">
        <v>475</v>
      </c>
      <c r="D316" s="123">
        <v>307</v>
      </c>
      <c r="E316" s="124" t="s">
        <v>361</v>
      </c>
      <c r="F316" s="123">
        <v>4</v>
      </c>
      <c r="G316" s="123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  <c r="BJ316" s="124"/>
      <c r="BK316" s="124"/>
      <c r="BL316" s="124"/>
      <c r="BM316" s="124"/>
      <c r="BN316" s="124"/>
      <c r="BO316" s="124"/>
      <c r="BP316" s="124"/>
      <c r="BQ316" s="124"/>
      <c r="BR316" s="124"/>
      <c r="BS316" s="124"/>
      <c r="BT316" s="124"/>
      <c r="BU316" s="124"/>
      <c r="BV316" s="124"/>
      <c r="BW316" s="124"/>
      <c r="BX316" s="124"/>
      <c r="BY316" s="124"/>
      <c r="BZ316" s="124"/>
      <c r="CA316" s="124"/>
      <c r="CB316" s="124"/>
      <c r="CC316" s="124"/>
      <c r="CD316" s="124"/>
      <c r="CE316" s="124"/>
      <c r="CF316" s="124"/>
      <c r="CG316" s="124"/>
      <c r="CH316" s="124"/>
      <c r="CI316" s="124"/>
      <c r="CJ316" s="124"/>
      <c r="CK316" s="124"/>
      <c r="CL316" s="124"/>
      <c r="CM316" s="124"/>
      <c r="CN316" s="124"/>
      <c r="CO316" s="124"/>
      <c r="CP316" s="124"/>
      <c r="CQ316" s="124"/>
      <c r="CR316" s="124"/>
      <c r="CS316" s="124"/>
      <c r="CT316" s="124"/>
      <c r="CU316" s="124"/>
      <c r="CV316" s="124"/>
      <c r="CW316" s="124"/>
      <c r="CX316" s="124"/>
      <c r="CY316" s="124"/>
      <c r="CZ316" s="124"/>
      <c r="DA316" s="124"/>
      <c r="DB316" s="124"/>
      <c r="DC316" s="124"/>
      <c r="DD316" s="124"/>
      <c r="DE316" s="124"/>
      <c r="DF316" s="124"/>
      <c r="DG316" s="124"/>
      <c r="DH316" s="124"/>
      <c r="DI316" s="124"/>
      <c r="DJ316" s="124"/>
      <c r="DK316" s="124"/>
      <c r="DL316" s="124"/>
      <c r="DM316" s="124"/>
      <c r="DN316" s="124"/>
      <c r="DO316" s="124"/>
      <c r="DP316" s="124"/>
      <c r="DQ316" s="124"/>
      <c r="DR316" s="124"/>
      <c r="DS316" s="124"/>
      <c r="DT316" s="124"/>
      <c r="DU316" s="124"/>
      <c r="DV316" s="124"/>
      <c r="DW316" s="124"/>
      <c r="DX316" s="124"/>
      <c r="DY316" s="124"/>
      <c r="DZ316" s="124"/>
      <c r="EA316" s="124"/>
      <c r="EB316" s="124"/>
      <c r="EC316" s="124"/>
      <c r="ED316" s="124"/>
      <c r="EE316" s="124"/>
      <c r="EF316" s="124"/>
      <c r="EG316" s="124"/>
      <c r="EH316" s="124"/>
      <c r="EI316" s="124"/>
      <c r="EJ316" s="124"/>
      <c r="EK316" s="124"/>
      <c r="EL316" s="124"/>
      <c r="EM316" s="124"/>
      <c r="EN316" s="124"/>
      <c r="EO316" s="124"/>
      <c r="EP316" s="124"/>
      <c r="EQ316" s="124"/>
      <c r="ER316" s="124"/>
      <c r="ES316" s="124"/>
      <c r="ET316" s="124"/>
      <c r="EU316" s="124"/>
      <c r="EV316" s="124"/>
      <c r="EW316" s="124"/>
      <c r="EX316" s="124"/>
      <c r="EY316" s="124"/>
      <c r="EZ316" s="124"/>
      <c r="FA316" s="124"/>
      <c r="FB316" s="124"/>
      <c r="FC316" s="124"/>
      <c r="FD316" s="124"/>
      <c r="FE316" s="124"/>
      <c r="FF316" s="124"/>
      <c r="FG316" s="124"/>
      <c r="FH316" s="124"/>
      <c r="FI316" s="124"/>
      <c r="FJ316" s="124"/>
      <c r="FK316" s="124"/>
      <c r="FL316" s="124"/>
      <c r="FM316" s="124"/>
      <c r="FN316" s="124"/>
      <c r="FO316" s="124"/>
      <c r="FP316" s="124"/>
      <c r="FQ316" s="124"/>
      <c r="FR316" s="124"/>
      <c r="FS316" s="124"/>
      <c r="FT316" s="124"/>
      <c r="FU316" s="124"/>
      <c r="FV316" s="124"/>
      <c r="FW316" s="124"/>
      <c r="FX316" s="124"/>
      <c r="FY316" s="124"/>
      <c r="FZ316" s="124"/>
      <c r="GA316" s="124"/>
      <c r="GB316" s="124"/>
      <c r="GC316" s="124"/>
      <c r="GD316" s="124"/>
      <c r="GE316" s="124"/>
      <c r="GF316" s="124"/>
      <c r="GG316" s="124"/>
      <c r="GH316" s="124"/>
      <c r="GI316" s="124"/>
      <c r="GJ316" s="124"/>
      <c r="GK316" s="124"/>
      <c r="GL316" s="124"/>
      <c r="GM316" s="124"/>
      <c r="GN316" s="124"/>
      <c r="GO316" s="124"/>
      <c r="GP316" s="124"/>
      <c r="GQ316" s="124"/>
      <c r="GR316" s="124"/>
      <c r="GS316" s="124"/>
      <c r="GT316" s="124"/>
      <c r="GU316" s="124"/>
      <c r="GV316" s="124"/>
      <c r="GW316" s="124"/>
      <c r="GX316" s="124"/>
      <c r="GY316" s="124"/>
      <c r="GZ316" s="124"/>
      <c r="HA316" s="124"/>
      <c r="HB316" s="124"/>
      <c r="HC316" s="124"/>
      <c r="HD316" s="124"/>
      <c r="HE316" s="124"/>
      <c r="HF316" s="124"/>
      <c r="HG316" s="124"/>
      <c r="HH316" s="124"/>
      <c r="HI316" s="124"/>
      <c r="HJ316" s="124"/>
      <c r="HK316" s="124"/>
      <c r="HL316" s="124"/>
      <c r="HM316" s="124"/>
      <c r="HN316" s="124"/>
      <c r="HO316" s="124"/>
      <c r="HP316" s="124"/>
      <c r="HQ316" s="124"/>
    </row>
    <row r="317" spans="1:225" x14ac:dyDescent="0.2">
      <c r="A317" s="122" t="s">
        <v>948</v>
      </c>
      <c r="B317" s="123">
        <v>59</v>
      </c>
      <c r="C317" s="140" t="s">
        <v>476</v>
      </c>
      <c r="D317" s="123">
        <v>308</v>
      </c>
      <c r="E317" s="124" t="s">
        <v>361</v>
      </c>
      <c r="F317" s="123">
        <v>4</v>
      </c>
      <c r="G317" s="123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  <c r="AV317" s="124"/>
      <c r="AW317" s="124"/>
      <c r="AX317" s="124"/>
      <c r="AY317" s="124"/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  <c r="BJ317" s="124"/>
      <c r="BK317" s="124"/>
      <c r="BL317" s="124"/>
      <c r="BM317" s="124"/>
      <c r="BN317" s="124"/>
      <c r="BO317" s="124"/>
      <c r="BP317" s="124"/>
      <c r="BQ317" s="124"/>
      <c r="BR317" s="124"/>
      <c r="BS317" s="124"/>
      <c r="BT317" s="124"/>
      <c r="BU317" s="124"/>
      <c r="BV317" s="124"/>
      <c r="BW317" s="124"/>
      <c r="BX317" s="124"/>
      <c r="BY317" s="124"/>
      <c r="BZ317" s="124"/>
      <c r="CA317" s="124"/>
      <c r="CB317" s="124"/>
      <c r="CC317" s="124"/>
      <c r="CD317" s="124"/>
      <c r="CE317" s="124"/>
      <c r="CF317" s="124"/>
      <c r="CG317" s="124"/>
      <c r="CH317" s="124"/>
      <c r="CI317" s="124"/>
      <c r="CJ317" s="124"/>
      <c r="CK317" s="124"/>
      <c r="CL317" s="124"/>
      <c r="CM317" s="124"/>
      <c r="CN317" s="124"/>
      <c r="CO317" s="124"/>
      <c r="CP317" s="124"/>
      <c r="CQ317" s="124"/>
      <c r="CR317" s="124"/>
      <c r="CS317" s="124"/>
      <c r="CT317" s="124"/>
      <c r="CU317" s="124"/>
      <c r="CV317" s="124"/>
      <c r="CW317" s="124"/>
      <c r="CX317" s="124"/>
      <c r="CY317" s="124"/>
      <c r="CZ317" s="124"/>
      <c r="DA317" s="124"/>
      <c r="DB317" s="124"/>
      <c r="DC317" s="124"/>
      <c r="DD317" s="124"/>
      <c r="DE317" s="124"/>
      <c r="DF317" s="124"/>
      <c r="DG317" s="124"/>
      <c r="DH317" s="124"/>
      <c r="DI317" s="124"/>
      <c r="DJ317" s="124"/>
      <c r="DK317" s="124"/>
      <c r="DL317" s="124"/>
      <c r="DM317" s="124"/>
      <c r="DN317" s="124"/>
      <c r="DO317" s="124"/>
      <c r="DP317" s="124"/>
      <c r="DQ317" s="124"/>
      <c r="DR317" s="124"/>
      <c r="DS317" s="124"/>
      <c r="DT317" s="124"/>
      <c r="DU317" s="124"/>
      <c r="DV317" s="124"/>
      <c r="DW317" s="124"/>
      <c r="DX317" s="124"/>
      <c r="DY317" s="124"/>
      <c r="DZ317" s="124"/>
      <c r="EA317" s="124"/>
      <c r="EB317" s="124"/>
      <c r="EC317" s="124"/>
      <c r="ED317" s="124"/>
      <c r="EE317" s="124"/>
      <c r="EF317" s="124"/>
      <c r="EG317" s="124"/>
      <c r="EH317" s="124"/>
      <c r="EI317" s="124"/>
      <c r="EJ317" s="124"/>
      <c r="EK317" s="124"/>
      <c r="EL317" s="124"/>
      <c r="EM317" s="124"/>
      <c r="EN317" s="124"/>
      <c r="EO317" s="124"/>
      <c r="EP317" s="124"/>
      <c r="EQ317" s="124"/>
      <c r="ER317" s="124"/>
      <c r="ES317" s="124"/>
      <c r="ET317" s="124"/>
      <c r="EU317" s="124"/>
      <c r="EV317" s="124"/>
      <c r="EW317" s="124"/>
      <c r="EX317" s="124"/>
      <c r="EY317" s="124"/>
      <c r="EZ317" s="124"/>
      <c r="FA317" s="124"/>
      <c r="FB317" s="124"/>
      <c r="FC317" s="124"/>
      <c r="FD317" s="124"/>
      <c r="FE317" s="124"/>
      <c r="FF317" s="124"/>
      <c r="FG317" s="124"/>
      <c r="FH317" s="124"/>
      <c r="FI317" s="124"/>
      <c r="FJ317" s="124"/>
      <c r="FK317" s="124"/>
      <c r="FL317" s="124"/>
      <c r="FM317" s="124"/>
      <c r="FN317" s="124"/>
      <c r="FO317" s="124"/>
      <c r="FP317" s="124"/>
      <c r="FQ317" s="124"/>
      <c r="FR317" s="124"/>
      <c r="FS317" s="124"/>
      <c r="FT317" s="124"/>
      <c r="FU317" s="124"/>
      <c r="FV317" s="124"/>
      <c r="FW317" s="124"/>
      <c r="FX317" s="124"/>
      <c r="FY317" s="124"/>
      <c r="FZ317" s="124"/>
      <c r="GA317" s="124"/>
      <c r="GB317" s="124"/>
      <c r="GC317" s="124"/>
      <c r="GD317" s="124"/>
      <c r="GE317" s="124"/>
      <c r="GF317" s="124"/>
      <c r="GG317" s="124"/>
      <c r="GH317" s="124"/>
      <c r="GI317" s="124"/>
      <c r="GJ317" s="124"/>
      <c r="GK317" s="124"/>
      <c r="GL317" s="124"/>
      <c r="GM317" s="124"/>
      <c r="GN317" s="124"/>
      <c r="GO317" s="124"/>
      <c r="GP317" s="124"/>
      <c r="GQ317" s="124"/>
      <c r="GR317" s="124"/>
      <c r="GS317" s="124"/>
      <c r="GT317" s="124"/>
      <c r="GU317" s="124"/>
      <c r="GV317" s="124"/>
      <c r="GW317" s="124"/>
      <c r="GX317" s="124"/>
      <c r="GY317" s="124"/>
      <c r="GZ317" s="124"/>
      <c r="HA317" s="124"/>
      <c r="HB317" s="124"/>
      <c r="HC317" s="124"/>
      <c r="HD317" s="124"/>
      <c r="HE317" s="124"/>
      <c r="HF317" s="124"/>
      <c r="HG317" s="124"/>
      <c r="HH317" s="124"/>
      <c r="HI317" s="124"/>
      <c r="HJ317" s="124"/>
      <c r="HK317" s="124"/>
      <c r="HL317" s="124"/>
      <c r="HM317" s="124"/>
      <c r="HN317" s="124"/>
      <c r="HO317" s="124"/>
      <c r="HP317" s="124"/>
      <c r="HQ317" s="124"/>
    </row>
    <row r="318" spans="1:225" x14ac:dyDescent="0.2">
      <c r="A318" s="122" t="s">
        <v>949</v>
      </c>
      <c r="B318" s="123">
        <v>60</v>
      </c>
      <c r="C318" s="124" t="s">
        <v>477</v>
      </c>
      <c r="D318" s="123">
        <v>309</v>
      </c>
      <c r="E318" s="124" t="s">
        <v>361</v>
      </c>
      <c r="F318" s="123">
        <v>4</v>
      </c>
      <c r="G318" s="123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  <c r="AV318" s="124"/>
      <c r="AW318" s="124"/>
      <c r="AX318" s="124"/>
      <c r="AY318" s="124"/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  <c r="BJ318" s="124"/>
      <c r="BK318" s="124"/>
      <c r="BL318" s="124"/>
      <c r="BM318" s="124"/>
      <c r="BN318" s="124"/>
      <c r="BO318" s="124"/>
      <c r="BP318" s="124"/>
      <c r="BQ318" s="124"/>
      <c r="BR318" s="124"/>
      <c r="BS318" s="124"/>
      <c r="BT318" s="124"/>
      <c r="BU318" s="124"/>
      <c r="BV318" s="124"/>
      <c r="BW318" s="124"/>
      <c r="BX318" s="124"/>
      <c r="BY318" s="124"/>
      <c r="BZ318" s="124"/>
      <c r="CA318" s="124"/>
      <c r="CB318" s="124"/>
      <c r="CC318" s="124"/>
      <c r="CD318" s="124"/>
      <c r="CE318" s="124"/>
      <c r="CF318" s="124"/>
      <c r="CG318" s="124"/>
      <c r="CH318" s="124"/>
      <c r="CI318" s="124"/>
      <c r="CJ318" s="124"/>
      <c r="CK318" s="124"/>
      <c r="CL318" s="124"/>
      <c r="CM318" s="124"/>
      <c r="CN318" s="124"/>
      <c r="CO318" s="124"/>
      <c r="CP318" s="124"/>
      <c r="CQ318" s="124"/>
      <c r="CR318" s="124"/>
      <c r="CS318" s="124"/>
      <c r="CT318" s="124"/>
      <c r="CU318" s="124"/>
      <c r="CV318" s="124"/>
      <c r="CW318" s="124"/>
      <c r="CX318" s="124"/>
      <c r="CY318" s="124"/>
      <c r="CZ318" s="124"/>
      <c r="DA318" s="124"/>
      <c r="DB318" s="124"/>
      <c r="DC318" s="124"/>
      <c r="DD318" s="124"/>
      <c r="DE318" s="124"/>
      <c r="DF318" s="124"/>
      <c r="DG318" s="124"/>
      <c r="DH318" s="124"/>
      <c r="DI318" s="124"/>
      <c r="DJ318" s="124"/>
      <c r="DK318" s="124"/>
      <c r="DL318" s="124"/>
      <c r="DM318" s="124"/>
      <c r="DN318" s="124"/>
      <c r="DO318" s="124"/>
      <c r="DP318" s="124"/>
      <c r="DQ318" s="124"/>
      <c r="DR318" s="124"/>
      <c r="DS318" s="124"/>
      <c r="DT318" s="124"/>
      <c r="DU318" s="124"/>
      <c r="DV318" s="124"/>
      <c r="DW318" s="124"/>
      <c r="DX318" s="124"/>
      <c r="DY318" s="124"/>
      <c r="DZ318" s="124"/>
      <c r="EA318" s="124"/>
      <c r="EB318" s="124"/>
      <c r="EC318" s="124"/>
      <c r="ED318" s="124"/>
      <c r="EE318" s="124"/>
      <c r="EF318" s="124"/>
      <c r="EG318" s="124"/>
      <c r="EH318" s="124"/>
      <c r="EI318" s="124"/>
      <c r="EJ318" s="124"/>
      <c r="EK318" s="124"/>
      <c r="EL318" s="124"/>
      <c r="EM318" s="124"/>
      <c r="EN318" s="124"/>
      <c r="EO318" s="124"/>
      <c r="EP318" s="124"/>
      <c r="EQ318" s="124"/>
      <c r="ER318" s="124"/>
      <c r="ES318" s="124"/>
      <c r="ET318" s="124"/>
      <c r="EU318" s="124"/>
      <c r="EV318" s="124"/>
      <c r="EW318" s="124"/>
      <c r="EX318" s="124"/>
      <c r="EY318" s="124"/>
      <c r="EZ318" s="124"/>
      <c r="FA318" s="124"/>
      <c r="FB318" s="124"/>
      <c r="FC318" s="124"/>
      <c r="FD318" s="124"/>
      <c r="FE318" s="124"/>
      <c r="FF318" s="124"/>
      <c r="FG318" s="124"/>
      <c r="FH318" s="124"/>
      <c r="FI318" s="124"/>
      <c r="FJ318" s="124"/>
      <c r="FK318" s="124"/>
      <c r="FL318" s="124"/>
      <c r="FM318" s="124"/>
      <c r="FN318" s="124"/>
      <c r="FO318" s="124"/>
      <c r="FP318" s="124"/>
      <c r="FQ318" s="124"/>
      <c r="FR318" s="124"/>
      <c r="FS318" s="124"/>
      <c r="FT318" s="124"/>
      <c r="FU318" s="124"/>
      <c r="FV318" s="124"/>
      <c r="FW318" s="124"/>
      <c r="FX318" s="124"/>
      <c r="FY318" s="124"/>
      <c r="FZ318" s="124"/>
      <c r="GA318" s="124"/>
      <c r="GB318" s="124"/>
      <c r="GC318" s="124"/>
      <c r="GD318" s="124"/>
      <c r="GE318" s="124"/>
      <c r="GF318" s="124"/>
      <c r="GG318" s="124"/>
      <c r="GH318" s="124"/>
      <c r="GI318" s="124"/>
      <c r="GJ318" s="124"/>
      <c r="GK318" s="124"/>
      <c r="GL318" s="124"/>
      <c r="GM318" s="124"/>
      <c r="GN318" s="124"/>
      <c r="GO318" s="124"/>
      <c r="GP318" s="124"/>
      <c r="GQ318" s="124"/>
      <c r="GR318" s="124"/>
      <c r="GS318" s="124"/>
      <c r="GT318" s="124"/>
      <c r="GU318" s="124"/>
      <c r="GV318" s="124"/>
      <c r="GW318" s="124"/>
      <c r="GX318" s="124"/>
      <c r="GY318" s="124"/>
      <c r="GZ318" s="124"/>
      <c r="HA318" s="124"/>
      <c r="HB318" s="124"/>
      <c r="HC318" s="124"/>
      <c r="HD318" s="124"/>
      <c r="HE318" s="124"/>
      <c r="HF318" s="124"/>
      <c r="HG318" s="124"/>
      <c r="HH318" s="124"/>
      <c r="HI318" s="124"/>
      <c r="HJ318" s="124"/>
      <c r="HK318" s="124"/>
      <c r="HL318" s="124"/>
      <c r="HM318" s="124"/>
      <c r="HN318" s="124"/>
      <c r="HO318" s="124"/>
      <c r="HP318" s="124"/>
      <c r="HQ318" s="124"/>
    </row>
    <row r="319" spans="1:225" x14ac:dyDescent="0.2">
      <c r="A319" s="122" t="s">
        <v>950</v>
      </c>
      <c r="B319" s="123">
        <v>60</v>
      </c>
      <c r="C319" s="124" t="s">
        <v>478</v>
      </c>
      <c r="D319" s="123">
        <v>310</v>
      </c>
      <c r="E319" s="124" t="s">
        <v>361</v>
      </c>
      <c r="F319" s="123">
        <v>2</v>
      </c>
      <c r="G319" s="123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  <c r="BJ319" s="124"/>
      <c r="BK319" s="124"/>
      <c r="BL319" s="124"/>
      <c r="BM319" s="124"/>
      <c r="BN319" s="124"/>
      <c r="BO319" s="124"/>
      <c r="BP319" s="124"/>
      <c r="BQ319" s="124"/>
      <c r="BR319" s="124"/>
      <c r="BS319" s="124"/>
      <c r="BT319" s="124"/>
      <c r="BU319" s="124"/>
      <c r="BV319" s="124"/>
      <c r="BW319" s="124"/>
      <c r="BX319" s="124"/>
      <c r="BY319" s="124"/>
      <c r="BZ319" s="124"/>
      <c r="CA319" s="124"/>
      <c r="CB319" s="124"/>
      <c r="CC319" s="124"/>
      <c r="CD319" s="124"/>
      <c r="CE319" s="124"/>
      <c r="CF319" s="124"/>
      <c r="CG319" s="124"/>
      <c r="CH319" s="124"/>
      <c r="CI319" s="124"/>
      <c r="CJ319" s="124"/>
      <c r="CK319" s="124"/>
      <c r="CL319" s="124"/>
      <c r="CM319" s="124"/>
      <c r="CN319" s="124"/>
      <c r="CO319" s="124"/>
      <c r="CP319" s="124"/>
      <c r="CQ319" s="124"/>
      <c r="CR319" s="124"/>
      <c r="CS319" s="124"/>
      <c r="CT319" s="124"/>
      <c r="CU319" s="124"/>
      <c r="CV319" s="124"/>
      <c r="CW319" s="124"/>
      <c r="CX319" s="124"/>
      <c r="CY319" s="124"/>
      <c r="CZ319" s="124"/>
      <c r="DA319" s="124"/>
      <c r="DB319" s="124"/>
      <c r="DC319" s="124"/>
      <c r="DD319" s="124"/>
      <c r="DE319" s="124"/>
      <c r="DF319" s="124"/>
      <c r="DG319" s="124"/>
      <c r="DH319" s="124"/>
      <c r="DI319" s="124"/>
      <c r="DJ319" s="124"/>
      <c r="DK319" s="124"/>
      <c r="DL319" s="124"/>
      <c r="DM319" s="124"/>
      <c r="DN319" s="124"/>
      <c r="DO319" s="124"/>
      <c r="DP319" s="124"/>
      <c r="DQ319" s="124"/>
      <c r="DR319" s="124"/>
      <c r="DS319" s="124"/>
      <c r="DT319" s="124"/>
      <c r="DU319" s="124"/>
      <c r="DV319" s="124"/>
      <c r="DW319" s="124"/>
      <c r="DX319" s="124"/>
      <c r="DY319" s="124"/>
      <c r="DZ319" s="124"/>
      <c r="EA319" s="124"/>
      <c r="EB319" s="124"/>
      <c r="EC319" s="124"/>
      <c r="ED319" s="124"/>
      <c r="EE319" s="124"/>
      <c r="EF319" s="124"/>
      <c r="EG319" s="124"/>
      <c r="EH319" s="124"/>
      <c r="EI319" s="124"/>
      <c r="EJ319" s="124"/>
      <c r="EK319" s="124"/>
      <c r="EL319" s="124"/>
      <c r="EM319" s="124"/>
      <c r="EN319" s="124"/>
      <c r="EO319" s="124"/>
      <c r="EP319" s="124"/>
      <c r="EQ319" s="124"/>
      <c r="ER319" s="124"/>
      <c r="ES319" s="124"/>
      <c r="ET319" s="124"/>
      <c r="EU319" s="124"/>
      <c r="EV319" s="124"/>
      <c r="EW319" s="124"/>
      <c r="EX319" s="124"/>
      <c r="EY319" s="124"/>
      <c r="EZ319" s="124"/>
      <c r="FA319" s="124"/>
      <c r="FB319" s="124"/>
      <c r="FC319" s="124"/>
      <c r="FD319" s="124"/>
      <c r="FE319" s="124"/>
      <c r="FF319" s="124"/>
      <c r="FG319" s="124"/>
      <c r="FH319" s="124"/>
      <c r="FI319" s="124"/>
      <c r="FJ319" s="124"/>
      <c r="FK319" s="124"/>
      <c r="FL319" s="124"/>
      <c r="FM319" s="124"/>
      <c r="FN319" s="124"/>
      <c r="FO319" s="124"/>
      <c r="FP319" s="124"/>
      <c r="FQ319" s="124"/>
      <c r="FR319" s="124"/>
      <c r="FS319" s="124"/>
      <c r="FT319" s="124"/>
      <c r="FU319" s="124"/>
      <c r="FV319" s="124"/>
      <c r="FW319" s="124"/>
      <c r="FX319" s="124"/>
      <c r="FY319" s="124"/>
      <c r="FZ319" s="124"/>
      <c r="GA319" s="124"/>
      <c r="GB319" s="124"/>
      <c r="GC319" s="124"/>
      <c r="GD319" s="124"/>
      <c r="GE319" s="124"/>
      <c r="GF319" s="124"/>
      <c r="GG319" s="124"/>
      <c r="GH319" s="124"/>
      <c r="GI319" s="124"/>
      <c r="GJ319" s="124"/>
      <c r="GK319" s="124"/>
      <c r="GL319" s="124"/>
      <c r="GM319" s="124"/>
      <c r="GN319" s="124"/>
      <c r="GO319" s="124"/>
      <c r="GP319" s="124"/>
      <c r="GQ319" s="124"/>
      <c r="GR319" s="124"/>
      <c r="GS319" s="124"/>
      <c r="GT319" s="124"/>
      <c r="GU319" s="124"/>
      <c r="GV319" s="124"/>
      <c r="GW319" s="124"/>
      <c r="GX319" s="124"/>
      <c r="GY319" s="124"/>
      <c r="GZ319" s="124"/>
      <c r="HA319" s="124"/>
      <c r="HB319" s="124"/>
      <c r="HC319" s="124"/>
      <c r="HD319" s="124"/>
      <c r="HE319" s="124"/>
      <c r="HF319" s="124"/>
      <c r="HG319" s="124"/>
      <c r="HH319" s="124"/>
      <c r="HI319" s="124"/>
      <c r="HJ319" s="124"/>
      <c r="HK319" s="124"/>
      <c r="HL319" s="124"/>
      <c r="HM319" s="124"/>
      <c r="HN319" s="124"/>
      <c r="HO319" s="124"/>
      <c r="HP319" s="124"/>
      <c r="HQ319" s="124"/>
    </row>
    <row r="320" spans="1:225" x14ac:dyDescent="0.2">
      <c r="A320" s="122" t="s">
        <v>951</v>
      </c>
      <c r="B320" s="123">
        <v>61</v>
      </c>
      <c r="C320" s="124" t="s">
        <v>479</v>
      </c>
      <c r="D320" s="123">
        <v>311</v>
      </c>
      <c r="E320" s="124" t="s">
        <v>361</v>
      </c>
      <c r="F320" s="123">
        <v>3</v>
      </c>
      <c r="G320" s="123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  <c r="BJ320" s="124"/>
      <c r="BK320" s="124"/>
      <c r="BL320" s="124"/>
      <c r="BM320" s="124"/>
      <c r="BN320" s="124"/>
      <c r="BO320" s="124"/>
      <c r="BP320" s="124"/>
      <c r="BQ320" s="124"/>
      <c r="BR320" s="124"/>
      <c r="BS320" s="124"/>
      <c r="BT320" s="124"/>
      <c r="BU320" s="124"/>
      <c r="BV320" s="124"/>
      <c r="BW320" s="124"/>
      <c r="BX320" s="124"/>
      <c r="BY320" s="124"/>
      <c r="BZ320" s="124"/>
      <c r="CA320" s="124"/>
      <c r="CB320" s="124"/>
      <c r="CC320" s="124"/>
      <c r="CD320" s="124"/>
      <c r="CE320" s="124"/>
      <c r="CF320" s="124"/>
      <c r="CG320" s="124"/>
      <c r="CH320" s="124"/>
      <c r="CI320" s="124"/>
      <c r="CJ320" s="124"/>
      <c r="CK320" s="124"/>
      <c r="CL320" s="124"/>
      <c r="CM320" s="124"/>
      <c r="CN320" s="124"/>
      <c r="CO320" s="124"/>
      <c r="CP320" s="124"/>
      <c r="CQ320" s="124"/>
      <c r="CR320" s="124"/>
      <c r="CS320" s="124"/>
      <c r="CT320" s="124"/>
      <c r="CU320" s="124"/>
      <c r="CV320" s="124"/>
      <c r="CW320" s="124"/>
      <c r="CX320" s="124"/>
      <c r="CY320" s="124"/>
      <c r="CZ320" s="124"/>
      <c r="DA320" s="124"/>
      <c r="DB320" s="124"/>
      <c r="DC320" s="124"/>
      <c r="DD320" s="124"/>
      <c r="DE320" s="124"/>
      <c r="DF320" s="124"/>
      <c r="DG320" s="124"/>
      <c r="DH320" s="124"/>
      <c r="DI320" s="124"/>
      <c r="DJ320" s="124"/>
      <c r="DK320" s="124"/>
      <c r="DL320" s="124"/>
      <c r="DM320" s="124"/>
      <c r="DN320" s="124"/>
      <c r="DO320" s="124"/>
      <c r="DP320" s="124"/>
      <c r="DQ320" s="124"/>
      <c r="DR320" s="124"/>
      <c r="DS320" s="124"/>
      <c r="DT320" s="124"/>
      <c r="DU320" s="124"/>
      <c r="DV320" s="124"/>
      <c r="DW320" s="124"/>
      <c r="DX320" s="124"/>
      <c r="DY320" s="124"/>
      <c r="DZ320" s="124"/>
      <c r="EA320" s="124"/>
      <c r="EB320" s="124"/>
      <c r="EC320" s="124"/>
      <c r="ED320" s="124"/>
      <c r="EE320" s="124"/>
      <c r="EF320" s="124"/>
      <c r="EG320" s="124"/>
      <c r="EH320" s="124"/>
      <c r="EI320" s="124"/>
      <c r="EJ320" s="124"/>
      <c r="EK320" s="124"/>
      <c r="EL320" s="124"/>
      <c r="EM320" s="124"/>
      <c r="EN320" s="124"/>
      <c r="EO320" s="124"/>
      <c r="EP320" s="124"/>
      <c r="EQ320" s="124"/>
      <c r="ER320" s="124"/>
      <c r="ES320" s="124"/>
      <c r="ET320" s="124"/>
      <c r="EU320" s="124"/>
      <c r="EV320" s="124"/>
      <c r="EW320" s="124"/>
      <c r="EX320" s="124"/>
      <c r="EY320" s="124"/>
      <c r="EZ320" s="124"/>
      <c r="FA320" s="124"/>
      <c r="FB320" s="124"/>
      <c r="FC320" s="124"/>
      <c r="FD320" s="124"/>
      <c r="FE320" s="124"/>
      <c r="FF320" s="124"/>
      <c r="FG320" s="124"/>
      <c r="FH320" s="124"/>
      <c r="FI320" s="124"/>
      <c r="FJ320" s="124"/>
      <c r="FK320" s="124"/>
      <c r="FL320" s="124"/>
      <c r="FM320" s="124"/>
      <c r="FN320" s="124"/>
      <c r="FO320" s="124"/>
      <c r="FP320" s="124"/>
      <c r="FQ320" s="124"/>
      <c r="FR320" s="124"/>
      <c r="FS320" s="124"/>
      <c r="FT320" s="124"/>
      <c r="FU320" s="124"/>
      <c r="FV320" s="124"/>
      <c r="FW320" s="124"/>
      <c r="FX320" s="124"/>
      <c r="FY320" s="124"/>
      <c r="FZ320" s="124"/>
      <c r="GA320" s="124"/>
      <c r="GB320" s="124"/>
      <c r="GC320" s="124"/>
      <c r="GD320" s="124"/>
      <c r="GE320" s="124"/>
      <c r="GF320" s="124"/>
      <c r="GG320" s="124"/>
      <c r="GH320" s="124"/>
      <c r="GI320" s="124"/>
      <c r="GJ320" s="124"/>
      <c r="GK320" s="124"/>
      <c r="GL320" s="124"/>
      <c r="GM320" s="124"/>
      <c r="GN320" s="124"/>
      <c r="GO320" s="124"/>
      <c r="GP320" s="124"/>
      <c r="GQ320" s="124"/>
      <c r="GR320" s="124"/>
      <c r="GS320" s="124"/>
      <c r="GT320" s="124"/>
      <c r="GU320" s="124"/>
      <c r="GV320" s="124"/>
      <c r="GW320" s="124"/>
      <c r="GX320" s="124"/>
      <c r="GY320" s="124"/>
      <c r="GZ320" s="124"/>
      <c r="HA320" s="124"/>
      <c r="HB320" s="124"/>
      <c r="HC320" s="124"/>
      <c r="HD320" s="124"/>
      <c r="HE320" s="124"/>
      <c r="HF320" s="124"/>
      <c r="HG320" s="124"/>
      <c r="HH320" s="124"/>
      <c r="HI320" s="124"/>
      <c r="HJ320" s="124"/>
      <c r="HK320" s="124"/>
      <c r="HL320" s="124"/>
      <c r="HM320" s="124"/>
      <c r="HN320" s="124"/>
      <c r="HO320" s="124"/>
      <c r="HP320" s="124"/>
      <c r="HQ320" s="124"/>
    </row>
    <row r="321" spans="1:225" x14ac:dyDescent="0.2">
      <c r="A321" s="122" t="s">
        <v>952</v>
      </c>
      <c r="B321" s="123">
        <v>61</v>
      </c>
      <c r="C321" s="138" t="s">
        <v>480</v>
      </c>
      <c r="D321" s="123">
        <v>312</v>
      </c>
      <c r="E321" s="124" t="s">
        <v>361</v>
      </c>
      <c r="F321" s="123">
        <v>2</v>
      </c>
      <c r="G321" s="123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  <c r="BJ321" s="124"/>
      <c r="BK321" s="124"/>
      <c r="BL321" s="124"/>
      <c r="BM321" s="124"/>
      <c r="BN321" s="124"/>
      <c r="BO321" s="124"/>
      <c r="BP321" s="124"/>
      <c r="BQ321" s="124"/>
      <c r="BR321" s="124"/>
      <c r="BS321" s="124"/>
      <c r="BT321" s="124"/>
      <c r="BU321" s="124"/>
      <c r="BV321" s="124"/>
      <c r="BW321" s="124"/>
      <c r="BX321" s="124"/>
      <c r="BY321" s="124"/>
      <c r="BZ321" s="124"/>
      <c r="CA321" s="124"/>
      <c r="CB321" s="124"/>
      <c r="CC321" s="124"/>
      <c r="CD321" s="124"/>
      <c r="CE321" s="124"/>
      <c r="CF321" s="124"/>
      <c r="CG321" s="124"/>
      <c r="CH321" s="124"/>
      <c r="CI321" s="124"/>
      <c r="CJ321" s="124"/>
      <c r="CK321" s="124"/>
      <c r="CL321" s="124"/>
      <c r="CM321" s="124"/>
      <c r="CN321" s="124"/>
      <c r="CO321" s="124"/>
      <c r="CP321" s="124"/>
      <c r="CQ321" s="124"/>
      <c r="CR321" s="124"/>
      <c r="CS321" s="124"/>
      <c r="CT321" s="124"/>
      <c r="CU321" s="124"/>
      <c r="CV321" s="124"/>
      <c r="CW321" s="124"/>
      <c r="CX321" s="124"/>
      <c r="CY321" s="124"/>
      <c r="CZ321" s="124"/>
      <c r="DA321" s="124"/>
      <c r="DB321" s="124"/>
      <c r="DC321" s="124"/>
      <c r="DD321" s="124"/>
      <c r="DE321" s="124"/>
      <c r="DF321" s="124"/>
      <c r="DG321" s="124"/>
      <c r="DH321" s="124"/>
      <c r="DI321" s="124"/>
      <c r="DJ321" s="124"/>
      <c r="DK321" s="124"/>
      <c r="DL321" s="124"/>
      <c r="DM321" s="124"/>
      <c r="DN321" s="124"/>
      <c r="DO321" s="124"/>
      <c r="DP321" s="124"/>
      <c r="DQ321" s="124"/>
      <c r="DR321" s="124"/>
      <c r="DS321" s="124"/>
      <c r="DT321" s="124"/>
      <c r="DU321" s="124"/>
      <c r="DV321" s="124"/>
      <c r="DW321" s="124"/>
      <c r="DX321" s="124"/>
      <c r="DY321" s="124"/>
      <c r="DZ321" s="124"/>
      <c r="EA321" s="124"/>
      <c r="EB321" s="124"/>
      <c r="EC321" s="124"/>
      <c r="ED321" s="124"/>
      <c r="EE321" s="124"/>
      <c r="EF321" s="124"/>
      <c r="EG321" s="124"/>
      <c r="EH321" s="124"/>
      <c r="EI321" s="124"/>
      <c r="EJ321" s="124"/>
      <c r="EK321" s="124"/>
      <c r="EL321" s="124"/>
      <c r="EM321" s="124"/>
      <c r="EN321" s="124"/>
      <c r="EO321" s="124"/>
      <c r="EP321" s="124"/>
      <c r="EQ321" s="124"/>
      <c r="ER321" s="124"/>
      <c r="ES321" s="124"/>
      <c r="ET321" s="124"/>
      <c r="EU321" s="124"/>
      <c r="EV321" s="124"/>
      <c r="EW321" s="124"/>
      <c r="EX321" s="124"/>
      <c r="EY321" s="124"/>
      <c r="EZ321" s="124"/>
      <c r="FA321" s="124"/>
      <c r="FB321" s="124"/>
      <c r="FC321" s="124"/>
      <c r="FD321" s="124"/>
      <c r="FE321" s="124"/>
      <c r="FF321" s="124"/>
      <c r="FG321" s="124"/>
      <c r="FH321" s="124"/>
      <c r="FI321" s="124"/>
      <c r="FJ321" s="124"/>
      <c r="FK321" s="124"/>
      <c r="FL321" s="124"/>
      <c r="FM321" s="124"/>
      <c r="FN321" s="124"/>
      <c r="FO321" s="124"/>
      <c r="FP321" s="124"/>
      <c r="FQ321" s="124"/>
      <c r="FR321" s="124"/>
      <c r="FS321" s="124"/>
      <c r="FT321" s="124"/>
      <c r="FU321" s="124"/>
      <c r="FV321" s="124"/>
      <c r="FW321" s="124"/>
      <c r="FX321" s="124"/>
      <c r="FY321" s="124"/>
      <c r="FZ321" s="124"/>
      <c r="GA321" s="124"/>
      <c r="GB321" s="124"/>
      <c r="GC321" s="124"/>
      <c r="GD321" s="124"/>
      <c r="GE321" s="124"/>
      <c r="GF321" s="124"/>
      <c r="GG321" s="124"/>
      <c r="GH321" s="124"/>
      <c r="GI321" s="124"/>
      <c r="GJ321" s="124"/>
      <c r="GK321" s="124"/>
      <c r="GL321" s="124"/>
      <c r="GM321" s="124"/>
      <c r="GN321" s="124"/>
      <c r="GO321" s="124"/>
      <c r="GP321" s="124"/>
      <c r="GQ321" s="124"/>
      <c r="GR321" s="124"/>
      <c r="GS321" s="124"/>
      <c r="GT321" s="124"/>
      <c r="GU321" s="124"/>
      <c r="GV321" s="124"/>
      <c r="GW321" s="124"/>
      <c r="GX321" s="124"/>
      <c r="GY321" s="124"/>
      <c r="GZ321" s="124"/>
      <c r="HA321" s="124"/>
      <c r="HB321" s="124"/>
      <c r="HC321" s="124"/>
      <c r="HD321" s="124"/>
      <c r="HE321" s="124"/>
      <c r="HF321" s="124"/>
      <c r="HG321" s="124"/>
      <c r="HH321" s="124"/>
      <c r="HI321" s="124"/>
      <c r="HJ321" s="124"/>
      <c r="HK321" s="124"/>
      <c r="HL321" s="124"/>
      <c r="HM321" s="124"/>
      <c r="HN321" s="124"/>
      <c r="HO321" s="124"/>
      <c r="HP321" s="124"/>
      <c r="HQ321" s="124"/>
    </row>
    <row r="322" spans="1:225" x14ac:dyDescent="0.2">
      <c r="A322" s="122" t="s">
        <v>953</v>
      </c>
      <c r="B322" s="123">
        <v>62</v>
      </c>
      <c r="C322" s="124" t="s">
        <v>481</v>
      </c>
      <c r="D322" s="123">
        <v>313</v>
      </c>
      <c r="E322" s="124" t="s">
        <v>361</v>
      </c>
      <c r="F322" s="123">
        <v>2</v>
      </c>
      <c r="G322" s="123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24"/>
      <c r="BK322" s="124"/>
      <c r="BL322" s="124"/>
      <c r="BM322" s="124"/>
      <c r="BN322" s="124"/>
      <c r="BO322" s="124"/>
      <c r="BP322" s="124"/>
      <c r="BQ322" s="124"/>
      <c r="BR322" s="124"/>
      <c r="BS322" s="124"/>
      <c r="BT322" s="124"/>
      <c r="BU322" s="124"/>
      <c r="BV322" s="124"/>
      <c r="BW322" s="124"/>
      <c r="BX322" s="124"/>
      <c r="BY322" s="124"/>
      <c r="BZ322" s="124"/>
      <c r="CA322" s="124"/>
      <c r="CB322" s="124"/>
      <c r="CC322" s="124"/>
      <c r="CD322" s="124"/>
      <c r="CE322" s="124"/>
      <c r="CF322" s="124"/>
      <c r="CG322" s="124"/>
      <c r="CH322" s="124"/>
      <c r="CI322" s="124"/>
      <c r="CJ322" s="124"/>
      <c r="CK322" s="124"/>
      <c r="CL322" s="124"/>
      <c r="CM322" s="124"/>
      <c r="CN322" s="124"/>
      <c r="CO322" s="124"/>
      <c r="CP322" s="124"/>
      <c r="CQ322" s="124"/>
      <c r="CR322" s="124"/>
      <c r="CS322" s="124"/>
      <c r="CT322" s="124"/>
      <c r="CU322" s="124"/>
      <c r="CV322" s="124"/>
      <c r="CW322" s="124"/>
      <c r="CX322" s="124"/>
      <c r="CY322" s="124"/>
      <c r="CZ322" s="124"/>
      <c r="DA322" s="124"/>
      <c r="DB322" s="124"/>
      <c r="DC322" s="124"/>
      <c r="DD322" s="124"/>
      <c r="DE322" s="124"/>
      <c r="DF322" s="124"/>
      <c r="DG322" s="124"/>
      <c r="DH322" s="124"/>
      <c r="DI322" s="124"/>
      <c r="DJ322" s="124"/>
      <c r="DK322" s="124"/>
      <c r="DL322" s="124"/>
      <c r="DM322" s="124"/>
      <c r="DN322" s="124"/>
      <c r="DO322" s="124"/>
      <c r="DP322" s="124"/>
      <c r="DQ322" s="124"/>
      <c r="DR322" s="124"/>
      <c r="DS322" s="124"/>
      <c r="DT322" s="124"/>
      <c r="DU322" s="124"/>
      <c r="DV322" s="124"/>
      <c r="DW322" s="124"/>
      <c r="DX322" s="124"/>
      <c r="DY322" s="124"/>
      <c r="DZ322" s="124"/>
      <c r="EA322" s="124"/>
      <c r="EB322" s="124"/>
      <c r="EC322" s="124"/>
      <c r="ED322" s="124"/>
      <c r="EE322" s="124"/>
      <c r="EF322" s="124"/>
      <c r="EG322" s="124"/>
      <c r="EH322" s="124"/>
      <c r="EI322" s="124"/>
      <c r="EJ322" s="124"/>
      <c r="EK322" s="124"/>
      <c r="EL322" s="124"/>
      <c r="EM322" s="124"/>
      <c r="EN322" s="124"/>
      <c r="EO322" s="124"/>
      <c r="EP322" s="124"/>
      <c r="EQ322" s="124"/>
      <c r="ER322" s="124"/>
      <c r="ES322" s="124"/>
      <c r="ET322" s="124"/>
      <c r="EU322" s="124"/>
      <c r="EV322" s="124"/>
      <c r="EW322" s="124"/>
      <c r="EX322" s="124"/>
      <c r="EY322" s="124"/>
      <c r="EZ322" s="124"/>
      <c r="FA322" s="124"/>
      <c r="FB322" s="124"/>
      <c r="FC322" s="124"/>
      <c r="FD322" s="124"/>
      <c r="FE322" s="124"/>
      <c r="FF322" s="124"/>
      <c r="FG322" s="124"/>
      <c r="FH322" s="124"/>
      <c r="FI322" s="124"/>
      <c r="FJ322" s="124"/>
      <c r="FK322" s="124"/>
      <c r="FL322" s="124"/>
      <c r="FM322" s="124"/>
      <c r="FN322" s="124"/>
      <c r="FO322" s="124"/>
      <c r="FP322" s="124"/>
      <c r="FQ322" s="124"/>
      <c r="FR322" s="124"/>
      <c r="FS322" s="124"/>
      <c r="FT322" s="124"/>
      <c r="FU322" s="124"/>
      <c r="FV322" s="124"/>
      <c r="FW322" s="124"/>
      <c r="FX322" s="124"/>
      <c r="FY322" s="124"/>
      <c r="FZ322" s="124"/>
      <c r="GA322" s="124"/>
      <c r="GB322" s="124"/>
      <c r="GC322" s="124"/>
      <c r="GD322" s="124"/>
      <c r="GE322" s="124"/>
      <c r="GF322" s="124"/>
      <c r="GG322" s="124"/>
      <c r="GH322" s="124"/>
      <c r="GI322" s="124"/>
      <c r="GJ322" s="124"/>
      <c r="GK322" s="124"/>
      <c r="GL322" s="124"/>
      <c r="GM322" s="124"/>
      <c r="GN322" s="124"/>
      <c r="GO322" s="124"/>
      <c r="GP322" s="124"/>
      <c r="GQ322" s="124"/>
      <c r="GR322" s="124"/>
      <c r="GS322" s="124"/>
      <c r="GT322" s="124"/>
      <c r="GU322" s="124"/>
      <c r="GV322" s="124"/>
      <c r="GW322" s="124"/>
      <c r="GX322" s="124"/>
      <c r="GY322" s="124"/>
      <c r="GZ322" s="124"/>
      <c r="HA322" s="124"/>
      <c r="HB322" s="124"/>
      <c r="HC322" s="124"/>
      <c r="HD322" s="124"/>
      <c r="HE322" s="124"/>
      <c r="HF322" s="124"/>
      <c r="HG322" s="124"/>
      <c r="HH322" s="124"/>
      <c r="HI322" s="124"/>
      <c r="HJ322" s="124"/>
      <c r="HK322" s="124"/>
      <c r="HL322" s="124"/>
      <c r="HM322" s="124"/>
      <c r="HN322" s="124"/>
      <c r="HO322" s="124"/>
      <c r="HP322" s="124"/>
      <c r="HQ322" s="124"/>
    </row>
    <row r="323" spans="1:225" x14ac:dyDescent="0.2">
      <c r="A323" s="122" t="s">
        <v>954</v>
      </c>
      <c r="B323" s="123">
        <v>62</v>
      </c>
      <c r="C323" s="124" t="s">
        <v>482</v>
      </c>
      <c r="D323" s="123">
        <v>314</v>
      </c>
      <c r="E323" s="124" t="s">
        <v>361</v>
      </c>
      <c r="F323" s="123">
        <v>2</v>
      </c>
      <c r="G323" s="123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24"/>
      <c r="BK323" s="124"/>
      <c r="BL323" s="124"/>
      <c r="BM323" s="124"/>
      <c r="BN323" s="124"/>
      <c r="BO323" s="124"/>
      <c r="BP323" s="124"/>
      <c r="BQ323" s="124"/>
      <c r="BR323" s="124"/>
      <c r="BS323" s="124"/>
      <c r="BT323" s="124"/>
      <c r="BU323" s="124"/>
      <c r="BV323" s="124"/>
      <c r="BW323" s="124"/>
      <c r="BX323" s="124"/>
      <c r="BY323" s="124"/>
      <c r="BZ323" s="124"/>
      <c r="CA323" s="124"/>
      <c r="CB323" s="124"/>
      <c r="CC323" s="124"/>
      <c r="CD323" s="124"/>
      <c r="CE323" s="124"/>
      <c r="CF323" s="124"/>
      <c r="CG323" s="124"/>
      <c r="CH323" s="124"/>
      <c r="CI323" s="124"/>
      <c r="CJ323" s="124"/>
      <c r="CK323" s="124"/>
      <c r="CL323" s="124"/>
      <c r="CM323" s="124"/>
      <c r="CN323" s="124"/>
      <c r="CO323" s="124"/>
      <c r="CP323" s="124"/>
      <c r="CQ323" s="124"/>
      <c r="CR323" s="124"/>
      <c r="CS323" s="124"/>
      <c r="CT323" s="124"/>
      <c r="CU323" s="124"/>
      <c r="CV323" s="124"/>
      <c r="CW323" s="124"/>
      <c r="CX323" s="124"/>
      <c r="CY323" s="124"/>
      <c r="CZ323" s="124"/>
      <c r="DA323" s="124"/>
      <c r="DB323" s="124"/>
      <c r="DC323" s="124"/>
      <c r="DD323" s="124"/>
      <c r="DE323" s="124"/>
      <c r="DF323" s="124"/>
      <c r="DG323" s="124"/>
      <c r="DH323" s="124"/>
      <c r="DI323" s="124"/>
      <c r="DJ323" s="124"/>
      <c r="DK323" s="124"/>
      <c r="DL323" s="124"/>
      <c r="DM323" s="124"/>
      <c r="DN323" s="124"/>
      <c r="DO323" s="124"/>
      <c r="DP323" s="124"/>
      <c r="DQ323" s="124"/>
      <c r="DR323" s="124"/>
      <c r="DS323" s="124"/>
      <c r="DT323" s="124"/>
      <c r="DU323" s="124"/>
      <c r="DV323" s="124"/>
      <c r="DW323" s="124"/>
      <c r="DX323" s="124"/>
      <c r="DY323" s="124"/>
      <c r="DZ323" s="124"/>
      <c r="EA323" s="124"/>
      <c r="EB323" s="124"/>
      <c r="EC323" s="124"/>
      <c r="ED323" s="124"/>
      <c r="EE323" s="124"/>
      <c r="EF323" s="124"/>
      <c r="EG323" s="124"/>
      <c r="EH323" s="124"/>
      <c r="EI323" s="124"/>
      <c r="EJ323" s="124"/>
      <c r="EK323" s="124"/>
      <c r="EL323" s="124"/>
      <c r="EM323" s="124"/>
      <c r="EN323" s="124"/>
      <c r="EO323" s="124"/>
      <c r="EP323" s="124"/>
      <c r="EQ323" s="124"/>
      <c r="ER323" s="124"/>
      <c r="ES323" s="124"/>
      <c r="ET323" s="124"/>
      <c r="EU323" s="124"/>
      <c r="EV323" s="124"/>
      <c r="EW323" s="124"/>
      <c r="EX323" s="124"/>
      <c r="EY323" s="124"/>
      <c r="EZ323" s="124"/>
      <c r="FA323" s="124"/>
      <c r="FB323" s="124"/>
      <c r="FC323" s="124"/>
      <c r="FD323" s="124"/>
      <c r="FE323" s="124"/>
      <c r="FF323" s="124"/>
      <c r="FG323" s="124"/>
      <c r="FH323" s="124"/>
      <c r="FI323" s="124"/>
      <c r="FJ323" s="124"/>
      <c r="FK323" s="124"/>
      <c r="FL323" s="124"/>
      <c r="FM323" s="124"/>
      <c r="FN323" s="124"/>
      <c r="FO323" s="124"/>
      <c r="FP323" s="124"/>
      <c r="FQ323" s="124"/>
      <c r="FR323" s="124"/>
      <c r="FS323" s="124"/>
      <c r="FT323" s="124"/>
      <c r="FU323" s="124"/>
      <c r="FV323" s="124"/>
      <c r="FW323" s="124"/>
      <c r="FX323" s="124"/>
      <c r="FY323" s="124"/>
      <c r="FZ323" s="124"/>
      <c r="GA323" s="124"/>
      <c r="GB323" s="124"/>
      <c r="GC323" s="124"/>
      <c r="GD323" s="124"/>
      <c r="GE323" s="124"/>
      <c r="GF323" s="124"/>
      <c r="GG323" s="124"/>
      <c r="GH323" s="124"/>
      <c r="GI323" s="124"/>
      <c r="GJ323" s="124"/>
      <c r="GK323" s="124"/>
      <c r="GL323" s="124"/>
      <c r="GM323" s="124"/>
      <c r="GN323" s="124"/>
      <c r="GO323" s="124"/>
      <c r="GP323" s="124"/>
      <c r="GQ323" s="124"/>
      <c r="GR323" s="124"/>
      <c r="GS323" s="124"/>
      <c r="GT323" s="124"/>
      <c r="GU323" s="124"/>
      <c r="GV323" s="124"/>
      <c r="GW323" s="124"/>
      <c r="GX323" s="124"/>
      <c r="GY323" s="124"/>
      <c r="GZ323" s="124"/>
      <c r="HA323" s="124"/>
      <c r="HB323" s="124"/>
      <c r="HC323" s="124"/>
      <c r="HD323" s="124"/>
      <c r="HE323" s="124"/>
      <c r="HF323" s="124"/>
      <c r="HG323" s="124"/>
      <c r="HH323" s="124"/>
      <c r="HI323" s="124"/>
      <c r="HJ323" s="124"/>
      <c r="HK323" s="124"/>
      <c r="HL323" s="124"/>
      <c r="HM323" s="124"/>
      <c r="HN323" s="124"/>
      <c r="HO323" s="124"/>
      <c r="HP323" s="124"/>
      <c r="HQ323" s="124"/>
    </row>
    <row r="324" spans="1:225" x14ac:dyDescent="0.2">
      <c r="A324" s="122" t="s">
        <v>955</v>
      </c>
      <c r="B324" s="123">
        <v>63</v>
      </c>
      <c r="C324" s="124" t="s">
        <v>483</v>
      </c>
      <c r="D324" s="123">
        <v>315</v>
      </c>
      <c r="E324" s="124" t="s">
        <v>361</v>
      </c>
      <c r="F324" s="123">
        <v>3</v>
      </c>
      <c r="G324" s="123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4"/>
      <c r="BK324" s="124"/>
      <c r="BL324" s="124"/>
      <c r="BM324" s="124"/>
      <c r="BN324" s="124"/>
      <c r="BO324" s="124"/>
      <c r="BP324" s="124"/>
      <c r="BQ324" s="124"/>
      <c r="BR324" s="124"/>
      <c r="BS324" s="124"/>
      <c r="BT324" s="124"/>
      <c r="BU324" s="124"/>
      <c r="BV324" s="124"/>
      <c r="BW324" s="124"/>
      <c r="BX324" s="124"/>
      <c r="BY324" s="124"/>
      <c r="BZ324" s="124"/>
      <c r="CA324" s="124"/>
      <c r="CB324" s="124"/>
      <c r="CC324" s="124"/>
      <c r="CD324" s="124"/>
      <c r="CE324" s="124"/>
      <c r="CF324" s="124"/>
      <c r="CG324" s="124"/>
      <c r="CH324" s="124"/>
      <c r="CI324" s="124"/>
      <c r="CJ324" s="124"/>
      <c r="CK324" s="124"/>
      <c r="CL324" s="124"/>
      <c r="CM324" s="124"/>
      <c r="CN324" s="124"/>
      <c r="CO324" s="124"/>
      <c r="CP324" s="124"/>
      <c r="CQ324" s="124"/>
      <c r="CR324" s="124"/>
      <c r="CS324" s="124"/>
      <c r="CT324" s="124"/>
      <c r="CU324" s="124"/>
      <c r="CV324" s="124"/>
      <c r="CW324" s="124"/>
      <c r="CX324" s="124"/>
      <c r="CY324" s="124"/>
      <c r="CZ324" s="124"/>
      <c r="DA324" s="124"/>
      <c r="DB324" s="124"/>
      <c r="DC324" s="124"/>
      <c r="DD324" s="124"/>
      <c r="DE324" s="124"/>
      <c r="DF324" s="124"/>
      <c r="DG324" s="124"/>
      <c r="DH324" s="124"/>
      <c r="DI324" s="124"/>
      <c r="DJ324" s="124"/>
      <c r="DK324" s="124"/>
      <c r="DL324" s="124"/>
      <c r="DM324" s="124"/>
      <c r="DN324" s="124"/>
      <c r="DO324" s="124"/>
      <c r="DP324" s="124"/>
      <c r="DQ324" s="124"/>
      <c r="DR324" s="124"/>
      <c r="DS324" s="124"/>
      <c r="DT324" s="124"/>
      <c r="DU324" s="124"/>
      <c r="DV324" s="124"/>
      <c r="DW324" s="124"/>
      <c r="DX324" s="124"/>
      <c r="DY324" s="124"/>
      <c r="DZ324" s="124"/>
      <c r="EA324" s="124"/>
      <c r="EB324" s="124"/>
      <c r="EC324" s="124"/>
      <c r="ED324" s="124"/>
      <c r="EE324" s="124"/>
      <c r="EF324" s="124"/>
      <c r="EG324" s="124"/>
      <c r="EH324" s="124"/>
      <c r="EI324" s="124"/>
      <c r="EJ324" s="124"/>
      <c r="EK324" s="124"/>
      <c r="EL324" s="124"/>
      <c r="EM324" s="124"/>
      <c r="EN324" s="124"/>
      <c r="EO324" s="124"/>
      <c r="EP324" s="124"/>
      <c r="EQ324" s="124"/>
      <c r="ER324" s="124"/>
      <c r="ES324" s="124"/>
      <c r="ET324" s="124"/>
      <c r="EU324" s="124"/>
      <c r="EV324" s="124"/>
      <c r="EW324" s="124"/>
      <c r="EX324" s="124"/>
      <c r="EY324" s="124"/>
      <c r="EZ324" s="124"/>
      <c r="FA324" s="124"/>
      <c r="FB324" s="124"/>
      <c r="FC324" s="124"/>
      <c r="FD324" s="124"/>
      <c r="FE324" s="124"/>
      <c r="FF324" s="124"/>
      <c r="FG324" s="124"/>
      <c r="FH324" s="124"/>
      <c r="FI324" s="124"/>
      <c r="FJ324" s="124"/>
      <c r="FK324" s="124"/>
      <c r="FL324" s="124"/>
      <c r="FM324" s="124"/>
      <c r="FN324" s="124"/>
      <c r="FO324" s="124"/>
      <c r="FP324" s="124"/>
      <c r="FQ324" s="124"/>
      <c r="FR324" s="124"/>
      <c r="FS324" s="124"/>
      <c r="FT324" s="124"/>
      <c r="FU324" s="124"/>
      <c r="FV324" s="124"/>
      <c r="FW324" s="124"/>
      <c r="FX324" s="124"/>
      <c r="FY324" s="124"/>
      <c r="FZ324" s="124"/>
      <c r="GA324" s="124"/>
      <c r="GB324" s="124"/>
      <c r="GC324" s="124"/>
      <c r="GD324" s="124"/>
      <c r="GE324" s="124"/>
      <c r="GF324" s="124"/>
      <c r="GG324" s="124"/>
      <c r="GH324" s="124"/>
      <c r="GI324" s="124"/>
      <c r="GJ324" s="124"/>
      <c r="GK324" s="124"/>
      <c r="GL324" s="124"/>
      <c r="GM324" s="124"/>
      <c r="GN324" s="124"/>
      <c r="GO324" s="124"/>
      <c r="GP324" s="124"/>
      <c r="GQ324" s="124"/>
      <c r="GR324" s="124"/>
      <c r="GS324" s="124"/>
      <c r="GT324" s="124"/>
      <c r="GU324" s="124"/>
      <c r="GV324" s="124"/>
      <c r="GW324" s="124"/>
      <c r="GX324" s="124"/>
      <c r="GY324" s="124"/>
      <c r="GZ324" s="124"/>
      <c r="HA324" s="124"/>
      <c r="HB324" s="124"/>
      <c r="HC324" s="124"/>
      <c r="HD324" s="124"/>
      <c r="HE324" s="124"/>
      <c r="HF324" s="124"/>
      <c r="HG324" s="124"/>
      <c r="HH324" s="124"/>
      <c r="HI324" s="124"/>
      <c r="HJ324" s="124"/>
      <c r="HK324" s="124"/>
      <c r="HL324" s="124"/>
      <c r="HM324" s="124"/>
      <c r="HN324" s="124"/>
      <c r="HO324" s="124"/>
      <c r="HP324" s="124"/>
      <c r="HQ324" s="124"/>
    </row>
    <row r="325" spans="1:225" x14ac:dyDescent="0.2">
      <c r="A325" s="122" t="s">
        <v>956</v>
      </c>
      <c r="B325" s="123">
        <v>63</v>
      </c>
      <c r="C325" s="124" t="s">
        <v>484</v>
      </c>
      <c r="D325" s="123">
        <v>316</v>
      </c>
      <c r="E325" s="124" t="s">
        <v>361</v>
      </c>
      <c r="F325" s="123">
        <v>2</v>
      </c>
      <c r="G325" s="123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  <c r="BJ325" s="124"/>
      <c r="BK325" s="124"/>
      <c r="BL325" s="124"/>
      <c r="BM325" s="124"/>
      <c r="BN325" s="124"/>
      <c r="BO325" s="124"/>
      <c r="BP325" s="124"/>
      <c r="BQ325" s="124"/>
      <c r="BR325" s="124"/>
      <c r="BS325" s="124"/>
      <c r="BT325" s="124"/>
      <c r="BU325" s="124"/>
      <c r="BV325" s="124"/>
      <c r="BW325" s="124"/>
      <c r="BX325" s="124"/>
      <c r="BY325" s="124"/>
      <c r="BZ325" s="124"/>
      <c r="CA325" s="124"/>
      <c r="CB325" s="124"/>
      <c r="CC325" s="124"/>
      <c r="CD325" s="124"/>
      <c r="CE325" s="124"/>
      <c r="CF325" s="124"/>
      <c r="CG325" s="124"/>
      <c r="CH325" s="124"/>
      <c r="CI325" s="124"/>
      <c r="CJ325" s="124"/>
      <c r="CK325" s="124"/>
      <c r="CL325" s="124"/>
      <c r="CM325" s="124"/>
      <c r="CN325" s="124"/>
      <c r="CO325" s="124"/>
      <c r="CP325" s="124"/>
      <c r="CQ325" s="124"/>
      <c r="CR325" s="124"/>
      <c r="CS325" s="124"/>
      <c r="CT325" s="124"/>
      <c r="CU325" s="124"/>
      <c r="CV325" s="124"/>
      <c r="CW325" s="124"/>
      <c r="CX325" s="124"/>
      <c r="CY325" s="124"/>
      <c r="CZ325" s="124"/>
      <c r="DA325" s="124"/>
      <c r="DB325" s="124"/>
      <c r="DC325" s="124"/>
      <c r="DD325" s="124"/>
      <c r="DE325" s="124"/>
      <c r="DF325" s="124"/>
      <c r="DG325" s="124"/>
      <c r="DH325" s="124"/>
      <c r="DI325" s="124"/>
      <c r="DJ325" s="124"/>
      <c r="DK325" s="124"/>
      <c r="DL325" s="124"/>
      <c r="DM325" s="124"/>
      <c r="DN325" s="124"/>
      <c r="DO325" s="124"/>
      <c r="DP325" s="124"/>
      <c r="DQ325" s="124"/>
      <c r="DR325" s="124"/>
      <c r="DS325" s="124"/>
      <c r="DT325" s="124"/>
      <c r="DU325" s="124"/>
      <c r="DV325" s="124"/>
      <c r="DW325" s="124"/>
      <c r="DX325" s="124"/>
      <c r="DY325" s="124"/>
      <c r="DZ325" s="124"/>
      <c r="EA325" s="124"/>
      <c r="EB325" s="124"/>
      <c r="EC325" s="124"/>
      <c r="ED325" s="124"/>
      <c r="EE325" s="124"/>
      <c r="EF325" s="124"/>
      <c r="EG325" s="124"/>
      <c r="EH325" s="124"/>
      <c r="EI325" s="124"/>
      <c r="EJ325" s="124"/>
      <c r="EK325" s="124"/>
      <c r="EL325" s="124"/>
      <c r="EM325" s="124"/>
      <c r="EN325" s="124"/>
      <c r="EO325" s="124"/>
      <c r="EP325" s="124"/>
      <c r="EQ325" s="124"/>
      <c r="ER325" s="124"/>
      <c r="ES325" s="124"/>
      <c r="ET325" s="124"/>
      <c r="EU325" s="124"/>
      <c r="EV325" s="124"/>
      <c r="EW325" s="124"/>
      <c r="EX325" s="124"/>
      <c r="EY325" s="124"/>
      <c r="EZ325" s="124"/>
      <c r="FA325" s="124"/>
      <c r="FB325" s="124"/>
      <c r="FC325" s="124"/>
      <c r="FD325" s="124"/>
      <c r="FE325" s="124"/>
      <c r="FF325" s="124"/>
      <c r="FG325" s="124"/>
      <c r="FH325" s="124"/>
      <c r="FI325" s="124"/>
      <c r="FJ325" s="124"/>
      <c r="FK325" s="124"/>
      <c r="FL325" s="124"/>
      <c r="FM325" s="124"/>
      <c r="FN325" s="124"/>
      <c r="FO325" s="124"/>
      <c r="FP325" s="124"/>
      <c r="FQ325" s="124"/>
      <c r="FR325" s="124"/>
      <c r="FS325" s="124"/>
      <c r="FT325" s="124"/>
      <c r="FU325" s="124"/>
      <c r="FV325" s="124"/>
      <c r="FW325" s="124"/>
      <c r="FX325" s="124"/>
      <c r="FY325" s="124"/>
      <c r="FZ325" s="124"/>
      <c r="GA325" s="124"/>
      <c r="GB325" s="124"/>
      <c r="GC325" s="124"/>
      <c r="GD325" s="124"/>
      <c r="GE325" s="124"/>
      <c r="GF325" s="124"/>
      <c r="GG325" s="124"/>
      <c r="GH325" s="124"/>
      <c r="GI325" s="124"/>
      <c r="GJ325" s="124"/>
      <c r="GK325" s="124"/>
      <c r="GL325" s="124"/>
      <c r="GM325" s="124"/>
      <c r="GN325" s="124"/>
      <c r="GO325" s="124"/>
      <c r="GP325" s="124"/>
      <c r="GQ325" s="124"/>
      <c r="GR325" s="124"/>
      <c r="GS325" s="124"/>
      <c r="GT325" s="124"/>
      <c r="GU325" s="124"/>
      <c r="GV325" s="124"/>
      <c r="GW325" s="124"/>
      <c r="GX325" s="124"/>
      <c r="GY325" s="124"/>
      <c r="GZ325" s="124"/>
      <c r="HA325" s="124"/>
      <c r="HB325" s="124"/>
      <c r="HC325" s="124"/>
      <c r="HD325" s="124"/>
      <c r="HE325" s="124"/>
      <c r="HF325" s="124"/>
      <c r="HG325" s="124"/>
      <c r="HH325" s="124"/>
      <c r="HI325" s="124"/>
      <c r="HJ325" s="124"/>
      <c r="HK325" s="124"/>
      <c r="HL325" s="124"/>
      <c r="HM325" s="124"/>
      <c r="HN325" s="124"/>
      <c r="HO325" s="124"/>
      <c r="HP325" s="124"/>
      <c r="HQ325" s="124"/>
    </row>
    <row r="326" spans="1:225" x14ac:dyDescent="0.2">
      <c r="A326" s="122" t="s">
        <v>957</v>
      </c>
      <c r="B326" s="123">
        <v>64</v>
      </c>
      <c r="C326" s="124" t="s">
        <v>485</v>
      </c>
      <c r="D326" s="123">
        <v>317</v>
      </c>
      <c r="E326" s="124" t="s">
        <v>361</v>
      </c>
      <c r="F326" s="123">
        <v>2</v>
      </c>
      <c r="G326" s="123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  <c r="BJ326" s="124"/>
      <c r="BK326" s="124"/>
      <c r="BL326" s="124"/>
      <c r="BM326" s="124"/>
      <c r="BN326" s="124"/>
      <c r="BO326" s="124"/>
      <c r="BP326" s="124"/>
      <c r="BQ326" s="124"/>
      <c r="BR326" s="124"/>
      <c r="BS326" s="124"/>
      <c r="BT326" s="124"/>
      <c r="BU326" s="124"/>
      <c r="BV326" s="124"/>
      <c r="BW326" s="124"/>
      <c r="BX326" s="124"/>
      <c r="BY326" s="124"/>
      <c r="BZ326" s="124"/>
      <c r="CA326" s="124"/>
      <c r="CB326" s="124"/>
      <c r="CC326" s="124"/>
      <c r="CD326" s="124"/>
      <c r="CE326" s="124"/>
      <c r="CF326" s="124"/>
      <c r="CG326" s="124"/>
      <c r="CH326" s="124"/>
      <c r="CI326" s="124"/>
      <c r="CJ326" s="124"/>
      <c r="CK326" s="124"/>
      <c r="CL326" s="124"/>
      <c r="CM326" s="124"/>
      <c r="CN326" s="124"/>
      <c r="CO326" s="124"/>
      <c r="CP326" s="124"/>
      <c r="CQ326" s="124"/>
      <c r="CR326" s="124"/>
      <c r="CS326" s="124"/>
      <c r="CT326" s="124"/>
      <c r="CU326" s="124"/>
      <c r="CV326" s="124"/>
      <c r="CW326" s="124"/>
      <c r="CX326" s="124"/>
      <c r="CY326" s="124"/>
      <c r="CZ326" s="124"/>
      <c r="DA326" s="124"/>
      <c r="DB326" s="124"/>
      <c r="DC326" s="124"/>
      <c r="DD326" s="124"/>
      <c r="DE326" s="124"/>
      <c r="DF326" s="124"/>
      <c r="DG326" s="124"/>
      <c r="DH326" s="124"/>
      <c r="DI326" s="124"/>
      <c r="DJ326" s="124"/>
      <c r="DK326" s="124"/>
      <c r="DL326" s="124"/>
      <c r="DM326" s="124"/>
      <c r="DN326" s="124"/>
      <c r="DO326" s="124"/>
      <c r="DP326" s="124"/>
      <c r="DQ326" s="124"/>
      <c r="DR326" s="124"/>
      <c r="DS326" s="124"/>
      <c r="DT326" s="124"/>
      <c r="DU326" s="124"/>
      <c r="DV326" s="124"/>
      <c r="DW326" s="124"/>
      <c r="DX326" s="124"/>
      <c r="DY326" s="124"/>
      <c r="DZ326" s="124"/>
      <c r="EA326" s="124"/>
      <c r="EB326" s="124"/>
      <c r="EC326" s="124"/>
      <c r="ED326" s="124"/>
      <c r="EE326" s="124"/>
      <c r="EF326" s="124"/>
      <c r="EG326" s="124"/>
      <c r="EH326" s="124"/>
      <c r="EI326" s="124"/>
      <c r="EJ326" s="124"/>
      <c r="EK326" s="124"/>
      <c r="EL326" s="124"/>
      <c r="EM326" s="124"/>
      <c r="EN326" s="124"/>
      <c r="EO326" s="124"/>
      <c r="EP326" s="124"/>
      <c r="EQ326" s="124"/>
      <c r="ER326" s="124"/>
      <c r="ES326" s="124"/>
      <c r="ET326" s="124"/>
      <c r="EU326" s="124"/>
      <c r="EV326" s="124"/>
      <c r="EW326" s="124"/>
      <c r="EX326" s="124"/>
      <c r="EY326" s="124"/>
      <c r="EZ326" s="124"/>
      <c r="FA326" s="124"/>
      <c r="FB326" s="124"/>
      <c r="FC326" s="124"/>
      <c r="FD326" s="124"/>
      <c r="FE326" s="124"/>
      <c r="FF326" s="124"/>
      <c r="FG326" s="124"/>
      <c r="FH326" s="124"/>
      <c r="FI326" s="124"/>
      <c r="FJ326" s="124"/>
      <c r="FK326" s="124"/>
      <c r="FL326" s="124"/>
      <c r="FM326" s="124"/>
      <c r="FN326" s="124"/>
      <c r="FO326" s="124"/>
      <c r="FP326" s="124"/>
      <c r="FQ326" s="124"/>
      <c r="FR326" s="124"/>
      <c r="FS326" s="124"/>
      <c r="FT326" s="124"/>
      <c r="FU326" s="124"/>
      <c r="FV326" s="124"/>
      <c r="FW326" s="124"/>
      <c r="FX326" s="124"/>
      <c r="FY326" s="124"/>
      <c r="FZ326" s="124"/>
      <c r="GA326" s="124"/>
      <c r="GB326" s="124"/>
      <c r="GC326" s="124"/>
      <c r="GD326" s="124"/>
      <c r="GE326" s="124"/>
      <c r="GF326" s="124"/>
      <c r="GG326" s="124"/>
      <c r="GH326" s="124"/>
      <c r="GI326" s="124"/>
      <c r="GJ326" s="124"/>
      <c r="GK326" s="124"/>
      <c r="GL326" s="124"/>
      <c r="GM326" s="124"/>
      <c r="GN326" s="124"/>
      <c r="GO326" s="124"/>
      <c r="GP326" s="124"/>
      <c r="GQ326" s="124"/>
      <c r="GR326" s="124"/>
      <c r="GS326" s="124"/>
      <c r="GT326" s="124"/>
      <c r="GU326" s="124"/>
      <c r="GV326" s="124"/>
      <c r="GW326" s="124"/>
      <c r="GX326" s="124"/>
      <c r="GY326" s="124"/>
      <c r="GZ326" s="124"/>
      <c r="HA326" s="124"/>
      <c r="HB326" s="124"/>
      <c r="HC326" s="124"/>
      <c r="HD326" s="124"/>
      <c r="HE326" s="124"/>
      <c r="HF326" s="124"/>
      <c r="HG326" s="124"/>
      <c r="HH326" s="124"/>
      <c r="HI326" s="124"/>
      <c r="HJ326" s="124"/>
      <c r="HK326" s="124"/>
      <c r="HL326" s="124"/>
      <c r="HM326" s="124"/>
      <c r="HN326" s="124"/>
      <c r="HO326" s="124"/>
      <c r="HP326" s="124"/>
      <c r="HQ326" s="124"/>
    </row>
    <row r="327" spans="1:225" x14ac:dyDescent="0.2">
      <c r="A327" s="122" t="s">
        <v>958</v>
      </c>
      <c r="B327" s="123">
        <v>64</v>
      </c>
      <c r="C327" s="124" t="s">
        <v>486</v>
      </c>
      <c r="D327" s="123">
        <v>318</v>
      </c>
      <c r="E327" s="124" t="s">
        <v>361</v>
      </c>
      <c r="F327" s="123">
        <v>3</v>
      </c>
      <c r="G327" s="123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  <c r="BJ327" s="124"/>
      <c r="BK327" s="124"/>
      <c r="BL327" s="124"/>
      <c r="BM327" s="124"/>
      <c r="BN327" s="124"/>
      <c r="BO327" s="124"/>
      <c r="BP327" s="124"/>
      <c r="BQ327" s="124"/>
      <c r="BR327" s="124"/>
      <c r="BS327" s="124"/>
      <c r="BT327" s="124"/>
      <c r="BU327" s="124"/>
      <c r="BV327" s="124"/>
      <c r="BW327" s="124"/>
      <c r="BX327" s="124"/>
      <c r="BY327" s="124"/>
      <c r="BZ327" s="124"/>
      <c r="CA327" s="124"/>
      <c r="CB327" s="124"/>
      <c r="CC327" s="124"/>
      <c r="CD327" s="124"/>
      <c r="CE327" s="124"/>
      <c r="CF327" s="124"/>
      <c r="CG327" s="124"/>
      <c r="CH327" s="124"/>
      <c r="CI327" s="124"/>
      <c r="CJ327" s="124"/>
      <c r="CK327" s="124"/>
      <c r="CL327" s="124"/>
      <c r="CM327" s="124"/>
      <c r="CN327" s="124"/>
      <c r="CO327" s="124"/>
      <c r="CP327" s="124"/>
      <c r="CQ327" s="124"/>
      <c r="CR327" s="124"/>
      <c r="CS327" s="124"/>
      <c r="CT327" s="124"/>
      <c r="CU327" s="124"/>
      <c r="CV327" s="124"/>
      <c r="CW327" s="124"/>
      <c r="CX327" s="124"/>
      <c r="CY327" s="124"/>
      <c r="CZ327" s="124"/>
      <c r="DA327" s="124"/>
      <c r="DB327" s="124"/>
      <c r="DC327" s="124"/>
      <c r="DD327" s="124"/>
      <c r="DE327" s="124"/>
      <c r="DF327" s="124"/>
      <c r="DG327" s="124"/>
      <c r="DH327" s="124"/>
      <c r="DI327" s="124"/>
      <c r="DJ327" s="124"/>
      <c r="DK327" s="124"/>
      <c r="DL327" s="124"/>
      <c r="DM327" s="124"/>
      <c r="DN327" s="124"/>
      <c r="DO327" s="124"/>
      <c r="DP327" s="124"/>
      <c r="DQ327" s="124"/>
      <c r="DR327" s="124"/>
      <c r="DS327" s="124"/>
      <c r="DT327" s="124"/>
      <c r="DU327" s="124"/>
      <c r="DV327" s="124"/>
      <c r="DW327" s="124"/>
      <c r="DX327" s="124"/>
      <c r="DY327" s="124"/>
      <c r="DZ327" s="124"/>
      <c r="EA327" s="124"/>
      <c r="EB327" s="124"/>
      <c r="EC327" s="124"/>
      <c r="ED327" s="124"/>
      <c r="EE327" s="124"/>
      <c r="EF327" s="124"/>
      <c r="EG327" s="124"/>
      <c r="EH327" s="124"/>
      <c r="EI327" s="124"/>
      <c r="EJ327" s="124"/>
      <c r="EK327" s="124"/>
      <c r="EL327" s="124"/>
      <c r="EM327" s="124"/>
      <c r="EN327" s="124"/>
      <c r="EO327" s="124"/>
      <c r="EP327" s="124"/>
      <c r="EQ327" s="124"/>
      <c r="ER327" s="124"/>
      <c r="ES327" s="124"/>
      <c r="ET327" s="124"/>
      <c r="EU327" s="124"/>
      <c r="EV327" s="124"/>
      <c r="EW327" s="124"/>
      <c r="EX327" s="124"/>
      <c r="EY327" s="124"/>
      <c r="EZ327" s="124"/>
      <c r="FA327" s="124"/>
      <c r="FB327" s="124"/>
      <c r="FC327" s="124"/>
      <c r="FD327" s="124"/>
      <c r="FE327" s="124"/>
      <c r="FF327" s="124"/>
      <c r="FG327" s="124"/>
      <c r="FH327" s="124"/>
      <c r="FI327" s="124"/>
      <c r="FJ327" s="124"/>
      <c r="FK327" s="124"/>
      <c r="FL327" s="124"/>
      <c r="FM327" s="124"/>
      <c r="FN327" s="124"/>
      <c r="FO327" s="124"/>
      <c r="FP327" s="124"/>
      <c r="FQ327" s="124"/>
      <c r="FR327" s="124"/>
      <c r="FS327" s="124"/>
      <c r="FT327" s="124"/>
      <c r="FU327" s="124"/>
      <c r="FV327" s="124"/>
      <c r="FW327" s="124"/>
      <c r="FX327" s="124"/>
      <c r="FY327" s="124"/>
      <c r="FZ327" s="124"/>
      <c r="GA327" s="124"/>
      <c r="GB327" s="124"/>
      <c r="GC327" s="124"/>
      <c r="GD327" s="124"/>
      <c r="GE327" s="124"/>
      <c r="GF327" s="124"/>
      <c r="GG327" s="124"/>
      <c r="GH327" s="124"/>
      <c r="GI327" s="124"/>
      <c r="GJ327" s="124"/>
      <c r="GK327" s="124"/>
      <c r="GL327" s="124"/>
      <c r="GM327" s="124"/>
      <c r="GN327" s="124"/>
      <c r="GO327" s="124"/>
      <c r="GP327" s="124"/>
      <c r="GQ327" s="124"/>
      <c r="GR327" s="124"/>
      <c r="GS327" s="124"/>
      <c r="GT327" s="124"/>
      <c r="GU327" s="124"/>
      <c r="GV327" s="124"/>
      <c r="GW327" s="124"/>
      <c r="GX327" s="124"/>
      <c r="GY327" s="124"/>
      <c r="GZ327" s="124"/>
      <c r="HA327" s="124"/>
      <c r="HB327" s="124"/>
      <c r="HC327" s="124"/>
      <c r="HD327" s="124"/>
      <c r="HE327" s="124"/>
      <c r="HF327" s="124"/>
      <c r="HG327" s="124"/>
      <c r="HH327" s="124"/>
      <c r="HI327" s="124"/>
      <c r="HJ327" s="124"/>
      <c r="HK327" s="124"/>
      <c r="HL327" s="124"/>
      <c r="HM327" s="124"/>
      <c r="HN327" s="124"/>
      <c r="HO327" s="124"/>
      <c r="HP327" s="124"/>
      <c r="HQ327" s="124"/>
    </row>
    <row r="328" spans="1:225" x14ac:dyDescent="0.2">
      <c r="A328" s="122" t="s">
        <v>959</v>
      </c>
      <c r="B328" s="123">
        <v>65</v>
      </c>
      <c r="C328" s="124" t="s">
        <v>487</v>
      </c>
      <c r="D328" s="123">
        <v>319</v>
      </c>
      <c r="E328" s="124" t="s">
        <v>361</v>
      </c>
      <c r="F328" s="123">
        <v>3</v>
      </c>
      <c r="G328" s="123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  <c r="BJ328" s="124"/>
      <c r="BK328" s="124"/>
      <c r="BL328" s="124"/>
      <c r="BM328" s="124"/>
      <c r="BN328" s="124"/>
      <c r="BO328" s="124"/>
      <c r="BP328" s="124"/>
      <c r="BQ328" s="124"/>
      <c r="BR328" s="124"/>
      <c r="BS328" s="124"/>
      <c r="BT328" s="124"/>
      <c r="BU328" s="124"/>
      <c r="BV328" s="124"/>
      <c r="BW328" s="124"/>
      <c r="BX328" s="124"/>
      <c r="BY328" s="124"/>
      <c r="BZ328" s="124"/>
      <c r="CA328" s="124"/>
      <c r="CB328" s="124"/>
      <c r="CC328" s="124"/>
      <c r="CD328" s="124"/>
      <c r="CE328" s="124"/>
      <c r="CF328" s="124"/>
      <c r="CG328" s="124"/>
      <c r="CH328" s="124"/>
      <c r="CI328" s="124"/>
      <c r="CJ328" s="124"/>
      <c r="CK328" s="124"/>
      <c r="CL328" s="124"/>
      <c r="CM328" s="124"/>
      <c r="CN328" s="124"/>
      <c r="CO328" s="124"/>
      <c r="CP328" s="124"/>
      <c r="CQ328" s="124"/>
      <c r="CR328" s="124"/>
      <c r="CS328" s="124"/>
      <c r="CT328" s="124"/>
      <c r="CU328" s="124"/>
      <c r="CV328" s="124"/>
      <c r="CW328" s="124"/>
      <c r="CX328" s="124"/>
      <c r="CY328" s="124"/>
      <c r="CZ328" s="124"/>
      <c r="DA328" s="124"/>
      <c r="DB328" s="124"/>
      <c r="DC328" s="124"/>
      <c r="DD328" s="124"/>
      <c r="DE328" s="124"/>
      <c r="DF328" s="124"/>
      <c r="DG328" s="124"/>
      <c r="DH328" s="124"/>
      <c r="DI328" s="124"/>
      <c r="DJ328" s="124"/>
      <c r="DK328" s="124"/>
      <c r="DL328" s="124"/>
      <c r="DM328" s="124"/>
      <c r="DN328" s="124"/>
      <c r="DO328" s="124"/>
      <c r="DP328" s="124"/>
      <c r="DQ328" s="124"/>
      <c r="DR328" s="124"/>
      <c r="DS328" s="124"/>
      <c r="DT328" s="124"/>
      <c r="DU328" s="124"/>
      <c r="DV328" s="124"/>
      <c r="DW328" s="124"/>
      <c r="DX328" s="124"/>
      <c r="DY328" s="124"/>
      <c r="DZ328" s="124"/>
      <c r="EA328" s="124"/>
      <c r="EB328" s="124"/>
      <c r="EC328" s="124"/>
      <c r="ED328" s="124"/>
      <c r="EE328" s="124"/>
      <c r="EF328" s="124"/>
      <c r="EG328" s="124"/>
      <c r="EH328" s="124"/>
      <c r="EI328" s="124"/>
      <c r="EJ328" s="124"/>
      <c r="EK328" s="124"/>
      <c r="EL328" s="124"/>
      <c r="EM328" s="124"/>
      <c r="EN328" s="124"/>
      <c r="EO328" s="124"/>
      <c r="EP328" s="124"/>
      <c r="EQ328" s="124"/>
      <c r="ER328" s="124"/>
      <c r="ES328" s="124"/>
      <c r="ET328" s="124"/>
      <c r="EU328" s="124"/>
      <c r="EV328" s="124"/>
      <c r="EW328" s="124"/>
      <c r="EX328" s="124"/>
      <c r="EY328" s="124"/>
      <c r="EZ328" s="124"/>
      <c r="FA328" s="124"/>
      <c r="FB328" s="124"/>
      <c r="FC328" s="124"/>
      <c r="FD328" s="124"/>
      <c r="FE328" s="124"/>
      <c r="FF328" s="124"/>
      <c r="FG328" s="124"/>
      <c r="FH328" s="124"/>
      <c r="FI328" s="124"/>
      <c r="FJ328" s="124"/>
      <c r="FK328" s="124"/>
      <c r="FL328" s="124"/>
      <c r="FM328" s="124"/>
      <c r="FN328" s="124"/>
      <c r="FO328" s="124"/>
      <c r="FP328" s="124"/>
      <c r="FQ328" s="124"/>
      <c r="FR328" s="124"/>
      <c r="FS328" s="124"/>
      <c r="FT328" s="124"/>
      <c r="FU328" s="124"/>
      <c r="FV328" s="124"/>
      <c r="FW328" s="124"/>
      <c r="FX328" s="124"/>
      <c r="FY328" s="124"/>
      <c r="FZ328" s="124"/>
      <c r="GA328" s="124"/>
      <c r="GB328" s="124"/>
      <c r="GC328" s="124"/>
      <c r="GD328" s="124"/>
      <c r="GE328" s="124"/>
      <c r="GF328" s="124"/>
      <c r="GG328" s="124"/>
      <c r="GH328" s="124"/>
      <c r="GI328" s="124"/>
      <c r="GJ328" s="124"/>
      <c r="GK328" s="124"/>
      <c r="GL328" s="124"/>
      <c r="GM328" s="124"/>
      <c r="GN328" s="124"/>
      <c r="GO328" s="124"/>
      <c r="GP328" s="124"/>
      <c r="GQ328" s="124"/>
      <c r="GR328" s="124"/>
      <c r="GS328" s="124"/>
      <c r="GT328" s="124"/>
      <c r="GU328" s="124"/>
      <c r="GV328" s="124"/>
      <c r="GW328" s="124"/>
      <c r="GX328" s="124"/>
      <c r="GY328" s="124"/>
      <c r="GZ328" s="124"/>
      <c r="HA328" s="124"/>
      <c r="HB328" s="124"/>
      <c r="HC328" s="124"/>
      <c r="HD328" s="124"/>
      <c r="HE328" s="124"/>
      <c r="HF328" s="124"/>
      <c r="HG328" s="124"/>
      <c r="HH328" s="124"/>
      <c r="HI328" s="124"/>
      <c r="HJ328" s="124"/>
      <c r="HK328" s="124"/>
      <c r="HL328" s="124"/>
      <c r="HM328" s="124"/>
      <c r="HN328" s="124"/>
      <c r="HO328" s="124"/>
      <c r="HP328" s="124"/>
      <c r="HQ328" s="124"/>
    </row>
    <row r="329" spans="1:225" x14ac:dyDescent="0.2">
      <c r="A329" s="122" t="s">
        <v>960</v>
      </c>
      <c r="B329" s="123">
        <v>65</v>
      </c>
      <c r="C329" s="124" t="s">
        <v>488</v>
      </c>
      <c r="D329" s="123">
        <v>320</v>
      </c>
      <c r="E329" s="124" t="s">
        <v>361</v>
      </c>
      <c r="F329" s="123">
        <v>3</v>
      </c>
      <c r="G329" s="123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  <c r="BJ329" s="124"/>
      <c r="BK329" s="124"/>
      <c r="BL329" s="124"/>
      <c r="BM329" s="124"/>
      <c r="BN329" s="124"/>
      <c r="BO329" s="124"/>
      <c r="BP329" s="124"/>
      <c r="BQ329" s="124"/>
      <c r="BR329" s="124"/>
      <c r="BS329" s="124"/>
      <c r="BT329" s="124"/>
      <c r="BU329" s="124"/>
      <c r="BV329" s="124"/>
      <c r="BW329" s="124"/>
      <c r="BX329" s="124"/>
      <c r="BY329" s="124"/>
      <c r="BZ329" s="124"/>
      <c r="CA329" s="124"/>
      <c r="CB329" s="124"/>
      <c r="CC329" s="124"/>
      <c r="CD329" s="124"/>
      <c r="CE329" s="124"/>
      <c r="CF329" s="124"/>
      <c r="CG329" s="124"/>
      <c r="CH329" s="124"/>
      <c r="CI329" s="124"/>
      <c r="CJ329" s="124"/>
      <c r="CK329" s="124"/>
      <c r="CL329" s="124"/>
      <c r="CM329" s="124"/>
      <c r="CN329" s="124"/>
      <c r="CO329" s="124"/>
      <c r="CP329" s="124"/>
      <c r="CQ329" s="124"/>
      <c r="CR329" s="124"/>
      <c r="CS329" s="124"/>
      <c r="CT329" s="124"/>
      <c r="CU329" s="124"/>
      <c r="CV329" s="124"/>
      <c r="CW329" s="124"/>
      <c r="CX329" s="124"/>
      <c r="CY329" s="124"/>
      <c r="CZ329" s="124"/>
      <c r="DA329" s="124"/>
      <c r="DB329" s="124"/>
      <c r="DC329" s="124"/>
      <c r="DD329" s="124"/>
      <c r="DE329" s="124"/>
      <c r="DF329" s="124"/>
      <c r="DG329" s="124"/>
      <c r="DH329" s="124"/>
      <c r="DI329" s="124"/>
      <c r="DJ329" s="124"/>
      <c r="DK329" s="124"/>
      <c r="DL329" s="124"/>
      <c r="DM329" s="124"/>
      <c r="DN329" s="124"/>
      <c r="DO329" s="124"/>
      <c r="DP329" s="124"/>
      <c r="DQ329" s="124"/>
      <c r="DR329" s="124"/>
      <c r="DS329" s="124"/>
      <c r="DT329" s="124"/>
      <c r="DU329" s="124"/>
      <c r="DV329" s="124"/>
      <c r="DW329" s="124"/>
      <c r="DX329" s="124"/>
      <c r="DY329" s="124"/>
      <c r="DZ329" s="124"/>
      <c r="EA329" s="124"/>
      <c r="EB329" s="124"/>
      <c r="EC329" s="124"/>
      <c r="ED329" s="124"/>
      <c r="EE329" s="124"/>
      <c r="EF329" s="124"/>
      <c r="EG329" s="124"/>
      <c r="EH329" s="124"/>
      <c r="EI329" s="124"/>
      <c r="EJ329" s="124"/>
      <c r="EK329" s="124"/>
      <c r="EL329" s="124"/>
      <c r="EM329" s="124"/>
      <c r="EN329" s="124"/>
      <c r="EO329" s="124"/>
      <c r="EP329" s="124"/>
      <c r="EQ329" s="124"/>
      <c r="ER329" s="124"/>
      <c r="ES329" s="124"/>
      <c r="ET329" s="124"/>
      <c r="EU329" s="124"/>
      <c r="EV329" s="124"/>
      <c r="EW329" s="124"/>
      <c r="EX329" s="124"/>
      <c r="EY329" s="124"/>
      <c r="EZ329" s="124"/>
      <c r="FA329" s="124"/>
      <c r="FB329" s="124"/>
      <c r="FC329" s="124"/>
      <c r="FD329" s="124"/>
      <c r="FE329" s="124"/>
      <c r="FF329" s="124"/>
      <c r="FG329" s="124"/>
      <c r="FH329" s="124"/>
      <c r="FI329" s="124"/>
      <c r="FJ329" s="124"/>
      <c r="FK329" s="124"/>
      <c r="FL329" s="124"/>
      <c r="FM329" s="124"/>
      <c r="FN329" s="124"/>
      <c r="FO329" s="124"/>
      <c r="FP329" s="124"/>
      <c r="FQ329" s="124"/>
      <c r="FR329" s="124"/>
      <c r="FS329" s="124"/>
      <c r="FT329" s="124"/>
      <c r="FU329" s="124"/>
      <c r="FV329" s="124"/>
      <c r="FW329" s="124"/>
      <c r="FX329" s="124"/>
      <c r="FY329" s="124"/>
      <c r="FZ329" s="124"/>
      <c r="GA329" s="124"/>
      <c r="GB329" s="124"/>
      <c r="GC329" s="124"/>
      <c r="GD329" s="124"/>
      <c r="GE329" s="124"/>
      <c r="GF329" s="124"/>
      <c r="GG329" s="124"/>
      <c r="GH329" s="124"/>
      <c r="GI329" s="124"/>
      <c r="GJ329" s="124"/>
      <c r="GK329" s="124"/>
      <c r="GL329" s="124"/>
      <c r="GM329" s="124"/>
      <c r="GN329" s="124"/>
      <c r="GO329" s="124"/>
      <c r="GP329" s="124"/>
      <c r="GQ329" s="124"/>
      <c r="GR329" s="124"/>
      <c r="GS329" s="124"/>
      <c r="GT329" s="124"/>
      <c r="GU329" s="124"/>
      <c r="GV329" s="124"/>
      <c r="GW329" s="124"/>
      <c r="GX329" s="124"/>
      <c r="GY329" s="124"/>
      <c r="GZ329" s="124"/>
      <c r="HA329" s="124"/>
      <c r="HB329" s="124"/>
      <c r="HC329" s="124"/>
      <c r="HD329" s="124"/>
      <c r="HE329" s="124"/>
      <c r="HF329" s="124"/>
      <c r="HG329" s="124"/>
      <c r="HH329" s="124"/>
      <c r="HI329" s="124"/>
      <c r="HJ329" s="124"/>
      <c r="HK329" s="124"/>
      <c r="HL329" s="124"/>
      <c r="HM329" s="124"/>
      <c r="HN329" s="124"/>
      <c r="HO329" s="124"/>
      <c r="HP329" s="124"/>
      <c r="HQ329" s="124"/>
    </row>
    <row r="330" spans="1:225" x14ac:dyDescent="0.2">
      <c r="A330" s="122" t="s">
        <v>961</v>
      </c>
      <c r="B330" s="123">
        <v>66</v>
      </c>
      <c r="C330" s="124" t="s">
        <v>489</v>
      </c>
      <c r="D330" s="123">
        <v>321</v>
      </c>
      <c r="E330" s="124" t="s">
        <v>361</v>
      </c>
      <c r="F330" s="123">
        <v>4</v>
      </c>
      <c r="G330" s="123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  <c r="BJ330" s="124"/>
      <c r="BK330" s="124"/>
      <c r="BL330" s="124"/>
      <c r="BM330" s="124"/>
      <c r="BN330" s="124"/>
      <c r="BO330" s="124"/>
      <c r="BP330" s="124"/>
      <c r="BQ330" s="124"/>
      <c r="BR330" s="124"/>
      <c r="BS330" s="124"/>
      <c r="BT330" s="124"/>
      <c r="BU330" s="124"/>
      <c r="BV330" s="124"/>
      <c r="BW330" s="124"/>
      <c r="BX330" s="124"/>
      <c r="BY330" s="124"/>
      <c r="BZ330" s="124"/>
      <c r="CA330" s="124"/>
      <c r="CB330" s="124"/>
      <c r="CC330" s="124"/>
      <c r="CD330" s="124"/>
      <c r="CE330" s="124"/>
      <c r="CF330" s="124"/>
      <c r="CG330" s="124"/>
      <c r="CH330" s="124"/>
      <c r="CI330" s="124"/>
      <c r="CJ330" s="124"/>
      <c r="CK330" s="124"/>
      <c r="CL330" s="124"/>
      <c r="CM330" s="124"/>
      <c r="CN330" s="124"/>
      <c r="CO330" s="124"/>
      <c r="CP330" s="124"/>
      <c r="CQ330" s="124"/>
      <c r="CR330" s="124"/>
      <c r="CS330" s="124"/>
      <c r="CT330" s="124"/>
      <c r="CU330" s="124"/>
      <c r="CV330" s="124"/>
      <c r="CW330" s="124"/>
      <c r="CX330" s="124"/>
      <c r="CY330" s="124"/>
      <c r="CZ330" s="124"/>
      <c r="DA330" s="124"/>
      <c r="DB330" s="124"/>
      <c r="DC330" s="124"/>
      <c r="DD330" s="124"/>
      <c r="DE330" s="124"/>
      <c r="DF330" s="124"/>
      <c r="DG330" s="124"/>
      <c r="DH330" s="124"/>
      <c r="DI330" s="124"/>
      <c r="DJ330" s="124"/>
      <c r="DK330" s="124"/>
      <c r="DL330" s="124"/>
      <c r="DM330" s="124"/>
      <c r="DN330" s="124"/>
      <c r="DO330" s="124"/>
      <c r="DP330" s="124"/>
      <c r="DQ330" s="124"/>
      <c r="DR330" s="124"/>
      <c r="DS330" s="124"/>
      <c r="DT330" s="124"/>
      <c r="DU330" s="124"/>
      <c r="DV330" s="124"/>
      <c r="DW330" s="124"/>
      <c r="DX330" s="124"/>
      <c r="DY330" s="124"/>
      <c r="DZ330" s="124"/>
      <c r="EA330" s="124"/>
      <c r="EB330" s="124"/>
      <c r="EC330" s="124"/>
      <c r="ED330" s="124"/>
      <c r="EE330" s="124"/>
      <c r="EF330" s="124"/>
      <c r="EG330" s="124"/>
      <c r="EH330" s="124"/>
      <c r="EI330" s="124"/>
      <c r="EJ330" s="124"/>
      <c r="EK330" s="124"/>
      <c r="EL330" s="124"/>
      <c r="EM330" s="124"/>
      <c r="EN330" s="124"/>
      <c r="EO330" s="124"/>
      <c r="EP330" s="124"/>
      <c r="EQ330" s="124"/>
      <c r="ER330" s="124"/>
      <c r="ES330" s="124"/>
      <c r="ET330" s="124"/>
      <c r="EU330" s="124"/>
      <c r="EV330" s="124"/>
      <c r="EW330" s="124"/>
      <c r="EX330" s="124"/>
      <c r="EY330" s="124"/>
      <c r="EZ330" s="124"/>
      <c r="FA330" s="124"/>
      <c r="FB330" s="124"/>
      <c r="FC330" s="124"/>
      <c r="FD330" s="124"/>
      <c r="FE330" s="124"/>
      <c r="FF330" s="124"/>
      <c r="FG330" s="124"/>
      <c r="FH330" s="124"/>
      <c r="FI330" s="124"/>
      <c r="FJ330" s="124"/>
      <c r="FK330" s="124"/>
      <c r="FL330" s="124"/>
      <c r="FM330" s="124"/>
      <c r="FN330" s="124"/>
      <c r="FO330" s="124"/>
      <c r="FP330" s="124"/>
      <c r="FQ330" s="124"/>
      <c r="FR330" s="124"/>
      <c r="FS330" s="124"/>
      <c r="FT330" s="124"/>
      <c r="FU330" s="124"/>
      <c r="FV330" s="124"/>
      <c r="FW330" s="124"/>
      <c r="FX330" s="124"/>
      <c r="FY330" s="124"/>
      <c r="FZ330" s="124"/>
      <c r="GA330" s="124"/>
      <c r="GB330" s="124"/>
      <c r="GC330" s="124"/>
      <c r="GD330" s="124"/>
      <c r="GE330" s="124"/>
      <c r="GF330" s="124"/>
      <c r="GG330" s="124"/>
      <c r="GH330" s="124"/>
      <c r="GI330" s="124"/>
      <c r="GJ330" s="124"/>
      <c r="GK330" s="124"/>
      <c r="GL330" s="124"/>
      <c r="GM330" s="124"/>
      <c r="GN330" s="124"/>
      <c r="GO330" s="124"/>
      <c r="GP330" s="124"/>
      <c r="GQ330" s="124"/>
      <c r="GR330" s="124"/>
      <c r="GS330" s="124"/>
      <c r="GT330" s="124"/>
      <c r="GU330" s="124"/>
      <c r="GV330" s="124"/>
      <c r="GW330" s="124"/>
      <c r="GX330" s="124"/>
      <c r="GY330" s="124"/>
      <c r="GZ330" s="124"/>
      <c r="HA330" s="124"/>
      <c r="HB330" s="124"/>
      <c r="HC330" s="124"/>
      <c r="HD330" s="124"/>
      <c r="HE330" s="124"/>
      <c r="HF330" s="124"/>
      <c r="HG330" s="124"/>
      <c r="HH330" s="124"/>
      <c r="HI330" s="124"/>
      <c r="HJ330" s="124"/>
      <c r="HK330" s="124"/>
      <c r="HL330" s="124"/>
      <c r="HM330" s="124"/>
      <c r="HN330" s="124"/>
      <c r="HO330" s="124"/>
      <c r="HP330" s="124"/>
      <c r="HQ330" s="124"/>
    </row>
    <row r="331" spans="1:225" x14ac:dyDescent="0.2">
      <c r="A331" s="122" t="s">
        <v>962</v>
      </c>
      <c r="B331" s="123">
        <v>66</v>
      </c>
      <c r="C331" s="124" t="s">
        <v>490</v>
      </c>
      <c r="D331" s="123">
        <v>322</v>
      </c>
      <c r="E331" s="124" t="s">
        <v>361</v>
      </c>
      <c r="F331" s="123">
        <v>4</v>
      </c>
      <c r="G331" s="123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  <c r="BJ331" s="124"/>
      <c r="BK331" s="124"/>
      <c r="BL331" s="124"/>
      <c r="BM331" s="124"/>
      <c r="BN331" s="124"/>
      <c r="BO331" s="124"/>
      <c r="BP331" s="124"/>
      <c r="BQ331" s="124"/>
      <c r="BR331" s="124"/>
      <c r="BS331" s="124"/>
      <c r="BT331" s="124"/>
      <c r="BU331" s="124"/>
      <c r="BV331" s="124"/>
      <c r="BW331" s="124"/>
      <c r="BX331" s="124"/>
      <c r="BY331" s="124"/>
      <c r="BZ331" s="124"/>
      <c r="CA331" s="124"/>
      <c r="CB331" s="124"/>
      <c r="CC331" s="124"/>
      <c r="CD331" s="124"/>
      <c r="CE331" s="124"/>
      <c r="CF331" s="124"/>
      <c r="CG331" s="124"/>
      <c r="CH331" s="124"/>
      <c r="CI331" s="124"/>
      <c r="CJ331" s="124"/>
      <c r="CK331" s="124"/>
      <c r="CL331" s="124"/>
      <c r="CM331" s="124"/>
      <c r="CN331" s="124"/>
      <c r="CO331" s="124"/>
      <c r="CP331" s="124"/>
      <c r="CQ331" s="124"/>
      <c r="CR331" s="124"/>
      <c r="CS331" s="124"/>
      <c r="CT331" s="124"/>
      <c r="CU331" s="124"/>
      <c r="CV331" s="124"/>
      <c r="CW331" s="124"/>
      <c r="CX331" s="124"/>
      <c r="CY331" s="124"/>
      <c r="CZ331" s="124"/>
      <c r="DA331" s="124"/>
      <c r="DB331" s="124"/>
      <c r="DC331" s="124"/>
      <c r="DD331" s="124"/>
      <c r="DE331" s="124"/>
      <c r="DF331" s="124"/>
      <c r="DG331" s="124"/>
      <c r="DH331" s="124"/>
      <c r="DI331" s="124"/>
      <c r="DJ331" s="124"/>
      <c r="DK331" s="124"/>
      <c r="DL331" s="124"/>
      <c r="DM331" s="124"/>
      <c r="DN331" s="124"/>
      <c r="DO331" s="124"/>
      <c r="DP331" s="124"/>
      <c r="DQ331" s="124"/>
      <c r="DR331" s="124"/>
      <c r="DS331" s="124"/>
      <c r="DT331" s="124"/>
      <c r="DU331" s="124"/>
      <c r="DV331" s="124"/>
      <c r="DW331" s="124"/>
      <c r="DX331" s="124"/>
      <c r="DY331" s="124"/>
      <c r="DZ331" s="124"/>
      <c r="EA331" s="124"/>
      <c r="EB331" s="124"/>
      <c r="EC331" s="124"/>
      <c r="ED331" s="124"/>
      <c r="EE331" s="124"/>
      <c r="EF331" s="124"/>
      <c r="EG331" s="124"/>
      <c r="EH331" s="124"/>
      <c r="EI331" s="124"/>
      <c r="EJ331" s="124"/>
      <c r="EK331" s="124"/>
      <c r="EL331" s="124"/>
      <c r="EM331" s="124"/>
      <c r="EN331" s="124"/>
      <c r="EO331" s="124"/>
      <c r="EP331" s="124"/>
      <c r="EQ331" s="124"/>
      <c r="ER331" s="124"/>
      <c r="ES331" s="124"/>
      <c r="ET331" s="124"/>
      <c r="EU331" s="124"/>
      <c r="EV331" s="124"/>
      <c r="EW331" s="124"/>
      <c r="EX331" s="124"/>
      <c r="EY331" s="124"/>
      <c r="EZ331" s="124"/>
      <c r="FA331" s="124"/>
      <c r="FB331" s="124"/>
      <c r="FC331" s="124"/>
      <c r="FD331" s="124"/>
      <c r="FE331" s="124"/>
      <c r="FF331" s="124"/>
      <c r="FG331" s="124"/>
      <c r="FH331" s="124"/>
      <c r="FI331" s="124"/>
      <c r="FJ331" s="124"/>
      <c r="FK331" s="124"/>
      <c r="FL331" s="124"/>
      <c r="FM331" s="124"/>
      <c r="FN331" s="124"/>
      <c r="FO331" s="124"/>
      <c r="FP331" s="124"/>
      <c r="FQ331" s="124"/>
      <c r="FR331" s="124"/>
      <c r="FS331" s="124"/>
      <c r="FT331" s="124"/>
      <c r="FU331" s="124"/>
      <c r="FV331" s="124"/>
      <c r="FW331" s="124"/>
      <c r="FX331" s="124"/>
      <c r="FY331" s="124"/>
      <c r="FZ331" s="124"/>
      <c r="GA331" s="124"/>
      <c r="GB331" s="124"/>
      <c r="GC331" s="124"/>
      <c r="GD331" s="124"/>
      <c r="GE331" s="124"/>
      <c r="GF331" s="124"/>
      <c r="GG331" s="124"/>
      <c r="GH331" s="124"/>
      <c r="GI331" s="124"/>
      <c r="GJ331" s="124"/>
      <c r="GK331" s="124"/>
      <c r="GL331" s="124"/>
      <c r="GM331" s="124"/>
      <c r="GN331" s="124"/>
      <c r="GO331" s="124"/>
      <c r="GP331" s="124"/>
      <c r="GQ331" s="124"/>
      <c r="GR331" s="124"/>
      <c r="GS331" s="124"/>
      <c r="GT331" s="124"/>
      <c r="GU331" s="124"/>
      <c r="GV331" s="124"/>
      <c r="GW331" s="124"/>
      <c r="GX331" s="124"/>
      <c r="GY331" s="124"/>
      <c r="GZ331" s="124"/>
      <c r="HA331" s="124"/>
      <c r="HB331" s="124"/>
      <c r="HC331" s="124"/>
      <c r="HD331" s="124"/>
      <c r="HE331" s="124"/>
      <c r="HF331" s="124"/>
      <c r="HG331" s="124"/>
      <c r="HH331" s="124"/>
      <c r="HI331" s="124"/>
      <c r="HJ331" s="124"/>
      <c r="HK331" s="124"/>
      <c r="HL331" s="124"/>
      <c r="HM331" s="124"/>
      <c r="HN331" s="124"/>
      <c r="HO331" s="124"/>
      <c r="HP331" s="124"/>
      <c r="HQ331" s="124"/>
    </row>
    <row r="332" spans="1:225" x14ac:dyDescent="0.2">
      <c r="A332" s="122" t="s">
        <v>963</v>
      </c>
      <c r="B332" s="123">
        <v>67</v>
      </c>
      <c r="C332" s="124" t="s">
        <v>491</v>
      </c>
      <c r="D332" s="123">
        <v>323</v>
      </c>
      <c r="E332" s="124" t="s">
        <v>361</v>
      </c>
      <c r="F332" s="123">
        <v>2</v>
      </c>
      <c r="G332" s="123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  <c r="BJ332" s="124"/>
      <c r="BK332" s="124"/>
      <c r="BL332" s="124"/>
      <c r="BM332" s="124"/>
      <c r="BN332" s="124"/>
      <c r="BO332" s="124"/>
      <c r="BP332" s="124"/>
      <c r="BQ332" s="124"/>
      <c r="BR332" s="124"/>
      <c r="BS332" s="124"/>
      <c r="BT332" s="124"/>
      <c r="BU332" s="124"/>
      <c r="BV332" s="124"/>
      <c r="BW332" s="124"/>
      <c r="BX332" s="124"/>
      <c r="BY332" s="124"/>
      <c r="BZ332" s="124"/>
      <c r="CA332" s="124"/>
      <c r="CB332" s="124"/>
      <c r="CC332" s="124"/>
      <c r="CD332" s="124"/>
      <c r="CE332" s="124"/>
      <c r="CF332" s="124"/>
      <c r="CG332" s="124"/>
      <c r="CH332" s="124"/>
      <c r="CI332" s="124"/>
      <c r="CJ332" s="124"/>
      <c r="CK332" s="124"/>
      <c r="CL332" s="124"/>
      <c r="CM332" s="124"/>
      <c r="CN332" s="124"/>
      <c r="CO332" s="124"/>
      <c r="CP332" s="124"/>
      <c r="CQ332" s="124"/>
      <c r="CR332" s="124"/>
      <c r="CS332" s="124"/>
      <c r="CT332" s="124"/>
      <c r="CU332" s="124"/>
      <c r="CV332" s="124"/>
      <c r="CW332" s="124"/>
      <c r="CX332" s="124"/>
      <c r="CY332" s="124"/>
      <c r="CZ332" s="124"/>
      <c r="DA332" s="124"/>
      <c r="DB332" s="124"/>
      <c r="DC332" s="124"/>
      <c r="DD332" s="124"/>
      <c r="DE332" s="124"/>
      <c r="DF332" s="124"/>
      <c r="DG332" s="124"/>
      <c r="DH332" s="124"/>
      <c r="DI332" s="124"/>
      <c r="DJ332" s="124"/>
      <c r="DK332" s="124"/>
      <c r="DL332" s="124"/>
      <c r="DM332" s="124"/>
      <c r="DN332" s="124"/>
      <c r="DO332" s="124"/>
      <c r="DP332" s="124"/>
      <c r="DQ332" s="124"/>
      <c r="DR332" s="124"/>
      <c r="DS332" s="124"/>
      <c r="DT332" s="124"/>
      <c r="DU332" s="124"/>
      <c r="DV332" s="124"/>
      <c r="DW332" s="124"/>
      <c r="DX332" s="124"/>
      <c r="DY332" s="124"/>
      <c r="DZ332" s="124"/>
      <c r="EA332" s="124"/>
      <c r="EB332" s="124"/>
      <c r="EC332" s="124"/>
      <c r="ED332" s="124"/>
      <c r="EE332" s="124"/>
      <c r="EF332" s="124"/>
      <c r="EG332" s="124"/>
      <c r="EH332" s="124"/>
      <c r="EI332" s="124"/>
      <c r="EJ332" s="124"/>
      <c r="EK332" s="124"/>
      <c r="EL332" s="124"/>
      <c r="EM332" s="124"/>
      <c r="EN332" s="124"/>
      <c r="EO332" s="124"/>
      <c r="EP332" s="124"/>
      <c r="EQ332" s="124"/>
      <c r="ER332" s="124"/>
      <c r="ES332" s="124"/>
      <c r="ET332" s="124"/>
      <c r="EU332" s="124"/>
      <c r="EV332" s="124"/>
      <c r="EW332" s="124"/>
      <c r="EX332" s="124"/>
      <c r="EY332" s="124"/>
      <c r="EZ332" s="124"/>
      <c r="FA332" s="124"/>
      <c r="FB332" s="124"/>
      <c r="FC332" s="124"/>
      <c r="FD332" s="124"/>
      <c r="FE332" s="124"/>
      <c r="FF332" s="124"/>
      <c r="FG332" s="124"/>
      <c r="FH332" s="124"/>
      <c r="FI332" s="124"/>
      <c r="FJ332" s="124"/>
      <c r="FK332" s="124"/>
      <c r="FL332" s="124"/>
      <c r="FM332" s="124"/>
      <c r="FN332" s="124"/>
      <c r="FO332" s="124"/>
      <c r="FP332" s="124"/>
      <c r="FQ332" s="124"/>
      <c r="FR332" s="124"/>
      <c r="FS332" s="124"/>
      <c r="FT332" s="124"/>
      <c r="FU332" s="124"/>
      <c r="FV332" s="124"/>
      <c r="FW332" s="124"/>
      <c r="FX332" s="124"/>
      <c r="FY332" s="124"/>
      <c r="FZ332" s="124"/>
      <c r="GA332" s="124"/>
      <c r="GB332" s="124"/>
      <c r="GC332" s="124"/>
      <c r="GD332" s="124"/>
      <c r="GE332" s="124"/>
      <c r="GF332" s="124"/>
      <c r="GG332" s="124"/>
      <c r="GH332" s="124"/>
      <c r="GI332" s="124"/>
      <c r="GJ332" s="124"/>
      <c r="GK332" s="124"/>
      <c r="GL332" s="124"/>
      <c r="GM332" s="124"/>
      <c r="GN332" s="124"/>
      <c r="GO332" s="124"/>
      <c r="GP332" s="124"/>
      <c r="GQ332" s="124"/>
      <c r="GR332" s="124"/>
      <c r="GS332" s="124"/>
      <c r="GT332" s="124"/>
      <c r="GU332" s="124"/>
      <c r="GV332" s="124"/>
      <c r="GW332" s="124"/>
      <c r="GX332" s="124"/>
      <c r="GY332" s="124"/>
      <c r="GZ332" s="124"/>
      <c r="HA332" s="124"/>
      <c r="HB332" s="124"/>
      <c r="HC332" s="124"/>
      <c r="HD332" s="124"/>
      <c r="HE332" s="124"/>
      <c r="HF332" s="124"/>
      <c r="HG332" s="124"/>
      <c r="HH332" s="124"/>
      <c r="HI332" s="124"/>
      <c r="HJ332" s="124"/>
      <c r="HK332" s="124"/>
      <c r="HL332" s="124"/>
      <c r="HM332" s="124"/>
      <c r="HN332" s="124"/>
      <c r="HO332" s="124"/>
      <c r="HP332" s="124"/>
      <c r="HQ332" s="124"/>
    </row>
    <row r="333" spans="1:225" x14ac:dyDescent="0.2">
      <c r="A333" s="122" t="s">
        <v>964</v>
      </c>
      <c r="B333" s="123">
        <v>67</v>
      </c>
      <c r="C333" s="124" t="s">
        <v>492</v>
      </c>
      <c r="D333" s="123">
        <v>324</v>
      </c>
      <c r="E333" s="124" t="s">
        <v>361</v>
      </c>
      <c r="F333" s="123">
        <v>3</v>
      </c>
      <c r="G333" s="123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  <c r="BJ333" s="124"/>
      <c r="BK333" s="124"/>
      <c r="BL333" s="124"/>
      <c r="BM333" s="124"/>
      <c r="BN333" s="124"/>
      <c r="BO333" s="124"/>
      <c r="BP333" s="124"/>
      <c r="BQ333" s="124"/>
      <c r="BR333" s="124"/>
      <c r="BS333" s="124"/>
      <c r="BT333" s="124"/>
      <c r="BU333" s="124"/>
      <c r="BV333" s="124"/>
      <c r="BW333" s="124"/>
      <c r="BX333" s="124"/>
      <c r="BY333" s="124"/>
      <c r="BZ333" s="124"/>
      <c r="CA333" s="124"/>
      <c r="CB333" s="124"/>
      <c r="CC333" s="124"/>
      <c r="CD333" s="124"/>
      <c r="CE333" s="124"/>
      <c r="CF333" s="124"/>
      <c r="CG333" s="124"/>
      <c r="CH333" s="124"/>
      <c r="CI333" s="124"/>
      <c r="CJ333" s="124"/>
      <c r="CK333" s="124"/>
      <c r="CL333" s="124"/>
      <c r="CM333" s="124"/>
      <c r="CN333" s="124"/>
      <c r="CO333" s="124"/>
      <c r="CP333" s="124"/>
      <c r="CQ333" s="124"/>
      <c r="CR333" s="124"/>
      <c r="CS333" s="124"/>
      <c r="CT333" s="124"/>
      <c r="CU333" s="124"/>
      <c r="CV333" s="124"/>
      <c r="CW333" s="124"/>
      <c r="CX333" s="124"/>
      <c r="CY333" s="124"/>
      <c r="CZ333" s="124"/>
      <c r="DA333" s="124"/>
      <c r="DB333" s="124"/>
      <c r="DC333" s="124"/>
      <c r="DD333" s="124"/>
      <c r="DE333" s="124"/>
      <c r="DF333" s="124"/>
      <c r="DG333" s="124"/>
      <c r="DH333" s="124"/>
      <c r="DI333" s="124"/>
      <c r="DJ333" s="124"/>
      <c r="DK333" s="124"/>
      <c r="DL333" s="124"/>
      <c r="DM333" s="124"/>
      <c r="DN333" s="124"/>
      <c r="DO333" s="124"/>
      <c r="DP333" s="124"/>
      <c r="DQ333" s="124"/>
      <c r="DR333" s="124"/>
      <c r="DS333" s="124"/>
      <c r="DT333" s="124"/>
      <c r="DU333" s="124"/>
      <c r="DV333" s="124"/>
      <c r="DW333" s="124"/>
      <c r="DX333" s="124"/>
      <c r="DY333" s="124"/>
      <c r="DZ333" s="124"/>
      <c r="EA333" s="124"/>
      <c r="EB333" s="124"/>
      <c r="EC333" s="124"/>
      <c r="ED333" s="124"/>
      <c r="EE333" s="124"/>
      <c r="EF333" s="124"/>
      <c r="EG333" s="124"/>
      <c r="EH333" s="124"/>
      <c r="EI333" s="124"/>
      <c r="EJ333" s="124"/>
      <c r="EK333" s="124"/>
      <c r="EL333" s="124"/>
      <c r="EM333" s="124"/>
      <c r="EN333" s="124"/>
      <c r="EO333" s="124"/>
      <c r="EP333" s="124"/>
      <c r="EQ333" s="124"/>
      <c r="ER333" s="124"/>
      <c r="ES333" s="124"/>
      <c r="ET333" s="124"/>
      <c r="EU333" s="124"/>
      <c r="EV333" s="124"/>
      <c r="EW333" s="124"/>
      <c r="EX333" s="124"/>
      <c r="EY333" s="124"/>
      <c r="EZ333" s="124"/>
      <c r="FA333" s="124"/>
      <c r="FB333" s="124"/>
      <c r="FC333" s="124"/>
      <c r="FD333" s="124"/>
      <c r="FE333" s="124"/>
      <c r="FF333" s="124"/>
      <c r="FG333" s="124"/>
      <c r="FH333" s="124"/>
      <c r="FI333" s="124"/>
      <c r="FJ333" s="124"/>
      <c r="FK333" s="124"/>
      <c r="FL333" s="124"/>
      <c r="FM333" s="124"/>
      <c r="FN333" s="124"/>
      <c r="FO333" s="124"/>
      <c r="FP333" s="124"/>
      <c r="FQ333" s="124"/>
      <c r="FR333" s="124"/>
      <c r="FS333" s="124"/>
      <c r="FT333" s="124"/>
      <c r="FU333" s="124"/>
      <c r="FV333" s="124"/>
      <c r="FW333" s="124"/>
      <c r="FX333" s="124"/>
      <c r="FY333" s="124"/>
      <c r="FZ333" s="124"/>
      <c r="GA333" s="124"/>
      <c r="GB333" s="124"/>
      <c r="GC333" s="124"/>
      <c r="GD333" s="124"/>
      <c r="GE333" s="124"/>
      <c r="GF333" s="124"/>
      <c r="GG333" s="124"/>
      <c r="GH333" s="124"/>
      <c r="GI333" s="124"/>
      <c r="GJ333" s="124"/>
      <c r="GK333" s="124"/>
      <c r="GL333" s="124"/>
      <c r="GM333" s="124"/>
      <c r="GN333" s="124"/>
      <c r="GO333" s="124"/>
      <c r="GP333" s="124"/>
      <c r="GQ333" s="124"/>
      <c r="GR333" s="124"/>
      <c r="GS333" s="124"/>
      <c r="GT333" s="124"/>
      <c r="GU333" s="124"/>
      <c r="GV333" s="124"/>
      <c r="GW333" s="124"/>
      <c r="GX333" s="124"/>
      <c r="GY333" s="124"/>
      <c r="GZ333" s="124"/>
      <c r="HA333" s="124"/>
      <c r="HB333" s="124"/>
      <c r="HC333" s="124"/>
      <c r="HD333" s="124"/>
      <c r="HE333" s="124"/>
      <c r="HF333" s="124"/>
      <c r="HG333" s="124"/>
      <c r="HH333" s="124"/>
      <c r="HI333" s="124"/>
      <c r="HJ333" s="124"/>
      <c r="HK333" s="124"/>
      <c r="HL333" s="124"/>
      <c r="HM333" s="124"/>
      <c r="HN333" s="124"/>
      <c r="HO333" s="124"/>
      <c r="HP333" s="124"/>
      <c r="HQ333" s="124"/>
    </row>
    <row r="334" spans="1:225" x14ac:dyDescent="0.2">
      <c r="A334" s="122" t="s">
        <v>965</v>
      </c>
      <c r="B334" s="123">
        <v>68</v>
      </c>
      <c r="C334" s="124" t="s">
        <v>493</v>
      </c>
      <c r="D334" s="123">
        <v>325</v>
      </c>
      <c r="E334" s="124" t="s">
        <v>361</v>
      </c>
      <c r="F334" s="123">
        <v>4</v>
      </c>
      <c r="G334" s="123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  <c r="BJ334" s="124"/>
      <c r="BK334" s="124"/>
      <c r="BL334" s="124"/>
      <c r="BM334" s="124"/>
      <c r="BN334" s="124"/>
      <c r="BO334" s="124"/>
      <c r="BP334" s="124"/>
      <c r="BQ334" s="124"/>
      <c r="BR334" s="124"/>
      <c r="BS334" s="124"/>
      <c r="BT334" s="124"/>
      <c r="BU334" s="124"/>
      <c r="BV334" s="124"/>
      <c r="BW334" s="124"/>
      <c r="BX334" s="124"/>
      <c r="BY334" s="124"/>
      <c r="BZ334" s="124"/>
      <c r="CA334" s="124"/>
      <c r="CB334" s="124"/>
      <c r="CC334" s="124"/>
      <c r="CD334" s="124"/>
      <c r="CE334" s="124"/>
      <c r="CF334" s="124"/>
      <c r="CG334" s="124"/>
      <c r="CH334" s="124"/>
      <c r="CI334" s="124"/>
      <c r="CJ334" s="124"/>
      <c r="CK334" s="124"/>
      <c r="CL334" s="124"/>
      <c r="CM334" s="124"/>
      <c r="CN334" s="124"/>
      <c r="CO334" s="124"/>
      <c r="CP334" s="124"/>
      <c r="CQ334" s="124"/>
      <c r="CR334" s="124"/>
      <c r="CS334" s="124"/>
      <c r="CT334" s="124"/>
      <c r="CU334" s="124"/>
      <c r="CV334" s="124"/>
      <c r="CW334" s="124"/>
      <c r="CX334" s="124"/>
      <c r="CY334" s="124"/>
      <c r="CZ334" s="124"/>
      <c r="DA334" s="124"/>
      <c r="DB334" s="124"/>
      <c r="DC334" s="124"/>
      <c r="DD334" s="124"/>
      <c r="DE334" s="124"/>
      <c r="DF334" s="124"/>
      <c r="DG334" s="124"/>
      <c r="DH334" s="124"/>
      <c r="DI334" s="124"/>
      <c r="DJ334" s="124"/>
      <c r="DK334" s="124"/>
      <c r="DL334" s="124"/>
      <c r="DM334" s="124"/>
      <c r="DN334" s="124"/>
      <c r="DO334" s="124"/>
      <c r="DP334" s="124"/>
      <c r="DQ334" s="124"/>
      <c r="DR334" s="124"/>
      <c r="DS334" s="124"/>
      <c r="DT334" s="124"/>
      <c r="DU334" s="124"/>
      <c r="DV334" s="124"/>
      <c r="DW334" s="124"/>
      <c r="DX334" s="124"/>
      <c r="DY334" s="124"/>
      <c r="DZ334" s="124"/>
      <c r="EA334" s="124"/>
      <c r="EB334" s="124"/>
      <c r="EC334" s="124"/>
      <c r="ED334" s="124"/>
      <c r="EE334" s="124"/>
      <c r="EF334" s="124"/>
      <c r="EG334" s="124"/>
      <c r="EH334" s="124"/>
      <c r="EI334" s="124"/>
      <c r="EJ334" s="124"/>
      <c r="EK334" s="124"/>
      <c r="EL334" s="124"/>
      <c r="EM334" s="124"/>
      <c r="EN334" s="124"/>
      <c r="EO334" s="124"/>
      <c r="EP334" s="124"/>
      <c r="EQ334" s="124"/>
      <c r="ER334" s="124"/>
      <c r="ES334" s="124"/>
      <c r="ET334" s="124"/>
      <c r="EU334" s="124"/>
      <c r="EV334" s="124"/>
      <c r="EW334" s="124"/>
      <c r="EX334" s="124"/>
      <c r="EY334" s="124"/>
      <c r="EZ334" s="124"/>
      <c r="FA334" s="124"/>
      <c r="FB334" s="124"/>
      <c r="FC334" s="124"/>
      <c r="FD334" s="124"/>
      <c r="FE334" s="124"/>
      <c r="FF334" s="124"/>
      <c r="FG334" s="124"/>
      <c r="FH334" s="124"/>
      <c r="FI334" s="124"/>
      <c r="FJ334" s="124"/>
      <c r="FK334" s="124"/>
      <c r="FL334" s="124"/>
      <c r="FM334" s="124"/>
      <c r="FN334" s="124"/>
      <c r="FO334" s="124"/>
      <c r="FP334" s="124"/>
      <c r="FQ334" s="124"/>
      <c r="FR334" s="124"/>
      <c r="FS334" s="124"/>
      <c r="FT334" s="124"/>
      <c r="FU334" s="124"/>
      <c r="FV334" s="124"/>
      <c r="FW334" s="124"/>
      <c r="FX334" s="124"/>
      <c r="FY334" s="124"/>
      <c r="FZ334" s="124"/>
      <c r="GA334" s="124"/>
      <c r="GB334" s="124"/>
      <c r="GC334" s="124"/>
      <c r="GD334" s="124"/>
      <c r="GE334" s="124"/>
      <c r="GF334" s="124"/>
      <c r="GG334" s="124"/>
      <c r="GH334" s="124"/>
      <c r="GI334" s="124"/>
      <c r="GJ334" s="124"/>
      <c r="GK334" s="124"/>
      <c r="GL334" s="124"/>
      <c r="GM334" s="124"/>
      <c r="GN334" s="124"/>
      <c r="GO334" s="124"/>
      <c r="GP334" s="124"/>
      <c r="GQ334" s="124"/>
      <c r="GR334" s="124"/>
      <c r="GS334" s="124"/>
      <c r="GT334" s="124"/>
      <c r="GU334" s="124"/>
      <c r="GV334" s="124"/>
      <c r="GW334" s="124"/>
      <c r="GX334" s="124"/>
      <c r="GY334" s="124"/>
      <c r="GZ334" s="124"/>
      <c r="HA334" s="124"/>
      <c r="HB334" s="124"/>
      <c r="HC334" s="124"/>
      <c r="HD334" s="124"/>
      <c r="HE334" s="124"/>
      <c r="HF334" s="124"/>
      <c r="HG334" s="124"/>
      <c r="HH334" s="124"/>
      <c r="HI334" s="124"/>
      <c r="HJ334" s="124"/>
      <c r="HK334" s="124"/>
      <c r="HL334" s="124"/>
      <c r="HM334" s="124"/>
      <c r="HN334" s="124"/>
      <c r="HO334" s="124"/>
      <c r="HP334" s="124"/>
      <c r="HQ334" s="124"/>
    </row>
    <row r="335" spans="1:225" x14ac:dyDescent="0.2">
      <c r="A335" s="122" t="s">
        <v>966</v>
      </c>
      <c r="B335" s="123">
        <v>68</v>
      </c>
      <c r="C335" s="124" t="s">
        <v>494</v>
      </c>
      <c r="D335" s="123">
        <v>326</v>
      </c>
      <c r="E335" s="124" t="s">
        <v>361</v>
      </c>
      <c r="F335" s="123">
        <v>3</v>
      </c>
      <c r="G335" s="123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  <c r="BJ335" s="124"/>
      <c r="BK335" s="124"/>
      <c r="BL335" s="124"/>
      <c r="BM335" s="124"/>
      <c r="BN335" s="124"/>
      <c r="BO335" s="124"/>
      <c r="BP335" s="124"/>
      <c r="BQ335" s="124"/>
      <c r="BR335" s="124"/>
      <c r="BS335" s="124"/>
      <c r="BT335" s="124"/>
      <c r="BU335" s="124"/>
      <c r="BV335" s="124"/>
      <c r="BW335" s="124"/>
      <c r="BX335" s="124"/>
      <c r="BY335" s="124"/>
      <c r="BZ335" s="124"/>
      <c r="CA335" s="124"/>
      <c r="CB335" s="124"/>
      <c r="CC335" s="124"/>
      <c r="CD335" s="124"/>
      <c r="CE335" s="124"/>
      <c r="CF335" s="124"/>
      <c r="CG335" s="124"/>
      <c r="CH335" s="124"/>
      <c r="CI335" s="124"/>
      <c r="CJ335" s="124"/>
      <c r="CK335" s="124"/>
      <c r="CL335" s="124"/>
      <c r="CM335" s="124"/>
      <c r="CN335" s="124"/>
      <c r="CO335" s="124"/>
      <c r="CP335" s="124"/>
      <c r="CQ335" s="124"/>
      <c r="CR335" s="124"/>
      <c r="CS335" s="124"/>
      <c r="CT335" s="124"/>
      <c r="CU335" s="124"/>
      <c r="CV335" s="124"/>
      <c r="CW335" s="124"/>
      <c r="CX335" s="124"/>
      <c r="CY335" s="124"/>
      <c r="CZ335" s="124"/>
      <c r="DA335" s="124"/>
      <c r="DB335" s="124"/>
      <c r="DC335" s="124"/>
      <c r="DD335" s="124"/>
      <c r="DE335" s="124"/>
      <c r="DF335" s="124"/>
      <c r="DG335" s="124"/>
      <c r="DH335" s="124"/>
      <c r="DI335" s="124"/>
      <c r="DJ335" s="124"/>
      <c r="DK335" s="124"/>
      <c r="DL335" s="124"/>
      <c r="DM335" s="124"/>
      <c r="DN335" s="124"/>
      <c r="DO335" s="124"/>
      <c r="DP335" s="124"/>
      <c r="DQ335" s="124"/>
      <c r="DR335" s="124"/>
      <c r="DS335" s="124"/>
      <c r="DT335" s="124"/>
      <c r="DU335" s="124"/>
      <c r="DV335" s="124"/>
      <c r="DW335" s="124"/>
      <c r="DX335" s="124"/>
      <c r="DY335" s="124"/>
      <c r="DZ335" s="124"/>
      <c r="EA335" s="124"/>
      <c r="EB335" s="124"/>
      <c r="EC335" s="124"/>
      <c r="ED335" s="124"/>
      <c r="EE335" s="124"/>
      <c r="EF335" s="124"/>
      <c r="EG335" s="124"/>
      <c r="EH335" s="124"/>
      <c r="EI335" s="124"/>
      <c r="EJ335" s="124"/>
      <c r="EK335" s="124"/>
      <c r="EL335" s="124"/>
      <c r="EM335" s="124"/>
      <c r="EN335" s="124"/>
      <c r="EO335" s="124"/>
      <c r="EP335" s="124"/>
      <c r="EQ335" s="124"/>
      <c r="ER335" s="124"/>
      <c r="ES335" s="124"/>
      <c r="ET335" s="124"/>
      <c r="EU335" s="124"/>
      <c r="EV335" s="124"/>
      <c r="EW335" s="124"/>
      <c r="EX335" s="124"/>
      <c r="EY335" s="124"/>
      <c r="EZ335" s="124"/>
      <c r="FA335" s="124"/>
      <c r="FB335" s="124"/>
      <c r="FC335" s="124"/>
      <c r="FD335" s="124"/>
      <c r="FE335" s="124"/>
      <c r="FF335" s="124"/>
      <c r="FG335" s="124"/>
      <c r="FH335" s="124"/>
      <c r="FI335" s="124"/>
      <c r="FJ335" s="124"/>
      <c r="FK335" s="124"/>
      <c r="FL335" s="124"/>
      <c r="FM335" s="124"/>
      <c r="FN335" s="124"/>
      <c r="FO335" s="124"/>
      <c r="FP335" s="124"/>
      <c r="FQ335" s="124"/>
      <c r="FR335" s="124"/>
      <c r="FS335" s="124"/>
      <c r="FT335" s="124"/>
      <c r="FU335" s="124"/>
      <c r="FV335" s="124"/>
      <c r="FW335" s="124"/>
      <c r="FX335" s="124"/>
      <c r="FY335" s="124"/>
      <c r="FZ335" s="124"/>
      <c r="GA335" s="124"/>
      <c r="GB335" s="124"/>
      <c r="GC335" s="124"/>
      <c r="GD335" s="124"/>
      <c r="GE335" s="124"/>
      <c r="GF335" s="124"/>
      <c r="GG335" s="124"/>
      <c r="GH335" s="124"/>
      <c r="GI335" s="124"/>
      <c r="GJ335" s="124"/>
      <c r="GK335" s="124"/>
      <c r="GL335" s="124"/>
      <c r="GM335" s="124"/>
      <c r="GN335" s="124"/>
      <c r="GO335" s="124"/>
      <c r="GP335" s="124"/>
      <c r="GQ335" s="124"/>
      <c r="GR335" s="124"/>
      <c r="GS335" s="124"/>
      <c r="GT335" s="124"/>
      <c r="GU335" s="124"/>
      <c r="GV335" s="124"/>
      <c r="GW335" s="124"/>
      <c r="GX335" s="124"/>
      <c r="GY335" s="124"/>
      <c r="GZ335" s="124"/>
      <c r="HA335" s="124"/>
      <c r="HB335" s="124"/>
      <c r="HC335" s="124"/>
      <c r="HD335" s="124"/>
      <c r="HE335" s="124"/>
      <c r="HF335" s="124"/>
      <c r="HG335" s="124"/>
      <c r="HH335" s="124"/>
      <c r="HI335" s="124"/>
      <c r="HJ335" s="124"/>
      <c r="HK335" s="124"/>
      <c r="HL335" s="124"/>
      <c r="HM335" s="124"/>
      <c r="HN335" s="124"/>
      <c r="HO335" s="124"/>
      <c r="HP335" s="124"/>
      <c r="HQ335" s="124"/>
    </row>
    <row r="336" spans="1:225" x14ac:dyDescent="0.2">
      <c r="A336" s="122" t="s">
        <v>967</v>
      </c>
      <c r="B336" s="123">
        <v>69</v>
      </c>
      <c r="C336" s="124" t="s">
        <v>495</v>
      </c>
      <c r="D336" s="123">
        <v>327</v>
      </c>
      <c r="E336" s="124" t="s">
        <v>361</v>
      </c>
      <c r="F336" s="123">
        <v>2</v>
      </c>
      <c r="G336" s="123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24"/>
      <c r="BK336" s="124"/>
      <c r="BL336" s="124"/>
      <c r="BM336" s="124"/>
      <c r="BN336" s="124"/>
      <c r="BO336" s="124"/>
      <c r="BP336" s="124"/>
      <c r="BQ336" s="124"/>
      <c r="BR336" s="124"/>
      <c r="BS336" s="124"/>
      <c r="BT336" s="124"/>
      <c r="BU336" s="124"/>
      <c r="BV336" s="124"/>
      <c r="BW336" s="124"/>
      <c r="BX336" s="124"/>
      <c r="BY336" s="124"/>
      <c r="BZ336" s="124"/>
      <c r="CA336" s="124"/>
      <c r="CB336" s="124"/>
      <c r="CC336" s="124"/>
      <c r="CD336" s="124"/>
      <c r="CE336" s="124"/>
      <c r="CF336" s="124"/>
      <c r="CG336" s="124"/>
      <c r="CH336" s="124"/>
      <c r="CI336" s="124"/>
      <c r="CJ336" s="124"/>
      <c r="CK336" s="124"/>
      <c r="CL336" s="124"/>
      <c r="CM336" s="124"/>
      <c r="CN336" s="124"/>
      <c r="CO336" s="124"/>
      <c r="CP336" s="124"/>
      <c r="CQ336" s="124"/>
      <c r="CR336" s="124"/>
      <c r="CS336" s="124"/>
      <c r="CT336" s="124"/>
      <c r="CU336" s="124"/>
      <c r="CV336" s="124"/>
      <c r="CW336" s="124"/>
      <c r="CX336" s="124"/>
      <c r="CY336" s="124"/>
      <c r="CZ336" s="124"/>
      <c r="DA336" s="124"/>
      <c r="DB336" s="124"/>
      <c r="DC336" s="124"/>
      <c r="DD336" s="124"/>
      <c r="DE336" s="124"/>
      <c r="DF336" s="124"/>
      <c r="DG336" s="124"/>
      <c r="DH336" s="124"/>
      <c r="DI336" s="124"/>
      <c r="DJ336" s="124"/>
      <c r="DK336" s="124"/>
      <c r="DL336" s="124"/>
      <c r="DM336" s="124"/>
      <c r="DN336" s="124"/>
      <c r="DO336" s="124"/>
      <c r="DP336" s="124"/>
      <c r="DQ336" s="124"/>
      <c r="DR336" s="124"/>
      <c r="DS336" s="124"/>
      <c r="DT336" s="124"/>
      <c r="DU336" s="124"/>
      <c r="DV336" s="124"/>
      <c r="DW336" s="124"/>
      <c r="DX336" s="124"/>
      <c r="DY336" s="124"/>
      <c r="DZ336" s="124"/>
      <c r="EA336" s="124"/>
      <c r="EB336" s="124"/>
      <c r="EC336" s="124"/>
      <c r="ED336" s="124"/>
      <c r="EE336" s="124"/>
      <c r="EF336" s="124"/>
      <c r="EG336" s="124"/>
      <c r="EH336" s="124"/>
      <c r="EI336" s="124"/>
      <c r="EJ336" s="124"/>
      <c r="EK336" s="124"/>
      <c r="EL336" s="124"/>
      <c r="EM336" s="124"/>
      <c r="EN336" s="124"/>
      <c r="EO336" s="124"/>
      <c r="EP336" s="124"/>
      <c r="EQ336" s="124"/>
      <c r="ER336" s="124"/>
      <c r="ES336" s="124"/>
      <c r="ET336" s="124"/>
      <c r="EU336" s="124"/>
      <c r="EV336" s="124"/>
      <c r="EW336" s="124"/>
      <c r="EX336" s="124"/>
      <c r="EY336" s="124"/>
      <c r="EZ336" s="124"/>
      <c r="FA336" s="124"/>
      <c r="FB336" s="124"/>
      <c r="FC336" s="124"/>
      <c r="FD336" s="124"/>
      <c r="FE336" s="124"/>
      <c r="FF336" s="124"/>
      <c r="FG336" s="124"/>
      <c r="FH336" s="124"/>
      <c r="FI336" s="124"/>
      <c r="FJ336" s="124"/>
      <c r="FK336" s="124"/>
      <c r="FL336" s="124"/>
      <c r="FM336" s="124"/>
      <c r="FN336" s="124"/>
      <c r="FO336" s="124"/>
      <c r="FP336" s="124"/>
      <c r="FQ336" s="124"/>
      <c r="FR336" s="124"/>
      <c r="FS336" s="124"/>
      <c r="FT336" s="124"/>
      <c r="FU336" s="124"/>
      <c r="FV336" s="124"/>
      <c r="FW336" s="124"/>
      <c r="FX336" s="124"/>
      <c r="FY336" s="124"/>
      <c r="FZ336" s="124"/>
      <c r="GA336" s="124"/>
      <c r="GB336" s="124"/>
      <c r="GC336" s="124"/>
      <c r="GD336" s="124"/>
      <c r="GE336" s="124"/>
      <c r="GF336" s="124"/>
      <c r="GG336" s="124"/>
      <c r="GH336" s="124"/>
      <c r="GI336" s="124"/>
      <c r="GJ336" s="124"/>
      <c r="GK336" s="124"/>
      <c r="GL336" s="124"/>
      <c r="GM336" s="124"/>
      <c r="GN336" s="124"/>
      <c r="GO336" s="124"/>
      <c r="GP336" s="124"/>
      <c r="GQ336" s="124"/>
      <c r="GR336" s="124"/>
      <c r="GS336" s="124"/>
      <c r="GT336" s="124"/>
      <c r="GU336" s="124"/>
      <c r="GV336" s="124"/>
      <c r="GW336" s="124"/>
      <c r="GX336" s="124"/>
      <c r="GY336" s="124"/>
      <c r="GZ336" s="124"/>
      <c r="HA336" s="124"/>
      <c r="HB336" s="124"/>
      <c r="HC336" s="124"/>
      <c r="HD336" s="124"/>
      <c r="HE336" s="124"/>
      <c r="HF336" s="124"/>
      <c r="HG336" s="124"/>
      <c r="HH336" s="124"/>
      <c r="HI336" s="124"/>
      <c r="HJ336" s="124"/>
      <c r="HK336" s="124"/>
      <c r="HL336" s="124"/>
      <c r="HM336" s="124"/>
      <c r="HN336" s="124"/>
      <c r="HO336" s="124"/>
      <c r="HP336" s="124"/>
      <c r="HQ336" s="124"/>
    </row>
    <row r="337" spans="1:225" x14ac:dyDescent="0.2">
      <c r="A337" s="122" t="s">
        <v>968</v>
      </c>
      <c r="B337" s="123">
        <v>69</v>
      </c>
      <c r="C337" s="124" t="s">
        <v>496</v>
      </c>
      <c r="D337" s="123">
        <v>328</v>
      </c>
      <c r="E337" s="124" t="s">
        <v>361</v>
      </c>
      <c r="F337" s="123">
        <v>2</v>
      </c>
      <c r="G337" s="123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  <c r="BJ337" s="124"/>
      <c r="BK337" s="124"/>
      <c r="BL337" s="124"/>
      <c r="BM337" s="124"/>
      <c r="BN337" s="124"/>
      <c r="BO337" s="124"/>
      <c r="BP337" s="124"/>
      <c r="BQ337" s="124"/>
      <c r="BR337" s="124"/>
      <c r="BS337" s="124"/>
      <c r="BT337" s="124"/>
      <c r="BU337" s="124"/>
      <c r="BV337" s="124"/>
      <c r="BW337" s="124"/>
      <c r="BX337" s="124"/>
      <c r="BY337" s="124"/>
      <c r="BZ337" s="124"/>
      <c r="CA337" s="124"/>
      <c r="CB337" s="124"/>
      <c r="CC337" s="124"/>
      <c r="CD337" s="124"/>
      <c r="CE337" s="124"/>
      <c r="CF337" s="124"/>
      <c r="CG337" s="124"/>
      <c r="CH337" s="124"/>
      <c r="CI337" s="124"/>
      <c r="CJ337" s="124"/>
      <c r="CK337" s="124"/>
      <c r="CL337" s="124"/>
      <c r="CM337" s="124"/>
      <c r="CN337" s="124"/>
      <c r="CO337" s="124"/>
      <c r="CP337" s="124"/>
      <c r="CQ337" s="124"/>
      <c r="CR337" s="124"/>
      <c r="CS337" s="124"/>
      <c r="CT337" s="124"/>
      <c r="CU337" s="124"/>
      <c r="CV337" s="124"/>
      <c r="CW337" s="124"/>
      <c r="CX337" s="124"/>
      <c r="CY337" s="124"/>
      <c r="CZ337" s="124"/>
      <c r="DA337" s="124"/>
      <c r="DB337" s="124"/>
      <c r="DC337" s="124"/>
      <c r="DD337" s="124"/>
      <c r="DE337" s="124"/>
      <c r="DF337" s="124"/>
      <c r="DG337" s="124"/>
      <c r="DH337" s="124"/>
      <c r="DI337" s="124"/>
      <c r="DJ337" s="124"/>
      <c r="DK337" s="124"/>
      <c r="DL337" s="124"/>
      <c r="DM337" s="124"/>
      <c r="DN337" s="124"/>
      <c r="DO337" s="124"/>
      <c r="DP337" s="124"/>
      <c r="DQ337" s="124"/>
      <c r="DR337" s="124"/>
      <c r="DS337" s="124"/>
      <c r="DT337" s="124"/>
      <c r="DU337" s="124"/>
      <c r="DV337" s="124"/>
      <c r="DW337" s="124"/>
      <c r="DX337" s="124"/>
      <c r="DY337" s="124"/>
      <c r="DZ337" s="124"/>
      <c r="EA337" s="124"/>
      <c r="EB337" s="124"/>
      <c r="EC337" s="124"/>
      <c r="ED337" s="124"/>
      <c r="EE337" s="124"/>
      <c r="EF337" s="124"/>
      <c r="EG337" s="124"/>
      <c r="EH337" s="124"/>
      <c r="EI337" s="124"/>
      <c r="EJ337" s="124"/>
      <c r="EK337" s="124"/>
      <c r="EL337" s="124"/>
      <c r="EM337" s="124"/>
      <c r="EN337" s="124"/>
      <c r="EO337" s="124"/>
      <c r="EP337" s="124"/>
      <c r="EQ337" s="124"/>
      <c r="ER337" s="124"/>
      <c r="ES337" s="124"/>
      <c r="ET337" s="124"/>
      <c r="EU337" s="124"/>
      <c r="EV337" s="124"/>
      <c r="EW337" s="124"/>
      <c r="EX337" s="124"/>
      <c r="EY337" s="124"/>
      <c r="EZ337" s="124"/>
      <c r="FA337" s="124"/>
      <c r="FB337" s="124"/>
      <c r="FC337" s="124"/>
      <c r="FD337" s="124"/>
      <c r="FE337" s="124"/>
      <c r="FF337" s="124"/>
      <c r="FG337" s="124"/>
      <c r="FH337" s="124"/>
      <c r="FI337" s="124"/>
      <c r="FJ337" s="124"/>
      <c r="FK337" s="124"/>
      <c r="FL337" s="124"/>
      <c r="FM337" s="124"/>
      <c r="FN337" s="124"/>
      <c r="FO337" s="124"/>
      <c r="FP337" s="124"/>
      <c r="FQ337" s="124"/>
      <c r="FR337" s="124"/>
      <c r="FS337" s="124"/>
      <c r="FT337" s="124"/>
      <c r="FU337" s="124"/>
      <c r="FV337" s="124"/>
      <c r="FW337" s="124"/>
      <c r="FX337" s="124"/>
      <c r="FY337" s="124"/>
      <c r="FZ337" s="124"/>
      <c r="GA337" s="124"/>
      <c r="GB337" s="124"/>
      <c r="GC337" s="124"/>
      <c r="GD337" s="124"/>
      <c r="GE337" s="124"/>
      <c r="GF337" s="124"/>
      <c r="GG337" s="124"/>
      <c r="GH337" s="124"/>
      <c r="GI337" s="124"/>
      <c r="GJ337" s="124"/>
      <c r="GK337" s="124"/>
      <c r="GL337" s="124"/>
      <c r="GM337" s="124"/>
      <c r="GN337" s="124"/>
      <c r="GO337" s="124"/>
      <c r="GP337" s="124"/>
      <c r="GQ337" s="124"/>
      <c r="GR337" s="124"/>
      <c r="GS337" s="124"/>
      <c r="GT337" s="124"/>
      <c r="GU337" s="124"/>
      <c r="GV337" s="124"/>
      <c r="GW337" s="124"/>
      <c r="GX337" s="124"/>
      <c r="GY337" s="124"/>
      <c r="GZ337" s="124"/>
      <c r="HA337" s="124"/>
      <c r="HB337" s="124"/>
      <c r="HC337" s="124"/>
      <c r="HD337" s="124"/>
      <c r="HE337" s="124"/>
      <c r="HF337" s="124"/>
      <c r="HG337" s="124"/>
      <c r="HH337" s="124"/>
      <c r="HI337" s="124"/>
      <c r="HJ337" s="124"/>
      <c r="HK337" s="124"/>
      <c r="HL337" s="124"/>
      <c r="HM337" s="124"/>
      <c r="HN337" s="124"/>
      <c r="HO337" s="124"/>
      <c r="HP337" s="124"/>
      <c r="HQ337" s="124"/>
    </row>
    <row r="338" spans="1:225" x14ac:dyDescent="0.2">
      <c r="A338" s="122" t="s">
        <v>969</v>
      </c>
      <c r="B338" s="123">
        <v>70</v>
      </c>
      <c r="C338" s="124" t="s">
        <v>497</v>
      </c>
      <c r="D338" s="123">
        <v>329</v>
      </c>
      <c r="E338" s="124" t="s">
        <v>361</v>
      </c>
      <c r="F338" s="123">
        <v>3</v>
      </c>
      <c r="G338" s="123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  <c r="AV338" s="124"/>
      <c r="AW338" s="124"/>
      <c r="AX338" s="124"/>
      <c r="AY338" s="124"/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  <c r="BJ338" s="124"/>
      <c r="BK338" s="124"/>
      <c r="BL338" s="124"/>
      <c r="BM338" s="124"/>
      <c r="BN338" s="124"/>
      <c r="BO338" s="124"/>
      <c r="BP338" s="124"/>
      <c r="BQ338" s="124"/>
      <c r="BR338" s="124"/>
      <c r="BS338" s="124"/>
      <c r="BT338" s="124"/>
      <c r="BU338" s="124"/>
      <c r="BV338" s="124"/>
      <c r="BW338" s="124"/>
      <c r="BX338" s="124"/>
      <c r="BY338" s="124"/>
      <c r="BZ338" s="124"/>
      <c r="CA338" s="124"/>
      <c r="CB338" s="124"/>
      <c r="CC338" s="124"/>
      <c r="CD338" s="124"/>
      <c r="CE338" s="124"/>
      <c r="CF338" s="124"/>
      <c r="CG338" s="124"/>
      <c r="CH338" s="124"/>
      <c r="CI338" s="124"/>
      <c r="CJ338" s="124"/>
      <c r="CK338" s="124"/>
      <c r="CL338" s="124"/>
      <c r="CM338" s="124"/>
      <c r="CN338" s="124"/>
      <c r="CO338" s="124"/>
      <c r="CP338" s="124"/>
      <c r="CQ338" s="124"/>
      <c r="CR338" s="124"/>
      <c r="CS338" s="124"/>
      <c r="CT338" s="124"/>
      <c r="CU338" s="124"/>
      <c r="CV338" s="124"/>
      <c r="CW338" s="124"/>
      <c r="CX338" s="124"/>
      <c r="CY338" s="124"/>
      <c r="CZ338" s="124"/>
      <c r="DA338" s="124"/>
      <c r="DB338" s="124"/>
      <c r="DC338" s="124"/>
      <c r="DD338" s="124"/>
      <c r="DE338" s="124"/>
      <c r="DF338" s="124"/>
      <c r="DG338" s="124"/>
      <c r="DH338" s="124"/>
      <c r="DI338" s="124"/>
      <c r="DJ338" s="124"/>
      <c r="DK338" s="124"/>
      <c r="DL338" s="124"/>
      <c r="DM338" s="124"/>
      <c r="DN338" s="124"/>
      <c r="DO338" s="124"/>
      <c r="DP338" s="124"/>
      <c r="DQ338" s="124"/>
      <c r="DR338" s="124"/>
      <c r="DS338" s="124"/>
      <c r="DT338" s="124"/>
      <c r="DU338" s="124"/>
      <c r="DV338" s="124"/>
      <c r="DW338" s="124"/>
      <c r="DX338" s="124"/>
      <c r="DY338" s="124"/>
      <c r="DZ338" s="124"/>
      <c r="EA338" s="124"/>
      <c r="EB338" s="124"/>
      <c r="EC338" s="124"/>
      <c r="ED338" s="124"/>
      <c r="EE338" s="124"/>
      <c r="EF338" s="124"/>
      <c r="EG338" s="124"/>
      <c r="EH338" s="124"/>
      <c r="EI338" s="124"/>
      <c r="EJ338" s="124"/>
      <c r="EK338" s="124"/>
      <c r="EL338" s="124"/>
      <c r="EM338" s="124"/>
      <c r="EN338" s="124"/>
      <c r="EO338" s="124"/>
      <c r="EP338" s="124"/>
      <c r="EQ338" s="124"/>
      <c r="ER338" s="124"/>
      <c r="ES338" s="124"/>
      <c r="ET338" s="124"/>
      <c r="EU338" s="124"/>
      <c r="EV338" s="124"/>
      <c r="EW338" s="124"/>
      <c r="EX338" s="124"/>
      <c r="EY338" s="124"/>
      <c r="EZ338" s="124"/>
      <c r="FA338" s="124"/>
      <c r="FB338" s="124"/>
      <c r="FC338" s="124"/>
      <c r="FD338" s="124"/>
      <c r="FE338" s="124"/>
      <c r="FF338" s="124"/>
      <c r="FG338" s="124"/>
      <c r="FH338" s="124"/>
      <c r="FI338" s="124"/>
      <c r="FJ338" s="124"/>
      <c r="FK338" s="124"/>
      <c r="FL338" s="124"/>
      <c r="FM338" s="124"/>
      <c r="FN338" s="124"/>
      <c r="FO338" s="124"/>
      <c r="FP338" s="124"/>
      <c r="FQ338" s="124"/>
      <c r="FR338" s="124"/>
      <c r="FS338" s="124"/>
      <c r="FT338" s="124"/>
      <c r="FU338" s="124"/>
      <c r="FV338" s="124"/>
      <c r="FW338" s="124"/>
      <c r="FX338" s="124"/>
      <c r="FY338" s="124"/>
      <c r="FZ338" s="124"/>
      <c r="GA338" s="124"/>
      <c r="GB338" s="124"/>
      <c r="GC338" s="124"/>
      <c r="GD338" s="124"/>
      <c r="GE338" s="124"/>
      <c r="GF338" s="124"/>
      <c r="GG338" s="124"/>
      <c r="GH338" s="124"/>
      <c r="GI338" s="124"/>
      <c r="GJ338" s="124"/>
      <c r="GK338" s="124"/>
      <c r="GL338" s="124"/>
      <c r="GM338" s="124"/>
      <c r="GN338" s="124"/>
      <c r="GO338" s="124"/>
      <c r="GP338" s="124"/>
      <c r="GQ338" s="124"/>
      <c r="GR338" s="124"/>
      <c r="GS338" s="124"/>
      <c r="GT338" s="124"/>
      <c r="GU338" s="124"/>
      <c r="GV338" s="124"/>
      <c r="GW338" s="124"/>
      <c r="GX338" s="124"/>
      <c r="GY338" s="124"/>
      <c r="GZ338" s="124"/>
      <c r="HA338" s="124"/>
      <c r="HB338" s="124"/>
      <c r="HC338" s="124"/>
      <c r="HD338" s="124"/>
      <c r="HE338" s="124"/>
      <c r="HF338" s="124"/>
      <c r="HG338" s="124"/>
      <c r="HH338" s="124"/>
      <c r="HI338" s="124"/>
      <c r="HJ338" s="124"/>
      <c r="HK338" s="124"/>
      <c r="HL338" s="124"/>
      <c r="HM338" s="124"/>
      <c r="HN338" s="124"/>
      <c r="HO338" s="124"/>
      <c r="HP338" s="124"/>
      <c r="HQ338" s="124"/>
    </row>
    <row r="339" spans="1:225" x14ac:dyDescent="0.2">
      <c r="A339" s="122" t="s">
        <v>970</v>
      </c>
      <c r="B339" s="123">
        <v>70</v>
      </c>
      <c r="C339" s="124" t="s">
        <v>498</v>
      </c>
      <c r="D339" s="123">
        <v>330</v>
      </c>
      <c r="E339" s="124" t="s">
        <v>361</v>
      </c>
      <c r="F339" s="123">
        <v>2</v>
      </c>
      <c r="G339" s="123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24"/>
      <c r="BE339" s="124"/>
      <c r="BF339" s="124"/>
      <c r="BG339" s="124"/>
      <c r="BH339" s="124"/>
      <c r="BI339" s="124"/>
      <c r="BJ339" s="124"/>
      <c r="BK339" s="124"/>
      <c r="BL339" s="124"/>
      <c r="BM339" s="124"/>
      <c r="BN339" s="124"/>
      <c r="BO339" s="124"/>
      <c r="BP339" s="124"/>
      <c r="BQ339" s="124"/>
      <c r="BR339" s="124"/>
      <c r="BS339" s="124"/>
      <c r="BT339" s="124"/>
      <c r="BU339" s="124"/>
      <c r="BV339" s="124"/>
      <c r="BW339" s="124"/>
      <c r="BX339" s="124"/>
      <c r="BY339" s="124"/>
      <c r="BZ339" s="124"/>
      <c r="CA339" s="124"/>
      <c r="CB339" s="124"/>
      <c r="CC339" s="124"/>
      <c r="CD339" s="124"/>
      <c r="CE339" s="124"/>
      <c r="CF339" s="124"/>
      <c r="CG339" s="124"/>
      <c r="CH339" s="124"/>
      <c r="CI339" s="124"/>
      <c r="CJ339" s="124"/>
      <c r="CK339" s="124"/>
      <c r="CL339" s="124"/>
      <c r="CM339" s="124"/>
      <c r="CN339" s="124"/>
      <c r="CO339" s="124"/>
      <c r="CP339" s="124"/>
      <c r="CQ339" s="124"/>
      <c r="CR339" s="124"/>
      <c r="CS339" s="124"/>
      <c r="CT339" s="124"/>
      <c r="CU339" s="124"/>
      <c r="CV339" s="124"/>
      <c r="CW339" s="124"/>
      <c r="CX339" s="124"/>
      <c r="CY339" s="124"/>
      <c r="CZ339" s="124"/>
      <c r="DA339" s="124"/>
      <c r="DB339" s="124"/>
      <c r="DC339" s="124"/>
      <c r="DD339" s="124"/>
      <c r="DE339" s="124"/>
      <c r="DF339" s="124"/>
      <c r="DG339" s="124"/>
      <c r="DH339" s="124"/>
      <c r="DI339" s="124"/>
      <c r="DJ339" s="124"/>
      <c r="DK339" s="124"/>
      <c r="DL339" s="124"/>
      <c r="DM339" s="124"/>
      <c r="DN339" s="124"/>
      <c r="DO339" s="124"/>
      <c r="DP339" s="124"/>
      <c r="DQ339" s="124"/>
      <c r="DR339" s="124"/>
      <c r="DS339" s="124"/>
      <c r="DT339" s="124"/>
      <c r="DU339" s="124"/>
      <c r="DV339" s="124"/>
      <c r="DW339" s="124"/>
      <c r="DX339" s="124"/>
      <c r="DY339" s="124"/>
      <c r="DZ339" s="124"/>
      <c r="EA339" s="124"/>
      <c r="EB339" s="124"/>
      <c r="EC339" s="124"/>
      <c r="ED339" s="124"/>
      <c r="EE339" s="124"/>
      <c r="EF339" s="124"/>
      <c r="EG339" s="124"/>
      <c r="EH339" s="124"/>
      <c r="EI339" s="124"/>
      <c r="EJ339" s="124"/>
      <c r="EK339" s="124"/>
      <c r="EL339" s="124"/>
      <c r="EM339" s="124"/>
      <c r="EN339" s="124"/>
      <c r="EO339" s="124"/>
      <c r="EP339" s="124"/>
      <c r="EQ339" s="124"/>
      <c r="ER339" s="124"/>
      <c r="ES339" s="124"/>
      <c r="ET339" s="124"/>
      <c r="EU339" s="124"/>
      <c r="EV339" s="124"/>
      <c r="EW339" s="124"/>
      <c r="EX339" s="124"/>
      <c r="EY339" s="124"/>
      <c r="EZ339" s="124"/>
      <c r="FA339" s="124"/>
      <c r="FB339" s="124"/>
      <c r="FC339" s="124"/>
      <c r="FD339" s="124"/>
      <c r="FE339" s="124"/>
      <c r="FF339" s="124"/>
      <c r="FG339" s="124"/>
      <c r="FH339" s="124"/>
      <c r="FI339" s="124"/>
      <c r="FJ339" s="124"/>
      <c r="FK339" s="124"/>
      <c r="FL339" s="124"/>
      <c r="FM339" s="124"/>
      <c r="FN339" s="124"/>
      <c r="FO339" s="124"/>
      <c r="FP339" s="124"/>
      <c r="FQ339" s="124"/>
      <c r="FR339" s="124"/>
      <c r="FS339" s="124"/>
      <c r="FT339" s="124"/>
      <c r="FU339" s="124"/>
      <c r="FV339" s="124"/>
      <c r="FW339" s="124"/>
      <c r="FX339" s="124"/>
      <c r="FY339" s="124"/>
      <c r="FZ339" s="124"/>
      <c r="GA339" s="124"/>
      <c r="GB339" s="124"/>
      <c r="GC339" s="124"/>
      <c r="GD339" s="124"/>
      <c r="GE339" s="124"/>
      <c r="GF339" s="124"/>
      <c r="GG339" s="124"/>
      <c r="GH339" s="124"/>
      <c r="GI339" s="124"/>
      <c r="GJ339" s="124"/>
      <c r="GK339" s="124"/>
      <c r="GL339" s="124"/>
      <c r="GM339" s="124"/>
      <c r="GN339" s="124"/>
      <c r="GO339" s="124"/>
      <c r="GP339" s="124"/>
      <c r="GQ339" s="124"/>
      <c r="GR339" s="124"/>
      <c r="GS339" s="124"/>
      <c r="GT339" s="124"/>
      <c r="GU339" s="124"/>
      <c r="GV339" s="124"/>
      <c r="GW339" s="124"/>
      <c r="GX339" s="124"/>
      <c r="GY339" s="124"/>
      <c r="GZ339" s="124"/>
      <c r="HA339" s="124"/>
      <c r="HB339" s="124"/>
      <c r="HC339" s="124"/>
      <c r="HD339" s="124"/>
      <c r="HE339" s="124"/>
      <c r="HF339" s="124"/>
      <c r="HG339" s="124"/>
      <c r="HH339" s="124"/>
      <c r="HI339" s="124"/>
      <c r="HJ339" s="124"/>
      <c r="HK339" s="124"/>
      <c r="HL339" s="124"/>
      <c r="HM339" s="124"/>
      <c r="HN339" s="124"/>
      <c r="HO339" s="124"/>
      <c r="HP339" s="124"/>
      <c r="HQ339" s="124"/>
    </row>
    <row r="340" spans="1:225" x14ac:dyDescent="0.2">
      <c r="A340" s="122" t="s">
        <v>971</v>
      </c>
      <c r="B340" s="123">
        <v>71</v>
      </c>
      <c r="C340" s="124" t="s">
        <v>499</v>
      </c>
      <c r="D340" s="123">
        <v>331</v>
      </c>
      <c r="E340" s="124" t="s">
        <v>361</v>
      </c>
      <c r="F340" s="123">
        <v>3</v>
      </c>
      <c r="G340" s="123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  <c r="BJ340" s="124"/>
      <c r="BK340" s="124"/>
      <c r="BL340" s="124"/>
      <c r="BM340" s="124"/>
      <c r="BN340" s="124"/>
      <c r="BO340" s="124"/>
      <c r="BP340" s="124"/>
      <c r="BQ340" s="124"/>
      <c r="BR340" s="124"/>
      <c r="BS340" s="124"/>
      <c r="BT340" s="124"/>
      <c r="BU340" s="124"/>
      <c r="BV340" s="124"/>
      <c r="BW340" s="124"/>
      <c r="BX340" s="124"/>
      <c r="BY340" s="124"/>
      <c r="BZ340" s="124"/>
      <c r="CA340" s="124"/>
      <c r="CB340" s="124"/>
      <c r="CC340" s="124"/>
      <c r="CD340" s="124"/>
      <c r="CE340" s="124"/>
      <c r="CF340" s="124"/>
      <c r="CG340" s="124"/>
      <c r="CH340" s="124"/>
      <c r="CI340" s="124"/>
      <c r="CJ340" s="124"/>
      <c r="CK340" s="124"/>
      <c r="CL340" s="124"/>
      <c r="CM340" s="124"/>
      <c r="CN340" s="124"/>
      <c r="CO340" s="124"/>
      <c r="CP340" s="124"/>
      <c r="CQ340" s="124"/>
      <c r="CR340" s="124"/>
      <c r="CS340" s="124"/>
      <c r="CT340" s="124"/>
      <c r="CU340" s="124"/>
      <c r="CV340" s="124"/>
      <c r="CW340" s="124"/>
      <c r="CX340" s="124"/>
      <c r="CY340" s="124"/>
      <c r="CZ340" s="124"/>
      <c r="DA340" s="124"/>
      <c r="DB340" s="124"/>
      <c r="DC340" s="124"/>
      <c r="DD340" s="124"/>
      <c r="DE340" s="124"/>
      <c r="DF340" s="124"/>
      <c r="DG340" s="124"/>
      <c r="DH340" s="124"/>
      <c r="DI340" s="124"/>
      <c r="DJ340" s="124"/>
      <c r="DK340" s="124"/>
      <c r="DL340" s="124"/>
      <c r="DM340" s="124"/>
      <c r="DN340" s="124"/>
      <c r="DO340" s="124"/>
      <c r="DP340" s="124"/>
      <c r="DQ340" s="124"/>
      <c r="DR340" s="124"/>
      <c r="DS340" s="124"/>
      <c r="DT340" s="124"/>
      <c r="DU340" s="124"/>
      <c r="DV340" s="124"/>
      <c r="DW340" s="124"/>
      <c r="DX340" s="124"/>
      <c r="DY340" s="124"/>
      <c r="DZ340" s="124"/>
      <c r="EA340" s="124"/>
      <c r="EB340" s="124"/>
      <c r="EC340" s="124"/>
      <c r="ED340" s="124"/>
      <c r="EE340" s="124"/>
      <c r="EF340" s="124"/>
      <c r="EG340" s="124"/>
      <c r="EH340" s="124"/>
      <c r="EI340" s="124"/>
      <c r="EJ340" s="124"/>
      <c r="EK340" s="124"/>
      <c r="EL340" s="124"/>
      <c r="EM340" s="124"/>
      <c r="EN340" s="124"/>
      <c r="EO340" s="124"/>
      <c r="EP340" s="124"/>
      <c r="EQ340" s="124"/>
      <c r="ER340" s="124"/>
      <c r="ES340" s="124"/>
      <c r="ET340" s="124"/>
      <c r="EU340" s="124"/>
      <c r="EV340" s="124"/>
      <c r="EW340" s="124"/>
      <c r="EX340" s="124"/>
      <c r="EY340" s="124"/>
      <c r="EZ340" s="124"/>
      <c r="FA340" s="124"/>
      <c r="FB340" s="124"/>
      <c r="FC340" s="124"/>
      <c r="FD340" s="124"/>
      <c r="FE340" s="124"/>
      <c r="FF340" s="124"/>
      <c r="FG340" s="124"/>
      <c r="FH340" s="124"/>
      <c r="FI340" s="124"/>
      <c r="FJ340" s="124"/>
      <c r="FK340" s="124"/>
      <c r="FL340" s="124"/>
      <c r="FM340" s="124"/>
      <c r="FN340" s="124"/>
      <c r="FO340" s="124"/>
      <c r="FP340" s="124"/>
      <c r="FQ340" s="124"/>
      <c r="FR340" s="124"/>
      <c r="FS340" s="124"/>
      <c r="FT340" s="124"/>
      <c r="FU340" s="124"/>
      <c r="FV340" s="124"/>
      <c r="FW340" s="124"/>
      <c r="FX340" s="124"/>
      <c r="FY340" s="124"/>
      <c r="FZ340" s="124"/>
      <c r="GA340" s="124"/>
      <c r="GB340" s="124"/>
      <c r="GC340" s="124"/>
      <c r="GD340" s="124"/>
      <c r="GE340" s="124"/>
      <c r="GF340" s="124"/>
      <c r="GG340" s="124"/>
      <c r="GH340" s="124"/>
      <c r="GI340" s="124"/>
      <c r="GJ340" s="124"/>
      <c r="GK340" s="124"/>
      <c r="GL340" s="124"/>
      <c r="GM340" s="124"/>
      <c r="GN340" s="124"/>
      <c r="GO340" s="124"/>
      <c r="GP340" s="124"/>
      <c r="GQ340" s="124"/>
      <c r="GR340" s="124"/>
      <c r="GS340" s="124"/>
      <c r="GT340" s="124"/>
      <c r="GU340" s="124"/>
      <c r="GV340" s="124"/>
      <c r="GW340" s="124"/>
      <c r="GX340" s="124"/>
      <c r="GY340" s="124"/>
      <c r="GZ340" s="124"/>
      <c r="HA340" s="124"/>
      <c r="HB340" s="124"/>
      <c r="HC340" s="124"/>
      <c r="HD340" s="124"/>
      <c r="HE340" s="124"/>
      <c r="HF340" s="124"/>
      <c r="HG340" s="124"/>
      <c r="HH340" s="124"/>
      <c r="HI340" s="124"/>
      <c r="HJ340" s="124"/>
      <c r="HK340" s="124"/>
      <c r="HL340" s="124"/>
      <c r="HM340" s="124"/>
      <c r="HN340" s="124"/>
      <c r="HO340" s="124"/>
      <c r="HP340" s="124"/>
      <c r="HQ340" s="124"/>
    </row>
    <row r="341" spans="1:225" x14ac:dyDescent="0.2">
      <c r="A341" s="122" t="s">
        <v>972</v>
      </c>
      <c r="B341" s="123">
        <v>71</v>
      </c>
      <c r="C341" s="124" t="s">
        <v>500</v>
      </c>
      <c r="D341" s="123">
        <v>332</v>
      </c>
      <c r="E341" s="124" t="s">
        <v>361</v>
      </c>
      <c r="F341" s="123">
        <v>3</v>
      </c>
      <c r="G341" s="123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  <c r="BJ341" s="124"/>
      <c r="BK341" s="124"/>
      <c r="BL341" s="124"/>
      <c r="BM341" s="124"/>
      <c r="BN341" s="124"/>
      <c r="BO341" s="124"/>
      <c r="BP341" s="124"/>
      <c r="BQ341" s="124"/>
      <c r="BR341" s="124"/>
      <c r="BS341" s="124"/>
      <c r="BT341" s="124"/>
      <c r="BU341" s="124"/>
      <c r="BV341" s="124"/>
      <c r="BW341" s="124"/>
      <c r="BX341" s="124"/>
      <c r="BY341" s="124"/>
      <c r="BZ341" s="124"/>
      <c r="CA341" s="124"/>
      <c r="CB341" s="124"/>
      <c r="CC341" s="124"/>
      <c r="CD341" s="124"/>
      <c r="CE341" s="124"/>
      <c r="CF341" s="124"/>
      <c r="CG341" s="124"/>
      <c r="CH341" s="124"/>
      <c r="CI341" s="124"/>
      <c r="CJ341" s="124"/>
      <c r="CK341" s="124"/>
      <c r="CL341" s="124"/>
      <c r="CM341" s="124"/>
      <c r="CN341" s="124"/>
      <c r="CO341" s="124"/>
      <c r="CP341" s="124"/>
      <c r="CQ341" s="124"/>
      <c r="CR341" s="124"/>
      <c r="CS341" s="124"/>
      <c r="CT341" s="124"/>
      <c r="CU341" s="124"/>
      <c r="CV341" s="124"/>
      <c r="CW341" s="124"/>
      <c r="CX341" s="124"/>
      <c r="CY341" s="124"/>
      <c r="CZ341" s="124"/>
      <c r="DA341" s="124"/>
      <c r="DB341" s="124"/>
      <c r="DC341" s="124"/>
      <c r="DD341" s="124"/>
      <c r="DE341" s="124"/>
      <c r="DF341" s="124"/>
      <c r="DG341" s="124"/>
      <c r="DH341" s="124"/>
      <c r="DI341" s="124"/>
      <c r="DJ341" s="124"/>
      <c r="DK341" s="124"/>
      <c r="DL341" s="124"/>
      <c r="DM341" s="124"/>
      <c r="DN341" s="124"/>
      <c r="DO341" s="124"/>
      <c r="DP341" s="124"/>
      <c r="DQ341" s="124"/>
      <c r="DR341" s="124"/>
      <c r="DS341" s="124"/>
      <c r="DT341" s="124"/>
      <c r="DU341" s="124"/>
      <c r="DV341" s="124"/>
      <c r="DW341" s="124"/>
      <c r="DX341" s="124"/>
      <c r="DY341" s="124"/>
      <c r="DZ341" s="124"/>
      <c r="EA341" s="124"/>
      <c r="EB341" s="124"/>
      <c r="EC341" s="124"/>
      <c r="ED341" s="124"/>
      <c r="EE341" s="124"/>
      <c r="EF341" s="124"/>
      <c r="EG341" s="124"/>
      <c r="EH341" s="124"/>
      <c r="EI341" s="124"/>
      <c r="EJ341" s="124"/>
      <c r="EK341" s="124"/>
      <c r="EL341" s="124"/>
      <c r="EM341" s="124"/>
      <c r="EN341" s="124"/>
      <c r="EO341" s="124"/>
      <c r="EP341" s="124"/>
      <c r="EQ341" s="124"/>
      <c r="ER341" s="124"/>
      <c r="ES341" s="124"/>
      <c r="ET341" s="124"/>
      <c r="EU341" s="124"/>
      <c r="EV341" s="124"/>
      <c r="EW341" s="124"/>
      <c r="EX341" s="124"/>
      <c r="EY341" s="124"/>
      <c r="EZ341" s="124"/>
      <c r="FA341" s="124"/>
      <c r="FB341" s="124"/>
      <c r="FC341" s="124"/>
      <c r="FD341" s="124"/>
      <c r="FE341" s="124"/>
      <c r="FF341" s="124"/>
      <c r="FG341" s="124"/>
      <c r="FH341" s="124"/>
      <c r="FI341" s="124"/>
      <c r="FJ341" s="124"/>
      <c r="FK341" s="124"/>
      <c r="FL341" s="124"/>
      <c r="FM341" s="124"/>
      <c r="FN341" s="124"/>
      <c r="FO341" s="124"/>
      <c r="FP341" s="124"/>
      <c r="FQ341" s="124"/>
      <c r="FR341" s="124"/>
      <c r="FS341" s="124"/>
      <c r="FT341" s="124"/>
      <c r="FU341" s="124"/>
      <c r="FV341" s="124"/>
      <c r="FW341" s="124"/>
      <c r="FX341" s="124"/>
      <c r="FY341" s="124"/>
      <c r="FZ341" s="124"/>
      <c r="GA341" s="124"/>
      <c r="GB341" s="124"/>
      <c r="GC341" s="124"/>
      <c r="GD341" s="124"/>
      <c r="GE341" s="124"/>
      <c r="GF341" s="124"/>
      <c r="GG341" s="124"/>
      <c r="GH341" s="124"/>
      <c r="GI341" s="124"/>
      <c r="GJ341" s="124"/>
      <c r="GK341" s="124"/>
      <c r="GL341" s="124"/>
      <c r="GM341" s="124"/>
      <c r="GN341" s="124"/>
      <c r="GO341" s="124"/>
      <c r="GP341" s="124"/>
      <c r="GQ341" s="124"/>
      <c r="GR341" s="124"/>
      <c r="GS341" s="124"/>
      <c r="GT341" s="124"/>
      <c r="GU341" s="124"/>
      <c r="GV341" s="124"/>
      <c r="GW341" s="124"/>
      <c r="GX341" s="124"/>
      <c r="GY341" s="124"/>
      <c r="GZ341" s="124"/>
      <c r="HA341" s="124"/>
      <c r="HB341" s="124"/>
      <c r="HC341" s="124"/>
      <c r="HD341" s="124"/>
      <c r="HE341" s="124"/>
      <c r="HF341" s="124"/>
      <c r="HG341" s="124"/>
      <c r="HH341" s="124"/>
      <c r="HI341" s="124"/>
      <c r="HJ341" s="124"/>
      <c r="HK341" s="124"/>
      <c r="HL341" s="124"/>
      <c r="HM341" s="124"/>
      <c r="HN341" s="124"/>
      <c r="HO341" s="124"/>
      <c r="HP341" s="124"/>
      <c r="HQ341" s="124"/>
    </row>
    <row r="342" spans="1:225" x14ac:dyDescent="0.2">
      <c r="A342" s="122" t="s">
        <v>973</v>
      </c>
      <c r="B342" s="123">
        <v>72</v>
      </c>
      <c r="C342" s="124" t="s">
        <v>501</v>
      </c>
      <c r="D342" s="123">
        <v>333</v>
      </c>
      <c r="E342" s="124" t="s">
        <v>361</v>
      </c>
      <c r="F342" s="123">
        <v>2</v>
      </c>
      <c r="G342" s="123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  <c r="BJ342" s="124"/>
      <c r="BK342" s="124"/>
      <c r="BL342" s="124"/>
      <c r="BM342" s="124"/>
      <c r="BN342" s="124"/>
      <c r="BO342" s="124"/>
      <c r="BP342" s="124"/>
      <c r="BQ342" s="124"/>
      <c r="BR342" s="124"/>
      <c r="BS342" s="124"/>
      <c r="BT342" s="124"/>
      <c r="BU342" s="124"/>
      <c r="BV342" s="124"/>
      <c r="BW342" s="124"/>
      <c r="BX342" s="124"/>
      <c r="BY342" s="124"/>
      <c r="BZ342" s="124"/>
      <c r="CA342" s="124"/>
      <c r="CB342" s="124"/>
      <c r="CC342" s="124"/>
      <c r="CD342" s="124"/>
      <c r="CE342" s="124"/>
      <c r="CF342" s="124"/>
      <c r="CG342" s="124"/>
      <c r="CH342" s="124"/>
      <c r="CI342" s="124"/>
      <c r="CJ342" s="124"/>
      <c r="CK342" s="124"/>
      <c r="CL342" s="124"/>
      <c r="CM342" s="124"/>
      <c r="CN342" s="124"/>
      <c r="CO342" s="124"/>
      <c r="CP342" s="124"/>
      <c r="CQ342" s="124"/>
      <c r="CR342" s="124"/>
      <c r="CS342" s="124"/>
      <c r="CT342" s="124"/>
      <c r="CU342" s="124"/>
      <c r="CV342" s="124"/>
      <c r="CW342" s="124"/>
      <c r="CX342" s="124"/>
      <c r="CY342" s="124"/>
      <c r="CZ342" s="124"/>
      <c r="DA342" s="124"/>
      <c r="DB342" s="124"/>
      <c r="DC342" s="124"/>
      <c r="DD342" s="124"/>
      <c r="DE342" s="124"/>
      <c r="DF342" s="124"/>
      <c r="DG342" s="124"/>
      <c r="DH342" s="124"/>
      <c r="DI342" s="124"/>
      <c r="DJ342" s="124"/>
      <c r="DK342" s="124"/>
      <c r="DL342" s="124"/>
      <c r="DM342" s="124"/>
      <c r="DN342" s="124"/>
      <c r="DO342" s="124"/>
      <c r="DP342" s="124"/>
      <c r="DQ342" s="124"/>
      <c r="DR342" s="124"/>
      <c r="DS342" s="124"/>
      <c r="DT342" s="124"/>
      <c r="DU342" s="124"/>
      <c r="DV342" s="124"/>
      <c r="DW342" s="124"/>
      <c r="DX342" s="124"/>
      <c r="DY342" s="124"/>
      <c r="DZ342" s="124"/>
      <c r="EA342" s="124"/>
      <c r="EB342" s="124"/>
      <c r="EC342" s="124"/>
      <c r="ED342" s="124"/>
      <c r="EE342" s="124"/>
      <c r="EF342" s="124"/>
      <c r="EG342" s="124"/>
      <c r="EH342" s="124"/>
      <c r="EI342" s="124"/>
      <c r="EJ342" s="124"/>
      <c r="EK342" s="124"/>
      <c r="EL342" s="124"/>
      <c r="EM342" s="124"/>
      <c r="EN342" s="124"/>
      <c r="EO342" s="124"/>
      <c r="EP342" s="124"/>
      <c r="EQ342" s="124"/>
      <c r="ER342" s="124"/>
      <c r="ES342" s="124"/>
      <c r="ET342" s="124"/>
      <c r="EU342" s="124"/>
      <c r="EV342" s="124"/>
      <c r="EW342" s="124"/>
      <c r="EX342" s="124"/>
      <c r="EY342" s="124"/>
      <c r="EZ342" s="124"/>
      <c r="FA342" s="124"/>
      <c r="FB342" s="124"/>
      <c r="FC342" s="124"/>
      <c r="FD342" s="124"/>
      <c r="FE342" s="124"/>
      <c r="FF342" s="124"/>
      <c r="FG342" s="124"/>
      <c r="FH342" s="124"/>
      <c r="FI342" s="124"/>
      <c r="FJ342" s="124"/>
      <c r="FK342" s="124"/>
      <c r="FL342" s="124"/>
      <c r="FM342" s="124"/>
      <c r="FN342" s="124"/>
      <c r="FO342" s="124"/>
      <c r="FP342" s="124"/>
      <c r="FQ342" s="124"/>
      <c r="FR342" s="124"/>
      <c r="FS342" s="124"/>
      <c r="FT342" s="124"/>
      <c r="FU342" s="124"/>
      <c r="FV342" s="124"/>
      <c r="FW342" s="124"/>
      <c r="FX342" s="124"/>
      <c r="FY342" s="124"/>
      <c r="FZ342" s="124"/>
      <c r="GA342" s="124"/>
      <c r="GB342" s="124"/>
      <c r="GC342" s="124"/>
      <c r="GD342" s="124"/>
      <c r="GE342" s="124"/>
      <c r="GF342" s="124"/>
      <c r="GG342" s="124"/>
      <c r="GH342" s="124"/>
      <c r="GI342" s="124"/>
      <c r="GJ342" s="124"/>
      <c r="GK342" s="124"/>
      <c r="GL342" s="124"/>
      <c r="GM342" s="124"/>
      <c r="GN342" s="124"/>
      <c r="GO342" s="124"/>
      <c r="GP342" s="124"/>
      <c r="GQ342" s="124"/>
      <c r="GR342" s="124"/>
      <c r="GS342" s="124"/>
      <c r="GT342" s="124"/>
      <c r="GU342" s="124"/>
      <c r="GV342" s="124"/>
      <c r="GW342" s="124"/>
      <c r="GX342" s="124"/>
      <c r="GY342" s="124"/>
      <c r="GZ342" s="124"/>
      <c r="HA342" s="124"/>
      <c r="HB342" s="124"/>
      <c r="HC342" s="124"/>
      <c r="HD342" s="124"/>
      <c r="HE342" s="124"/>
      <c r="HF342" s="124"/>
      <c r="HG342" s="124"/>
      <c r="HH342" s="124"/>
      <c r="HI342" s="124"/>
      <c r="HJ342" s="124"/>
      <c r="HK342" s="124"/>
      <c r="HL342" s="124"/>
      <c r="HM342" s="124"/>
      <c r="HN342" s="124"/>
      <c r="HO342" s="124"/>
      <c r="HP342" s="124"/>
      <c r="HQ342" s="124"/>
    </row>
    <row r="343" spans="1:225" x14ac:dyDescent="0.2">
      <c r="A343" s="122" t="s">
        <v>974</v>
      </c>
      <c r="B343" s="123">
        <v>72</v>
      </c>
      <c r="C343" s="137" t="s">
        <v>502</v>
      </c>
      <c r="D343" s="123">
        <v>334</v>
      </c>
      <c r="E343" s="124" t="s">
        <v>361</v>
      </c>
      <c r="F343" s="123">
        <v>2</v>
      </c>
      <c r="G343" s="123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  <c r="AV343" s="124"/>
      <c r="AW343" s="124"/>
      <c r="AX343" s="124"/>
      <c r="AY343" s="124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  <c r="BJ343" s="124"/>
      <c r="BK343" s="124"/>
      <c r="BL343" s="124"/>
      <c r="BM343" s="124"/>
      <c r="BN343" s="124"/>
      <c r="BO343" s="124"/>
      <c r="BP343" s="124"/>
      <c r="BQ343" s="124"/>
      <c r="BR343" s="124"/>
      <c r="BS343" s="124"/>
      <c r="BT343" s="124"/>
      <c r="BU343" s="124"/>
      <c r="BV343" s="124"/>
      <c r="BW343" s="124"/>
      <c r="BX343" s="124"/>
      <c r="BY343" s="124"/>
      <c r="BZ343" s="124"/>
      <c r="CA343" s="124"/>
      <c r="CB343" s="124"/>
      <c r="CC343" s="124"/>
      <c r="CD343" s="124"/>
      <c r="CE343" s="124"/>
      <c r="CF343" s="124"/>
      <c r="CG343" s="124"/>
      <c r="CH343" s="124"/>
      <c r="CI343" s="124"/>
      <c r="CJ343" s="124"/>
      <c r="CK343" s="124"/>
      <c r="CL343" s="124"/>
      <c r="CM343" s="124"/>
      <c r="CN343" s="124"/>
      <c r="CO343" s="124"/>
      <c r="CP343" s="124"/>
      <c r="CQ343" s="124"/>
      <c r="CR343" s="124"/>
      <c r="CS343" s="124"/>
      <c r="CT343" s="124"/>
      <c r="CU343" s="124"/>
      <c r="CV343" s="124"/>
      <c r="CW343" s="124"/>
      <c r="CX343" s="124"/>
      <c r="CY343" s="124"/>
      <c r="CZ343" s="124"/>
      <c r="DA343" s="124"/>
      <c r="DB343" s="124"/>
      <c r="DC343" s="124"/>
      <c r="DD343" s="124"/>
      <c r="DE343" s="124"/>
      <c r="DF343" s="124"/>
      <c r="DG343" s="124"/>
      <c r="DH343" s="124"/>
      <c r="DI343" s="124"/>
      <c r="DJ343" s="124"/>
      <c r="DK343" s="124"/>
      <c r="DL343" s="124"/>
      <c r="DM343" s="124"/>
      <c r="DN343" s="124"/>
      <c r="DO343" s="124"/>
      <c r="DP343" s="124"/>
      <c r="DQ343" s="124"/>
      <c r="DR343" s="124"/>
      <c r="DS343" s="124"/>
      <c r="DT343" s="124"/>
      <c r="DU343" s="124"/>
      <c r="DV343" s="124"/>
      <c r="DW343" s="124"/>
      <c r="DX343" s="124"/>
      <c r="DY343" s="124"/>
      <c r="DZ343" s="124"/>
      <c r="EA343" s="124"/>
      <c r="EB343" s="124"/>
      <c r="EC343" s="124"/>
      <c r="ED343" s="124"/>
      <c r="EE343" s="124"/>
      <c r="EF343" s="124"/>
      <c r="EG343" s="124"/>
      <c r="EH343" s="124"/>
      <c r="EI343" s="124"/>
      <c r="EJ343" s="124"/>
      <c r="EK343" s="124"/>
      <c r="EL343" s="124"/>
      <c r="EM343" s="124"/>
      <c r="EN343" s="124"/>
      <c r="EO343" s="124"/>
      <c r="EP343" s="124"/>
      <c r="EQ343" s="124"/>
      <c r="ER343" s="124"/>
      <c r="ES343" s="124"/>
      <c r="ET343" s="124"/>
      <c r="EU343" s="124"/>
      <c r="EV343" s="124"/>
      <c r="EW343" s="124"/>
      <c r="EX343" s="124"/>
      <c r="EY343" s="124"/>
      <c r="EZ343" s="124"/>
      <c r="FA343" s="124"/>
      <c r="FB343" s="124"/>
      <c r="FC343" s="124"/>
      <c r="FD343" s="124"/>
      <c r="FE343" s="124"/>
      <c r="FF343" s="124"/>
      <c r="FG343" s="124"/>
      <c r="FH343" s="124"/>
      <c r="FI343" s="124"/>
      <c r="FJ343" s="124"/>
      <c r="FK343" s="124"/>
      <c r="FL343" s="124"/>
      <c r="FM343" s="124"/>
      <c r="FN343" s="124"/>
      <c r="FO343" s="124"/>
      <c r="FP343" s="124"/>
      <c r="FQ343" s="124"/>
      <c r="FR343" s="124"/>
      <c r="FS343" s="124"/>
      <c r="FT343" s="124"/>
      <c r="FU343" s="124"/>
      <c r="FV343" s="124"/>
      <c r="FW343" s="124"/>
      <c r="FX343" s="124"/>
      <c r="FY343" s="124"/>
      <c r="FZ343" s="124"/>
      <c r="GA343" s="124"/>
      <c r="GB343" s="124"/>
      <c r="GC343" s="124"/>
      <c r="GD343" s="124"/>
      <c r="GE343" s="124"/>
      <c r="GF343" s="124"/>
      <c r="GG343" s="124"/>
      <c r="GH343" s="124"/>
      <c r="GI343" s="124"/>
      <c r="GJ343" s="124"/>
      <c r="GK343" s="124"/>
      <c r="GL343" s="124"/>
      <c r="GM343" s="124"/>
      <c r="GN343" s="124"/>
      <c r="GO343" s="124"/>
      <c r="GP343" s="124"/>
      <c r="GQ343" s="124"/>
      <c r="GR343" s="124"/>
      <c r="GS343" s="124"/>
      <c r="GT343" s="124"/>
      <c r="GU343" s="124"/>
      <c r="GV343" s="124"/>
      <c r="GW343" s="124"/>
      <c r="GX343" s="124"/>
      <c r="GY343" s="124"/>
      <c r="GZ343" s="124"/>
      <c r="HA343" s="124"/>
      <c r="HB343" s="124"/>
      <c r="HC343" s="124"/>
      <c r="HD343" s="124"/>
      <c r="HE343" s="124"/>
      <c r="HF343" s="124"/>
      <c r="HG343" s="124"/>
      <c r="HH343" s="124"/>
      <c r="HI343" s="124"/>
      <c r="HJ343" s="124"/>
      <c r="HK343" s="124"/>
      <c r="HL343" s="124"/>
      <c r="HM343" s="124"/>
      <c r="HN343" s="124"/>
      <c r="HO343" s="124"/>
      <c r="HP343" s="124"/>
      <c r="HQ343" s="124"/>
    </row>
    <row r="344" spans="1:225" x14ac:dyDescent="0.2">
      <c r="A344" s="122" t="s">
        <v>975</v>
      </c>
      <c r="B344" s="123">
        <v>73</v>
      </c>
      <c r="C344" s="124" t="s">
        <v>503</v>
      </c>
      <c r="D344" s="123">
        <v>335</v>
      </c>
      <c r="E344" s="124" t="s">
        <v>361</v>
      </c>
      <c r="F344" s="123">
        <v>2</v>
      </c>
      <c r="G344" s="123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/>
      <c r="BB344" s="124"/>
      <c r="BC344" s="124"/>
      <c r="BD344" s="124"/>
      <c r="BE344" s="124"/>
      <c r="BF344" s="124"/>
      <c r="BG344" s="124"/>
      <c r="BH344" s="124"/>
      <c r="BI344" s="124"/>
      <c r="BJ344" s="124"/>
      <c r="BK344" s="124"/>
      <c r="BL344" s="124"/>
      <c r="BM344" s="124"/>
      <c r="BN344" s="124"/>
      <c r="BO344" s="124"/>
      <c r="BP344" s="124"/>
      <c r="BQ344" s="124"/>
      <c r="BR344" s="124"/>
      <c r="BS344" s="124"/>
      <c r="BT344" s="124"/>
      <c r="BU344" s="124"/>
      <c r="BV344" s="124"/>
      <c r="BW344" s="124"/>
      <c r="BX344" s="124"/>
      <c r="BY344" s="124"/>
      <c r="BZ344" s="124"/>
      <c r="CA344" s="124"/>
      <c r="CB344" s="124"/>
      <c r="CC344" s="124"/>
      <c r="CD344" s="124"/>
      <c r="CE344" s="124"/>
      <c r="CF344" s="124"/>
      <c r="CG344" s="124"/>
      <c r="CH344" s="124"/>
      <c r="CI344" s="124"/>
      <c r="CJ344" s="124"/>
      <c r="CK344" s="124"/>
      <c r="CL344" s="124"/>
      <c r="CM344" s="124"/>
      <c r="CN344" s="124"/>
      <c r="CO344" s="124"/>
      <c r="CP344" s="124"/>
      <c r="CQ344" s="124"/>
      <c r="CR344" s="124"/>
      <c r="CS344" s="124"/>
      <c r="CT344" s="124"/>
      <c r="CU344" s="124"/>
      <c r="CV344" s="124"/>
      <c r="CW344" s="124"/>
      <c r="CX344" s="124"/>
      <c r="CY344" s="124"/>
      <c r="CZ344" s="124"/>
      <c r="DA344" s="124"/>
      <c r="DB344" s="124"/>
      <c r="DC344" s="124"/>
      <c r="DD344" s="124"/>
      <c r="DE344" s="124"/>
      <c r="DF344" s="124"/>
      <c r="DG344" s="124"/>
      <c r="DH344" s="124"/>
      <c r="DI344" s="124"/>
      <c r="DJ344" s="124"/>
      <c r="DK344" s="124"/>
      <c r="DL344" s="124"/>
      <c r="DM344" s="124"/>
      <c r="DN344" s="124"/>
      <c r="DO344" s="124"/>
      <c r="DP344" s="124"/>
      <c r="DQ344" s="124"/>
      <c r="DR344" s="124"/>
      <c r="DS344" s="124"/>
      <c r="DT344" s="124"/>
      <c r="DU344" s="124"/>
      <c r="DV344" s="124"/>
      <c r="DW344" s="124"/>
      <c r="DX344" s="124"/>
      <c r="DY344" s="124"/>
      <c r="DZ344" s="124"/>
      <c r="EA344" s="124"/>
      <c r="EB344" s="124"/>
      <c r="EC344" s="124"/>
      <c r="ED344" s="124"/>
      <c r="EE344" s="124"/>
      <c r="EF344" s="124"/>
      <c r="EG344" s="124"/>
      <c r="EH344" s="124"/>
      <c r="EI344" s="124"/>
      <c r="EJ344" s="124"/>
      <c r="EK344" s="124"/>
      <c r="EL344" s="124"/>
      <c r="EM344" s="124"/>
      <c r="EN344" s="124"/>
      <c r="EO344" s="124"/>
      <c r="EP344" s="124"/>
      <c r="EQ344" s="124"/>
      <c r="ER344" s="124"/>
      <c r="ES344" s="124"/>
      <c r="ET344" s="124"/>
      <c r="EU344" s="124"/>
      <c r="EV344" s="124"/>
      <c r="EW344" s="124"/>
      <c r="EX344" s="124"/>
      <c r="EY344" s="124"/>
      <c r="EZ344" s="124"/>
      <c r="FA344" s="124"/>
      <c r="FB344" s="124"/>
      <c r="FC344" s="124"/>
      <c r="FD344" s="124"/>
      <c r="FE344" s="124"/>
      <c r="FF344" s="124"/>
      <c r="FG344" s="124"/>
      <c r="FH344" s="124"/>
      <c r="FI344" s="124"/>
      <c r="FJ344" s="124"/>
      <c r="FK344" s="124"/>
      <c r="FL344" s="124"/>
      <c r="FM344" s="124"/>
      <c r="FN344" s="124"/>
      <c r="FO344" s="124"/>
      <c r="FP344" s="124"/>
      <c r="FQ344" s="124"/>
      <c r="FR344" s="124"/>
      <c r="FS344" s="124"/>
      <c r="FT344" s="124"/>
      <c r="FU344" s="124"/>
      <c r="FV344" s="124"/>
      <c r="FW344" s="124"/>
      <c r="FX344" s="124"/>
      <c r="FY344" s="124"/>
      <c r="FZ344" s="124"/>
      <c r="GA344" s="124"/>
      <c r="GB344" s="124"/>
      <c r="GC344" s="124"/>
      <c r="GD344" s="124"/>
      <c r="GE344" s="124"/>
      <c r="GF344" s="124"/>
      <c r="GG344" s="124"/>
      <c r="GH344" s="124"/>
      <c r="GI344" s="124"/>
      <c r="GJ344" s="124"/>
      <c r="GK344" s="124"/>
      <c r="GL344" s="124"/>
      <c r="GM344" s="124"/>
      <c r="GN344" s="124"/>
      <c r="GO344" s="124"/>
      <c r="GP344" s="124"/>
      <c r="GQ344" s="124"/>
      <c r="GR344" s="124"/>
      <c r="GS344" s="124"/>
      <c r="GT344" s="124"/>
      <c r="GU344" s="124"/>
      <c r="GV344" s="124"/>
      <c r="GW344" s="124"/>
      <c r="GX344" s="124"/>
      <c r="GY344" s="124"/>
      <c r="GZ344" s="124"/>
      <c r="HA344" s="124"/>
      <c r="HB344" s="124"/>
      <c r="HC344" s="124"/>
      <c r="HD344" s="124"/>
      <c r="HE344" s="124"/>
      <c r="HF344" s="124"/>
      <c r="HG344" s="124"/>
      <c r="HH344" s="124"/>
      <c r="HI344" s="124"/>
      <c r="HJ344" s="124"/>
      <c r="HK344" s="124"/>
      <c r="HL344" s="124"/>
      <c r="HM344" s="124"/>
      <c r="HN344" s="124"/>
      <c r="HO344" s="124"/>
      <c r="HP344" s="124"/>
      <c r="HQ344" s="124"/>
    </row>
    <row r="345" spans="1:225" x14ac:dyDescent="0.2">
      <c r="A345" s="122" t="s">
        <v>976</v>
      </c>
      <c r="B345" s="123">
        <v>73</v>
      </c>
      <c r="C345" s="124" t="s">
        <v>504</v>
      </c>
      <c r="D345" s="123">
        <v>336</v>
      </c>
      <c r="E345" s="124" t="s">
        <v>361</v>
      </c>
      <c r="F345" s="123">
        <v>2</v>
      </c>
      <c r="G345" s="123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4"/>
      <c r="BJ345" s="124"/>
      <c r="BK345" s="124"/>
      <c r="BL345" s="124"/>
      <c r="BM345" s="124"/>
      <c r="BN345" s="124"/>
      <c r="BO345" s="124"/>
      <c r="BP345" s="124"/>
      <c r="BQ345" s="124"/>
      <c r="BR345" s="124"/>
      <c r="BS345" s="124"/>
      <c r="BT345" s="124"/>
      <c r="BU345" s="124"/>
      <c r="BV345" s="124"/>
      <c r="BW345" s="124"/>
      <c r="BX345" s="124"/>
      <c r="BY345" s="124"/>
      <c r="BZ345" s="124"/>
      <c r="CA345" s="124"/>
      <c r="CB345" s="124"/>
      <c r="CC345" s="124"/>
      <c r="CD345" s="124"/>
      <c r="CE345" s="124"/>
      <c r="CF345" s="124"/>
      <c r="CG345" s="124"/>
      <c r="CH345" s="124"/>
      <c r="CI345" s="124"/>
      <c r="CJ345" s="124"/>
      <c r="CK345" s="124"/>
      <c r="CL345" s="124"/>
      <c r="CM345" s="124"/>
      <c r="CN345" s="124"/>
      <c r="CO345" s="124"/>
      <c r="CP345" s="124"/>
      <c r="CQ345" s="124"/>
      <c r="CR345" s="124"/>
      <c r="CS345" s="124"/>
      <c r="CT345" s="124"/>
      <c r="CU345" s="124"/>
      <c r="CV345" s="124"/>
      <c r="CW345" s="124"/>
      <c r="CX345" s="124"/>
      <c r="CY345" s="124"/>
      <c r="CZ345" s="124"/>
      <c r="DA345" s="124"/>
      <c r="DB345" s="124"/>
      <c r="DC345" s="124"/>
      <c r="DD345" s="124"/>
      <c r="DE345" s="124"/>
      <c r="DF345" s="124"/>
      <c r="DG345" s="124"/>
      <c r="DH345" s="124"/>
      <c r="DI345" s="124"/>
      <c r="DJ345" s="124"/>
      <c r="DK345" s="124"/>
      <c r="DL345" s="124"/>
      <c r="DM345" s="124"/>
      <c r="DN345" s="124"/>
      <c r="DO345" s="124"/>
      <c r="DP345" s="124"/>
      <c r="DQ345" s="124"/>
      <c r="DR345" s="124"/>
      <c r="DS345" s="124"/>
      <c r="DT345" s="124"/>
      <c r="DU345" s="124"/>
      <c r="DV345" s="124"/>
      <c r="DW345" s="124"/>
      <c r="DX345" s="124"/>
      <c r="DY345" s="124"/>
      <c r="DZ345" s="124"/>
      <c r="EA345" s="124"/>
      <c r="EB345" s="124"/>
      <c r="EC345" s="124"/>
      <c r="ED345" s="124"/>
      <c r="EE345" s="124"/>
      <c r="EF345" s="124"/>
      <c r="EG345" s="124"/>
      <c r="EH345" s="124"/>
      <c r="EI345" s="124"/>
      <c r="EJ345" s="124"/>
      <c r="EK345" s="124"/>
      <c r="EL345" s="124"/>
      <c r="EM345" s="124"/>
      <c r="EN345" s="124"/>
      <c r="EO345" s="124"/>
      <c r="EP345" s="124"/>
      <c r="EQ345" s="124"/>
      <c r="ER345" s="124"/>
      <c r="ES345" s="124"/>
      <c r="ET345" s="124"/>
      <c r="EU345" s="124"/>
      <c r="EV345" s="124"/>
      <c r="EW345" s="124"/>
      <c r="EX345" s="124"/>
      <c r="EY345" s="124"/>
      <c r="EZ345" s="124"/>
      <c r="FA345" s="124"/>
      <c r="FB345" s="124"/>
      <c r="FC345" s="124"/>
      <c r="FD345" s="124"/>
      <c r="FE345" s="124"/>
      <c r="FF345" s="124"/>
      <c r="FG345" s="124"/>
      <c r="FH345" s="124"/>
      <c r="FI345" s="124"/>
      <c r="FJ345" s="124"/>
      <c r="FK345" s="124"/>
      <c r="FL345" s="124"/>
      <c r="FM345" s="124"/>
      <c r="FN345" s="124"/>
      <c r="FO345" s="124"/>
      <c r="FP345" s="124"/>
      <c r="FQ345" s="124"/>
      <c r="FR345" s="124"/>
      <c r="FS345" s="124"/>
      <c r="FT345" s="124"/>
      <c r="FU345" s="124"/>
      <c r="FV345" s="124"/>
      <c r="FW345" s="124"/>
      <c r="FX345" s="124"/>
      <c r="FY345" s="124"/>
      <c r="FZ345" s="124"/>
      <c r="GA345" s="124"/>
      <c r="GB345" s="124"/>
      <c r="GC345" s="124"/>
      <c r="GD345" s="124"/>
      <c r="GE345" s="124"/>
      <c r="GF345" s="124"/>
      <c r="GG345" s="124"/>
      <c r="GH345" s="124"/>
      <c r="GI345" s="124"/>
      <c r="GJ345" s="124"/>
      <c r="GK345" s="124"/>
      <c r="GL345" s="124"/>
      <c r="GM345" s="124"/>
      <c r="GN345" s="124"/>
      <c r="GO345" s="124"/>
      <c r="GP345" s="124"/>
      <c r="GQ345" s="124"/>
      <c r="GR345" s="124"/>
      <c r="GS345" s="124"/>
      <c r="GT345" s="124"/>
      <c r="GU345" s="124"/>
      <c r="GV345" s="124"/>
      <c r="GW345" s="124"/>
      <c r="GX345" s="124"/>
      <c r="GY345" s="124"/>
      <c r="GZ345" s="124"/>
      <c r="HA345" s="124"/>
      <c r="HB345" s="124"/>
      <c r="HC345" s="124"/>
      <c r="HD345" s="124"/>
      <c r="HE345" s="124"/>
      <c r="HF345" s="124"/>
      <c r="HG345" s="124"/>
      <c r="HH345" s="124"/>
      <c r="HI345" s="124"/>
      <c r="HJ345" s="124"/>
      <c r="HK345" s="124"/>
      <c r="HL345" s="124"/>
      <c r="HM345" s="124"/>
      <c r="HN345" s="124"/>
      <c r="HO345" s="124"/>
      <c r="HP345" s="124"/>
      <c r="HQ345" s="124"/>
    </row>
    <row r="346" spans="1:225" x14ac:dyDescent="0.2">
      <c r="A346" s="122"/>
      <c r="B346" s="123"/>
      <c r="C346" s="124"/>
      <c r="D346" s="123"/>
      <c r="E346" s="124"/>
      <c r="F346" s="123"/>
      <c r="G346" s="123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  <c r="BJ346" s="124"/>
      <c r="BK346" s="124"/>
      <c r="BL346" s="124"/>
      <c r="BM346" s="124"/>
      <c r="BN346" s="124"/>
      <c r="BO346" s="124"/>
      <c r="BP346" s="124"/>
      <c r="BQ346" s="124"/>
      <c r="BR346" s="124"/>
      <c r="BS346" s="124"/>
      <c r="BT346" s="124"/>
      <c r="BU346" s="124"/>
      <c r="BV346" s="124"/>
      <c r="BW346" s="124"/>
      <c r="BX346" s="124"/>
      <c r="BY346" s="124"/>
      <c r="BZ346" s="124"/>
      <c r="CA346" s="124"/>
      <c r="CB346" s="124"/>
      <c r="CC346" s="124"/>
      <c r="CD346" s="124"/>
      <c r="CE346" s="124"/>
      <c r="CF346" s="124"/>
      <c r="CG346" s="124"/>
      <c r="CH346" s="124"/>
      <c r="CI346" s="124"/>
      <c r="CJ346" s="124"/>
      <c r="CK346" s="124"/>
      <c r="CL346" s="124"/>
      <c r="CM346" s="124"/>
      <c r="CN346" s="124"/>
      <c r="CO346" s="124"/>
      <c r="CP346" s="124"/>
      <c r="CQ346" s="124"/>
      <c r="CR346" s="124"/>
      <c r="CS346" s="124"/>
      <c r="CT346" s="124"/>
      <c r="CU346" s="124"/>
      <c r="CV346" s="124"/>
      <c r="CW346" s="124"/>
      <c r="CX346" s="124"/>
      <c r="CY346" s="124"/>
      <c r="CZ346" s="124"/>
      <c r="DA346" s="124"/>
      <c r="DB346" s="124"/>
      <c r="DC346" s="124"/>
      <c r="DD346" s="124"/>
      <c r="DE346" s="124"/>
      <c r="DF346" s="124"/>
      <c r="DG346" s="124"/>
      <c r="DH346" s="124"/>
      <c r="DI346" s="124"/>
      <c r="DJ346" s="124"/>
      <c r="DK346" s="124"/>
      <c r="DL346" s="124"/>
      <c r="DM346" s="124"/>
      <c r="DN346" s="124"/>
      <c r="DO346" s="124"/>
      <c r="DP346" s="124"/>
      <c r="DQ346" s="124"/>
      <c r="DR346" s="124"/>
      <c r="DS346" s="124"/>
      <c r="DT346" s="124"/>
      <c r="DU346" s="124"/>
      <c r="DV346" s="124"/>
      <c r="DW346" s="124"/>
      <c r="DX346" s="124"/>
      <c r="DY346" s="124"/>
      <c r="DZ346" s="124"/>
      <c r="EA346" s="124"/>
      <c r="EB346" s="124"/>
      <c r="EC346" s="124"/>
      <c r="ED346" s="124"/>
      <c r="EE346" s="124"/>
      <c r="EF346" s="124"/>
      <c r="EG346" s="124"/>
      <c r="EH346" s="124"/>
      <c r="EI346" s="124"/>
      <c r="EJ346" s="124"/>
      <c r="EK346" s="124"/>
      <c r="EL346" s="124"/>
      <c r="EM346" s="124"/>
      <c r="EN346" s="124"/>
      <c r="EO346" s="124"/>
      <c r="EP346" s="124"/>
      <c r="EQ346" s="124"/>
      <c r="ER346" s="124"/>
      <c r="ES346" s="124"/>
      <c r="ET346" s="124"/>
      <c r="EU346" s="124"/>
      <c r="EV346" s="124"/>
      <c r="EW346" s="124"/>
      <c r="EX346" s="124"/>
      <c r="EY346" s="124"/>
      <c r="EZ346" s="124"/>
      <c r="FA346" s="124"/>
      <c r="FB346" s="124"/>
      <c r="FC346" s="124"/>
      <c r="FD346" s="124"/>
      <c r="FE346" s="124"/>
      <c r="FF346" s="124"/>
      <c r="FG346" s="124"/>
      <c r="FH346" s="124"/>
      <c r="FI346" s="124"/>
      <c r="FJ346" s="124"/>
      <c r="FK346" s="124"/>
      <c r="FL346" s="124"/>
      <c r="FM346" s="124"/>
      <c r="FN346" s="124"/>
      <c r="FO346" s="124"/>
      <c r="FP346" s="124"/>
      <c r="FQ346" s="124"/>
      <c r="FR346" s="124"/>
      <c r="FS346" s="124"/>
      <c r="FT346" s="124"/>
      <c r="FU346" s="124"/>
      <c r="FV346" s="124"/>
      <c r="FW346" s="124"/>
      <c r="FX346" s="124"/>
      <c r="FY346" s="124"/>
      <c r="FZ346" s="124"/>
      <c r="GA346" s="124"/>
      <c r="GB346" s="124"/>
      <c r="GC346" s="124"/>
      <c r="GD346" s="124"/>
      <c r="GE346" s="124"/>
      <c r="GF346" s="124"/>
      <c r="GG346" s="124"/>
      <c r="GH346" s="124"/>
      <c r="GI346" s="124"/>
      <c r="GJ346" s="124"/>
      <c r="GK346" s="124"/>
      <c r="GL346" s="124"/>
      <c r="GM346" s="124"/>
      <c r="GN346" s="124"/>
      <c r="GO346" s="124"/>
      <c r="GP346" s="124"/>
      <c r="GQ346" s="124"/>
      <c r="GR346" s="124"/>
      <c r="GS346" s="124"/>
      <c r="GT346" s="124"/>
      <c r="GU346" s="124"/>
      <c r="GV346" s="124"/>
      <c r="GW346" s="124"/>
      <c r="GX346" s="124"/>
      <c r="GY346" s="124"/>
      <c r="GZ346" s="124"/>
      <c r="HA346" s="124"/>
      <c r="HB346" s="124"/>
      <c r="HC346" s="124"/>
      <c r="HD346" s="124"/>
      <c r="HE346" s="124"/>
      <c r="HF346" s="124"/>
      <c r="HG346" s="124"/>
      <c r="HH346" s="124"/>
      <c r="HI346" s="124"/>
      <c r="HJ346" s="124"/>
      <c r="HK346" s="124"/>
      <c r="HL346" s="124"/>
      <c r="HM346" s="124"/>
      <c r="HN346" s="124"/>
      <c r="HO346" s="124"/>
      <c r="HP346" s="124"/>
      <c r="HQ346" s="124"/>
    </row>
    <row r="347" spans="1:225" x14ac:dyDescent="0.2">
      <c r="A347" s="122"/>
      <c r="B347" s="123"/>
      <c r="C347" s="124"/>
      <c r="D347" s="123"/>
      <c r="E347" s="124"/>
      <c r="F347" s="123"/>
      <c r="G347" s="123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  <c r="BJ347" s="124"/>
      <c r="BK347" s="124"/>
      <c r="BL347" s="124"/>
      <c r="BM347" s="124"/>
      <c r="BN347" s="124"/>
      <c r="BO347" s="124"/>
      <c r="BP347" s="124"/>
      <c r="BQ347" s="124"/>
      <c r="BR347" s="124"/>
      <c r="BS347" s="124"/>
      <c r="BT347" s="124"/>
      <c r="BU347" s="124"/>
      <c r="BV347" s="124"/>
      <c r="BW347" s="124"/>
      <c r="BX347" s="124"/>
      <c r="BY347" s="124"/>
      <c r="BZ347" s="124"/>
      <c r="CA347" s="124"/>
      <c r="CB347" s="124"/>
      <c r="CC347" s="124"/>
      <c r="CD347" s="124"/>
      <c r="CE347" s="124"/>
      <c r="CF347" s="124"/>
      <c r="CG347" s="124"/>
      <c r="CH347" s="124"/>
      <c r="CI347" s="124"/>
      <c r="CJ347" s="124"/>
      <c r="CK347" s="124"/>
      <c r="CL347" s="124"/>
      <c r="CM347" s="124"/>
      <c r="CN347" s="124"/>
      <c r="CO347" s="124"/>
      <c r="CP347" s="124"/>
      <c r="CQ347" s="124"/>
      <c r="CR347" s="124"/>
      <c r="CS347" s="124"/>
      <c r="CT347" s="124"/>
      <c r="CU347" s="124"/>
      <c r="CV347" s="124"/>
      <c r="CW347" s="124"/>
      <c r="CX347" s="124"/>
      <c r="CY347" s="124"/>
      <c r="CZ347" s="124"/>
      <c r="DA347" s="124"/>
      <c r="DB347" s="124"/>
      <c r="DC347" s="124"/>
      <c r="DD347" s="124"/>
      <c r="DE347" s="124"/>
      <c r="DF347" s="124"/>
      <c r="DG347" s="124"/>
      <c r="DH347" s="124"/>
      <c r="DI347" s="124"/>
      <c r="DJ347" s="124"/>
      <c r="DK347" s="124"/>
      <c r="DL347" s="124"/>
      <c r="DM347" s="124"/>
      <c r="DN347" s="124"/>
      <c r="DO347" s="124"/>
      <c r="DP347" s="124"/>
      <c r="DQ347" s="124"/>
      <c r="DR347" s="124"/>
      <c r="DS347" s="124"/>
      <c r="DT347" s="124"/>
      <c r="DU347" s="124"/>
      <c r="DV347" s="124"/>
      <c r="DW347" s="124"/>
      <c r="DX347" s="124"/>
      <c r="DY347" s="124"/>
      <c r="DZ347" s="124"/>
      <c r="EA347" s="124"/>
      <c r="EB347" s="124"/>
      <c r="EC347" s="124"/>
      <c r="ED347" s="124"/>
      <c r="EE347" s="124"/>
      <c r="EF347" s="124"/>
      <c r="EG347" s="124"/>
      <c r="EH347" s="124"/>
      <c r="EI347" s="124"/>
      <c r="EJ347" s="124"/>
      <c r="EK347" s="124"/>
      <c r="EL347" s="124"/>
      <c r="EM347" s="124"/>
      <c r="EN347" s="124"/>
      <c r="EO347" s="124"/>
      <c r="EP347" s="124"/>
      <c r="EQ347" s="124"/>
      <c r="ER347" s="124"/>
      <c r="ES347" s="124"/>
      <c r="ET347" s="124"/>
      <c r="EU347" s="124"/>
      <c r="EV347" s="124"/>
      <c r="EW347" s="124"/>
      <c r="EX347" s="124"/>
      <c r="EY347" s="124"/>
      <c r="EZ347" s="124"/>
      <c r="FA347" s="124"/>
      <c r="FB347" s="124"/>
      <c r="FC347" s="124"/>
      <c r="FD347" s="124"/>
      <c r="FE347" s="124"/>
      <c r="FF347" s="124"/>
      <c r="FG347" s="124"/>
      <c r="FH347" s="124"/>
      <c r="FI347" s="124"/>
      <c r="FJ347" s="124"/>
      <c r="FK347" s="124"/>
      <c r="FL347" s="124"/>
      <c r="FM347" s="124"/>
      <c r="FN347" s="124"/>
      <c r="FO347" s="124"/>
      <c r="FP347" s="124"/>
      <c r="FQ347" s="124"/>
      <c r="FR347" s="124"/>
      <c r="FS347" s="124"/>
      <c r="FT347" s="124"/>
      <c r="FU347" s="124"/>
      <c r="FV347" s="124"/>
      <c r="FW347" s="124"/>
      <c r="FX347" s="124"/>
      <c r="FY347" s="124"/>
      <c r="FZ347" s="124"/>
      <c r="GA347" s="124"/>
      <c r="GB347" s="124"/>
      <c r="GC347" s="124"/>
      <c r="GD347" s="124"/>
      <c r="GE347" s="124"/>
      <c r="GF347" s="124"/>
      <c r="GG347" s="124"/>
      <c r="GH347" s="124"/>
      <c r="GI347" s="124"/>
      <c r="GJ347" s="124"/>
      <c r="GK347" s="124"/>
      <c r="GL347" s="124"/>
      <c r="GM347" s="124"/>
      <c r="GN347" s="124"/>
      <c r="GO347" s="124"/>
      <c r="GP347" s="124"/>
      <c r="GQ347" s="124"/>
      <c r="GR347" s="124"/>
      <c r="GS347" s="124"/>
      <c r="GT347" s="124"/>
      <c r="GU347" s="124"/>
      <c r="GV347" s="124"/>
      <c r="GW347" s="124"/>
      <c r="GX347" s="124"/>
      <c r="GY347" s="124"/>
      <c r="GZ347" s="124"/>
      <c r="HA347" s="124"/>
      <c r="HB347" s="124"/>
      <c r="HC347" s="124"/>
      <c r="HD347" s="124"/>
      <c r="HE347" s="124"/>
      <c r="HF347" s="124"/>
      <c r="HG347" s="124"/>
      <c r="HH347" s="124"/>
      <c r="HI347" s="124"/>
      <c r="HJ347" s="124"/>
      <c r="HK347" s="124"/>
      <c r="HL347" s="124"/>
      <c r="HM347" s="124"/>
      <c r="HN347" s="124"/>
      <c r="HO347" s="124"/>
      <c r="HP347" s="124"/>
      <c r="HQ347" s="124"/>
    </row>
    <row r="348" spans="1:225" x14ac:dyDescent="0.2">
      <c r="A348" s="122"/>
      <c r="B348" s="123"/>
      <c r="C348" s="124"/>
      <c r="D348" s="123"/>
      <c r="E348" s="124"/>
      <c r="F348" s="123"/>
      <c r="G348" s="123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  <c r="BJ348" s="124"/>
      <c r="BK348" s="124"/>
      <c r="BL348" s="124"/>
      <c r="BM348" s="124"/>
      <c r="BN348" s="124"/>
      <c r="BO348" s="124"/>
      <c r="BP348" s="124"/>
      <c r="BQ348" s="124"/>
      <c r="BR348" s="124"/>
      <c r="BS348" s="124"/>
      <c r="BT348" s="124"/>
      <c r="BU348" s="124"/>
      <c r="BV348" s="124"/>
      <c r="BW348" s="124"/>
      <c r="BX348" s="124"/>
      <c r="BY348" s="124"/>
      <c r="BZ348" s="124"/>
      <c r="CA348" s="124"/>
      <c r="CB348" s="124"/>
      <c r="CC348" s="124"/>
      <c r="CD348" s="124"/>
      <c r="CE348" s="124"/>
      <c r="CF348" s="124"/>
      <c r="CG348" s="124"/>
      <c r="CH348" s="124"/>
      <c r="CI348" s="124"/>
      <c r="CJ348" s="124"/>
      <c r="CK348" s="124"/>
      <c r="CL348" s="124"/>
      <c r="CM348" s="124"/>
      <c r="CN348" s="124"/>
      <c r="CO348" s="124"/>
      <c r="CP348" s="124"/>
      <c r="CQ348" s="124"/>
      <c r="CR348" s="124"/>
      <c r="CS348" s="124"/>
      <c r="CT348" s="124"/>
      <c r="CU348" s="124"/>
      <c r="CV348" s="124"/>
      <c r="CW348" s="124"/>
      <c r="CX348" s="124"/>
      <c r="CY348" s="124"/>
      <c r="CZ348" s="124"/>
      <c r="DA348" s="124"/>
      <c r="DB348" s="124"/>
      <c r="DC348" s="124"/>
      <c r="DD348" s="124"/>
      <c r="DE348" s="124"/>
      <c r="DF348" s="124"/>
      <c r="DG348" s="124"/>
      <c r="DH348" s="124"/>
      <c r="DI348" s="124"/>
      <c r="DJ348" s="124"/>
      <c r="DK348" s="124"/>
      <c r="DL348" s="124"/>
      <c r="DM348" s="124"/>
      <c r="DN348" s="124"/>
      <c r="DO348" s="124"/>
      <c r="DP348" s="124"/>
      <c r="DQ348" s="124"/>
      <c r="DR348" s="124"/>
      <c r="DS348" s="124"/>
      <c r="DT348" s="124"/>
      <c r="DU348" s="124"/>
      <c r="DV348" s="124"/>
      <c r="DW348" s="124"/>
      <c r="DX348" s="124"/>
      <c r="DY348" s="124"/>
      <c r="DZ348" s="124"/>
      <c r="EA348" s="124"/>
      <c r="EB348" s="124"/>
      <c r="EC348" s="124"/>
      <c r="ED348" s="124"/>
      <c r="EE348" s="124"/>
      <c r="EF348" s="124"/>
      <c r="EG348" s="124"/>
      <c r="EH348" s="124"/>
      <c r="EI348" s="124"/>
      <c r="EJ348" s="124"/>
      <c r="EK348" s="124"/>
      <c r="EL348" s="124"/>
      <c r="EM348" s="124"/>
      <c r="EN348" s="124"/>
      <c r="EO348" s="124"/>
      <c r="EP348" s="124"/>
      <c r="EQ348" s="124"/>
      <c r="ER348" s="124"/>
      <c r="ES348" s="124"/>
      <c r="ET348" s="124"/>
      <c r="EU348" s="124"/>
      <c r="EV348" s="124"/>
      <c r="EW348" s="124"/>
      <c r="EX348" s="124"/>
      <c r="EY348" s="124"/>
      <c r="EZ348" s="124"/>
      <c r="FA348" s="124"/>
      <c r="FB348" s="124"/>
      <c r="FC348" s="124"/>
      <c r="FD348" s="124"/>
      <c r="FE348" s="124"/>
      <c r="FF348" s="124"/>
      <c r="FG348" s="124"/>
      <c r="FH348" s="124"/>
      <c r="FI348" s="124"/>
      <c r="FJ348" s="124"/>
      <c r="FK348" s="124"/>
      <c r="FL348" s="124"/>
      <c r="FM348" s="124"/>
      <c r="FN348" s="124"/>
      <c r="FO348" s="124"/>
      <c r="FP348" s="124"/>
      <c r="FQ348" s="124"/>
      <c r="FR348" s="124"/>
      <c r="FS348" s="124"/>
      <c r="FT348" s="124"/>
      <c r="FU348" s="124"/>
      <c r="FV348" s="124"/>
      <c r="FW348" s="124"/>
      <c r="FX348" s="124"/>
      <c r="FY348" s="124"/>
      <c r="FZ348" s="124"/>
      <c r="GA348" s="124"/>
      <c r="GB348" s="124"/>
      <c r="GC348" s="124"/>
      <c r="GD348" s="124"/>
      <c r="GE348" s="124"/>
      <c r="GF348" s="124"/>
      <c r="GG348" s="124"/>
      <c r="GH348" s="124"/>
      <c r="GI348" s="124"/>
      <c r="GJ348" s="124"/>
      <c r="GK348" s="124"/>
      <c r="GL348" s="124"/>
      <c r="GM348" s="124"/>
      <c r="GN348" s="124"/>
      <c r="GO348" s="124"/>
      <c r="GP348" s="124"/>
      <c r="GQ348" s="124"/>
      <c r="GR348" s="124"/>
      <c r="GS348" s="124"/>
      <c r="GT348" s="124"/>
      <c r="GU348" s="124"/>
      <c r="GV348" s="124"/>
      <c r="GW348" s="124"/>
      <c r="GX348" s="124"/>
      <c r="GY348" s="124"/>
      <c r="GZ348" s="124"/>
      <c r="HA348" s="124"/>
      <c r="HB348" s="124"/>
      <c r="HC348" s="124"/>
      <c r="HD348" s="124"/>
      <c r="HE348" s="124"/>
      <c r="HF348" s="124"/>
      <c r="HG348" s="124"/>
      <c r="HH348" s="124"/>
      <c r="HI348" s="124"/>
      <c r="HJ348" s="124"/>
      <c r="HK348" s="124"/>
      <c r="HL348" s="124"/>
      <c r="HM348" s="124"/>
      <c r="HN348" s="124"/>
      <c r="HO348" s="124"/>
      <c r="HP348" s="124"/>
      <c r="HQ348" s="124"/>
    </row>
    <row r="349" spans="1:225" x14ac:dyDescent="0.2">
      <c r="A349" s="122"/>
      <c r="B349" s="123"/>
      <c r="C349" s="124"/>
      <c r="D349" s="123"/>
      <c r="E349" s="124"/>
      <c r="F349" s="123"/>
      <c r="G349" s="123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  <c r="BJ349" s="124"/>
      <c r="BK349" s="124"/>
      <c r="BL349" s="124"/>
      <c r="BM349" s="124"/>
      <c r="BN349" s="124"/>
      <c r="BO349" s="124"/>
      <c r="BP349" s="124"/>
      <c r="BQ349" s="124"/>
      <c r="BR349" s="124"/>
      <c r="BS349" s="124"/>
      <c r="BT349" s="124"/>
      <c r="BU349" s="124"/>
      <c r="BV349" s="124"/>
      <c r="BW349" s="124"/>
      <c r="BX349" s="124"/>
      <c r="BY349" s="124"/>
      <c r="BZ349" s="124"/>
      <c r="CA349" s="124"/>
      <c r="CB349" s="124"/>
      <c r="CC349" s="124"/>
      <c r="CD349" s="124"/>
      <c r="CE349" s="124"/>
      <c r="CF349" s="124"/>
      <c r="CG349" s="124"/>
      <c r="CH349" s="124"/>
      <c r="CI349" s="124"/>
      <c r="CJ349" s="124"/>
      <c r="CK349" s="124"/>
      <c r="CL349" s="124"/>
      <c r="CM349" s="124"/>
      <c r="CN349" s="124"/>
      <c r="CO349" s="124"/>
      <c r="CP349" s="124"/>
      <c r="CQ349" s="124"/>
      <c r="CR349" s="124"/>
      <c r="CS349" s="124"/>
      <c r="CT349" s="124"/>
      <c r="CU349" s="124"/>
      <c r="CV349" s="124"/>
      <c r="CW349" s="124"/>
      <c r="CX349" s="124"/>
      <c r="CY349" s="124"/>
      <c r="CZ349" s="124"/>
      <c r="DA349" s="124"/>
      <c r="DB349" s="124"/>
      <c r="DC349" s="124"/>
      <c r="DD349" s="124"/>
      <c r="DE349" s="124"/>
      <c r="DF349" s="124"/>
      <c r="DG349" s="124"/>
      <c r="DH349" s="124"/>
      <c r="DI349" s="124"/>
      <c r="DJ349" s="124"/>
      <c r="DK349" s="124"/>
      <c r="DL349" s="124"/>
      <c r="DM349" s="124"/>
      <c r="DN349" s="124"/>
      <c r="DO349" s="124"/>
      <c r="DP349" s="124"/>
      <c r="DQ349" s="124"/>
      <c r="DR349" s="124"/>
      <c r="DS349" s="124"/>
      <c r="DT349" s="124"/>
      <c r="DU349" s="124"/>
      <c r="DV349" s="124"/>
      <c r="DW349" s="124"/>
      <c r="DX349" s="124"/>
      <c r="DY349" s="124"/>
      <c r="DZ349" s="124"/>
      <c r="EA349" s="124"/>
      <c r="EB349" s="124"/>
      <c r="EC349" s="124"/>
      <c r="ED349" s="124"/>
      <c r="EE349" s="124"/>
      <c r="EF349" s="124"/>
      <c r="EG349" s="124"/>
      <c r="EH349" s="124"/>
      <c r="EI349" s="124"/>
      <c r="EJ349" s="124"/>
      <c r="EK349" s="124"/>
      <c r="EL349" s="124"/>
      <c r="EM349" s="124"/>
      <c r="EN349" s="124"/>
      <c r="EO349" s="124"/>
      <c r="EP349" s="124"/>
      <c r="EQ349" s="124"/>
      <c r="ER349" s="124"/>
      <c r="ES349" s="124"/>
      <c r="ET349" s="124"/>
      <c r="EU349" s="124"/>
      <c r="EV349" s="124"/>
      <c r="EW349" s="124"/>
      <c r="EX349" s="124"/>
      <c r="EY349" s="124"/>
      <c r="EZ349" s="124"/>
      <c r="FA349" s="124"/>
      <c r="FB349" s="124"/>
      <c r="FC349" s="124"/>
      <c r="FD349" s="124"/>
      <c r="FE349" s="124"/>
      <c r="FF349" s="124"/>
      <c r="FG349" s="124"/>
      <c r="FH349" s="124"/>
      <c r="FI349" s="124"/>
      <c r="FJ349" s="124"/>
      <c r="FK349" s="124"/>
      <c r="FL349" s="124"/>
      <c r="FM349" s="124"/>
      <c r="FN349" s="124"/>
      <c r="FO349" s="124"/>
      <c r="FP349" s="124"/>
      <c r="FQ349" s="124"/>
      <c r="FR349" s="124"/>
      <c r="FS349" s="124"/>
      <c r="FT349" s="124"/>
      <c r="FU349" s="124"/>
      <c r="FV349" s="124"/>
      <c r="FW349" s="124"/>
      <c r="FX349" s="124"/>
      <c r="FY349" s="124"/>
      <c r="FZ349" s="124"/>
      <c r="GA349" s="124"/>
      <c r="GB349" s="124"/>
      <c r="GC349" s="124"/>
      <c r="GD349" s="124"/>
      <c r="GE349" s="124"/>
      <c r="GF349" s="124"/>
      <c r="GG349" s="124"/>
      <c r="GH349" s="124"/>
      <c r="GI349" s="124"/>
      <c r="GJ349" s="124"/>
      <c r="GK349" s="124"/>
      <c r="GL349" s="124"/>
      <c r="GM349" s="124"/>
      <c r="GN349" s="124"/>
      <c r="GO349" s="124"/>
      <c r="GP349" s="124"/>
      <c r="GQ349" s="124"/>
      <c r="GR349" s="124"/>
      <c r="GS349" s="124"/>
      <c r="GT349" s="124"/>
      <c r="GU349" s="124"/>
      <c r="GV349" s="124"/>
      <c r="GW349" s="124"/>
      <c r="GX349" s="124"/>
      <c r="GY349" s="124"/>
      <c r="GZ349" s="124"/>
      <c r="HA349" s="124"/>
      <c r="HB349" s="124"/>
      <c r="HC349" s="124"/>
      <c r="HD349" s="124"/>
      <c r="HE349" s="124"/>
      <c r="HF349" s="124"/>
      <c r="HG349" s="124"/>
      <c r="HH349" s="124"/>
      <c r="HI349" s="124"/>
      <c r="HJ349" s="124"/>
      <c r="HK349" s="124"/>
      <c r="HL349" s="124"/>
      <c r="HM349" s="124"/>
      <c r="HN349" s="124"/>
      <c r="HO349" s="124"/>
      <c r="HP349" s="124"/>
      <c r="HQ349" s="124"/>
    </row>
    <row r="350" spans="1:225" x14ac:dyDescent="0.2">
      <c r="A350" s="122"/>
      <c r="B350" s="123"/>
      <c r="C350" s="124"/>
      <c r="D350" s="123"/>
      <c r="E350" s="124"/>
      <c r="F350" s="123"/>
      <c r="G350" s="123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  <c r="BJ350" s="124"/>
      <c r="BK350" s="124"/>
      <c r="BL350" s="124"/>
      <c r="BM350" s="124"/>
      <c r="BN350" s="124"/>
      <c r="BO350" s="124"/>
      <c r="BP350" s="124"/>
      <c r="BQ350" s="124"/>
      <c r="BR350" s="124"/>
      <c r="BS350" s="124"/>
      <c r="BT350" s="124"/>
      <c r="BU350" s="124"/>
      <c r="BV350" s="124"/>
      <c r="BW350" s="124"/>
      <c r="BX350" s="124"/>
      <c r="BY350" s="124"/>
      <c r="BZ350" s="124"/>
      <c r="CA350" s="124"/>
      <c r="CB350" s="124"/>
      <c r="CC350" s="124"/>
      <c r="CD350" s="124"/>
      <c r="CE350" s="124"/>
      <c r="CF350" s="124"/>
      <c r="CG350" s="124"/>
      <c r="CH350" s="124"/>
      <c r="CI350" s="124"/>
      <c r="CJ350" s="124"/>
      <c r="CK350" s="124"/>
      <c r="CL350" s="124"/>
      <c r="CM350" s="124"/>
      <c r="CN350" s="124"/>
      <c r="CO350" s="124"/>
      <c r="CP350" s="124"/>
      <c r="CQ350" s="124"/>
      <c r="CR350" s="124"/>
      <c r="CS350" s="124"/>
      <c r="CT350" s="124"/>
      <c r="CU350" s="124"/>
      <c r="CV350" s="124"/>
      <c r="CW350" s="124"/>
      <c r="CX350" s="124"/>
      <c r="CY350" s="124"/>
      <c r="CZ350" s="124"/>
      <c r="DA350" s="124"/>
      <c r="DB350" s="124"/>
      <c r="DC350" s="124"/>
      <c r="DD350" s="124"/>
      <c r="DE350" s="124"/>
      <c r="DF350" s="124"/>
      <c r="DG350" s="124"/>
      <c r="DH350" s="124"/>
      <c r="DI350" s="124"/>
      <c r="DJ350" s="124"/>
      <c r="DK350" s="124"/>
      <c r="DL350" s="124"/>
      <c r="DM350" s="124"/>
      <c r="DN350" s="124"/>
      <c r="DO350" s="124"/>
      <c r="DP350" s="124"/>
      <c r="DQ350" s="124"/>
      <c r="DR350" s="124"/>
      <c r="DS350" s="124"/>
      <c r="DT350" s="124"/>
      <c r="DU350" s="124"/>
      <c r="DV350" s="124"/>
      <c r="DW350" s="124"/>
      <c r="DX350" s="124"/>
      <c r="DY350" s="124"/>
      <c r="DZ350" s="124"/>
      <c r="EA350" s="124"/>
      <c r="EB350" s="124"/>
      <c r="EC350" s="124"/>
      <c r="ED350" s="124"/>
      <c r="EE350" s="124"/>
      <c r="EF350" s="124"/>
      <c r="EG350" s="124"/>
      <c r="EH350" s="124"/>
      <c r="EI350" s="124"/>
      <c r="EJ350" s="124"/>
      <c r="EK350" s="124"/>
      <c r="EL350" s="124"/>
      <c r="EM350" s="124"/>
      <c r="EN350" s="124"/>
      <c r="EO350" s="124"/>
      <c r="EP350" s="124"/>
      <c r="EQ350" s="124"/>
      <c r="ER350" s="124"/>
      <c r="ES350" s="124"/>
      <c r="ET350" s="124"/>
      <c r="EU350" s="124"/>
      <c r="EV350" s="124"/>
      <c r="EW350" s="124"/>
      <c r="EX350" s="124"/>
      <c r="EY350" s="124"/>
      <c r="EZ350" s="124"/>
      <c r="FA350" s="124"/>
      <c r="FB350" s="124"/>
      <c r="FC350" s="124"/>
      <c r="FD350" s="124"/>
      <c r="FE350" s="124"/>
      <c r="FF350" s="124"/>
      <c r="FG350" s="124"/>
      <c r="FH350" s="124"/>
      <c r="FI350" s="124"/>
      <c r="FJ350" s="124"/>
      <c r="FK350" s="124"/>
      <c r="FL350" s="124"/>
      <c r="FM350" s="124"/>
      <c r="FN350" s="124"/>
      <c r="FO350" s="124"/>
      <c r="FP350" s="124"/>
      <c r="FQ350" s="124"/>
      <c r="FR350" s="124"/>
      <c r="FS350" s="124"/>
      <c r="FT350" s="124"/>
      <c r="FU350" s="124"/>
      <c r="FV350" s="124"/>
      <c r="FW350" s="124"/>
      <c r="FX350" s="124"/>
      <c r="FY350" s="124"/>
      <c r="FZ350" s="124"/>
      <c r="GA350" s="124"/>
      <c r="GB350" s="124"/>
      <c r="GC350" s="124"/>
      <c r="GD350" s="124"/>
      <c r="GE350" s="124"/>
      <c r="GF350" s="124"/>
      <c r="GG350" s="124"/>
      <c r="GH350" s="124"/>
      <c r="GI350" s="124"/>
      <c r="GJ350" s="124"/>
      <c r="GK350" s="124"/>
      <c r="GL350" s="124"/>
      <c r="GM350" s="124"/>
      <c r="GN350" s="124"/>
      <c r="GO350" s="124"/>
      <c r="GP350" s="124"/>
      <c r="GQ350" s="124"/>
      <c r="GR350" s="124"/>
      <c r="GS350" s="124"/>
      <c r="GT350" s="124"/>
      <c r="GU350" s="124"/>
      <c r="GV350" s="124"/>
      <c r="GW350" s="124"/>
      <c r="GX350" s="124"/>
      <c r="GY350" s="124"/>
      <c r="GZ350" s="124"/>
      <c r="HA350" s="124"/>
      <c r="HB350" s="124"/>
      <c r="HC350" s="124"/>
      <c r="HD350" s="124"/>
      <c r="HE350" s="124"/>
      <c r="HF350" s="124"/>
      <c r="HG350" s="124"/>
      <c r="HH350" s="124"/>
      <c r="HI350" s="124"/>
      <c r="HJ350" s="124"/>
      <c r="HK350" s="124"/>
      <c r="HL350" s="124"/>
      <c r="HM350" s="124"/>
      <c r="HN350" s="124"/>
      <c r="HO350" s="124"/>
      <c r="HP350" s="124"/>
      <c r="HQ350" s="124"/>
    </row>
    <row r="351" spans="1:225" x14ac:dyDescent="0.2">
      <c r="A351" s="122"/>
      <c r="B351" s="123"/>
      <c r="C351" s="124"/>
      <c r="D351" s="123"/>
      <c r="E351" s="124"/>
      <c r="F351" s="123"/>
      <c r="G351" s="123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  <c r="BJ351" s="124"/>
      <c r="BK351" s="124"/>
      <c r="BL351" s="124"/>
      <c r="BM351" s="124"/>
      <c r="BN351" s="124"/>
      <c r="BO351" s="124"/>
      <c r="BP351" s="124"/>
      <c r="BQ351" s="124"/>
      <c r="BR351" s="124"/>
      <c r="BS351" s="124"/>
      <c r="BT351" s="124"/>
      <c r="BU351" s="124"/>
      <c r="BV351" s="124"/>
      <c r="BW351" s="124"/>
      <c r="BX351" s="124"/>
      <c r="BY351" s="124"/>
      <c r="BZ351" s="124"/>
      <c r="CA351" s="124"/>
      <c r="CB351" s="124"/>
      <c r="CC351" s="124"/>
      <c r="CD351" s="124"/>
      <c r="CE351" s="124"/>
      <c r="CF351" s="124"/>
      <c r="CG351" s="124"/>
      <c r="CH351" s="124"/>
      <c r="CI351" s="124"/>
      <c r="CJ351" s="124"/>
      <c r="CK351" s="124"/>
      <c r="CL351" s="124"/>
      <c r="CM351" s="124"/>
      <c r="CN351" s="124"/>
      <c r="CO351" s="124"/>
      <c r="CP351" s="124"/>
      <c r="CQ351" s="124"/>
      <c r="CR351" s="124"/>
      <c r="CS351" s="124"/>
      <c r="CT351" s="124"/>
      <c r="CU351" s="124"/>
      <c r="CV351" s="124"/>
      <c r="CW351" s="124"/>
      <c r="CX351" s="124"/>
      <c r="CY351" s="124"/>
      <c r="CZ351" s="124"/>
      <c r="DA351" s="124"/>
      <c r="DB351" s="124"/>
      <c r="DC351" s="124"/>
      <c r="DD351" s="124"/>
      <c r="DE351" s="124"/>
      <c r="DF351" s="124"/>
      <c r="DG351" s="124"/>
      <c r="DH351" s="124"/>
      <c r="DI351" s="124"/>
      <c r="DJ351" s="124"/>
      <c r="DK351" s="124"/>
      <c r="DL351" s="124"/>
      <c r="DM351" s="124"/>
      <c r="DN351" s="124"/>
      <c r="DO351" s="124"/>
      <c r="DP351" s="124"/>
      <c r="DQ351" s="124"/>
      <c r="DR351" s="124"/>
      <c r="DS351" s="124"/>
      <c r="DT351" s="124"/>
      <c r="DU351" s="124"/>
      <c r="DV351" s="124"/>
      <c r="DW351" s="124"/>
      <c r="DX351" s="124"/>
      <c r="DY351" s="124"/>
      <c r="DZ351" s="124"/>
      <c r="EA351" s="124"/>
      <c r="EB351" s="124"/>
      <c r="EC351" s="124"/>
      <c r="ED351" s="124"/>
      <c r="EE351" s="124"/>
      <c r="EF351" s="124"/>
      <c r="EG351" s="124"/>
      <c r="EH351" s="124"/>
      <c r="EI351" s="124"/>
      <c r="EJ351" s="124"/>
      <c r="EK351" s="124"/>
      <c r="EL351" s="124"/>
      <c r="EM351" s="124"/>
      <c r="EN351" s="124"/>
      <c r="EO351" s="124"/>
      <c r="EP351" s="124"/>
      <c r="EQ351" s="124"/>
      <c r="ER351" s="124"/>
      <c r="ES351" s="124"/>
      <c r="ET351" s="124"/>
      <c r="EU351" s="124"/>
      <c r="EV351" s="124"/>
      <c r="EW351" s="124"/>
      <c r="EX351" s="124"/>
      <c r="EY351" s="124"/>
      <c r="EZ351" s="124"/>
      <c r="FA351" s="124"/>
      <c r="FB351" s="124"/>
      <c r="FC351" s="124"/>
      <c r="FD351" s="124"/>
      <c r="FE351" s="124"/>
      <c r="FF351" s="124"/>
      <c r="FG351" s="124"/>
      <c r="FH351" s="124"/>
      <c r="FI351" s="124"/>
      <c r="FJ351" s="124"/>
      <c r="FK351" s="124"/>
      <c r="FL351" s="124"/>
      <c r="FM351" s="124"/>
      <c r="FN351" s="124"/>
      <c r="FO351" s="124"/>
      <c r="FP351" s="124"/>
      <c r="FQ351" s="124"/>
      <c r="FR351" s="124"/>
      <c r="FS351" s="124"/>
      <c r="FT351" s="124"/>
      <c r="FU351" s="124"/>
      <c r="FV351" s="124"/>
      <c r="FW351" s="124"/>
      <c r="FX351" s="124"/>
      <c r="FY351" s="124"/>
      <c r="FZ351" s="124"/>
      <c r="GA351" s="124"/>
      <c r="GB351" s="124"/>
      <c r="GC351" s="124"/>
      <c r="GD351" s="124"/>
      <c r="GE351" s="124"/>
      <c r="GF351" s="124"/>
      <c r="GG351" s="124"/>
      <c r="GH351" s="124"/>
      <c r="GI351" s="124"/>
      <c r="GJ351" s="124"/>
      <c r="GK351" s="124"/>
      <c r="GL351" s="124"/>
      <c r="GM351" s="124"/>
      <c r="GN351" s="124"/>
      <c r="GO351" s="124"/>
      <c r="GP351" s="124"/>
      <c r="GQ351" s="124"/>
      <c r="GR351" s="124"/>
      <c r="GS351" s="124"/>
      <c r="GT351" s="124"/>
      <c r="GU351" s="124"/>
      <c r="GV351" s="124"/>
      <c r="GW351" s="124"/>
      <c r="GX351" s="124"/>
      <c r="GY351" s="124"/>
      <c r="GZ351" s="124"/>
      <c r="HA351" s="124"/>
      <c r="HB351" s="124"/>
      <c r="HC351" s="124"/>
      <c r="HD351" s="124"/>
      <c r="HE351" s="124"/>
      <c r="HF351" s="124"/>
      <c r="HG351" s="124"/>
      <c r="HH351" s="124"/>
      <c r="HI351" s="124"/>
      <c r="HJ351" s="124"/>
      <c r="HK351" s="124"/>
      <c r="HL351" s="124"/>
      <c r="HM351" s="124"/>
      <c r="HN351" s="124"/>
      <c r="HO351" s="124"/>
      <c r="HP351" s="124"/>
      <c r="HQ351" s="124"/>
    </row>
    <row r="352" spans="1:225" x14ac:dyDescent="0.2">
      <c r="A352" s="122"/>
      <c r="B352" s="123"/>
      <c r="C352" s="124"/>
      <c r="D352" s="123"/>
      <c r="E352" s="124"/>
      <c r="F352" s="123"/>
      <c r="G352" s="123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  <c r="BJ352" s="124"/>
      <c r="BK352" s="124"/>
      <c r="BL352" s="124"/>
      <c r="BM352" s="124"/>
      <c r="BN352" s="124"/>
      <c r="BO352" s="124"/>
      <c r="BP352" s="124"/>
      <c r="BQ352" s="124"/>
      <c r="BR352" s="124"/>
      <c r="BS352" s="124"/>
      <c r="BT352" s="124"/>
      <c r="BU352" s="124"/>
      <c r="BV352" s="124"/>
      <c r="BW352" s="124"/>
      <c r="BX352" s="124"/>
      <c r="BY352" s="124"/>
      <c r="BZ352" s="124"/>
      <c r="CA352" s="124"/>
      <c r="CB352" s="124"/>
      <c r="CC352" s="124"/>
      <c r="CD352" s="124"/>
      <c r="CE352" s="124"/>
      <c r="CF352" s="124"/>
      <c r="CG352" s="124"/>
      <c r="CH352" s="124"/>
      <c r="CI352" s="124"/>
      <c r="CJ352" s="124"/>
      <c r="CK352" s="124"/>
      <c r="CL352" s="124"/>
      <c r="CM352" s="124"/>
      <c r="CN352" s="124"/>
      <c r="CO352" s="124"/>
      <c r="CP352" s="124"/>
      <c r="CQ352" s="124"/>
      <c r="CR352" s="124"/>
      <c r="CS352" s="124"/>
      <c r="CT352" s="124"/>
      <c r="CU352" s="124"/>
      <c r="CV352" s="124"/>
      <c r="CW352" s="124"/>
      <c r="CX352" s="124"/>
      <c r="CY352" s="124"/>
      <c r="CZ352" s="124"/>
      <c r="DA352" s="124"/>
      <c r="DB352" s="124"/>
      <c r="DC352" s="124"/>
      <c r="DD352" s="124"/>
      <c r="DE352" s="124"/>
      <c r="DF352" s="124"/>
      <c r="DG352" s="124"/>
      <c r="DH352" s="124"/>
      <c r="DI352" s="124"/>
      <c r="DJ352" s="124"/>
      <c r="DK352" s="124"/>
      <c r="DL352" s="124"/>
      <c r="DM352" s="124"/>
      <c r="DN352" s="124"/>
      <c r="DO352" s="124"/>
      <c r="DP352" s="124"/>
      <c r="DQ352" s="124"/>
      <c r="DR352" s="124"/>
      <c r="DS352" s="124"/>
      <c r="DT352" s="124"/>
      <c r="DU352" s="124"/>
      <c r="DV352" s="124"/>
      <c r="DW352" s="124"/>
      <c r="DX352" s="124"/>
      <c r="DY352" s="124"/>
      <c r="DZ352" s="124"/>
      <c r="EA352" s="124"/>
      <c r="EB352" s="124"/>
      <c r="EC352" s="124"/>
      <c r="ED352" s="124"/>
      <c r="EE352" s="124"/>
      <c r="EF352" s="124"/>
      <c r="EG352" s="124"/>
      <c r="EH352" s="124"/>
      <c r="EI352" s="124"/>
      <c r="EJ352" s="124"/>
      <c r="EK352" s="124"/>
      <c r="EL352" s="124"/>
      <c r="EM352" s="124"/>
      <c r="EN352" s="124"/>
      <c r="EO352" s="124"/>
      <c r="EP352" s="124"/>
      <c r="EQ352" s="124"/>
      <c r="ER352" s="124"/>
      <c r="ES352" s="124"/>
      <c r="ET352" s="124"/>
      <c r="EU352" s="124"/>
      <c r="EV352" s="124"/>
      <c r="EW352" s="124"/>
      <c r="EX352" s="124"/>
      <c r="EY352" s="124"/>
      <c r="EZ352" s="124"/>
      <c r="FA352" s="124"/>
      <c r="FB352" s="124"/>
      <c r="FC352" s="124"/>
      <c r="FD352" s="124"/>
      <c r="FE352" s="124"/>
      <c r="FF352" s="124"/>
      <c r="FG352" s="124"/>
      <c r="FH352" s="124"/>
      <c r="FI352" s="124"/>
      <c r="FJ352" s="124"/>
      <c r="FK352" s="124"/>
      <c r="FL352" s="124"/>
      <c r="FM352" s="124"/>
      <c r="FN352" s="124"/>
      <c r="FO352" s="124"/>
      <c r="FP352" s="124"/>
      <c r="FQ352" s="124"/>
      <c r="FR352" s="124"/>
      <c r="FS352" s="124"/>
      <c r="FT352" s="124"/>
      <c r="FU352" s="124"/>
      <c r="FV352" s="124"/>
      <c r="FW352" s="124"/>
      <c r="FX352" s="124"/>
      <c r="FY352" s="124"/>
      <c r="FZ352" s="124"/>
      <c r="GA352" s="124"/>
      <c r="GB352" s="124"/>
      <c r="GC352" s="124"/>
      <c r="GD352" s="124"/>
      <c r="GE352" s="124"/>
      <c r="GF352" s="124"/>
      <c r="GG352" s="124"/>
      <c r="GH352" s="124"/>
      <c r="GI352" s="124"/>
      <c r="GJ352" s="124"/>
      <c r="GK352" s="124"/>
      <c r="GL352" s="124"/>
      <c r="GM352" s="124"/>
      <c r="GN352" s="124"/>
      <c r="GO352" s="124"/>
      <c r="GP352" s="124"/>
      <c r="GQ352" s="124"/>
      <c r="GR352" s="124"/>
      <c r="GS352" s="124"/>
      <c r="GT352" s="124"/>
      <c r="GU352" s="124"/>
      <c r="GV352" s="124"/>
      <c r="GW352" s="124"/>
      <c r="GX352" s="124"/>
      <c r="GY352" s="124"/>
      <c r="GZ352" s="124"/>
      <c r="HA352" s="124"/>
      <c r="HB352" s="124"/>
      <c r="HC352" s="124"/>
      <c r="HD352" s="124"/>
      <c r="HE352" s="124"/>
      <c r="HF352" s="124"/>
      <c r="HG352" s="124"/>
      <c r="HH352" s="124"/>
      <c r="HI352" s="124"/>
      <c r="HJ352" s="124"/>
      <c r="HK352" s="124"/>
      <c r="HL352" s="124"/>
      <c r="HM352" s="124"/>
      <c r="HN352" s="124"/>
      <c r="HO352" s="124"/>
      <c r="HP352" s="124"/>
      <c r="HQ352" s="124"/>
    </row>
    <row r="353" spans="1:225" x14ac:dyDescent="0.2">
      <c r="A353" s="122"/>
      <c r="B353" s="123"/>
      <c r="C353" s="124"/>
      <c r="D353" s="123"/>
      <c r="E353" s="124"/>
      <c r="F353" s="123"/>
      <c r="G353" s="123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  <c r="BJ353" s="124"/>
      <c r="BK353" s="124"/>
      <c r="BL353" s="124"/>
      <c r="BM353" s="124"/>
      <c r="BN353" s="124"/>
      <c r="BO353" s="124"/>
      <c r="BP353" s="124"/>
      <c r="BQ353" s="124"/>
      <c r="BR353" s="124"/>
      <c r="BS353" s="124"/>
      <c r="BT353" s="124"/>
      <c r="BU353" s="124"/>
      <c r="BV353" s="124"/>
      <c r="BW353" s="124"/>
      <c r="BX353" s="124"/>
      <c r="BY353" s="124"/>
      <c r="BZ353" s="124"/>
      <c r="CA353" s="124"/>
      <c r="CB353" s="124"/>
      <c r="CC353" s="124"/>
      <c r="CD353" s="124"/>
      <c r="CE353" s="124"/>
      <c r="CF353" s="124"/>
      <c r="CG353" s="124"/>
      <c r="CH353" s="124"/>
      <c r="CI353" s="124"/>
      <c r="CJ353" s="124"/>
      <c r="CK353" s="124"/>
      <c r="CL353" s="124"/>
      <c r="CM353" s="124"/>
      <c r="CN353" s="124"/>
      <c r="CO353" s="124"/>
      <c r="CP353" s="124"/>
      <c r="CQ353" s="124"/>
      <c r="CR353" s="124"/>
      <c r="CS353" s="124"/>
      <c r="CT353" s="124"/>
      <c r="CU353" s="124"/>
      <c r="CV353" s="124"/>
      <c r="CW353" s="124"/>
      <c r="CX353" s="124"/>
      <c r="CY353" s="124"/>
      <c r="CZ353" s="124"/>
      <c r="DA353" s="124"/>
      <c r="DB353" s="124"/>
      <c r="DC353" s="124"/>
      <c r="DD353" s="124"/>
      <c r="DE353" s="124"/>
      <c r="DF353" s="124"/>
      <c r="DG353" s="124"/>
      <c r="DH353" s="124"/>
      <c r="DI353" s="124"/>
      <c r="DJ353" s="124"/>
      <c r="DK353" s="124"/>
      <c r="DL353" s="124"/>
      <c r="DM353" s="124"/>
      <c r="DN353" s="124"/>
      <c r="DO353" s="124"/>
      <c r="DP353" s="124"/>
      <c r="DQ353" s="124"/>
      <c r="DR353" s="124"/>
      <c r="DS353" s="124"/>
      <c r="DT353" s="124"/>
      <c r="DU353" s="124"/>
      <c r="DV353" s="124"/>
      <c r="DW353" s="124"/>
      <c r="DX353" s="124"/>
      <c r="DY353" s="124"/>
      <c r="DZ353" s="124"/>
      <c r="EA353" s="124"/>
      <c r="EB353" s="124"/>
      <c r="EC353" s="124"/>
      <c r="ED353" s="124"/>
      <c r="EE353" s="124"/>
      <c r="EF353" s="124"/>
      <c r="EG353" s="124"/>
      <c r="EH353" s="124"/>
      <c r="EI353" s="124"/>
      <c r="EJ353" s="124"/>
      <c r="EK353" s="124"/>
      <c r="EL353" s="124"/>
      <c r="EM353" s="124"/>
      <c r="EN353" s="124"/>
      <c r="EO353" s="124"/>
      <c r="EP353" s="124"/>
      <c r="EQ353" s="124"/>
      <c r="ER353" s="124"/>
      <c r="ES353" s="124"/>
      <c r="ET353" s="124"/>
      <c r="EU353" s="124"/>
      <c r="EV353" s="124"/>
      <c r="EW353" s="124"/>
      <c r="EX353" s="124"/>
      <c r="EY353" s="124"/>
      <c r="EZ353" s="124"/>
      <c r="FA353" s="124"/>
      <c r="FB353" s="124"/>
      <c r="FC353" s="124"/>
      <c r="FD353" s="124"/>
      <c r="FE353" s="124"/>
      <c r="FF353" s="124"/>
      <c r="FG353" s="124"/>
      <c r="FH353" s="124"/>
      <c r="FI353" s="124"/>
      <c r="FJ353" s="124"/>
      <c r="FK353" s="124"/>
      <c r="FL353" s="124"/>
      <c r="FM353" s="124"/>
      <c r="FN353" s="124"/>
      <c r="FO353" s="124"/>
      <c r="FP353" s="124"/>
      <c r="FQ353" s="124"/>
      <c r="FR353" s="124"/>
      <c r="FS353" s="124"/>
      <c r="FT353" s="124"/>
      <c r="FU353" s="124"/>
      <c r="FV353" s="124"/>
      <c r="FW353" s="124"/>
      <c r="FX353" s="124"/>
      <c r="FY353" s="124"/>
      <c r="FZ353" s="124"/>
      <c r="GA353" s="124"/>
      <c r="GB353" s="124"/>
      <c r="GC353" s="124"/>
      <c r="GD353" s="124"/>
      <c r="GE353" s="124"/>
      <c r="GF353" s="124"/>
      <c r="GG353" s="124"/>
      <c r="GH353" s="124"/>
      <c r="GI353" s="124"/>
      <c r="GJ353" s="124"/>
      <c r="GK353" s="124"/>
      <c r="GL353" s="124"/>
      <c r="GM353" s="124"/>
      <c r="GN353" s="124"/>
      <c r="GO353" s="124"/>
      <c r="GP353" s="124"/>
      <c r="GQ353" s="124"/>
      <c r="GR353" s="124"/>
      <c r="GS353" s="124"/>
      <c r="GT353" s="124"/>
      <c r="GU353" s="124"/>
      <c r="GV353" s="124"/>
      <c r="GW353" s="124"/>
      <c r="GX353" s="124"/>
      <c r="GY353" s="124"/>
      <c r="GZ353" s="124"/>
      <c r="HA353" s="124"/>
      <c r="HB353" s="124"/>
      <c r="HC353" s="124"/>
      <c r="HD353" s="124"/>
      <c r="HE353" s="124"/>
      <c r="HF353" s="124"/>
      <c r="HG353" s="124"/>
      <c r="HH353" s="124"/>
      <c r="HI353" s="124"/>
      <c r="HJ353" s="124"/>
      <c r="HK353" s="124"/>
      <c r="HL353" s="124"/>
      <c r="HM353" s="124"/>
      <c r="HN353" s="124"/>
      <c r="HO353" s="124"/>
      <c r="HP353" s="124"/>
      <c r="HQ353" s="124"/>
    </row>
    <row r="354" spans="1:225" x14ac:dyDescent="0.2">
      <c r="A354" s="122"/>
      <c r="B354" s="123"/>
      <c r="C354" s="124"/>
      <c r="D354" s="123"/>
      <c r="E354" s="124"/>
      <c r="F354" s="123"/>
      <c r="G354" s="123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  <c r="BJ354" s="124"/>
      <c r="BK354" s="124"/>
      <c r="BL354" s="124"/>
      <c r="BM354" s="124"/>
      <c r="BN354" s="124"/>
      <c r="BO354" s="124"/>
      <c r="BP354" s="124"/>
      <c r="BQ354" s="124"/>
      <c r="BR354" s="124"/>
      <c r="BS354" s="124"/>
      <c r="BT354" s="124"/>
      <c r="BU354" s="124"/>
      <c r="BV354" s="124"/>
      <c r="BW354" s="124"/>
      <c r="BX354" s="124"/>
      <c r="BY354" s="124"/>
      <c r="BZ354" s="124"/>
      <c r="CA354" s="124"/>
      <c r="CB354" s="124"/>
      <c r="CC354" s="124"/>
      <c r="CD354" s="124"/>
      <c r="CE354" s="124"/>
      <c r="CF354" s="124"/>
      <c r="CG354" s="124"/>
      <c r="CH354" s="124"/>
      <c r="CI354" s="124"/>
      <c r="CJ354" s="124"/>
      <c r="CK354" s="124"/>
      <c r="CL354" s="124"/>
      <c r="CM354" s="124"/>
      <c r="CN354" s="124"/>
      <c r="CO354" s="124"/>
      <c r="CP354" s="124"/>
      <c r="CQ354" s="124"/>
      <c r="CR354" s="124"/>
      <c r="CS354" s="124"/>
      <c r="CT354" s="124"/>
      <c r="CU354" s="124"/>
      <c r="CV354" s="124"/>
      <c r="CW354" s="124"/>
      <c r="CX354" s="124"/>
      <c r="CY354" s="124"/>
      <c r="CZ354" s="124"/>
      <c r="DA354" s="124"/>
      <c r="DB354" s="124"/>
      <c r="DC354" s="124"/>
      <c r="DD354" s="124"/>
      <c r="DE354" s="124"/>
      <c r="DF354" s="124"/>
      <c r="DG354" s="124"/>
      <c r="DH354" s="124"/>
      <c r="DI354" s="124"/>
      <c r="DJ354" s="124"/>
      <c r="DK354" s="124"/>
      <c r="DL354" s="124"/>
      <c r="DM354" s="124"/>
      <c r="DN354" s="124"/>
      <c r="DO354" s="124"/>
      <c r="DP354" s="124"/>
      <c r="DQ354" s="124"/>
      <c r="DR354" s="124"/>
      <c r="DS354" s="124"/>
      <c r="DT354" s="124"/>
      <c r="DU354" s="124"/>
      <c r="DV354" s="124"/>
      <c r="DW354" s="124"/>
      <c r="DX354" s="124"/>
      <c r="DY354" s="124"/>
      <c r="DZ354" s="124"/>
      <c r="EA354" s="124"/>
      <c r="EB354" s="124"/>
      <c r="EC354" s="124"/>
      <c r="ED354" s="124"/>
      <c r="EE354" s="124"/>
      <c r="EF354" s="124"/>
      <c r="EG354" s="124"/>
      <c r="EH354" s="124"/>
      <c r="EI354" s="124"/>
      <c r="EJ354" s="124"/>
      <c r="EK354" s="124"/>
      <c r="EL354" s="124"/>
      <c r="EM354" s="124"/>
      <c r="EN354" s="124"/>
      <c r="EO354" s="124"/>
      <c r="EP354" s="124"/>
      <c r="EQ354" s="124"/>
      <c r="ER354" s="124"/>
      <c r="ES354" s="124"/>
      <c r="ET354" s="124"/>
      <c r="EU354" s="124"/>
      <c r="EV354" s="124"/>
      <c r="EW354" s="124"/>
      <c r="EX354" s="124"/>
      <c r="EY354" s="124"/>
      <c r="EZ354" s="124"/>
      <c r="FA354" s="124"/>
      <c r="FB354" s="124"/>
      <c r="FC354" s="124"/>
      <c r="FD354" s="124"/>
      <c r="FE354" s="124"/>
      <c r="FF354" s="124"/>
      <c r="FG354" s="124"/>
      <c r="FH354" s="124"/>
      <c r="FI354" s="124"/>
      <c r="FJ354" s="124"/>
      <c r="FK354" s="124"/>
      <c r="FL354" s="124"/>
      <c r="FM354" s="124"/>
      <c r="FN354" s="124"/>
      <c r="FO354" s="124"/>
      <c r="FP354" s="124"/>
      <c r="FQ354" s="124"/>
      <c r="FR354" s="124"/>
      <c r="FS354" s="124"/>
      <c r="FT354" s="124"/>
      <c r="FU354" s="124"/>
      <c r="FV354" s="124"/>
      <c r="FW354" s="124"/>
      <c r="FX354" s="124"/>
      <c r="FY354" s="124"/>
      <c r="FZ354" s="124"/>
      <c r="GA354" s="124"/>
      <c r="GB354" s="124"/>
      <c r="GC354" s="124"/>
      <c r="GD354" s="124"/>
      <c r="GE354" s="124"/>
      <c r="GF354" s="124"/>
      <c r="GG354" s="124"/>
      <c r="GH354" s="124"/>
      <c r="GI354" s="124"/>
      <c r="GJ354" s="124"/>
      <c r="GK354" s="124"/>
      <c r="GL354" s="124"/>
      <c r="GM354" s="124"/>
      <c r="GN354" s="124"/>
      <c r="GO354" s="124"/>
      <c r="GP354" s="124"/>
      <c r="GQ354" s="124"/>
      <c r="GR354" s="124"/>
      <c r="GS354" s="124"/>
      <c r="GT354" s="124"/>
      <c r="GU354" s="124"/>
      <c r="GV354" s="124"/>
      <c r="GW354" s="124"/>
      <c r="GX354" s="124"/>
      <c r="GY354" s="124"/>
      <c r="GZ354" s="124"/>
      <c r="HA354" s="124"/>
      <c r="HB354" s="124"/>
      <c r="HC354" s="124"/>
      <c r="HD354" s="124"/>
      <c r="HE354" s="124"/>
      <c r="HF354" s="124"/>
      <c r="HG354" s="124"/>
      <c r="HH354" s="124"/>
      <c r="HI354" s="124"/>
      <c r="HJ354" s="124"/>
      <c r="HK354" s="124"/>
      <c r="HL354" s="124"/>
      <c r="HM354" s="124"/>
      <c r="HN354" s="124"/>
      <c r="HO354" s="124"/>
      <c r="HP354" s="124"/>
      <c r="HQ354" s="124"/>
    </row>
    <row r="355" spans="1:225" x14ac:dyDescent="0.2">
      <c r="A355" s="122"/>
      <c r="B355" s="123"/>
      <c r="C355" s="124"/>
      <c r="D355" s="123"/>
      <c r="E355" s="124"/>
      <c r="F355" s="123"/>
      <c r="G355" s="123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  <c r="BJ355" s="124"/>
      <c r="BK355" s="124"/>
      <c r="BL355" s="124"/>
      <c r="BM355" s="124"/>
      <c r="BN355" s="124"/>
      <c r="BO355" s="124"/>
      <c r="BP355" s="124"/>
      <c r="BQ355" s="124"/>
      <c r="BR355" s="124"/>
      <c r="BS355" s="124"/>
      <c r="BT355" s="124"/>
      <c r="BU355" s="124"/>
      <c r="BV355" s="124"/>
      <c r="BW355" s="124"/>
      <c r="BX355" s="124"/>
      <c r="BY355" s="124"/>
      <c r="BZ355" s="124"/>
      <c r="CA355" s="124"/>
      <c r="CB355" s="124"/>
      <c r="CC355" s="124"/>
      <c r="CD355" s="124"/>
      <c r="CE355" s="124"/>
      <c r="CF355" s="124"/>
      <c r="CG355" s="124"/>
      <c r="CH355" s="124"/>
      <c r="CI355" s="124"/>
      <c r="CJ355" s="124"/>
      <c r="CK355" s="124"/>
      <c r="CL355" s="124"/>
      <c r="CM355" s="124"/>
      <c r="CN355" s="124"/>
      <c r="CO355" s="124"/>
      <c r="CP355" s="124"/>
      <c r="CQ355" s="124"/>
      <c r="CR355" s="124"/>
      <c r="CS355" s="124"/>
      <c r="CT355" s="124"/>
      <c r="CU355" s="124"/>
      <c r="CV355" s="124"/>
      <c r="CW355" s="124"/>
      <c r="CX355" s="124"/>
      <c r="CY355" s="124"/>
      <c r="CZ355" s="124"/>
      <c r="DA355" s="124"/>
      <c r="DB355" s="124"/>
      <c r="DC355" s="124"/>
      <c r="DD355" s="124"/>
      <c r="DE355" s="124"/>
      <c r="DF355" s="124"/>
      <c r="DG355" s="124"/>
      <c r="DH355" s="124"/>
      <c r="DI355" s="124"/>
      <c r="DJ355" s="124"/>
      <c r="DK355" s="124"/>
      <c r="DL355" s="124"/>
      <c r="DM355" s="124"/>
      <c r="DN355" s="124"/>
      <c r="DO355" s="124"/>
      <c r="DP355" s="124"/>
      <c r="DQ355" s="124"/>
      <c r="DR355" s="124"/>
      <c r="DS355" s="124"/>
      <c r="DT355" s="124"/>
      <c r="DU355" s="124"/>
      <c r="DV355" s="124"/>
      <c r="DW355" s="124"/>
      <c r="DX355" s="124"/>
      <c r="DY355" s="124"/>
      <c r="DZ355" s="124"/>
      <c r="EA355" s="124"/>
      <c r="EB355" s="124"/>
      <c r="EC355" s="124"/>
      <c r="ED355" s="124"/>
      <c r="EE355" s="124"/>
      <c r="EF355" s="124"/>
      <c r="EG355" s="124"/>
      <c r="EH355" s="124"/>
      <c r="EI355" s="124"/>
      <c r="EJ355" s="124"/>
      <c r="EK355" s="124"/>
      <c r="EL355" s="124"/>
      <c r="EM355" s="124"/>
      <c r="EN355" s="124"/>
      <c r="EO355" s="124"/>
      <c r="EP355" s="124"/>
      <c r="EQ355" s="124"/>
      <c r="ER355" s="124"/>
      <c r="ES355" s="124"/>
      <c r="ET355" s="124"/>
      <c r="EU355" s="124"/>
      <c r="EV355" s="124"/>
      <c r="EW355" s="124"/>
      <c r="EX355" s="124"/>
      <c r="EY355" s="124"/>
      <c r="EZ355" s="124"/>
      <c r="FA355" s="124"/>
      <c r="FB355" s="124"/>
      <c r="FC355" s="124"/>
      <c r="FD355" s="124"/>
      <c r="FE355" s="124"/>
      <c r="FF355" s="124"/>
      <c r="FG355" s="124"/>
      <c r="FH355" s="124"/>
      <c r="FI355" s="124"/>
      <c r="FJ355" s="124"/>
      <c r="FK355" s="124"/>
      <c r="FL355" s="124"/>
      <c r="FM355" s="124"/>
      <c r="FN355" s="124"/>
      <c r="FO355" s="124"/>
      <c r="FP355" s="124"/>
      <c r="FQ355" s="124"/>
      <c r="FR355" s="124"/>
      <c r="FS355" s="124"/>
      <c r="FT355" s="124"/>
      <c r="FU355" s="124"/>
      <c r="FV355" s="124"/>
      <c r="FW355" s="124"/>
      <c r="FX355" s="124"/>
      <c r="FY355" s="124"/>
      <c r="FZ355" s="124"/>
      <c r="GA355" s="124"/>
      <c r="GB355" s="124"/>
      <c r="GC355" s="124"/>
      <c r="GD355" s="124"/>
      <c r="GE355" s="124"/>
      <c r="GF355" s="124"/>
      <c r="GG355" s="124"/>
      <c r="GH355" s="124"/>
      <c r="GI355" s="124"/>
      <c r="GJ355" s="124"/>
      <c r="GK355" s="124"/>
      <c r="GL355" s="124"/>
      <c r="GM355" s="124"/>
      <c r="GN355" s="124"/>
      <c r="GO355" s="124"/>
      <c r="GP355" s="124"/>
      <c r="GQ355" s="124"/>
      <c r="GR355" s="124"/>
      <c r="GS355" s="124"/>
      <c r="GT355" s="124"/>
      <c r="GU355" s="124"/>
      <c r="GV355" s="124"/>
      <c r="GW355" s="124"/>
      <c r="GX355" s="124"/>
      <c r="GY355" s="124"/>
      <c r="GZ355" s="124"/>
      <c r="HA355" s="124"/>
      <c r="HB355" s="124"/>
      <c r="HC355" s="124"/>
      <c r="HD355" s="124"/>
      <c r="HE355" s="124"/>
      <c r="HF355" s="124"/>
      <c r="HG355" s="124"/>
      <c r="HH355" s="124"/>
      <c r="HI355" s="124"/>
      <c r="HJ355" s="124"/>
      <c r="HK355" s="124"/>
      <c r="HL355" s="124"/>
      <c r="HM355" s="124"/>
      <c r="HN355" s="124"/>
      <c r="HO355" s="124"/>
      <c r="HP355" s="124"/>
      <c r="HQ355" s="124"/>
    </row>
    <row r="356" spans="1:225" x14ac:dyDescent="0.2">
      <c r="A356" s="122"/>
      <c r="B356" s="123"/>
      <c r="C356" s="124"/>
      <c r="D356" s="123"/>
      <c r="E356" s="124"/>
      <c r="F356" s="123"/>
      <c r="G356" s="123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  <c r="BJ356" s="124"/>
      <c r="BK356" s="124"/>
      <c r="BL356" s="124"/>
      <c r="BM356" s="124"/>
      <c r="BN356" s="124"/>
      <c r="BO356" s="124"/>
      <c r="BP356" s="124"/>
      <c r="BQ356" s="124"/>
      <c r="BR356" s="124"/>
      <c r="BS356" s="124"/>
      <c r="BT356" s="124"/>
      <c r="BU356" s="124"/>
      <c r="BV356" s="124"/>
      <c r="BW356" s="124"/>
      <c r="BX356" s="124"/>
      <c r="BY356" s="124"/>
      <c r="BZ356" s="124"/>
      <c r="CA356" s="124"/>
      <c r="CB356" s="124"/>
      <c r="CC356" s="124"/>
      <c r="CD356" s="124"/>
      <c r="CE356" s="124"/>
      <c r="CF356" s="124"/>
      <c r="CG356" s="124"/>
      <c r="CH356" s="124"/>
      <c r="CI356" s="124"/>
      <c r="CJ356" s="124"/>
      <c r="CK356" s="124"/>
      <c r="CL356" s="124"/>
      <c r="CM356" s="124"/>
      <c r="CN356" s="124"/>
      <c r="CO356" s="124"/>
      <c r="CP356" s="124"/>
      <c r="CQ356" s="124"/>
      <c r="CR356" s="124"/>
      <c r="CS356" s="124"/>
      <c r="CT356" s="124"/>
      <c r="CU356" s="124"/>
      <c r="CV356" s="124"/>
      <c r="CW356" s="124"/>
      <c r="CX356" s="124"/>
      <c r="CY356" s="124"/>
      <c r="CZ356" s="124"/>
      <c r="DA356" s="124"/>
      <c r="DB356" s="124"/>
      <c r="DC356" s="124"/>
      <c r="DD356" s="124"/>
      <c r="DE356" s="124"/>
      <c r="DF356" s="124"/>
      <c r="DG356" s="124"/>
      <c r="DH356" s="124"/>
      <c r="DI356" s="124"/>
      <c r="DJ356" s="124"/>
      <c r="DK356" s="124"/>
      <c r="DL356" s="124"/>
      <c r="DM356" s="124"/>
      <c r="DN356" s="124"/>
      <c r="DO356" s="124"/>
      <c r="DP356" s="124"/>
      <c r="DQ356" s="124"/>
      <c r="DR356" s="124"/>
      <c r="DS356" s="124"/>
      <c r="DT356" s="124"/>
      <c r="DU356" s="124"/>
      <c r="DV356" s="124"/>
      <c r="DW356" s="124"/>
      <c r="DX356" s="124"/>
      <c r="DY356" s="124"/>
      <c r="DZ356" s="124"/>
      <c r="EA356" s="124"/>
      <c r="EB356" s="124"/>
      <c r="EC356" s="124"/>
      <c r="ED356" s="124"/>
      <c r="EE356" s="124"/>
      <c r="EF356" s="124"/>
      <c r="EG356" s="124"/>
      <c r="EH356" s="124"/>
      <c r="EI356" s="124"/>
      <c r="EJ356" s="124"/>
      <c r="EK356" s="124"/>
      <c r="EL356" s="124"/>
      <c r="EM356" s="124"/>
      <c r="EN356" s="124"/>
      <c r="EO356" s="124"/>
      <c r="EP356" s="124"/>
      <c r="EQ356" s="124"/>
      <c r="ER356" s="124"/>
      <c r="ES356" s="124"/>
      <c r="ET356" s="124"/>
      <c r="EU356" s="124"/>
      <c r="EV356" s="124"/>
      <c r="EW356" s="124"/>
      <c r="EX356" s="124"/>
      <c r="EY356" s="124"/>
      <c r="EZ356" s="124"/>
      <c r="FA356" s="124"/>
      <c r="FB356" s="124"/>
      <c r="FC356" s="124"/>
      <c r="FD356" s="124"/>
      <c r="FE356" s="124"/>
      <c r="FF356" s="124"/>
      <c r="FG356" s="124"/>
      <c r="FH356" s="124"/>
      <c r="FI356" s="124"/>
      <c r="FJ356" s="124"/>
      <c r="FK356" s="124"/>
      <c r="FL356" s="124"/>
      <c r="FM356" s="124"/>
      <c r="FN356" s="124"/>
      <c r="FO356" s="124"/>
      <c r="FP356" s="124"/>
      <c r="FQ356" s="124"/>
      <c r="FR356" s="124"/>
      <c r="FS356" s="124"/>
      <c r="FT356" s="124"/>
      <c r="FU356" s="124"/>
      <c r="FV356" s="124"/>
      <c r="FW356" s="124"/>
      <c r="FX356" s="124"/>
      <c r="FY356" s="124"/>
      <c r="FZ356" s="124"/>
      <c r="GA356" s="124"/>
      <c r="GB356" s="124"/>
      <c r="GC356" s="124"/>
      <c r="GD356" s="124"/>
      <c r="GE356" s="124"/>
      <c r="GF356" s="124"/>
      <c r="GG356" s="124"/>
      <c r="GH356" s="124"/>
      <c r="GI356" s="124"/>
      <c r="GJ356" s="124"/>
      <c r="GK356" s="124"/>
      <c r="GL356" s="124"/>
      <c r="GM356" s="124"/>
      <c r="GN356" s="124"/>
      <c r="GO356" s="124"/>
      <c r="GP356" s="124"/>
      <c r="GQ356" s="124"/>
      <c r="GR356" s="124"/>
      <c r="GS356" s="124"/>
      <c r="GT356" s="124"/>
      <c r="GU356" s="124"/>
      <c r="GV356" s="124"/>
      <c r="GW356" s="124"/>
      <c r="GX356" s="124"/>
      <c r="GY356" s="124"/>
      <c r="GZ356" s="124"/>
      <c r="HA356" s="124"/>
      <c r="HB356" s="124"/>
      <c r="HC356" s="124"/>
      <c r="HD356" s="124"/>
      <c r="HE356" s="124"/>
      <c r="HF356" s="124"/>
      <c r="HG356" s="124"/>
      <c r="HH356" s="124"/>
      <c r="HI356" s="124"/>
      <c r="HJ356" s="124"/>
      <c r="HK356" s="124"/>
      <c r="HL356" s="124"/>
      <c r="HM356" s="124"/>
      <c r="HN356" s="124"/>
      <c r="HO356" s="124"/>
      <c r="HP356" s="124"/>
      <c r="HQ356" s="124"/>
    </row>
    <row r="357" spans="1:225" x14ac:dyDescent="0.2">
      <c r="A357" s="122"/>
      <c r="B357" s="123"/>
      <c r="C357" s="124"/>
      <c r="D357" s="123"/>
      <c r="E357" s="124"/>
      <c r="F357" s="123"/>
      <c r="G357" s="123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  <c r="BJ357" s="124"/>
      <c r="BK357" s="124"/>
      <c r="BL357" s="124"/>
      <c r="BM357" s="124"/>
      <c r="BN357" s="124"/>
      <c r="BO357" s="124"/>
      <c r="BP357" s="124"/>
      <c r="BQ357" s="124"/>
      <c r="BR357" s="124"/>
      <c r="BS357" s="124"/>
      <c r="BT357" s="124"/>
      <c r="BU357" s="124"/>
      <c r="BV357" s="124"/>
      <c r="BW357" s="124"/>
      <c r="BX357" s="124"/>
      <c r="BY357" s="124"/>
      <c r="BZ357" s="124"/>
      <c r="CA357" s="124"/>
      <c r="CB357" s="124"/>
      <c r="CC357" s="124"/>
      <c r="CD357" s="124"/>
      <c r="CE357" s="124"/>
      <c r="CF357" s="124"/>
      <c r="CG357" s="124"/>
      <c r="CH357" s="124"/>
      <c r="CI357" s="124"/>
      <c r="CJ357" s="124"/>
      <c r="CK357" s="124"/>
      <c r="CL357" s="124"/>
      <c r="CM357" s="124"/>
      <c r="CN357" s="124"/>
      <c r="CO357" s="124"/>
      <c r="CP357" s="124"/>
      <c r="CQ357" s="124"/>
      <c r="CR357" s="124"/>
      <c r="CS357" s="124"/>
      <c r="CT357" s="124"/>
      <c r="CU357" s="124"/>
      <c r="CV357" s="124"/>
      <c r="CW357" s="124"/>
      <c r="CX357" s="124"/>
      <c r="CY357" s="124"/>
      <c r="CZ357" s="124"/>
      <c r="DA357" s="124"/>
      <c r="DB357" s="124"/>
      <c r="DC357" s="124"/>
      <c r="DD357" s="124"/>
      <c r="DE357" s="124"/>
      <c r="DF357" s="124"/>
      <c r="DG357" s="124"/>
      <c r="DH357" s="124"/>
      <c r="DI357" s="124"/>
      <c r="DJ357" s="124"/>
      <c r="DK357" s="124"/>
      <c r="DL357" s="124"/>
      <c r="DM357" s="124"/>
      <c r="DN357" s="124"/>
      <c r="DO357" s="124"/>
      <c r="DP357" s="124"/>
      <c r="DQ357" s="124"/>
      <c r="DR357" s="124"/>
      <c r="DS357" s="124"/>
      <c r="DT357" s="124"/>
      <c r="DU357" s="124"/>
      <c r="DV357" s="124"/>
      <c r="DW357" s="124"/>
      <c r="DX357" s="124"/>
      <c r="DY357" s="124"/>
      <c r="DZ357" s="124"/>
      <c r="EA357" s="124"/>
      <c r="EB357" s="124"/>
      <c r="EC357" s="124"/>
      <c r="ED357" s="124"/>
      <c r="EE357" s="124"/>
      <c r="EF357" s="124"/>
      <c r="EG357" s="124"/>
      <c r="EH357" s="124"/>
      <c r="EI357" s="124"/>
      <c r="EJ357" s="124"/>
      <c r="EK357" s="124"/>
      <c r="EL357" s="124"/>
      <c r="EM357" s="124"/>
      <c r="EN357" s="124"/>
      <c r="EO357" s="124"/>
      <c r="EP357" s="124"/>
      <c r="EQ357" s="124"/>
      <c r="ER357" s="124"/>
      <c r="ES357" s="124"/>
      <c r="ET357" s="124"/>
      <c r="EU357" s="124"/>
      <c r="EV357" s="124"/>
      <c r="EW357" s="124"/>
      <c r="EX357" s="124"/>
      <c r="EY357" s="124"/>
      <c r="EZ357" s="124"/>
      <c r="FA357" s="124"/>
      <c r="FB357" s="124"/>
      <c r="FC357" s="124"/>
      <c r="FD357" s="124"/>
      <c r="FE357" s="124"/>
      <c r="FF357" s="124"/>
      <c r="FG357" s="124"/>
      <c r="FH357" s="124"/>
      <c r="FI357" s="124"/>
      <c r="FJ357" s="124"/>
      <c r="FK357" s="124"/>
      <c r="FL357" s="124"/>
      <c r="FM357" s="124"/>
      <c r="FN357" s="124"/>
      <c r="FO357" s="124"/>
      <c r="FP357" s="124"/>
      <c r="FQ357" s="124"/>
      <c r="FR357" s="124"/>
      <c r="FS357" s="124"/>
      <c r="FT357" s="124"/>
      <c r="FU357" s="124"/>
      <c r="FV357" s="124"/>
      <c r="FW357" s="124"/>
      <c r="FX357" s="124"/>
      <c r="FY357" s="124"/>
      <c r="FZ357" s="124"/>
      <c r="GA357" s="124"/>
      <c r="GB357" s="124"/>
      <c r="GC357" s="124"/>
      <c r="GD357" s="124"/>
      <c r="GE357" s="124"/>
      <c r="GF357" s="124"/>
      <c r="GG357" s="124"/>
      <c r="GH357" s="124"/>
      <c r="GI357" s="124"/>
      <c r="GJ357" s="124"/>
      <c r="GK357" s="124"/>
      <c r="GL357" s="124"/>
      <c r="GM357" s="124"/>
      <c r="GN357" s="124"/>
      <c r="GO357" s="124"/>
      <c r="GP357" s="124"/>
      <c r="GQ357" s="124"/>
      <c r="GR357" s="124"/>
      <c r="GS357" s="124"/>
      <c r="GT357" s="124"/>
      <c r="GU357" s="124"/>
      <c r="GV357" s="124"/>
      <c r="GW357" s="124"/>
      <c r="GX357" s="124"/>
      <c r="GY357" s="124"/>
      <c r="GZ357" s="124"/>
      <c r="HA357" s="124"/>
      <c r="HB357" s="124"/>
      <c r="HC357" s="124"/>
      <c r="HD357" s="124"/>
      <c r="HE357" s="124"/>
      <c r="HF357" s="124"/>
      <c r="HG357" s="124"/>
      <c r="HH357" s="124"/>
      <c r="HI357" s="124"/>
      <c r="HJ357" s="124"/>
      <c r="HK357" s="124"/>
      <c r="HL357" s="124"/>
      <c r="HM357" s="124"/>
      <c r="HN357" s="124"/>
      <c r="HO357" s="124"/>
      <c r="HP357" s="124"/>
      <c r="HQ357" s="124"/>
    </row>
    <row r="358" spans="1:225" x14ac:dyDescent="0.2">
      <c r="A358" s="122"/>
      <c r="B358" s="123"/>
      <c r="C358" s="124"/>
      <c r="D358" s="123"/>
      <c r="E358" s="124"/>
      <c r="F358" s="123"/>
      <c r="G358" s="123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  <c r="BJ358" s="124"/>
      <c r="BK358" s="124"/>
      <c r="BL358" s="124"/>
      <c r="BM358" s="124"/>
      <c r="BN358" s="124"/>
      <c r="BO358" s="124"/>
      <c r="BP358" s="124"/>
      <c r="BQ358" s="124"/>
      <c r="BR358" s="124"/>
      <c r="BS358" s="124"/>
      <c r="BT358" s="124"/>
      <c r="BU358" s="124"/>
      <c r="BV358" s="124"/>
      <c r="BW358" s="124"/>
      <c r="BX358" s="124"/>
      <c r="BY358" s="124"/>
      <c r="BZ358" s="124"/>
      <c r="CA358" s="124"/>
      <c r="CB358" s="124"/>
      <c r="CC358" s="124"/>
      <c r="CD358" s="124"/>
      <c r="CE358" s="124"/>
      <c r="CF358" s="124"/>
      <c r="CG358" s="124"/>
      <c r="CH358" s="124"/>
      <c r="CI358" s="124"/>
      <c r="CJ358" s="124"/>
      <c r="CK358" s="124"/>
      <c r="CL358" s="124"/>
      <c r="CM358" s="124"/>
      <c r="CN358" s="124"/>
      <c r="CO358" s="124"/>
      <c r="CP358" s="124"/>
      <c r="CQ358" s="124"/>
      <c r="CR358" s="124"/>
      <c r="CS358" s="124"/>
      <c r="CT358" s="124"/>
      <c r="CU358" s="124"/>
      <c r="CV358" s="124"/>
      <c r="CW358" s="124"/>
      <c r="CX358" s="124"/>
      <c r="CY358" s="124"/>
      <c r="CZ358" s="124"/>
      <c r="DA358" s="124"/>
      <c r="DB358" s="124"/>
      <c r="DC358" s="124"/>
      <c r="DD358" s="124"/>
      <c r="DE358" s="124"/>
      <c r="DF358" s="124"/>
      <c r="DG358" s="124"/>
      <c r="DH358" s="124"/>
      <c r="DI358" s="124"/>
      <c r="DJ358" s="124"/>
      <c r="DK358" s="124"/>
      <c r="DL358" s="124"/>
      <c r="DM358" s="124"/>
      <c r="DN358" s="124"/>
      <c r="DO358" s="124"/>
      <c r="DP358" s="124"/>
      <c r="DQ358" s="124"/>
      <c r="DR358" s="124"/>
      <c r="DS358" s="124"/>
      <c r="DT358" s="124"/>
      <c r="DU358" s="124"/>
      <c r="DV358" s="124"/>
      <c r="DW358" s="124"/>
      <c r="DX358" s="124"/>
      <c r="DY358" s="124"/>
      <c r="DZ358" s="124"/>
      <c r="EA358" s="124"/>
      <c r="EB358" s="124"/>
      <c r="EC358" s="124"/>
      <c r="ED358" s="124"/>
      <c r="EE358" s="124"/>
      <c r="EF358" s="124"/>
      <c r="EG358" s="124"/>
      <c r="EH358" s="124"/>
      <c r="EI358" s="124"/>
      <c r="EJ358" s="124"/>
      <c r="EK358" s="124"/>
      <c r="EL358" s="124"/>
      <c r="EM358" s="124"/>
      <c r="EN358" s="124"/>
      <c r="EO358" s="124"/>
      <c r="EP358" s="124"/>
      <c r="EQ358" s="124"/>
      <c r="ER358" s="124"/>
      <c r="ES358" s="124"/>
      <c r="ET358" s="124"/>
      <c r="EU358" s="124"/>
      <c r="EV358" s="124"/>
      <c r="EW358" s="124"/>
      <c r="EX358" s="124"/>
      <c r="EY358" s="124"/>
      <c r="EZ358" s="124"/>
      <c r="FA358" s="124"/>
      <c r="FB358" s="124"/>
      <c r="FC358" s="124"/>
      <c r="FD358" s="124"/>
      <c r="FE358" s="124"/>
      <c r="FF358" s="124"/>
      <c r="FG358" s="124"/>
      <c r="FH358" s="124"/>
      <c r="FI358" s="124"/>
      <c r="FJ358" s="124"/>
      <c r="FK358" s="124"/>
      <c r="FL358" s="124"/>
      <c r="FM358" s="124"/>
      <c r="FN358" s="124"/>
      <c r="FO358" s="124"/>
      <c r="FP358" s="124"/>
      <c r="FQ358" s="124"/>
      <c r="FR358" s="124"/>
      <c r="FS358" s="124"/>
      <c r="FT358" s="124"/>
      <c r="FU358" s="124"/>
      <c r="FV358" s="124"/>
      <c r="FW358" s="124"/>
      <c r="FX358" s="124"/>
      <c r="FY358" s="124"/>
      <c r="FZ358" s="124"/>
      <c r="GA358" s="124"/>
      <c r="GB358" s="124"/>
      <c r="GC358" s="124"/>
      <c r="GD358" s="124"/>
      <c r="GE358" s="124"/>
      <c r="GF358" s="124"/>
      <c r="GG358" s="124"/>
      <c r="GH358" s="124"/>
      <c r="GI358" s="124"/>
      <c r="GJ358" s="124"/>
      <c r="GK358" s="124"/>
      <c r="GL358" s="124"/>
      <c r="GM358" s="124"/>
      <c r="GN358" s="124"/>
      <c r="GO358" s="124"/>
      <c r="GP358" s="124"/>
      <c r="GQ358" s="124"/>
      <c r="GR358" s="124"/>
      <c r="GS358" s="124"/>
      <c r="GT358" s="124"/>
      <c r="GU358" s="124"/>
      <c r="GV358" s="124"/>
      <c r="GW358" s="124"/>
      <c r="GX358" s="124"/>
      <c r="GY358" s="124"/>
      <c r="GZ358" s="124"/>
      <c r="HA358" s="124"/>
      <c r="HB358" s="124"/>
      <c r="HC358" s="124"/>
      <c r="HD358" s="124"/>
      <c r="HE358" s="124"/>
      <c r="HF358" s="124"/>
      <c r="HG358" s="124"/>
      <c r="HH358" s="124"/>
      <c r="HI358" s="124"/>
      <c r="HJ358" s="124"/>
      <c r="HK358" s="124"/>
      <c r="HL358" s="124"/>
      <c r="HM358" s="124"/>
      <c r="HN358" s="124"/>
      <c r="HO358" s="124"/>
      <c r="HP358" s="124"/>
      <c r="HQ358" s="124"/>
    </row>
    <row r="359" spans="1:225" x14ac:dyDescent="0.2">
      <c r="A359" s="122"/>
      <c r="B359" s="123"/>
      <c r="C359" s="124"/>
      <c r="D359" s="123"/>
      <c r="E359" s="124"/>
      <c r="F359" s="123"/>
      <c r="G359" s="123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  <c r="BJ359" s="124"/>
      <c r="BK359" s="124"/>
      <c r="BL359" s="124"/>
      <c r="BM359" s="124"/>
      <c r="BN359" s="124"/>
      <c r="BO359" s="124"/>
      <c r="BP359" s="124"/>
      <c r="BQ359" s="124"/>
      <c r="BR359" s="124"/>
      <c r="BS359" s="124"/>
      <c r="BT359" s="124"/>
      <c r="BU359" s="124"/>
      <c r="BV359" s="124"/>
      <c r="BW359" s="124"/>
      <c r="BX359" s="124"/>
      <c r="BY359" s="124"/>
      <c r="BZ359" s="124"/>
      <c r="CA359" s="124"/>
      <c r="CB359" s="124"/>
      <c r="CC359" s="124"/>
      <c r="CD359" s="124"/>
      <c r="CE359" s="124"/>
      <c r="CF359" s="124"/>
      <c r="CG359" s="124"/>
      <c r="CH359" s="124"/>
      <c r="CI359" s="124"/>
      <c r="CJ359" s="124"/>
      <c r="CK359" s="124"/>
      <c r="CL359" s="124"/>
      <c r="CM359" s="124"/>
      <c r="CN359" s="124"/>
      <c r="CO359" s="124"/>
      <c r="CP359" s="124"/>
      <c r="CQ359" s="124"/>
      <c r="CR359" s="124"/>
      <c r="CS359" s="124"/>
      <c r="CT359" s="124"/>
      <c r="CU359" s="124"/>
      <c r="CV359" s="124"/>
      <c r="CW359" s="124"/>
      <c r="CX359" s="124"/>
      <c r="CY359" s="124"/>
      <c r="CZ359" s="124"/>
      <c r="DA359" s="124"/>
      <c r="DB359" s="124"/>
      <c r="DC359" s="124"/>
      <c r="DD359" s="124"/>
      <c r="DE359" s="124"/>
      <c r="DF359" s="124"/>
      <c r="DG359" s="124"/>
      <c r="DH359" s="124"/>
      <c r="DI359" s="124"/>
      <c r="DJ359" s="124"/>
      <c r="DK359" s="124"/>
      <c r="DL359" s="124"/>
      <c r="DM359" s="124"/>
      <c r="DN359" s="124"/>
      <c r="DO359" s="124"/>
      <c r="DP359" s="124"/>
      <c r="DQ359" s="124"/>
      <c r="DR359" s="124"/>
      <c r="DS359" s="124"/>
      <c r="DT359" s="124"/>
      <c r="DU359" s="124"/>
      <c r="DV359" s="124"/>
      <c r="DW359" s="124"/>
      <c r="DX359" s="124"/>
      <c r="DY359" s="124"/>
      <c r="DZ359" s="124"/>
      <c r="EA359" s="124"/>
      <c r="EB359" s="124"/>
      <c r="EC359" s="124"/>
      <c r="ED359" s="124"/>
      <c r="EE359" s="124"/>
      <c r="EF359" s="124"/>
      <c r="EG359" s="124"/>
      <c r="EH359" s="124"/>
      <c r="EI359" s="124"/>
      <c r="EJ359" s="124"/>
      <c r="EK359" s="124"/>
      <c r="EL359" s="124"/>
      <c r="EM359" s="124"/>
      <c r="EN359" s="124"/>
      <c r="EO359" s="124"/>
      <c r="EP359" s="124"/>
      <c r="EQ359" s="124"/>
      <c r="ER359" s="124"/>
      <c r="ES359" s="124"/>
      <c r="ET359" s="124"/>
      <c r="EU359" s="124"/>
      <c r="EV359" s="124"/>
      <c r="EW359" s="124"/>
      <c r="EX359" s="124"/>
      <c r="EY359" s="124"/>
      <c r="EZ359" s="124"/>
      <c r="FA359" s="124"/>
      <c r="FB359" s="124"/>
      <c r="FC359" s="124"/>
      <c r="FD359" s="124"/>
      <c r="FE359" s="124"/>
      <c r="FF359" s="124"/>
      <c r="FG359" s="124"/>
      <c r="FH359" s="124"/>
      <c r="FI359" s="124"/>
      <c r="FJ359" s="124"/>
      <c r="FK359" s="124"/>
      <c r="FL359" s="124"/>
      <c r="FM359" s="124"/>
      <c r="FN359" s="124"/>
      <c r="FO359" s="124"/>
      <c r="FP359" s="124"/>
      <c r="FQ359" s="124"/>
      <c r="FR359" s="124"/>
      <c r="FS359" s="124"/>
      <c r="FT359" s="124"/>
      <c r="FU359" s="124"/>
      <c r="FV359" s="124"/>
      <c r="FW359" s="124"/>
      <c r="FX359" s="124"/>
      <c r="FY359" s="124"/>
      <c r="FZ359" s="124"/>
      <c r="GA359" s="124"/>
      <c r="GB359" s="124"/>
      <c r="GC359" s="124"/>
      <c r="GD359" s="124"/>
      <c r="GE359" s="124"/>
      <c r="GF359" s="124"/>
      <c r="GG359" s="124"/>
      <c r="GH359" s="124"/>
      <c r="GI359" s="124"/>
      <c r="GJ359" s="124"/>
      <c r="GK359" s="124"/>
      <c r="GL359" s="124"/>
      <c r="GM359" s="124"/>
      <c r="GN359" s="124"/>
      <c r="GO359" s="124"/>
      <c r="GP359" s="124"/>
      <c r="GQ359" s="124"/>
      <c r="GR359" s="124"/>
      <c r="GS359" s="124"/>
      <c r="GT359" s="124"/>
      <c r="GU359" s="124"/>
      <c r="GV359" s="124"/>
      <c r="GW359" s="124"/>
      <c r="GX359" s="124"/>
      <c r="GY359" s="124"/>
      <c r="GZ359" s="124"/>
      <c r="HA359" s="124"/>
      <c r="HB359" s="124"/>
      <c r="HC359" s="124"/>
      <c r="HD359" s="124"/>
      <c r="HE359" s="124"/>
      <c r="HF359" s="124"/>
      <c r="HG359" s="124"/>
      <c r="HH359" s="124"/>
      <c r="HI359" s="124"/>
      <c r="HJ359" s="124"/>
      <c r="HK359" s="124"/>
      <c r="HL359" s="124"/>
      <c r="HM359" s="124"/>
      <c r="HN359" s="124"/>
      <c r="HO359" s="124"/>
      <c r="HP359" s="124"/>
      <c r="HQ359" s="124"/>
    </row>
    <row r="360" spans="1:225" x14ac:dyDescent="0.2">
      <c r="A360" s="122"/>
      <c r="B360" s="123"/>
      <c r="C360" s="124"/>
      <c r="D360" s="123"/>
      <c r="E360" s="124"/>
      <c r="F360" s="123"/>
      <c r="G360" s="123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  <c r="AV360" s="124"/>
      <c r="AW360" s="124"/>
      <c r="AX360" s="124"/>
      <c r="AY360" s="124"/>
      <c r="AZ360" s="124"/>
      <c r="BA360" s="124"/>
      <c r="BB360" s="124"/>
      <c r="BC360" s="124"/>
      <c r="BD360" s="124"/>
      <c r="BE360" s="124"/>
      <c r="BF360" s="124"/>
      <c r="BG360" s="124"/>
      <c r="BH360" s="124"/>
      <c r="BI360" s="124"/>
      <c r="BJ360" s="124"/>
      <c r="BK360" s="124"/>
      <c r="BL360" s="124"/>
      <c r="BM360" s="124"/>
      <c r="BN360" s="124"/>
      <c r="BO360" s="124"/>
      <c r="BP360" s="124"/>
      <c r="BQ360" s="124"/>
      <c r="BR360" s="124"/>
      <c r="BS360" s="124"/>
      <c r="BT360" s="124"/>
      <c r="BU360" s="124"/>
      <c r="BV360" s="124"/>
      <c r="BW360" s="124"/>
      <c r="BX360" s="124"/>
      <c r="BY360" s="124"/>
      <c r="BZ360" s="124"/>
      <c r="CA360" s="124"/>
      <c r="CB360" s="124"/>
      <c r="CC360" s="124"/>
      <c r="CD360" s="124"/>
      <c r="CE360" s="124"/>
      <c r="CF360" s="124"/>
      <c r="CG360" s="124"/>
      <c r="CH360" s="124"/>
      <c r="CI360" s="124"/>
      <c r="CJ360" s="124"/>
      <c r="CK360" s="124"/>
      <c r="CL360" s="124"/>
      <c r="CM360" s="124"/>
      <c r="CN360" s="124"/>
      <c r="CO360" s="124"/>
      <c r="CP360" s="124"/>
      <c r="CQ360" s="124"/>
      <c r="CR360" s="124"/>
      <c r="CS360" s="124"/>
      <c r="CT360" s="124"/>
      <c r="CU360" s="124"/>
      <c r="CV360" s="124"/>
      <c r="CW360" s="124"/>
      <c r="CX360" s="124"/>
      <c r="CY360" s="124"/>
      <c r="CZ360" s="124"/>
      <c r="DA360" s="124"/>
      <c r="DB360" s="124"/>
      <c r="DC360" s="124"/>
      <c r="DD360" s="124"/>
      <c r="DE360" s="124"/>
      <c r="DF360" s="124"/>
      <c r="DG360" s="124"/>
      <c r="DH360" s="124"/>
      <c r="DI360" s="124"/>
      <c r="DJ360" s="124"/>
      <c r="DK360" s="124"/>
      <c r="DL360" s="124"/>
      <c r="DM360" s="124"/>
      <c r="DN360" s="124"/>
      <c r="DO360" s="124"/>
      <c r="DP360" s="124"/>
      <c r="DQ360" s="124"/>
      <c r="DR360" s="124"/>
      <c r="DS360" s="124"/>
      <c r="DT360" s="124"/>
      <c r="DU360" s="124"/>
      <c r="DV360" s="124"/>
      <c r="DW360" s="124"/>
      <c r="DX360" s="124"/>
      <c r="DY360" s="124"/>
      <c r="DZ360" s="124"/>
      <c r="EA360" s="124"/>
      <c r="EB360" s="124"/>
      <c r="EC360" s="124"/>
      <c r="ED360" s="124"/>
      <c r="EE360" s="124"/>
      <c r="EF360" s="124"/>
      <c r="EG360" s="124"/>
      <c r="EH360" s="124"/>
      <c r="EI360" s="124"/>
      <c r="EJ360" s="124"/>
      <c r="EK360" s="124"/>
      <c r="EL360" s="124"/>
      <c r="EM360" s="124"/>
      <c r="EN360" s="124"/>
      <c r="EO360" s="124"/>
      <c r="EP360" s="124"/>
      <c r="EQ360" s="124"/>
      <c r="ER360" s="124"/>
      <c r="ES360" s="124"/>
      <c r="ET360" s="124"/>
      <c r="EU360" s="124"/>
      <c r="EV360" s="124"/>
      <c r="EW360" s="124"/>
      <c r="EX360" s="124"/>
      <c r="EY360" s="124"/>
      <c r="EZ360" s="124"/>
      <c r="FA360" s="124"/>
      <c r="FB360" s="124"/>
      <c r="FC360" s="124"/>
      <c r="FD360" s="124"/>
      <c r="FE360" s="124"/>
      <c r="FF360" s="124"/>
      <c r="FG360" s="124"/>
      <c r="FH360" s="124"/>
      <c r="FI360" s="124"/>
      <c r="FJ360" s="124"/>
      <c r="FK360" s="124"/>
      <c r="FL360" s="124"/>
      <c r="FM360" s="124"/>
      <c r="FN360" s="124"/>
      <c r="FO360" s="124"/>
      <c r="FP360" s="124"/>
      <c r="FQ360" s="124"/>
      <c r="FR360" s="124"/>
      <c r="FS360" s="124"/>
      <c r="FT360" s="124"/>
      <c r="FU360" s="124"/>
      <c r="FV360" s="124"/>
      <c r="FW360" s="124"/>
      <c r="FX360" s="124"/>
      <c r="FY360" s="124"/>
      <c r="FZ360" s="124"/>
      <c r="GA360" s="124"/>
      <c r="GB360" s="124"/>
      <c r="GC360" s="124"/>
      <c r="GD360" s="124"/>
      <c r="GE360" s="124"/>
      <c r="GF360" s="124"/>
      <c r="GG360" s="124"/>
      <c r="GH360" s="124"/>
      <c r="GI360" s="124"/>
      <c r="GJ360" s="124"/>
      <c r="GK360" s="124"/>
      <c r="GL360" s="124"/>
      <c r="GM360" s="124"/>
      <c r="GN360" s="124"/>
      <c r="GO360" s="124"/>
      <c r="GP360" s="124"/>
      <c r="GQ360" s="124"/>
      <c r="GR360" s="124"/>
      <c r="GS360" s="124"/>
      <c r="GT360" s="124"/>
      <c r="GU360" s="124"/>
      <c r="GV360" s="124"/>
      <c r="GW360" s="124"/>
      <c r="GX360" s="124"/>
      <c r="GY360" s="124"/>
      <c r="GZ360" s="124"/>
      <c r="HA360" s="124"/>
      <c r="HB360" s="124"/>
      <c r="HC360" s="124"/>
      <c r="HD360" s="124"/>
      <c r="HE360" s="124"/>
      <c r="HF360" s="124"/>
      <c r="HG360" s="124"/>
      <c r="HH360" s="124"/>
      <c r="HI360" s="124"/>
      <c r="HJ360" s="124"/>
      <c r="HK360" s="124"/>
      <c r="HL360" s="124"/>
      <c r="HM360" s="124"/>
      <c r="HN360" s="124"/>
      <c r="HO360" s="124"/>
      <c r="HP360" s="124"/>
      <c r="HQ360" s="124"/>
    </row>
    <row r="361" spans="1:225" x14ac:dyDescent="0.2">
      <c r="A361" s="122"/>
      <c r="B361" s="123"/>
      <c r="C361" s="124"/>
      <c r="D361" s="123"/>
      <c r="E361" s="124"/>
      <c r="F361" s="123"/>
      <c r="G361" s="123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  <c r="AV361" s="124"/>
      <c r="AW361" s="124"/>
      <c r="AX361" s="124"/>
      <c r="AY361" s="124"/>
      <c r="AZ361" s="124"/>
      <c r="BA361" s="124"/>
      <c r="BB361" s="124"/>
      <c r="BC361" s="124"/>
      <c r="BD361" s="124"/>
      <c r="BE361" s="124"/>
      <c r="BF361" s="124"/>
      <c r="BG361" s="124"/>
      <c r="BH361" s="124"/>
      <c r="BI361" s="124"/>
      <c r="BJ361" s="124"/>
      <c r="BK361" s="124"/>
      <c r="BL361" s="124"/>
      <c r="BM361" s="124"/>
      <c r="BN361" s="124"/>
      <c r="BO361" s="124"/>
      <c r="BP361" s="124"/>
      <c r="BQ361" s="124"/>
      <c r="BR361" s="124"/>
      <c r="BS361" s="124"/>
      <c r="BT361" s="124"/>
      <c r="BU361" s="124"/>
      <c r="BV361" s="124"/>
      <c r="BW361" s="124"/>
      <c r="BX361" s="124"/>
      <c r="BY361" s="124"/>
      <c r="BZ361" s="124"/>
      <c r="CA361" s="124"/>
      <c r="CB361" s="124"/>
      <c r="CC361" s="124"/>
      <c r="CD361" s="124"/>
      <c r="CE361" s="124"/>
      <c r="CF361" s="124"/>
      <c r="CG361" s="124"/>
      <c r="CH361" s="124"/>
      <c r="CI361" s="124"/>
      <c r="CJ361" s="124"/>
      <c r="CK361" s="124"/>
      <c r="CL361" s="124"/>
      <c r="CM361" s="124"/>
      <c r="CN361" s="124"/>
      <c r="CO361" s="124"/>
      <c r="CP361" s="124"/>
      <c r="CQ361" s="124"/>
      <c r="CR361" s="124"/>
      <c r="CS361" s="124"/>
      <c r="CT361" s="124"/>
      <c r="CU361" s="124"/>
      <c r="CV361" s="124"/>
      <c r="CW361" s="124"/>
      <c r="CX361" s="124"/>
      <c r="CY361" s="124"/>
      <c r="CZ361" s="124"/>
      <c r="DA361" s="124"/>
      <c r="DB361" s="124"/>
      <c r="DC361" s="124"/>
      <c r="DD361" s="124"/>
      <c r="DE361" s="124"/>
      <c r="DF361" s="124"/>
      <c r="DG361" s="124"/>
      <c r="DH361" s="124"/>
      <c r="DI361" s="124"/>
      <c r="DJ361" s="124"/>
      <c r="DK361" s="124"/>
      <c r="DL361" s="124"/>
      <c r="DM361" s="124"/>
      <c r="DN361" s="124"/>
      <c r="DO361" s="124"/>
      <c r="DP361" s="124"/>
      <c r="DQ361" s="124"/>
      <c r="DR361" s="124"/>
      <c r="DS361" s="124"/>
      <c r="DT361" s="124"/>
      <c r="DU361" s="124"/>
      <c r="DV361" s="124"/>
      <c r="DW361" s="124"/>
      <c r="DX361" s="124"/>
      <c r="DY361" s="124"/>
      <c r="DZ361" s="124"/>
      <c r="EA361" s="124"/>
      <c r="EB361" s="124"/>
      <c r="EC361" s="124"/>
      <c r="ED361" s="124"/>
      <c r="EE361" s="124"/>
      <c r="EF361" s="124"/>
      <c r="EG361" s="124"/>
      <c r="EH361" s="124"/>
      <c r="EI361" s="124"/>
      <c r="EJ361" s="124"/>
      <c r="EK361" s="124"/>
      <c r="EL361" s="124"/>
      <c r="EM361" s="124"/>
      <c r="EN361" s="124"/>
      <c r="EO361" s="124"/>
      <c r="EP361" s="124"/>
      <c r="EQ361" s="124"/>
      <c r="ER361" s="124"/>
      <c r="ES361" s="124"/>
      <c r="ET361" s="124"/>
      <c r="EU361" s="124"/>
      <c r="EV361" s="124"/>
      <c r="EW361" s="124"/>
      <c r="EX361" s="124"/>
      <c r="EY361" s="124"/>
      <c r="EZ361" s="124"/>
      <c r="FA361" s="124"/>
      <c r="FB361" s="124"/>
      <c r="FC361" s="124"/>
      <c r="FD361" s="124"/>
      <c r="FE361" s="124"/>
      <c r="FF361" s="124"/>
      <c r="FG361" s="124"/>
      <c r="FH361" s="124"/>
      <c r="FI361" s="124"/>
      <c r="FJ361" s="124"/>
      <c r="FK361" s="124"/>
      <c r="FL361" s="124"/>
      <c r="FM361" s="124"/>
      <c r="FN361" s="124"/>
      <c r="FO361" s="124"/>
      <c r="FP361" s="124"/>
      <c r="FQ361" s="124"/>
      <c r="FR361" s="124"/>
      <c r="FS361" s="124"/>
      <c r="FT361" s="124"/>
      <c r="FU361" s="124"/>
      <c r="FV361" s="124"/>
      <c r="FW361" s="124"/>
      <c r="FX361" s="124"/>
      <c r="FY361" s="124"/>
      <c r="FZ361" s="124"/>
      <c r="GA361" s="124"/>
      <c r="GB361" s="124"/>
      <c r="GC361" s="124"/>
      <c r="GD361" s="124"/>
      <c r="GE361" s="124"/>
      <c r="GF361" s="124"/>
      <c r="GG361" s="124"/>
      <c r="GH361" s="124"/>
      <c r="GI361" s="124"/>
      <c r="GJ361" s="124"/>
      <c r="GK361" s="124"/>
      <c r="GL361" s="124"/>
      <c r="GM361" s="124"/>
      <c r="GN361" s="124"/>
      <c r="GO361" s="124"/>
      <c r="GP361" s="124"/>
      <c r="GQ361" s="124"/>
      <c r="GR361" s="124"/>
      <c r="GS361" s="124"/>
      <c r="GT361" s="124"/>
      <c r="GU361" s="124"/>
      <c r="GV361" s="124"/>
      <c r="GW361" s="124"/>
      <c r="GX361" s="124"/>
      <c r="GY361" s="124"/>
      <c r="GZ361" s="124"/>
      <c r="HA361" s="124"/>
      <c r="HB361" s="124"/>
      <c r="HC361" s="124"/>
      <c r="HD361" s="124"/>
      <c r="HE361" s="124"/>
      <c r="HF361" s="124"/>
      <c r="HG361" s="124"/>
      <c r="HH361" s="124"/>
      <c r="HI361" s="124"/>
      <c r="HJ361" s="124"/>
      <c r="HK361" s="124"/>
      <c r="HL361" s="124"/>
      <c r="HM361" s="124"/>
      <c r="HN361" s="124"/>
      <c r="HO361" s="124"/>
      <c r="HP361" s="124"/>
      <c r="HQ361" s="124"/>
    </row>
    <row r="362" spans="1:225" x14ac:dyDescent="0.2">
      <c r="A362" s="122"/>
      <c r="B362" s="123"/>
      <c r="C362" s="124"/>
      <c r="D362" s="123"/>
      <c r="E362" s="124"/>
      <c r="F362" s="123"/>
      <c r="G362" s="123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  <c r="AV362" s="124"/>
      <c r="AW362" s="124"/>
      <c r="AX362" s="124"/>
      <c r="AY362" s="124"/>
      <c r="AZ362" s="124"/>
      <c r="BA362" s="124"/>
      <c r="BB362" s="124"/>
      <c r="BC362" s="124"/>
      <c r="BD362" s="124"/>
      <c r="BE362" s="124"/>
      <c r="BF362" s="124"/>
      <c r="BG362" s="124"/>
      <c r="BH362" s="124"/>
      <c r="BI362" s="124"/>
      <c r="BJ362" s="124"/>
      <c r="BK362" s="124"/>
      <c r="BL362" s="124"/>
      <c r="BM362" s="124"/>
      <c r="BN362" s="124"/>
      <c r="BO362" s="124"/>
      <c r="BP362" s="124"/>
      <c r="BQ362" s="124"/>
      <c r="BR362" s="124"/>
      <c r="BS362" s="124"/>
      <c r="BT362" s="124"/>
      <c r="BU362" s="124"/>
      <c r="BV362" s="124"/>
      <c r="BW362" s="124"/>
      <c r="BX362" s="124"/>
      <c r="BY362" s="124"/>
      <c r="BZ362" s="124"/>
      <c r="CA362" s="124"/>
      <c r="CB362" s="124"/>
      <c r="CC362" s="124"/>
      <c r="CD362" s="124"/>
      <c r="CE362" s="124"/>
      <c r="CF362" s="124"/>
      <c r="CG362" s="124"/>
      <c r="CH362" s="124"/>
      <c r="CI362" s="124"/>
      <c r="CJ362" s="124"/>
      <c r="CK362" s="124"/>
      <c r="CL362" s="124"/>
      <c r="CM362" s="124"/>
      <c r="CN362" s="124"/>
      <c r="CO362" s="124"/>
      <c r="CP362" s="124"/>
      <c r="CQ362" s="124"/>
      <c r="CR362" s="124"/>
      <c r="CS362" s="124"/>
      <c r="CT362" s="124"/>
      <c r="CU362" s="124"/>
      <c r="CV362" s="124"/>
      <c r="CW362" s="124"/>
      <c r="CX362" s="124"/>
      <c r="CY362" s="124"/>
      <c r="CZ362" s="124"/>
      <c r="DA362" s="124"/>
      <c r="DB362" s="124"/>
      <c r="DC362" s="124"/>
      <c r="DD362" s="124"/>
      <c r="DE362" s="124"/>
      <c r="DF362" s="124"/>
      <c r="DG362" s="124"/>
      <c r="DH362" s="124"/>
      <c r="DI362" s="124"/>
      <c r="DJ362" s="124"/>
      <c r="DK362" s="124"/>
      <c r="DL362" s="124"/>
      <c r="DM362" s="124"/>
      <c r="DN362" s="124"/>
      <c r="DO362" s="124"/>
      <c r="DP362" s="124"/>
      <c r="DQ362" s="124"/>
      <c r="DR362" s="124"/>
      <c r="DS362" s="124"/>
      <c r="DT362" s="124"/>
      <c r="DU362" s="124"/>
      <c r="DV362" s="124"/>
      <c r="DW362" s="124"/>
      <c r="DX362" s="124"/>
      <c r="DY362" s="124"/>
      <c r="DZ362" s="124"/>
      <c r="EA362" s="124"/>
      <c r="EB362" s="124"/>
      <c r="EC362" s="124"/>
      <c r="ED362" s="124"/>
      <c r="EE362" s="124"/>
      <c r="EF362" s="124"/>
      <c r="EG362" s="124"/>
      <c r="EH362" s="124"/>
      <c r="EI362" s="124"/>
      <c r="EJ362" s="124"/>
      <c r="EK362" s="124"/>
      <c r="EL362" s="124"/>
      <c r="EM362" s="124"/>
      <c r="EN362" s="124"/>
      <c r="EO362" s="124"/>
      <c r="EP362" s="124"/>
      <c r="EQ362" s="124"/>
      <c r="ER362" s="124"/>
      <c r="ES362" s="124"/>
      <c r="ET362" s="124"/>
      <c r="EU362" s="124"/>
      <c r="EV362" s="124"/>
      <c r="EW362" s="124"/>
      <c r="EX362" s="124"/>
      <c r="EY362" s="124"/>
      <c r="EZ362" s="124"/>
      <c r="FA362" s="124"/>
      <c r="FB362" s="124"/>
      <c r="FC362" s="124"/>
      <c r="FD362" s="124"/>
      <c r="FE362" s="124"/>
      <c r="FF362" s="124"/>
      <c r="FG362" s="124"/>
      <c r="FH362" s="124"/>
      <c r="FI362" s="124"/>
      <c r="FJ362" s="124"/>
      <c r="FK362" s="124"/>
      <c r="FL362" s="124"/>
      <c r="FM362" s="124"/>
      <c r="FN362" s="124"/>
      <c r="FO362" s="124"/>
      <c r="FP362" s="124"/>
      <c r="FQ362" s="124"/>
      <c r="FR362" s="124"/>
      <c r="FS362" s="124"/>
      <c r="FT362" s="124"/>
      <c r="FU362" s="124"/>
      <c r="FV362" s="124"/>
      <c r="FW362" s="124"/>
      <c r="FX362" s="124"/>
      <c r="FY362" s="124"/>
      <c r="FZ362" s="124"/>
      <c r="GA362" s="124"/>
      <c r="GB362" s="124"/>
      <c r="GC362" s="124"/>
      <c r="GD362" s="124"/>
      <c r="GE362" s="124"/>
      <c r="GF362" s="124"/>
      <c r="GG362" s="124"/>
      <c r="GH362" s="124"/>
      <c r="GI362" s="124"/>
      <c r="GJ362" s="124"/>
      <c r="GK362" s="124"/>
      <c r="GL362" s="124"/>
      <c r="GM362" s="124"/>
      <c r="GN362" s="124"/>
      <c r="GO362" s="124"/>
      <c r="GP362" s="124"/>
      <c r="GQ362" s="124"/>
      <c r="GR362" s="124"/>
      <c r="GS362" s="124"/>
      <c r="GT362" s="124"/>
      <c r="GU362" s="124"/>
      <c r="GV362" s="124"/>
      <c r="GW362" s="124"/>
      <c r="GX362" s="124"/>
      <c r="GY362" s="124"/>
      <c r="GZ362" s="124"/>
      <c r="HA362" s="124"/>
      <c r="HB362" s="124"/>
      <c r="HC362" s="124"/>
      <c r="HD362" s="124"/>
      <c r="HE362" s="124"/>
      <c r="HF362" s="124"/>
      <c r="HG362" s="124"/>
      <c r="HH362" s="124"/>
      <c r="HI362" s="124"/>
      <c r="HJ362" s="124"/>
      <c r="HK362" s="124"/>
      <c r="HL362" s="124"/>
      <c r="HM362" s="124"/>
      <c r="HN362" s="124"/>
      <c r="HO362" s="124"/>
      <c r="HP362" s="124"/>
      <c r="HQ362" s="124"/>
    </row>
    <row r="363" spans="1:225" x14ac:dyDescent="0.2">
      <c r="A363" s="122"/>
      <c r="B363" s="123"/>
      <c r="C363" s="124"/>
      <c r="D363" s="123"/>
      <c r="E363" s="124"/>
      <c r="F363" s="123"/>
      <c r="G363" s="123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  <c r="AV363" s="124"/>
      <c r="AW363" s="124"/>
      <c r="AX363" s="124"/>
      <c r="AY363" s="124"/>
      <c r="AZ363" s="124"/>
      <c r="BA363" s="124"/>
      <c r="BB363" s="124"/>
      <c r="BC363" s="124"/>
      <c r="BD363" s="124"/>
      <c r="BE363" s="124"/>
      <c r="BF363" s="124"/>
      <c r="BG363" s="124"/>
      <c r="BH363" s="124"/>
      <c r="BI363" s="124"/>
      <c r="BJ363" s="124"/>
      <c r="BK363" s="124"/>
      <c r="BL363" s="124"/>
      <c r="BM363" s="124"/>
      <c r="BN363" s="124"/>
      <c r="BO363" s="124"/>
      <c r="BP363" s="124"/>
      <c r="BQ363" s="124"/>
      <c r="BR363" s="124"/>
      <c r="BS363" s="124"/>
      <c r="BT363" s="124"/>
      <c r="BU363" s="124"/>
      <c r="BV363" s="124"/>
      <c r="BW363" s="124"/>
      <c r="BX363" s="124"/>
      <c r="BY363" s="124"/>
      <c r="BZ363" s="124"/>
      <c r="CA363" s="124"/>
      <c r="CB363" s="124"/>
      <c r="CC363" s="124"/>
      <c r="CD363" s="124"/>
      <c r="CE363" s="124"/>
      <c r="CF363" s="124"/>
      <c r="CG363" s="124"/>
      <c r="CH363" s="124"/>
      <c r="CI363" s="124"/>
      <c r="CJ363" s="124"/>
      <c r="CK363" s="124"/>
      <c r="CL363" s="124"/>
      <c r="CM363" s="124"/>
      <c r="CN363" s="124"/>
      <c r="CO363" s="124"/>
      <c r="CP363" s="124"/>
      <c r="CQ363" s="124"/>
      <c r="CR363" s="124"/>
      <c r="CS363" s="124"/>
      <c r="CT363" s="124"/>
      <c r="CU363" s="124"/>
      <c r="CV363" s="124"/>
      <c r="CW363" s="124"/>
      <c r="CX363" s="124"/>
      <c r="CY363" s="124"/>
      <c r="CZ363" s="124"/>
      <c r="DA363" s="124"/>
      <c r="DB363" s="124"/>
      <c r="DC363" s="124"/>
      <c r="DD363" s="124"/>
      <c r="DE363" s="124"/>
      <c r="DF363" s="124"/>
      <c r="DG363" s="124"/>
      <c r="DH363" s="124"/>
      <c r="DI363" s="124"/>
      <c r="DJ363" s="124"/>
      <c r="DK363" s="124"/>
      <c r="DL363" s="124"/>
      <c r="DM363" s="124"/>
      <c r="DN363" s="124"/>
      <c r="DO363" s="124"/>
      <c r="DP363" s="124"/>
      <c r="DQ363" s="124"/>
      <c r="DR363" s="124"/>
      <c r="DS363" s="124"/>
      <c r="DT363" s="124"/>
      <c r="DU363" s="124"/>
      <c r="DV363" s="124"/>
      <c r="DW363" s="124"/>
      <c r="DX363" s="124"/>
      <c r="DY363" s="124"/>
      <c r="DZ363" s="124"/>
      <c r="EA363" s="124"/>
      <c r="EB363" s="124"/>
      <c r="EC363" s="124"/>
      <c r="ED363" s="124"/>
      <c r="EE363" s="124"/>
      <c r="EF363" s="124"/>
      <c r="EG363" s="124"/>
      <c r="EH363" s="124"/>
      <c r="EI363" s="124"/>
      <c r="EJ363" s="124"/>
      <c r="EK363" s="124"/>
      <c r="EL363" s="124"/>
      <c r="EM363" s="124"/>
      <c r="EN363" s="124"/>
      <c r="EO363" s="124"/>
      <c r="EP363" s="124"/>
      <c r="EQ363" s="124"/>
      <c r="ER363" s="124"/>
      <c r="ES363" s="124"/>
      <c r="ET363" s="124"/>
      <c r="EU363" s="124"/>
      <c r="EV363" s="124"/>
      <c r="EW363" s="124"/>
      <c r="EX363" s="124"/>
      <c r="EY363" s="124"/>
      <c r="EZ363" s="124"/>
      <c r="FA363" s="124"/>
      <c r="FB363" s="124"/>
      <c r="FC363" s="124"/>
      <c r="FD363" s="124"/>
      <c r="FE363" s="124"/>
      <c r="FF363" s="124"/>
      <c r="FG363" s="124"/>
      <c r="FH363" s="124"/>
      <c r="FI363" s="124"/>
      <c r="FJ363" s="124"/>
      <c r="FK363" s="124"/>
      <c r="FL363" s="124"/>
      <c r="FM363" s="124"/>
      <c r="FN363" s="124"/>
      <c r="FO363" s="124"/>
      <c r="FP363" s="124"/>
      <c r="FQ363" s="124"/>
      <c r="FR363" s="124"/>
      <c r="FS363" s="124"/>
      <c r="FT363" s="124"/>
      <c r="FU363" s="124"/>
      <c r="FV363" s="124"/>
      <c r="FW363" s="124"/>
      <c r="FX363" s="124"/>
      <c r="FY363" s="124"/>
      <c r="FZ363" s="124"/>
      <c r="GA363" s="124"/>
      <c r="GB363" s="124"/>
      <c r="GC363" s="124"/>
      <c r="GD363" s="124"/>
      <c r="GE363" s="124"/>
      <c r="GF363" s="124"/>
      <c r="GG363" s="124"/>
      <c r="GH363" s="124"/>
      <c r="GI363" s="124"/>
      <c r="GJ363" s="124"/>
      <c r="GK363" s="124"/>
      <c r="GL363" s="124"/>
      <c r="GM363" s="124"/>
      <c r="GN363" s="124"/>
      <c r="GO363" s="124"/>
      <c r="GP363" s="124"/>
      <c r="GQ363" s="124"/>
      <c r="GR363" s="124"/>
      <c r="GS363" s="124"/>
      <c r="GT363" s="124"/>
      <c r="GU363" s="124"/>
      <c r="GV363" s="124"/>
      <c r="GW363" s="124"/>
      <c r="GX363" s="124"/>
      <c r="GY363" s="124"/>
      <c r="GZ363" s="124"/>
      <c r="HA363" s="124"/>
      <c r="HB363" s="124"/>
      <c r="HC363" s="124"/>
      <c r="HD363" s="124"/>
      <c r="HE363" s="124"/>
      <c r="HF363" s="124"/>
      <c r="HG363" s="124"/>
      <c r="HH363" s="124"/>
      <c r="HI363" s="124"/>
      <c r="HJ363" s="124"/>
      <c r="HK363" s="124"/>
      <c r="HL363" s="124"/>
      <c r="HM363" s="124"/>
      <c r="HN363" s="124"/>
      <c r="HO363" s="124"/>
      <c r="HP363" s="124"/>
      <c r="HQ363" s="124"/>
    </row>
    <row r="364" spans="1:225" x14ac:dyDescent="0.2">
      <c r="A364" s="122"/>
      <c r="B364" s="123"/>
      <c r="C364" s="124"/>
      <c r="D364" s="123"/>
      <c r="E364" s="124"/>
      <c r="F364" s="123"/>
      <c r="G364" s="123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  <c r="AV364" s="124"/>
      <c r="AW364" s="124"/>
      <c r="AX364" s="124"/>
      <c r="AY364" s="124"/>
      <c r="AZ364" s="124"/>
      <c r="BA364" s="124"/>
      <c r="BB364" s="124"/>
      <c r="BC364" s="124"/>
      <c r="BD364" s="124"/>
      <c r="BE364" s="124"/>
      <c r="BF364" s="124"/>
      <c r="BG364" s="124"/>
      <c r="BH364" s="124"/>
      <c r="BI364" s="124"/>
      <c r="BJ364" s="124"/>
      <c r="BK364" s="124"/>
      <c r="BL364" s="124"/>
      <c r="BM364" s="124"/>
      <c r="BN364" s="124"/>
      <c r="BO364" s="124"/>
      <c r="BP364" s="124"/>
      <c r="BQ364" s="124"/>
      <c r="BR364" s="124"/>
      <c r="BS364" s="124"/>
      <c r="BT364" s="124"/>
      <c r="BU364" s="124"/>
      <c r="BV364" s="124"/>
      <c r="BW364" s="124"/>
      <c r="BX364" s="124"/>
      <c r="BY364" s="124"/>
      <c r="BZ364" s="124"/>
      <c r="CA364" s="124"/>
      <c r="CB364" s="124"/>
      <c r="CC364" s="124"/>
      <c r="CD364" s="124"/>
      <c r="CE364" s="124"/>
      <c r="CF364" s="124"/>
      <c r="CG364" s="124"/>
      <c r="CH364" s="124"/>
      <c r="CI364" s="124"/>
      <c r="CJ364" s="124"/>
      <c r="CK364" s="124"/>
      <c r="CL364" s="124"/>
      <c r="CM364" s="124"/>
      <c r="CN364" s="124"/>
      <c r="CO364" s="124"/>
      <c r="CP364" s="124"/>
      <c r="CQ364" s="124"/>
      <c r="CR364" s="124"/>
      <c r="CS364" s="124"/>
      <c r="CT364" s="124"/>
      <c r="CU364" s="124"/>
      <c r="CV364" s="124"/>
      <c r="CW364" s="124"/>
      <c r="CX364" s="124"/>
      <c r="CY364" s="124"/>
      <c r="CZ364" s="124"/>
      <c r="DA364" s="124"/>
      <c r="DB364" s="124"/>
      <c r="DC364" s="124"/>
      <c r="DD364" s="124"/>
      <c r="DE364" s="124"/>
      <c r="DF364" s="124"/>
      <c r="DG364" s="124"/>
      <c r="DH364" s="124"/>
      <c r="DI364" s="124"/>
      <c r="DJ364" s="124"/>
      <c r="DK364" s="124"/>
      <c r="DL364" s="124"/>
      <c r="DM364" s="124"/>
      <c r="DN364" s="124"/>
      <c r="DO364" s="124"/>
      <c r="DP364" s="124"/>
      <c r="DQ364" s="124"/>
      <c r="DR364" s="124"/>
      <c r="DS364" s="124"/>
      <c r="DT364" s="124"/>
      <c r="DU364" s="124"/>
      <c r="DV364" s="124"/>
      <c r="DW364" s="124"/>
      <c r="DX364" s="124"/>
      <c r="DY364" s="124"/>
      <c r="DZ364" s="124"/>
      <c r="EA364" s="124"/>
      <c r="EB364" s="124"/>
      <c r="EC364" s="124"/>
      <c r="ED364" s="124"/>
      <c r="EE364" s="124"/>
      <c r="EF364" s="124"/>
      <c r="EG364" s="124"/>
      <c r="EH364" s="124"/>
      <c r="EI364" s="124"/>
      <c r="EJ364" s="124"/>
      <c r="EK364" s="124"/>
      <c r="EL364" s="124"/>
      <c r="EM364" s="124"/>
      <c r="EN364" s="124"/>
      <c r="EO364" s="124"/>
      <c r="EP364" s="124"/>
      <c r="EQ364" s="124"/>
      <c r="ER364" s="124"/>
      <c r="ES364" s="124"/>
      <c r="ET364" s="124"/>
      <c r="EU364" s="124"/>
      <c r="EV364" s="124"/>
      <c r="EW364" s="124"/>
      <c r="EX364" s="124"/>
      <c r="EY364" s="124"/>
      <c r="EZ364" s="124"/>
      <c r="FA364" s="124"/>
      <c r="FB364" s="124"/>
      <c r="FC364" s="124"/>
      <c r="FD364" s="124"/>
      <c r="FE364" s="124"/>
      <c r="FF364" s="124"/>
      <c r="FG364" s="124"/>
      <c r="FH364" s="124"/>
      <c r="FI364" s="124"/>
      <c r="FJ364" s="124"/>
      <c r="FK364" s="124"/>
      <c r="FL364" s="124"/>
      <c r="FM364" s="124"/>
      <c r="FN364" s="124"/>
      <c r="FO364" s="124"/>
      <c r="FP364" s="124"/>
      <c r="FQ364" s="124"/>
      <c r="FR364" s="124"/>
      <c r="FS364" s="124"/>
      <c r="FT364" s="124"/>
      <c r="FU364" s="124"/>
      <c r="FV364" s="124"/>
      <c r="FW364" s="124"/>
      <c r="FX364" s="124"/>
      <c r="FY364" s="124"/>
      <c r="FZ364" s="124"/>
      <c r="GA364" s="124"/>
      <c r="GB364" s="124"/>
      <c r="GC364" s="124"/>
      <c r="GD364" s="124"/>
      <c r="GE364" s="124"/>
      <c r="GF364" s="124"/>
      <c r="GG364" s="124"/>
      <c r="GH364" s="124"/>
      <c r="GI364" s="124"/>
      <c r="GJ364" s="124"/>
      <c r="GK364" s="124"/>
      <c r="GL364" s="124"/>
      <c r="GM364" s="124"/>
      <c r="GN364" s="124"/>
      <c r="GO364" s="124"/>
      <c r="GP364" s="124"/>
      <c r="GQ364" s="124"/>
      <c r="GR364" s="124"/>
      <c r="GS364" s="124"/>
      <c r="GT364" s="124"/>
      <c r="GU364" s="124"/>
      <c r="GV364" s="124"/>
      <c r="GW364" s="124"/>
      <c r="GX364" s="124"/>
      <c r="GY364" s="124"/>
      <c r="GZ364" s="124"/>
      <c r="HA364" s="124"/>
      <c r="HB364" s="124"/>
      <c r="HC364" s="124"/>
      <c r="HD364" s="124"/>
      <c r="HE364" s="124"/>
      <c r="HF364" s="124"/>
      <c r="HG364" s="124"/>
      <c r="HH364" s="124"/>
      <c r="HI364" s="124"/>
      <c r="HJ364" s="124"/>
      <c r="HK364" s="124"/>
      <c r="HL364" s="124"/>
      <c r="HM364" s="124"/>
      <c r="HN364" s="124"/>
      <c r="HO364" s="124"/>
      <c r="HP364" s="124"/>
      <c r="HQ364" s="124"/>
    </row>
    <row r="365" spans="1:225" x14ac:dyDescent="0.2">
      <c r="A365" s="122"/>
      <c r="B365" s="123"/>
      <c r="C365" s="124"/>
      <c r="D365" s="123"/>
      <c r="E365" s="124"/>
      <c r="F365" s="123"/>
      <c r="G365" s="123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  <c r="AV365" s="124"/>
      <c r="AW365" s="124"/>
      <c r="AX365" s="124"/>
      <c r="AY365" s="124"/>
      <c r="AZ365" s="124"/>
      <c r="BA365" s="124"/>
      <c r="BB365" s="124"/>
      <c r="BC365" s="124"/>
      <c r="BD365" s="124"/>
      <c r="BE365" s="124"/>
      <c r="BF365" s="124"/>
      <c r="BG365" s="124"/>
      <c r="BH365" s="124"/>
      <c r="BI365" s="124"/>
      <c r="BJ365" s="124"/>
      <c r="BK365" s="124"/>
      <c r="BL365" s="124"/>
      <c r="BM365" s="124"/>
      <c r="BN365" s="124"/>
      <c r="BO365" s="124"/>
      <c r="BP365" s="124"/>
      <c r="BQ365" s="124"/>
      <c r="BR365" s="124"/>
      <c r="BS365" s="124"/>
      <c r="BT365" s="124"/>
      <c r="BU365" s="124"/>
      <c r="BV365" s="124"/>
      <c r="BW365" s="124"/>
      <c r="BX365" s="124"/>
      <c r="BY365" s="124"/>
      <c r="BZ365" s="124"/>
      <c r="CA365" s="124"/>
      <c r="CB365" s="124"/>
      <c r="CC365" s="124"/>
      <c r="CD365" s="124"/>
      <c r="CE365" s="124"/>
      <c r="CF365" s="124"/>
      <c r="CG365" s="124"/>
      <c r="CH365" s="124"/>
      <c r="CI365" s="124"/>
      <c r="CJ365" s="124"/>
      <c r="CK365" s="124"/>
      <c r="CL365" s="124"/>
      <c r="CM365" s="124"/>
      <c r="CN365" s="124"/>
      <c r="CO365" s="124"/>
      <c r="CP365" s="124"/>
      <c r="CQ365" s="124"/>
      <c r="CR365" s="124"/>
      <c r="CS365" s="124"/>
      <c r="CT365" s="124"/>
      <c r="CU365" s="124"/>
      <c r="CV365" s="124"/>
      <c r="CW365" s="124"/>
      <c r="CX365" s="124"/>
      <c r="CY365" s="124"/>
      <c r="CZ365" s="124"/>
      <c r="DA365" s="124"/>
      <c r="DB365" s="124"/>
      <c r="DC365" s="124"/>
      <c r="DD365" s="124"/>
      <c r="DE365" s="124"/>
      <c r="DF365" s="124"/>
      <c r="DG365" s="124"/>
      <c r="DH365" s="124"/>
      <c r="DI365" s="124"/>
      <c r="DJ365" s="124"/>
      <c r="DK365" s="124"/>
      <c r="DL365" s="124"/>
      <c r="DM365" s="124"/>
      <c r="DN365" s="124"/>
      <c r="DO365" s="124"/>
      <c r="DP365" s="124"/>
      <c r="DQ365" s="124"/>
      <c r="DR365" s="124"/>
      <c r="DS365" s="124"/>
      <c r="DT365" s="124"/>
      <c r="DU365" s="124"/>
      <c r="DV365" s="124"/>
      <c r="DW365" s="124"/>
      <c r="DX365" s="124"/>
      <c r="DY365" s="124"/>
      <c r="DZ365" s="124"/>
      <c r="EA365" s="124"/>
      <c r="EB365" s="124"/>
      <c r="EC365" s="124"/>
      <c r="ED365" s="124"/>
      <c r="EE365" s="124"/>
      <c r="EF365" s="124"/>
      <c r="EG365" s="124"/>
      <c r="EH365" s="124"/>
      <c r="EI365" s="124"/>
      <c r="EJ365" s="124"/>
      <c r="EK365" s="124"/>
      <c r="EL365" s="124"/>
      <c r="EM365" s="124"/>
      <c r="EN365" s="124"/>
      <c r="EO365" s="124"/>
      <c r="EP365" s="124"/>
      <c r="EQ365" s="124"/>
      <c r="ER365" s="124"/>
      <c r="ES365" s="124"/>
      <c r="ET365" s="124"/>
      <c r="EU365" s="124"/>
      <c r="EV365" s="124"/>
      <c r="EW365" s="124"/>
      <c r="EX365" s="124"/>
      <c r="EY365" s="124"/>
      <c r="EZ365" s="124"/>
      <c r="FA365" s="124"/>
      <c r="FB365" s="124"/>
      <c r="FC365" s="124"/>
      <c r="FD365" s="124"/>
      <c r="FE365" s="124"/>
      <c r="FF365" s="124"/>
      <c r="FG365" s="124"/>
      <c r="FH365" s="124"/>
      <c r="FI365" s="124"/>
      <c r="FJ365" s="124"/>
      <c r="FK365" s="124"/>
      <c r="FL365" s="124"/>
      <c r="FM365" s="124"/>
      <c r="FN365" s="124"/>
      <c r="FO365" s="124"/>
      <c r="FP365" s="124"/>
      <c r="FQ365" s="124"/>
      <c r="FR365" s="124"/>
      <c r="FS365" s="124"/>
      <c r="FT365" s="124"/>
      <c r="FU365" s="124"/>
      <c r="FV365" s="124"/>
      <c r="FW365" s="124"/>
      <c r="FX365" s="124"/>
      <c r="FY365" s="124"/>
      <c r="FZ365" s="124"/>
      <c r="GA365" s="124"/>
      <c r="GB365" s="124"/>
      <c r="GC365" s="124"/>
      <c r="GD365" s="124"/>
      <c r="GE365" s="124"/>
      <c r="GF365" s="124"/>
      <c r="GG365" s="124"/>
      <c r="GH365" s="124"/>
      <c r="GI365" s="124"/>
      <c r="GJ365" s="124"/>
      <c r="GK365" s="124"/>
      <c r="GL365" s="124"/>
      <c r="GM365" s="124"/>
      <c r="GN365" s="124"/>
      <c r="GO365" s="124"/>
      <c r="GP365" s="124"/>
      <c r="GQ365" s="124"/>
      <c r="GR365" s="124"/>
      <c r="GS365" s="124"/>
      <c r="GT365" s="124"/>
      <c r="GU365" s="124"/>
      <c r="GV365" s="124"/>
      <c r="GW365" s="124"/>
      <c r="GX365" s="124"/>
      <c r="GY365" s="124"/>
      <c r="GZ365" s="124"/>
      <c r="HA365" s="124"/>
      <c r="HB365" s="124"/>
      <c r="HC365" s="124"/>
      <c r="HD365" s="124"/>
      <c r="HE365" s="124"/>
      <c r="HF365" s="124"/>
      <c r="HG365" s="124"/>
      <c r="HH365" s="124"/>
      <c r="HI365" s="124"/>
      <c r="HJ365" s="124"/>
      <c r="HK365" s="124"/>
      <c r="HL365" s="124"/>
      <c r="HM365" s="124"/>
      <c r="HN365" s="124"/>
      <c r="HO365" s="124"/>
      <c r="HP365" s="124"/>
      <c r="HQ365" s="124"/>
    </row>
    <row r="366" spans="1:225" x14ac:dyDescent="0.2">
      <c r="A366" s="122"/>
      <c r="B366" s="123"/>
      <c r="C366" s="124"/>
      <c r="D366" s="123"/>
      <c r="E366" s="124"/>
      <c r="F366" s="123"/>
      <c r="G366" s="123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  <c r="AV366" s="124"/>
      <c r="AW366" s="124"/>
      <c r="AX366" s="124"/>
      <c r="AY366" s="124"/>
      <c r="AZ366" s="124"/>
      <c r="BA366" s="124"/>
      <c r="BB366" s="124"/>
      <c r="BC366" s="124"/>
      <c r="BD366" s="124"/>
      <c r="BE366" s="124"/>
      <c r="BF366" s="124"/>
      <c r="BG366" s="124"/>
      <c r="BH366" s="124"/>
      <c r="BI366" s="124"/>
      <c r="BJ366" s="124"/>
      <c r="BK366" s="124"/>
      <c r="BL366" s="124"/>
      <c r="BM366" s="124"/>
      <c r="BN366" s="124"/>
      <c r="BO366" s="124"/>
      <c r="BP366" s="124"/>
      <c r="BQ366" s="124"/>
      <c r="BR366" s="124"/>
      <c r="BS366" s="124"/>
      <c r="BT366" s="124"/>
      <c r="BU366" s="124"/>
      <c r="BV366" s="124"/>
      <c r="BW366" s="124"/>
      <c r="BX366" s="124"/>
      <c r="BY366" s="124"/>
      <c r="BZ366" s="124"/>
      <c r="CA366" s="124"/>
      <c r="CB366" s="124"/>
      <c r="CC366" s="124"/>
      <c r="CD366" s="124"/>
      <c r="CE366" s="124"/>
      <c r="CF366" s="124"/>
      <c r="CG366" s="124"/>
      <c r="CH366" s="124"/>
      <c r="CI366" s="124"/>
      <c r="CJ366" s="124"/>
      <c r="CK366" s="124"/>
      <c r="CL366" s="124"/>
      <c r="CM366" s="124"/>
      <c r="CN366" s="124"/>
      <c r="CO366" s="124"/>
      <c r="CP366" s="124"/>
      <c r="CQ366" s="124"/>
      <c r="CR366" s="124"/>
      <c r="CS366" s="124"/>
      <c r="CT366" s="124"/>
      <c r="CU366" s="124"/>
      <c r="CV366" s="124"/>
      <c r="CW366" s="124"/>
      <c r="CX366" s="124"/>
      <c r="CY366" s="124"/>
      <c r="CZ366" s="124"/>
      <c r="DA366" s="124"/>
      <c r="DB366" s="124"/>
      <c r="DC366" s="124"/>
      <c r="DD366" s="124"/>
      <c r="DE366" s="124"/>
      <c r="DF366" s="124"/>
      <c r="DG366" s="124"/>
      <c r="DH366" s="124"/>
      <c r="DI366" s="124"/>
      <c r="DJ366" s="124"/>
      <c r="DK366" s="124"/>
      <c r="DL366" s="124"/>
      <c r="DM366" s="124"/>
      <c r="DN366" s="124"/>
      <c r="DO366" s="124"/>
      <c r="DP366" s="124"/>
      <c r="DQ366" s="124"/>
      <c r="DR366" s="124"/>
      <c r="DS366" s="124"/>
      <c r="DT366" s="124"/>
      <c r="DU366" s="124"/>
      <c r="DV366" s="124"/>
      <c r="DW366" s="124"/>
      <c r="DX366" s="124"/>
      <c r="DY366" s="124"/>
      <c r="DZ366" s="124"/>
      <c r="EA366" s="124"/>
      <c r="EB366" s="124"/>
      <c r="EC366" s="124"/>
      <c r="ED366" s="124"/>
      <c r="EE366" s="124"/>
      <c r="EF366" s="124"/>
      <c r="EG366" s="124"/>
      <c r="EH366" s="124"/>
      <c r="EI366" s="124"/>
      <c r="EJ366" s="124"/>
      <c r="EK366" s="124"/>
      <c r="EL366" s="124"/>
      <c r="EM366" s="124"/>
      <c r="EN366" s="124"/>
      <c r="EO366" s="124"/>
      <c r="EP366" s="124"/>
      <c r="EQ366" s="124"/>
      <c r="ER366" s="124"/>
      <c r="ES366" s="124"/>
      <c r="ET366" s="124"/>
      <c r="EU366" s="124"/>
      <c r="EV366" s="124"/>
      <c r="EW366" s="124"/>
      <c r="EX366" s="124"/>
      <c r="EY366" s="124"/>
      <c r="EZ366" s="124"/>
      <c r="FA366" s="124"/>
      <c r="FB366" s="124"/>
      <c r="FC366" s="124"/>
      <c r="FD366" s="124"/>
      <c r="FE366" s="124"/>
      <c r="FF366" s="124"/>
      <c r="FG366" s="124"/>
      <c r="FH366" s="124"/>
      <c r="FI366" s="124"/>
      <c r="FJ366" s="124"/>
      <c r="FK366" s="124"/>
      <c r="FL366" s="124"/>
      <c r="FM366" s="124"/>
      <c r="FN366" s="124"/>
      <c r="FO366" s="124"/>
      <c r="FP366" s="124"/>
      <c r="FQ366" s="124"/>
      <c r="FR366" s="124"/>
      <c r="FS366" s="124"/>
      <c r="FT366" s="124"/>
      <c r="FU366" s="124"/>
      <c r="FV366" s="124"/>
      <c r="FW366" s="124"/>
      <c r="FX366" s="124"/>
      <c r="FY366" s="124"/>
      <c r="FZ366" s="124"/>
      <c r="GA366" s="124"/>
      <c r="GB366" s="124"/>
      <c r="GC366" s="124"/>
      <c r="GD366" s="124"/>
      <c r="GE366" s="124"/>
      <c r="GF366" s="124"/>
      <c r="GG366" s="124"/>
      <c r="GH366" s="124"/>
      <c r="GI366" s="124"/>
      <c r="GJ366" s="124"/>
      <c r="GK366" s="124"/>
      <c r="GL366" s="124"/>
      <c r="GM366" s="124"/>
      <c r="GN366" s="124"/>
      <c r="GO366" s="124"/>
      <c r="GP366" s="124"/>
      <c r="GQ366" s="124"/>
      <c r="GR366" s="124"/>
      <c r="GS366" s="124"/>
      <c r="GT366" s="124"/>
      <c r="GU366" s="124"/>
      <c r="GV366" s="124"/>
      <c r="GW366" s="124"/>
      <c r="GX366" s="124"/>
      <c r="GY366" s="124"/>
      <c r="GZ366" s="124"/>
      <c r="HA366" s="124"/>
      <c r="HB366" s="124"/>
      <c r="HC366" s="124"/>
      <c r="HD366" s="124"/>
      <c r="HE366" s="124"/>
      <c r="HF366" s="124"/>
      <c r="HG366" s="124"/>
      <c r="HH366" s="124"/>
      <c r="HI366" s="124"/>
      <c r="HJ366" s="124"/>
      <c r="HK366" s="124"/>
      <c r="HL366" s="124"/>
      <c r="HM366" s="124"/>
      <c r="HN366" s="124"/>
      <c r="HO366" s="124"/>
      <c r="HP366" s="124"/>
      <c r="HQ366" s="124"/>
    </row>
    <row r="367" spans="1:225" x14ac:dyDescent="0.2">
      <c r="A367" s="122"/>
      <c r="B367" s="123"/>
      <c r="C367" s="124"/>
      <c r="D367" s="123"/>
      <c r="E367" s="124"/>
      <c r="F367" s="123"/>
      <c r="G367" s="123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  <c r="AV367" s="124"/>
      <c r="AW367" s="124"/>
      <c r="AX367" s="124"/>
      <c r="AY367" s="124"/>
      <c r="AZ367" s="124"/>
      <c r="BA367" s="124"/>
      <c r="BB367" s="124"/>
      <c r="BC367" s="124"/>
      <c r="BD367" s="124"/>
      <c r="BE367" s="124"/>
      <c r="BF367" s="124"/>
      <c r="BG367" s="124"/>
      <c r="BH367" s="124"/>
      <c r="BI367" s="124"/>
      <c r="BJ367" s="124"/>
      <c r="BK367" s="124"/>
      <c r="BL367" s="124"/>
      <c r="BM367" s="124"/>
      <c r="BN367" s="124"/>
      <c r="BO367" s="124"/>
      <c r="BP367" s="124"/>
      <c r="BQ367" s="124"/>
      <c r="BR367" s="124"/>
      <c r="BS367" s="124"/>
      <c r="BT367" s="124"/>
      <c r="BU367" s="124"/>
      <c r="BV367" s="124"/>
      <c r="BW367" s="124"/>
      <c r="BX367" s="124"/>
      <c r="BY367" s="124"/>
      <c r="BZ367" s="124"/>
      <c r="CA367" s="124"/>
      <c r="CB367" s="124"/>
      <c r="CC367" s="124"/>
      <c r="CD367" s="124"/>
      <c r="CE367" s="124"/>
      <c r="CF367" s="124"/>
      <c r="CG367" s="124"/>
      <c r="CH367" s="124"/>
      <c r="CI367" s="124"/>
      <c r="CJ367" s="124"/>
      <c r="CK367" s="124"/>
      <c r="CL367" s="124"/>
      <c r="CM367" s="124"/>
      <c r="CN367" s="124"/>
      <c r="CO367" s="124"/>
      <c r="CP367" s="124"/>
      <c r="CQ367" s="124"/>
      <c r="CR367" s="124"/>
      <c r="CS367" s="124"/>
      <c r="CT367" s="124"/>
      <c r="CU367" s="124"/>
      <c r="CV367" s="124"/>
      <c r="CW367" s="124"/>
      <c r="CX367" s="124"/>
      <c r="CY367" s="124"/>
      <c r="CZ367" s="124"/>
      <c r="DA367" s="124"/>
      <c r="DB367" s="124"/>
      <c r="DC367" s="124"/>
      <c r="DD367" s="124"/>
      <c r="DE367" s="124"/>
      <c r="DF367" s="124"/>
      <c r="DG367" s="124"/>
      <c r="DH367" s="124"/>
      <c r="DI367" s="124"/>
      <c r="DJ367" s="124"/>
      <c r="DK367" s="124"/>
      <c r="DL367" s="124"/>
      <c r="DM367" s="124"/>
      <c r="DN367" s="124"/>
      <c r="DO367" s="124"/>
      <c r="DP367" s="124"/>
      <c r="DQ367" s="124"/>
      <c r="DR367" s="124"/>
      <c r="DS367" s="124"/>
      <c r="DT367" s="124"/>
      <c r="DU367" s="124"/>
      <c r="DV367" s="124"/>
      <c r="DW367" s="124"/>
      <c r="DX367" s="124"/>
      <c r="DY367" s="124"/>
      <c r="DZ367" s="124"/>
      <c r="EA367" s="124"/>
      <c r="EB367" s="124"/>
      <c r="EC367" s="124"/>
      <c r="ED367" s="124"/>
      <c r="EE367" s="124"/>
      <c r="EF367" s="124"/>
      <c r="EG367" s="124"/>
      <c r="EH367" s="124"/>
      <c r="EI367" s="124"/>
      <c r="EJ367" s="124"/>
      <c r="EK367" s="124"/>
      <c r="EL367" s="124"/>
      <c r="EM367" s="124"/>
      <c r="EN367" s="124"/>
      <c r="EO367" s="124"/>
      <c r="EP367" s="124"/>
      <c r="EQ367" s="124"/>
      <c r="ER367" s="124"/>
      <c r="ES367" s="124"/>
      <c r="ET367" s="124"/>
      <c r="EU367" s="124"/>
      <c r="EV367" s="124"/>
      <c r="EW367" s="124"/>
      <c r="EX367" s="124"/>
      <c r="EY367" s="124"/>
      <c r="EZ367" s="124"/>
      <c r="FA367" s="124"/>
      <c r="FB367" s="124"/>
      <c r="FC367" s="124"/>
      <c r="FD367" s="124"/>
      <c r="FE367" s="124"/>
      <c r="FF367" s="124"/>
      <c r="FG367" s="124"/>
      <c r="FH367" s="124"/>
      <c r="FI367" s="124"/>
      <c r="FJ367" s="124"/>
      <c r="FK367" s="124"/>
      <c r="FL367" s="124"/>
      <c r="FM367" s="124"/>
      <c r="FN367" s="124"/>
      <c r="FO367" s="124"/>
      <c r="FP367" s="124"/>
      <c r="FQ367" s="124"/>
      <c r="FR367" s="124"/>
      <c r="FS367" s="124"/>
      <c r="FT367" s="124"/>
      <c r="FU367" s="124"/>
      <c r="FV367" s="124"/>
      <c r="FW367" s="124"/>
      <c r="FX367" s="124"/>
      <c r="FY367" s="124"/>
      <c r="FZ367" s="124"/>
      <c r="GA367" s="124"/>
      <c r="GB367" s="124"/>
      <c r="GC367" s="124"/>
      <c r="GD367" s="124"/>
      <c r="GE367" s="124"/>
      <c r="GF367" s="124"/>
      <c r="GG367" s="124"/>
      <c r="GH367" s="124"/>
      <c r="GI367" s="124"/>
      <c r="GJ367" s="124"/>
      <c r="GK367" s="124"/>
      <c r="GL367" s="124"/>
      <c r="GM367" s="124"/>
      <c r="GN367" s="124"/>
      <c r="GO367" s="124"/>
      <c r="GP367" s="124"/>
      <c r="GQ367" s="124"/>
      <c r="GR367" s="124"/>
      <c r="GS367" s="124"/>
      <c r="GT367" s="124"/>
      <c r="GU367" s="124"/>
      <c r="GV367" s="124"/>
      <c r="GW367" s="124"/>
      <c r="GX367" s="124"/>
      <c r="GY367" s="124"/>
      <c r="GZ367" s="124"/>
      <c r="HA367" s="124"/>
      <c r="HB367" s="124"/>
      <c r="HC367" s="124"/>
      <c r="HD367" s="124"/>
      <c r="HE367" s="124"/>
      <c r="HF367" s="124"/>
      <c r="HG367" s="124"/>
      <c r="HH367" s="124"/>
      <c r="HI367" s="124"/>
      <c r="HJ367" s="124"/>
      <c r="HK367" s="124"/>
      <c r="HL367" s="124"/>
      <c r="HM367" s="124"/>
      <c r="HN367" s="124"/>
      <c r="HO367" s="124"/>
      <c r="HP367" s="124"/>
      <c r="HQ367" s="124"/>
    </row>
    <row r="368" spans="1:225" x14ac:dyDescent="0.2">
      <c r="A368" s="122"/>
      <c r="B368" s="123"/>
      <c r="C368" s="124"/>
      <c r="D368" s="123"/>
      <c r="E368" s="124"/>
      <c r="F368" s="123"/>
      <c r="G368" s="123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  <c r="BJ368" s="124"/>
      <c r="BK368" s="124"/>
      <c r="BL368" s="124"/>
      <c r="BM368" s="124"/>
      <c r="BN368" s="124"/>
      <c r="BO368" s="124"/>
      <c r="BP368" s="124"/>
      <c r="BQ368" s="124"/>
      <c r="BR368" s="124"/>
      <c r="BS368" s="124"/>
      <c r="BT368" s="124"/>
      <c r="BU368" s="124"/>
      <c r="BV368" s="124"/>
      <c r="BW368" s="124"/>
      <c r="BX368" s="124"/>
      <c r="BY368" s="124"/>
      <c r="BZ368" s="124"/>
      <c r="CA368" s="124"/>
      <c r="CB368" s="124"/>
      <c r="CC368" s="124"/>
      <c r="CD368" s="124"/>
      <c r="CE368" s="124"/>
      <c r="CF368" s="124"/>
      <c r="CG368" s="124"/>
      <c r="CH368" s="124"/>
      <c r="CI368" s="124"/>
      <c r="CJ368" s="124"/>
      <c r="CK368" s="124"/>
      <c r="CL368" s="124"/>
      <c r="CM368" s="124"/>
      <c r="CN368" s="124"/>
      <c r="CO368" s="124"/>
      <c r="CP368" s="124"/>
      <c r="CQ368" s="124"/>
      <c r="CR368" s="124"/>
      <c r="CS368" s="124"/>
      <c r="CT368" s="124"/>
      <c r="CU368" s="124"/>
      <c r="CV368" s="124"/>
      <c r="CW368" s="124"/>
      <c r="CX368" s="124"/>
      <c r="CY368" s="124"/>
      <c r="CZ368" s="124"/>
      <c r="DA368" s="124"/>
      <c r="DB368" s="124"/>
      <c r="DC368" s="124"/>
      <c r="DD368" s="124"/>
      <c r="DE368" s="124"/>
      <c r="DF368" s="124"/>
      <c r="DG368" s="124"/>
      <c r="DH368" s="124"/>
      <c r="DI368" s="124"/>
      <c r="DJ368" s="124"/>
      <c r="DK368" s="124"/>
      <c r="DL368" s="124"/>
      <c r="DM368" s="124"/>
      <c r="DN368" s="124"/>
      <c r="DO368" s="124"/>
      <c r="DP368" s="124"/>
      <c r="DQ368" s="124"/>
      <c r="DR368" s="124"/>
      <c r="DS368" s="124"/>
      <c r="DT368" s="124"/>
      <c r="DU368" s="124"/>
      <c r="DV368" s="124"/>
      <c r="DW368" s="124"/>
      <c r="DX368" s="124"/>
      <c r="DY368" s="124"/>
      <c r="DZ368" s="124"/>
      <c r="EA368" s="124"/>
      <c r="EB368" s="124"/>
      <c r="EC368" s="124"/>
      <c r="ED368" s="124"/>
      <c r="EE368" s="124"/>
      <c r="EF368" s="124"/>
      <c r="EG368" s="124"/>
      <c r="EH368" s="124"/>
      <c r="EI368" s="124"/>
      <c r="EJ368" s="124"/>
      <c r="EK368" s="124"/>
      <c r="EL368" s="124"/>
      <c r="EM368" s="124"/>
      <c r="EN368" s="124"/>
      <c r="EO368" s="124"/>
      <c r="EP368" s="124"/>
      <c r="EQ368" s="124"/>
      <c r="ER368" s="124"/>
      <c r="ES368" s="124"/>
      <c r="ET368" s="124"/>
      <c r="EU368" s="124"/>
      <c r="EV368" s="124"/>
      <c r="EW368" s="124"/>
      <c r="EX368" s="124"/>
      <c r="EY368" s="124"/>
      <c r="EZ368" s="124"/>
      <c r="FA368" s="124"/>
      <c r="FB368" s="124"/>
      <c r="FC368" s="124"/>
      <c r="FD368" s="124"/>
      <c r="FE368" s="124"/>
      <c r="FF368" s="124"/>
      <c r="FG368" s="124"/>
      <c r="FH368" s="124"/>
      <c r="FI368" s="124"/>
      <c r="FJ368" s="124"/>
      <c r="FK368" s="124"/>
      <c r="FL368" s="124"/>
      <c r="FM368" s="124"/>
      <c r="FN368" s="124"/>
      <c r="FO368" s="124"/>
      <c r="FP368" s="124"/>
      <c r="FQ368" s="124"/>
      <c r="FR368" s="124"/>
      <c r="FS368" s="124"/>
      <c r="FT368" s="124"/>
      <c r="FU368" s="124"/>
      <c r="FV368" s="124"/>
      <c r="FW368" s="124"/>
      <c r="FX368" s="124"/>
      <c r="FY368" s="124"/>
      <c r="FZ368" s="124"/>
      <c r="GA368" s="124"/>
      <c r="GB368" s="124"/>
      <c r="GC368" s="124"/>
      <c r="GD368" s="124"/>
      <c r="GE368" s="124"/>
      <c r="GF368" s="124"/>
      <c r="GG368" s="124"/>
      <c r="GH368" s="124"/>
      <c r="GI368" s="124"/>
      <c r="GJ368" s="124"/>
      <c r="GK368" s="124"/>
      <c r="GL368" s="124"/>
      <c r="GM368" s="124"/>
      <c r="GN368" s="124"/>
      <c r="GO368" s="124"/>
      <c r="GP368" s="124"/>
      <c r="GQ368" s="124"/>
      <c r="GR368" s="124"/>
      <c r="GS368" s="124"/>
      <c r="GT368" s="124"/>
      <c r="GU368" s="124"/>
      <c r="GV368" s="124"/>
      <c r="GW368" s="124"/>
      <c r="GX368" s="124"/>
      <c r="GY368" s="124"/>
      <c r="GZ368" s="124"/>
      <c r="HA368" s="124"/>
      <c r="HB368" s="124"/>
      <c r="HC368" s="124"/>
      <c r="HD368" s="124"/>
      <c r="HE368" s="124"/>
      <c r="HF368" s="124"/>
      <c r="HG368" s="124"/>
      <c r="HH368" s="124"/>
      <c r="HI368" s="124"/>
      <c r="HJ368" s="124"/>
      <c r="HK368" s="124"/>
      <c r="HL368" s="124"/>
      <c r="HM368" s="124"/>
      <c r="HN368" s="124"/>
      <c r="HO368" s="124"/>
      <c r="HP368" s="124"/>
      <c r="HQ368" s="124"/>
    </row>
    <row r="369" spans="1:225" x14ac:dyDescent="0.2">
      <c r="A369" s="122"/>
      <c r="B369" s="123"/>
      <c r="C369" s="124"/>
      <c r="D369" s="123"/>
      <c r="E369" s="124"/>
      <c r="F369" s="123"/>
      <c r="G369" s="123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  <c r="BJ369" s="124"/>
      <c r="BK369" s="124"/>
      <c r="BL369" s="124"/>
      <c r="BM369" s="124"/>
      <c r="BN369" s="124"/>
      <c r="BO369" s="124"/>
      <c r="BP369" s="124"/>
      <c r="BQ369" s="124"/>
      <c r="BR369" s="124"/>
      <c r="BS369" s="124"/>
      <c r="BT369" s="124"/>
      <c r="BU369" s="124"/>
      <c r="BV369" s="124"/>
      <c r="BW369" s="124"/>
      <c r="BX369" s="124"/>
      <c r="BY369" s="124"/>
      <c r="BZ369" s="124"/>
      <c r="CA369" s="124"/>
      <c r="CB369" s="124"/>
      <c r="CC369" s="124"/>
      <c r="CD369" s="124"/>
      <c r="CE369" s="124"/>
      <c r="CF369" s="124"/>
      <c r="CG369" s="124"/>
      <c r="CH369" s="124"/>
      <c r="CI369" s="124"/>
      <c r="CJ369" s="124"/>
      <c r="CK369" s="124"/>
      <c r="CL369" s="124"/>
      <c r="CM369" s="124"/>
      <c r="CN369" s="124"/>
      <c r="CO369" s="124"/>
      <c r="CP369" s="124"/>
      <c r="CQ369" s="124"/>
      <c r="CR369" s="124"/>
      <c r="CS369" s="124"/>
      <c r="CT369" s="124"/>
      <c r="CU369" s="124"/>
      <c r="CV369" s="124"/>
      <c r="CW369" s="124"/>
      <c r="CX369" s="124"/>
      <c r="CY369" s="124"/>
      <c r="CZ369" s="124"/>
      <c r="DA369" s="124"/>
      <c r="DB369" s="124"/>
      <c r="DC369" s="124"/>
      <c r="DD369" s="124"/>
      <c r="DE369" s="124"/>
      <c r="DF369" s="124"/>
      <c r="DG369" s="124"/>
      <c r="DH369" s="124"/>
      <c r="DI369" s="124"/>
      <c r="DJ369" s="124"/>
      <c r="DK369" s="124"/>
      <c r="DL369" s="124"/>
      <c r="DM369" s="124"/>
      <c r="DN369" s="124"/>
      <c r="DO369" s="124"/>
      <c r="DP369" s="124"/>
      <c r="DQ369" s="124"/>
      <c r="DR369" s="124"/>
      <c r="DS369" s="124"/>
      <c r="DT369" s="124"/>
      <c r="DU369" s="124"/>
      <c r="DV369" s="124"/>
      <c r="DW369" s="124"/>
      <c r="DX369" s="124"/>
      <c r="DY369" s="124"/>
      <c r="DZ369" s="124"/>
      <c r="EA369" s="124"/>
      <c r="EB369" s="124"/>
      <c r="EC369" s="124"/>
      <c r="ED369" s="124"/>
      <c r="EE369" s="124"/>
      <c r="EF369" s="124"/>
      <c r="EG369" s="124"/>
      <c r="EH369" s="124"/>
      <c r="EI369" s="124"/>
      <c r="EJ369" s="124"/>
      <c r="EK369" s="124"/>
      <c r="EL369" s="124"/>
      <c r="EM369" s="124"/>
      <c r="EN369" s="124"/>
      <c r="EO369" s="124"/>
      <c r="EP369" s="124"/>
      <c r="EQ369" s="124"/>
      <c r="ER369" s="124"/>
      <c r="ES369" s="124"/>
      <c r="ET369" s="124"/>
      <c r="EU369" s="124"/>
      <c r="EV369" s="124"/>
      <c r="EW369" s="124"/>
      <c r="EX369" s="124"/>
      <c r="EY369" s="124"/>
      <c r="EZ369" s="124"/>
      <c r="FA369" s="124"/>
      <c r="FB369" s="124"/>
      <c r="FC369" s="124"/>
      <c r="FD369" s="124"/>
      <c r="FE369" s="124"/>
      <c r="FF369" s="124"/>
      <c r="FG369" s="124"/>
      <c r="FH369" s="124"/>
      <c r="FI369" s="124"/>
      <c r="FJ369" s="124"/>
      <c r="FK369" s="124"/>
      <c r="FL369" s="124"/>
      <c r="FM369" s="124"/>
      <c r="FN369" s="124"/>
      <c r="FO369" s="124"/>
      <c r="FP369" s="124"/>
      <c r="FQ369" s="124"/>
      <c r="FR369" s="124"/>
      <c r="FS369" s="124"/>
      <c r="FT369" s="124"/>
      <c r="FU369" s="124"/>
      <c r="FV369" s="124"/>
      <c r="FW369" s="124"/>
      <c r="FX369" s="124"/>
      <c r="FY369" s="124"/>
      <c r="FZ369" s="124"/>
      <c r="GA369" s="124"/>
      <c r="GB369" s="124"/>
      <c r="GC369" s="124"/>
      <c r="GD369" s="124"/>
      <c r="GE369" s="124"/>
      <c r="GF369" s="124"/>
      <c r="GG369" s="124"/>
      <c r="GH369" s="124"/>
      <c r="GI369" s="124"/>
      <c r="GJ369" s="124"/>
      <c r="GK369" s="124"/>
      <c r="GL369" s="124"/>
      <c r="GM369" s="124"/>
      <c r="GN369" s="124"/>
      <c r="GO369" s="124"/>
      <c r="GP369" s="124"/>
      <c r="GQ369" s="124"/>
      <c r="GR369" s="124"/>
      <c r="GS369" s="124"/>
      <c r="GT369" s="124"/>
      <c r="GU369" s="124"/>
      <c r="GV369" s="124"/>
      <c r="GW369" s="124"/>
      <c r="GX369" s="124"/>
      <c r="GY369" s="124"/>
      <c r="GZ369" s="124"/>
      <c r="HA369" s="124"/>
      <c r="HB369" s="124"/>
      <c r="HC369" s="124"/>
      <c r="HD369" s="124"/>
      <c r="HE369" s="124"/>
      <c r="HF369" s="124"/>
      <c r="HG369" s="124"/>
      <c r="HH369" s="124"/>
      <c r="HI369" s="124"/>
      <c r="HJ369" s="124"/>
      <c r="HK369" s="124"/>
      <c r="HL369" s="124"/>
      <c r="HM369" s="124"/>
      <c r="HN369" s="124"/>
      <c r="HO369" s="124"/>
      <c r="HP369" s="124"/>
      <c r="HQ369" s="124"/>
    </row>
    <row r="370" spans="1:225" x14ac:dyDescent="0.2">
      <c r="A370" s="122"/>
      <c r="B370" s="123"/>
      <c r="C370" s="124"/>
      <c r="D370" s="123"/>
      <c r="E370" s="124"/>
      <c r="F370" s="123"/>
      <c r="G370" s="123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  <c r="BJ370" s="124"/>
      <c r="BK370" s="124"/>
      <c r="BL370" s="124"/>
      <c r="BM370" s="124"/>
      <c r="BN370" s="124"/>
      <c r="BO370" s="124"/>
      <c r="BP370" s="124"/>
      <c r="BQ370" s="124"/>
      <c r="BR370" s="124"/>
      <c r="BS370" s="124"/>
      <c r="BT370" s="124"/>
      <c r="BU370" s="124"/>
      <c r="BV370" s="124"/>
      <c r="BW370" s="124"/>
      <c r="BX370" s="124"/>
      <c r="BY370" s="124"/>
      <c r="BZ370" s="124"/>
      <c r="CA370" s="124"/>
      <c r="CB370" s="124"/>
      <c r="CC370" s="124"/>
      <c r="CD370" s="124"/>
      <c r="CE370" s="124"/>
      <c r="CF370" s="124"/>
      <c r="CG370" s="124"/>
      <c r="CH370" s="124"/>
      <c r="CI370" s="124"/>
      <c r="CJ370" s="124"/>
      <c r="CK370" s="124"/>
      <c r="CL370" s="124"/>
      <c r="CM370" s="124"/>
      <c r="CN370" s="124"/>
      <c r="CO370" s="124"/>
      <c r="CP370" s="124"/>
      <c r="CQ370" s="124"/>
      <c r="CR370" s="124"/>
      <c r="CS370" s="124"/>
      <c r="CT370" s="124"/>
      <c r="CU370" s="124"/>
      <c r="CV370" s="124"/>
      <c r="CW370" s="124"/>
      <c r="CX370" s="124"/>
      <c r="CY370" s="124"/>
      <c r="CZ370" s="124"/>
      <c r="DA370" s="124"/>
      <c r="DB370" s="124"/>
      <c r="DC370" s="124"/>
      <c r="DD370" s="124"/>
      <c r="DE370" s="124"/>
      <c r="DF370" s="124"/>
      <c r="DG370" s="124"/>
      <c r="DH370" s="124"/>
      <c r="DI370" s="124"/>
      <c r="DJ370" s="124"/>
      <c r="DK370" s="124"/>
      <c r="DL370" s="124"/>
      <c r="DM370" s="124"/>
      <c r="DN370" s="124"/>
      <c r="DO370" s="124"/>
      <c r="DP370" s="124"/>
      <c r="DQ370" s="124"/>
      <c r="DR370" s="124"/>
      <c r="DS370" s="124"/>
      <c r="DT370" s="124"/>
      <c r="DU370" s="124"/>
      <c r="DV370" s="124"/>
      <c r="DW370" s="124"/>
      <c r="DX370" s="124"/>
      <c r="DY370" s="124"/>
      <c r="DZ370" s="124"/>
      <c r="EA370" s="124"/>
      <c r="EB370" s="124"/>
      <c r="EC370" s="124"/>
      <c r="ED370" s="124"/>
      <c r="EE370" s="124"/>
      <c r="EF370" s="124"/>
      <c r="EG370" s="124"/>
      <c r="EH370" s="124"/>
      <c r="EI370" s="124"/>
      <c r="EJ370" s="124"/>
      <c r="EK370" s="124"/>
      <c r="EL370" s="124"/>
      <c r="EM370" s="124"/>
      <c r="EN370" s="124"/>
      <c r="EO370" s="124"/>
      <c r="EP370" s="124"/>
      <c r="EQ370" s="124"/>
      <c r="ER370" s="124"/>
      <c r="ES370" s="124"/>
      <c r="ET370" s="124"/>
      <c r="EU370" s="124"/>
      <c r="EV370" s="124"/>
      <c r="EW370" s="124"/>
      <c r="EX370" s="124"/>
      <c r="EY370" s="124"/>
      <c r="EZ370" s="124"/>
      <c r="FA370" s="124"/>
      <c r="FB370" s="124"/>
      <c r="FC370" s="124"/>
      <c r="FD370" s="124"/>
      <c r="FE370" s="124"/>
      <c r="FF370" s="124"/>
      <c r="FG370" s="124"/>
      <c r="FH370" s="124"/>
      <c r="FI370" s="124"/>
      <c r="FJ370" s="124"/>
      <c r="FK370" s="124"/>
      <c r="FL370" s="124"/>
      <c r="FM370" s="124"/>
      <c r="FN370" s="124"/>
      <c r="FO370" s="124"/>
      <c r="FP370" s="124"/>
      <c r="FQ370" s="124"/>
      <c r="FR370" s="124"/>
      <c r="FS370" s="124"/>
      <c r="FT370" s="124"/>
      <c r="FU370" s="124"/>
      <c r="FV370" s="124"/>
      <c r="FW370" s="124"/>
      <c r="FX370" s="124"/>
      <c r="FY370" s="124"/>
      <c r="FZ370" s="124"/>
      <c r="GA370" s="124"/>
      <c r="GB370" s="124"/>
      <c r="GC370" s="124"/>
      <c r="GD370" s="124"/>
      <c r="GE370" s="124"/>
      <c r="GF370" s="124"/>
      <c r="GG370" s="124"/>
      <c r="GH370" s="124"/>
      <c r="GI370" s="124"/>
      <c r="GJ370" s="124"/>
      <c r="GK370" s="124"/>
      <c r="GL370" s="124"/>
      <c r="GM370" s="124"/>
      <c r="GN370" s="124"/>
      <c r="GO370" s="124"/>
      <c r="GP370" s="124"/>
      <c r="GQ370" s="124"/>
      <c r="GR370" s="124"/>
      <c r="GS370" s="124"/>
      <c r="GT370" s="124"/>
      <c r="GU370" s="124"/>
      <c r="GV370" s="124"/>
      <c r="GW370" s="124"/>
      <c r="GX370" s="124"/>
      <c r="GY370" s="124"/>
      <c r="GZ370" s="124"/>
      <c r="HA370" s="124"/>
      <c r="HB370" s="124"/>
      <c r="HC370" s="124"/>
      <c r="HD370" s="124"/>
      <c r="HE370" s="124"/>
      <c r="HF370" s="124"/>
      <c r="HG370" s="124"/>
      <c r="HH370" s="124"/>
      <c r="HI370" s="124"/>
      <c r="HJ370" s="124"/>
      <c r="HK370" s="124"/>
      <c r="HL370" s="124"/>
      <c r="HM370" s="124"/>
      <c r="HN370" s="124"/>
      <c r="HO370" s="124"/>
      <c r="HP370" s="124"/>
      <c r="HQ370" s="124"/>
    </row>
    <row r="371" spans="1:225" x14ac:dyDescent="0.2">
      <c r="A371" s="122"/>
      <c r="B371" s="123"/>
      <c r="C371" s="124"/>
      <c r="D371" s="123"/>
      <c r="E371" s="124"/>
      <c r="F371" s="123"/>
      <c r="G371" s="123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  <c r="BJ371" s="124"/>
      <c r="BK371" s="124"/>
      <c r="BL371" s="124"/>
      <c r="BM371" s="124"/>
      <c r="BN371" s="124"/>
      <c r="BO371" s="124"/>
      <c r="BP371" s="124"/>
      <c r="BQ371" s="124"/>
      <c r="BR371" s="124"/>
      <c r="BS371" s="124"/>
      <c r="BT371" s="124"/>
      <c r="BU371" s="124"/>
      <c r="BV371" s="124"/>
      <c r="BW371" s="124"/>
      <c r="BX371" s="124"/>
      <c r="BY371" s="124"/>
      <c r="BZ371" s="124"/>
      <c r="CA371" s="124"/>
      <c r="CB371" s="124"/>
      <c r="CC371" s="124"/>
      <c r="CD371" s="124"/>
      <c r="CE371" s="124"/>
      <c r="CF371" s="124"/>
      <c r="CG371" s="124"/>
      <c r="CH371" s="124"/>
      <c r="CI371" s="124"/>
      <c r="CJ371" s="124"/>
      <c r="CK371" s="124"/>
      <c r="CL371" s="124"/>
      <c r="CM371" s="124"/>
      <c r="CN371" s="124"/>
      <c r="CO371" s="124"/>
      <c r="CP371" s="124"/>
      <c r="CQ371" s="124"/>
      <c r="CR371" s="124"/>
      <c r="CS371" s="124"/>
      <c r="CT371" s="124"/>
      <c r="CU371" s="124"/>
      <c r="CV371" s="124"/>
      <c r="CW371" s="124"/>
      <c r="CX371" s="124"/>
      <c r="CY371" s="124"/>
      <c r="CZ371" s="124"/>
      <c r="DA371" s="124"/>
      <c r="DB371" s="124"/>
      <c r="DC371" s="124"/>
      <c r="DD371" s="124"/>
      <c r="DE371" s="124"/>
      <c r="DF371" s="124"/>
      <c r="DG371" s="124"/>
      <c r="DH371" s="124"/>
      <c r="DI371" s="124"/>
      <c r="DJ371" s="124"/>
      <c r="DK371" s="124"/>
      <c r="DL371" s="124"/>
      <c r="DM371" s="124"/>
      <c r="DN371" s="124"/>
      <c r="DO371" s="124"/>
      <c r="DP371" s="124"/>
      <c r="DQ371" s="124"/>
      <c r="DR371" s="124"/>
      <c r="DS371" s="124"/>
      <c r="DT371" s="124"/>
      <c r="DU371" s="124"/>
      <c r="DV371" s="124"/>
      <c r="DW371" s="124"/>
      <c r="DX371" s="124"/>
      <c r="DY371" s="124"/>
      <c r="DZ371" s="124"/>
      <c r="EA371" s="124"/>
      <c r="EB371" s="124"/>
      <c r="EC371" s="124"/>
      <c r="ED371" s="124"/>
      <c r="EE371" s="124"/>
      <c r="EF371" s="124"/>
      <c r="EG371" s="124"/>
      <c r="EH371" s="124"/>
      <c r="EI371" s="124"/>
      <c r="EJ371" s="124"/>
      <c r="EK371" s="124"/>
      <c r="EL371" s="124"/>
      <c r="EM371" s="124"/>
      <c r="EN371" s="124"/>
      <c r="EO371" s="124"/>
      <c r="EP371" s="124"/>
      <c r="EQ371" s="124"/>
      <c r="ER371" s="124"/>
      <c r="ES371" s="124"/>
      <c r="ET371" s="124"/>
      <c r="EU371" s="124"/>
      <c r="EV371" s="124"/>
      <c r="EW371" s="124"/>
      <c r="EX371" s="124"/>
      <c r="EY371" s="124"/>
      <c r="EZ371" s="124"/>
      <c r="FA371" s="124"/>
      <c r="FB371" s="124"/>
      <c r="FC371" s="124"/>
      <c r="FD371" s="124"/>
      <c r="FE371" s="124"/>
      <c r="FF371" s="124"/>
      <c r="FG371" s="124"/>
      <c r="FH371" s="124"/>
      <c r="FI371" s="124"/>
      <c r="FJ371" s="124"/>
      <c r="FK371" s="124"/>
      <c r="FL371" s="124"/>
      <c r="FM371" s="124"/>
      <c r="FN371" s="124"/>
      <c r="FO371" s="124"/>
      <c r="FP371" s="124"/>
      <c r="FQ371" s="124"/>
      <c r="FR371" s="124"/>
      <c r="FS371" s="124"/>
      <c r="FT371" s="124"/>
      <c r="FU371" s="124"/>
      <c r="FV371" s="124"/>
      <c r="FW371" s="124"/>
      <c r="FX371" s="124"/>
      <c r="FY371" s="124"/>
      <c r="FZ371" s="124"/>
      <c r="GA371" s="124"/>
      <c r="GB371" s="124"/>
      <c r="GC371" s="124"/>
      <c r="GD371" s="124"/>
      <c r="GE371" s="124"/>
      <c r="GF371" s="124"/>
      <c r="GG371" s="124"/>
      <c r="GH371" s="124"/>
      <c r="GI371" s="124"/>
      <c r="GJ371" s="124"/>
      <c r="GK371" s="124"/>
      <c r="GL371" s="124"/>
      <c r="GM371" s="124"/>
      <c r="GN371" s="124"/>
      <c r="GO371" s="124"/>
      <c r="GP371" s="124"/>
      <c r="GQ371" s="124"/>
      <c r="GR371" s="124"/>
      <c r="GS371" s="124"/>
      <c r="GT371" s="124"/>
      <c r="GU371" s="124"/>
      <c r="GV371" s="124"/>
      <c r="GW371" s="124"/>
      <c r="GX371" s="124"/>
      <c r="GY371" s="124"/>
      <c r="GZ371" s="124"/>
      <c r="HA371" s="124"/>
      <c r="HB371" s="124"/>
      <c r="HC371" s="124"/>
      <c r="HD371" s="124"/>
      <c r="HE371" s="124"/>
      <c r="HF371" s="124"/>
      <c r="HG371" s="124"/>
      <c r="HH371" s="124"/>
      <c r="HI371" s="124"/>
      <c r="HJ371" s="124"/>
      <c r="HK371" s="124"/>
      <c r="HL371" s="124"/>
      <c r="HM371" s="124"/>
      <c r="HN371" s="124"/>
      <c r="HO371" s="124"/>
      <c r="HP371" s="124"/>
      <c r="HQ371" s="124"/>
    </row>
    <row r="372" spans="1:225" x14ac:dyDescent="0.2">
      <c r="A372" s="122"/>
      <c r="B372" s="123"/>
      <c r="C372" s="124"/>
      <c r="D372" s="123"/>
      <c r="E372" s="124"/>
      <c r="F372" s="123"/>
      <c r="G372" s="123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  <c r="AU372" s="124"/>
      <c r="AV372" s="124"/>
      <c r="AW372" s="124"/>
      <c r="AX372" s="124"/>
      <c r="AY372" s="124"/>
      <c r="AZ372" s="124"/>
      <c r="BA372" s="124"/>
      <c r="BB372" s="124"/>
      <c r="BC372" s="124"/>
      <c r="BD372" s="124"/>
      <c r="BE372" s="124"/>
      <c r="BF372" s="124"/>
      <c r="BG372" s="124"/>
      <c r="BH372" s="124"/>
      <c r="BI372" s="124"/>
      <c r="BJ372" s="124"/>
      <c r="BK372" s="124"/>
      <c r="BL372" s="124"/>
      <c r="BM372" s="124"/>
      <c r="BN372" s="124"/>
      <c r="BO372" s="124"/>
      <c r="BP372" s="124"/>
      <c r="BQ372" s="124"/>
      <c r="BR372" s="124"/>
      <c r="BS372" s="124"/>
      <c r="BT372" s="124"/>
      <c r="BU372" s="124"/>
      <c r="BV372" s="124"/>
      <c r="BW372" s="124"/>
      <c r="BX372" s="124"/>
      <c r="BY372" s="124"/>
      <c r="BZ372" s="124"/>
      <c r="CA372" s="124"/>
      <c r="CB372" s="124"/>
      <c r="CC372" s="124"/>
      <c r="CD372" s="124"/>
      <c r="CE372" s="124"/>
      <c r="CF372" s="124"/>
      <c r="CG372" s="124"/>
      <c r="CH372" s="124"/>
      <c r="CI372" s="124"/>
      <c r="CJ372" s="124"/>
      <c r="CK372" s="124"/>
      <c r="CL372" s="124"/>
      <c r="CM372" s="124"/>
      <c r="CN372" s="124"/>
      <c r="CO372" s="124"/>
      <c r="CP372" s="124"/>
      <c r="CQ372" s="124"/>
      <c r="CR372" s="124"/>
      <c r="CS372" s="124"/>
      <c r="CT372" s="124"/>
      <c r="CU372" s="124"/>
      <c r="CV372" s="124"/>
      <c r="CW372" s="124"/>
      <c r="CX372" s="124"/>
      <c r="CY372" s="124"/>
      <c r="CZ372" s="124"/>
      <c r="DA372" s="124"/>
      <c r="DB372" s="124"/>
      <c r="DC372" s="124"/>
      <c r="DD372" s="124"/>
      <c r="DE372" s="124"/>
      <c r="DF372" s="124"/>
      <c r="DG372" s="124"/>
      <c r="DH372" s="124"/>
      <c r="DI372" s="124"/>
      <c r="DJ372" s="124"/>
      <c r="DK372" s="124"/>
      <c r="DL372" s="124"/>
      <c r="DM372" s="124"/>
      <c r="DN372" s="124"/>
      <c r="DO372" s="124"/>
      <c r="DP372" s="124"/>
      <c r="DQ372" s="124"/>
      <c r="DR372" s="124"/>
      <c r="DS372" s="124"/>
      <c r="DT372" s="124"/>
      <c r="DU372" s="124"/>
      <c r="DV372" s="124"/>
      <c r="DW372" s="124"/>
      <c r="DX372" s="124"/>
      <c r="DY372" s="124"/>
      <c r="DZ372" s="124"/>
      <c r="EA372" s="124"/>
      <c r="EB372" s="124"/>
      <c r="EC372" s="124"/>
      <c r="ED372" s="124"/>
      <c r="EE372" s="124"/>
      <c r="EF372" s="124"/>
      <c r="EG372" s="124"/>
      <c r="EH372" s="124"/>
      <c r="EI372" s="124"/>
      <c r="EJ372" s="124"/>
      <c r="EK372" s="124"/>
      <c r="EL372" s="124"/>
      <c r="EM372" s="124"/>
      <c r="EN372" s="124"/>
      <c r="EO372" s="124"/>
      <c r="EP372" s="124"/>
      <c r="EQ372" s="124"/>
      <c r="ER372" s="124"/>
      <c r="ES372" s="124"/>
      <c r="ET372" s="124"/>
      <c r="EU372" s="124"/>
      <c r="EV372" s="124"/>
      <c r="EW372" s="124"/>
      <c r="EX372" s="124"/>
      <c r="EY372" s="124"/>
      <c r="EZ372" s="124"/>
      <c r="FA372" s="124"/>
      <c r="FB372" s="124"/>
      <c r="FC372" s="124"/>
      <c r="FD372" s="124"/>
      <c r="FE372" s="124"/>
      <c r="FF372" s="124"/>
      <c r="FG372" s="124"/>
      <c r="FH372" s="124"/>
      <c r="FI372" s="124"/>
      <c r="FJ372" s="124"/>
      <c r="FK372" s="124"/>
      <c r="FL372" s="124"/>
      <c r="FM372" s="124"/>
      <c r="FN372" s="124"/>
      <c r="FO372" s="124"/>
      <c r="FP372" s="124"/>
      <c r="FQ372" s="124"/>
      <c r="FR372" s="124"/>
      <c r="FS372" s="124"/>
      <c r="FT372" s="124"/>
      <c r="FU372" s="124"/>
      <c r="FV372" s="124"/>
      <c r="FW372" s="124"/>
      <c r="FX372" s="124"/>
      <c r="FY372" s="124"/>
      <c r="FZ372" s="124"/>
      <c r="GA372" s="124"/>
      <c r="GB372" s="124"/>
      <c r="GC372" s="124"/>
      <c r="GD372" s="124"/>
      <c r="GE372" s="124"/>
      <c r="GF372" s="124"/>
      <c r="GG372" s="124"/>
      <c r="GH372" s="124"/>
      <c r="GI372" s="124"/>
      <c r="GJ372" s="124"/>
      <c r="GK372" s="124"/>
      <c r="GL372" s="124"/>
      <c r="GM372" s="124"/>
      <c r="GN372" s="124"/>
      <c r="GO372" s="124"/>
      <c r="GP372" s="124"/>
      <c r="GQ372" s="124"/>
      <c r="GR372" s="124"/>
      <c r="GS372" s="124"/>
      <c r="GT372" s="124"/>
      <c r="GU372" s="124"/>
      <c r="GV372" s="124"/>
      <c r="GW372" s="124"/>
      <c r="GX372" s="124"/>
      <c r="GY372" s="124"/>
      <c r="GZ372" s="124"/>
      <c r="HA372" s="124"/>
      <c r="HB372" s="124"/>
      <c r="HC372" s="124"/>
      <c r="HD372" s="124"/>
      <c r="HE372" s="124"/>
      <c r="HF372" s="124"/>
      <c r="HG372" s="124"/>
      <c r="HH372" s="124"/>
      <c r="HI372" s="124"/>
      <c r="HJ372" s="124"/>
      <c r="HK372" s="124"/>
      <c r="HL372" s="124"/>
      <c r="HM372" s="124"/>
      <c r="HN372" s="124"/>
      <c r="HO372" s="124"/>
      <c r="HP372" s="124"/>
      <c r="HQ372" s="124"/>
    </row>
    <row r="373" spans="1:225" x14ac:dyDescent="0.2">
      <c r="A373" s="122"/>
      <c r="B373" s="123"/>
      <c r="C373" s="124"/>
      <c r="D373" s="123"/>
      <c r="E373" s="124"/>
      <c r="F373" s="123"/>
      <c r="G373" s="123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  <c r="AU373" s="124"/>
      <c r="AV373" s="124"/>
      <c r="AW373" s="124"/>
      <c r="AX373" s="124"/>
      <c r="AY373" s="124"/>
      <c r="AZ373" s="124"/>
      <c r="BA373" s="124"/>
      <c r="BB373" s="124"/>
      <c r="BC373" s="124"/>
      <c r="BD373" s="124"/>
      <c r="BE373" s="124"/>
      <c r="BF373" s="124"/>
      <c r="BG373" s="124"/>
      <c r="BH373" s="124"/>
      <c r="BI373" s="124"/>
      <c r="BJ373" s="124"/>
      <c r="BK373" s="124"/>
      <c r="BL373" s="124"/>
      <c r="BM373" s="124"/>
      <c r="BN373" s="124"/>
      <c r="BO373" s="124"/>
      <c r="BP373" s="124"/>
      <c r="BQ373" s="124"/>
      <c r="BR373" s="124"/>
      <c r="BS373" s="124"/>
      <c r="BT373" s="124"/>
      <c r="BU373" s="124"/>
      <c r="BV373" s="124"/>
      <c r="BW373" s="124"/>
      <c r="BX373" s="124"/>
      <c r="BY373" s="124"/>
      <c r="BZ373" s="124"/>
      <c r="CA373" s="124"/>
      <c r="CB373" s="124"/>
      <c r="CC373" s="124"/>
      <c r="CD373" s="124"/>
      <c r="CE373" s="124"/>
      <c r="CF373" s="124"/>
      <c r="CG373" s="124"/>
      <c r="CH373" s="124"/>
      <c r="CI373" s="124"/>
      <c r="CJ373" s="124"/>
      <c r="CK373" s="124"/>
      <c r="CL373" s="124"/>
      <c r="CM373" s="124"/>
      <c r="CN373" s="124"/>
      <c r="CO373" s="124"/>
      <c r="CP373" s="124"/>
      <c r="CQ373" s="124"/>
      <c r="CR373" s="124"/>
      <c r="CS373" s="124"/>
      <c r="CT373" s="124"/>
      <c r="CU373" s="124"/>
      <c r="CV373" s="124"/>
      <c r="CW373" s="124"/>
      <c r="CX373" s="124"/>
      <c r="CY373" s="124"/>
      <c r="CZ373" s="124"/>
      <c r="DA373" s="124"/>
      <c r="DB373" s="124"/>
      <c r="DC373" s="124"/>
      <c r="DD373" s="124"/>
      <c r="DE373" s="124"/>
      <c r="DF373" s="124"/>
      <c r="DG373" s="124"/>
      <c r="DH373" s="124"/>
      <c r="DI373" s="124"/>
      <c r="DJ373" s="124"/>
      <c r="DK373" s="124"/>
      <c r="DL373" s="124"/>
      <c r="DM373" s="124"/>
      <c r="DN373" s="124"/>
      <c r="DO373" s="124"/>
      <c r="DP373" s="124"/>
      <c r="DQ373" s="124"/>
      <c r="DR373" s="124"/>
      <c r="DS373" s="124"/>
      <c r="DT373" s="124"/>
      <c r="DU373" s="124"/>
      <c r="DV373" s="124"/>
      <c r="DW373" s="124"/>
      <c r="DX373" s="124"/>
      <c r="DY373" s="124"/>
      <c r="DZ373" s="124"/>
      <c r="EA373" s="124"/>
      <c r="EB373" s="124"/>
      <c r="EC373" s="124"/>
      <c r="ED373" s="124"/>
      <c r="EE373" s="124"/>
      <c r="EF373" s="124"/>
      <c r="EG373" s="124"/>
      <c r="EH373" s="124"/>
      <c r="EI373" s="124"/>
      <c r="EJ373" s="124"/>
      <c r="EK373" s="124"/>
      <c r="EL373" s="124"/>
      <c r="EM373" s="124"/>
      <c r="EN373" s="124"/>
      <c r="EO373" s="124"/>
      <c r="EP373" s="124"/>
      <c r="EQ373" s="124"/>
      <c r="ER373" s="124"/>
      <c r="ES373" s="124"/>
      <c r="ET373" s="124"/>
      <c r="EU373" s="124"/>
      <c r="EV373" s="124"/>
      <c r="EW373" s="124"/>
      <c r="EX373" s="124"/>
      <c r="EY373" s="124"/>
      <c r="EZ373" s="124"/>
      <c r="FA373" s="124"/>
      <c r="FB373" s="124"/>
      <c r="FC373" s="124"/>
      <c r="FD373" s="124"/>
      <c r="FE373" s="124"/>
      <c r="FF373" s="124"/>
      <c r="FG373" s="124"/>
      <c r="FH373" s="124"/>
      <c r="FI373" s="124"/>
      <c r="FJ373" s="124"/>
      <c r="FK373" s="124"/>
      <c r="FL373" s="124"/>
      <c r="FM373" s="124"/>
      <c r="FN373" s="124"/>
      <c r="FO373" s="124"/>
      <c r="FP373" s="124"/>
      <c r="FQ373" s="124"/>
      <c r="FR373" s="124"/>
      <c r="FS373" s="124"/>
      <c r="FT373" s="124"/>
      <c r="FU373" s="124"/>
      <c r="FV373" s="124"/>
      <c r="FW373" s="124"/>
      <c r="FX373" s="124"/>
      <c r="FY373" s="124"/>
      <c r="FZ373" s="124"/>
      <c r="GA373" s="124"/>
      <c r="GB373" s="124"/>
      <c r="GC373" s="124"/>
      <c r="GD373" s="124"/>
      <c r="GE373" s="124"/>
      <c r="GF373" s="124"/>
      <c r="GG373" s="124"/>
      <c r="GH373" s="124"/>
      <c r="GI373" s="124"/>
      <c r="GJ373" s="124"/>
      <c r="GK373" s="124"/>
      <c r="GL373" s="124"/>
      <c r="GM373" s="124"/>
      <c r="GN373" s="124"/>
      <c r="GO373" s="124"/>
      <c r="GP373" s="124"/>
      <c r="GQ373" s="124"/>
      <c r="GR373" s="124"/>
      <c r="GS373" s="124"/>
      <c r="GT373" s="124"/>
      <c r="GU373" s="124"/>
      <c r="GV373" s="124"/>
      <c r="GW373" s="124"/>
      <c r="GX373" s="124"/>
      <c r="GY373" s="124"/>
      <c r="GZ373" s="124"/>
      <c r="HA373" s="124"/>
      <c r="HB373" s="124"/>
      <c r="HC373" s="124"/>
      <c r="HD373" s="124"/>
      <c r="HE373" s="124"/>
      <c r="HF373" s="124"/>
      <c r="HG373" s="124"/>
      <c r="HH373" s="124"/>
      <c r="HI373" s="124"/>
      <c r="HJ373" s="124"/>
      <c r="HK373" s="124"/>
      <c r="HL373" s="124"/>
      <c r="HM373" s="124"/>
      <c r="HN373" s="124"/>
      <c r="HO373" s="124"/>
      <c r="HP373" s="124"/>
      <c r="HQ373" s="124"/>
    </row>
    <row r="374" spans="1:225" x14ac:dyDescent="0.2">
      <c r="A374" s="122"/>
      <c r="B374" s="123"/>
      <c r="C374" s="124"/>
      <c r="D374" s="123"/>
      <c r="E374" s="124"/>
      <c r="F374" s="123"/>
      <c r="G374" s="123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  <c r="AU374" s="124"/>
      <c r="AV374" s="124"/>
      <c r="AW374" s="124"/>
      <c r="AX374" s="124"/>
      <c r="AY374" s="124"/>
      <c r="AZ374" s="124"/>
      <c r="BA374" s="124"/>
      <c r="BB374" s="124"/>
      <c r="BC374" s="124"/>
      <c r="BD374" s="124"/>
      <c r="BE374" s="124"/>
      <c r="BF374" s="124"/>
      <c r="BG374" s="124"/>
      <c r="BH374" s="124"/>
      <c r="BI374" s="124"/>
      <c r="BJ374" s="124"/>
      <c r="BK374" s="124"/>
      <c r="BL374" s="124"/>
      <c r="BM374" s="124"/>
      <c r="BN374" s="124"/>
      <c r="BO374" s="124"/>
      <c r="BP374" s="124"/>
      <c r="BQ374" s="124"/>
      <c r="BR374" s="124"/>
      <c r="BS374" s="124"/>
      <c r="BT374" s="124"/>
      <c r="BU374" s="124"/>
      <c r="BV374" s="124"/>
      <c r="BW374" s="124"/>
      <c r="BX374" s="124"/>
      <c r="BY374" s="124"/>
      <c r="BZ374" s="124"/>
      <c r="CA374" s="124"/>
      <c r="CB374" s="124"/>
      <c r="CC374" s="124"/>
      <c r="CD374" s="124"/>
      <c r="CE374" s="124"/>
      <c r="CF374" s="124"/>
      <c r="CG374" s="124"/>
      <c r="CH374" s="124"/>
      <c r="CI374" s="124"/>
      <c r="CJ374" s="124"/>
      <c r="CK374" s="124"/>
      <c r="CL374" s="124"/>
      <c r="CM374" s="124"/>
      <c r="CN374" s="124"/>
      <c r="CO374" s="124"/>
      <c r="CP374" s="124"/>
      <c r="CQ374" s="124"/>
      <c r="CR374" s="124"/>
      <c r="CS374" s="124"/>
      <c r="CT374" s="124"/>
      <c r="CU374" s="124"/>
      <c r="CV374" s="124"/>
      <c r="CW374" s="124"/>
      <c r="CX374" s="124"/>
      <c r="CY374" s="124"/>
      <c r="CZ374" s="124"/>
      <c r="DA374" s="124"/>
      <c r="DB374" s="124"/>
      <c r="DC374" s="124"/>
      <c r="DD374" s="124"/>
      <c r="DE374" s="124"/>
      <c r="DF374" s="124"/>
      <c r="DG374" s="124"/>
      <c r="DH374" s="124"/>
      <c r="DI374" s="124"/>
      <c r="DJ374" s="124"/>
      <c r="DK374" s="124"/>
      <c r="DL374" s="124"/>
      <c r="DM374" s="124"/>
      <c r="DN374" s="124"/>
      <c r="DO374" s="124"/>
      <c r="DP374" s="124"/>
      <c r="DQ374" s="124"/>
      <c r="DR374" s="124"/>
      <c r="DS374" s="124"/>
      <c r="DT374" s="124"/>
      <c r="DU374" s="124"/>
      <c r="DV374" s="124"/>
      <c r="DW374" s="124"/>
      <c r="DX374" s="124"/>
      <c r="DY374" s="124"/>
      <c r="DZ374" s="124"/>
      <c r="EA374" s="124"/>
      <c r="EB374" s="124"/>
      <c r="EC374" s="124"/>
      <c r="ED374" s="124"/>
      <c r="EE374" s="124"/>
      <c r="EF374" s="124"/>
      <c r="EG374" s="124"/>
      <c r="EH374" s="124"/>
      <c r="EI374" s="124"/>
      <c r="EJ374" s="124"/>
      <c r="EK374" s="124"/>
      <c r="EL374" s="124"/>
      <c r="EM374" s="124"/>
      <c r="EN374" s="124"/>
      <c r="EO374" s="124"/>
      <c r="EP374" s="124"/>
      <c r="EQ374" s="124"/>
      <c r="ER374" s="124"/>
      <c r="ES374" s="124"/>
      <c r="ET374" s="124"/>
      <c r="EU374" s="124"/>
      <c r="EV374" s="124"/>
      <c r="EW374" s="124"/>
      <c r="EX374" s="124"/>
      <c r="EY374" s="124"/>
      <c r="EZ374" s="124"/>
      <c r="FA374" s="124"/>
      <c r="FB374" s="124"/>
      <c r="FC374" s="124"/>
      <c r="FD374" s="124"/>
      <c r="FE374" s="124"/>
      <c r="FF374" s="124"/>
      <c r="FG374" s="124"/>
      <c r="FH374" s="124"/>
      <c r="FI374" s="124"/>
      <c r="FJ374" s="124"/>
      <c r="FK374" s="124"/>
      <c r="FL374" s="124"/>
      <c r="FM374" s="124"/>
      <c r="FN374" s="124"/>
      <c r="FO374" s="124"/>
      <c r="FP374" s="124"/>
      <c r="FQ374" s="124"/>
      <c r="FR374" s="124"/>
      <c r="FS374" s="124"/>
      <c r="FT374" s="124"/>
      <c r="FU374" s="124"/>
      <c r="FV374" s="124"/>
      <c r="FW374" s="124"/>
      <c r="FX374" s="124"/>
      <c r="FY374" s="124"/>
      <c r="FZ374" s="124"/>
      <c r="GA374" s="124"/>
      <c r="GB374" s="124"/>
      <c r="GC374" s="124"/>
      <c r="GD374" s="124"/>
      <c r="GE374" s="124"/>
      <c r="GF374" s="124"/>
      <c r="GG374" s="124"/>
      <c r="GH374" s="124"/>
      <c r="GI374" s="124"/>
      <c r="GJ374" s="124"/>
      <c r="GK374" s="124"/>
      <c r="GL374" s="124"/>
      <c r="GM374" s="124"/>
      <c r="GN374" s="124"/>
      <c r="GO374" s="124"/>
      <c r="GP374" s="124"/>
      <c r="GQ374" s="124"/>
      <c r="GR374" s="124"/>
      <c r="GS374" s="124"/>
      <c r="GT374" s="124"/>
      <c r="GU374" s="124"/>
      <c r="GV374" s="124"/>
      <c r="GW374" s="124"/>
      <c r="GX374" s="124"/>
      <c r="GY374" s="124"/>
      <c r="GZ374" s="124"/>
      <c r="HA374" s="124"/>
      <c r="HB374" s="124"/>
      <c r="HC374" s="124"/>
      <c r="HD374" s="124"/>
      <c r="HE374" s="124"/>
      <c r="HF374" s="124"/>
      <c r="HG374" s="124"/>
      <c r="HH374" s="124"/>
      <c r="HI374" s="124"/>
      <c r="HJ374" s="124"/>
      <c r="HK374" s="124"/>
      <c r="HL374" s="124"/>
      <c r="HM374" s="124"/>
      <c r="HN374" s="124"/>
      <c r="HO374" s="124"/>
      <c r="HP374" s="124"/>
      <c r="HQ374" s="124"/>
    </row>
    <row r="375" spans="1:225" x14ac:dyDescent="0.2">
      <c r="A375" s="122"/>
      <c r="B375" s="123"/>
      <c r="C375" s="124"/>
      <c r="D375" s="123"/>
      <c r="E375" s="124"/>
      <c r="F375" s="123"/>
      <c r="G375" s="123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  <c r="AT375" s="124"/>
      <c r="AU375" s="124"/>
      <c r="AV375" s="124"/>
      <c r="AW375" s="124"/>
      <c r="AX375" s="124"/>
      <c r="AY375" s="124"/>
      <c r="AZ375" s="124"/>
      <c r="BA375" s="124"/>
      <c r="BB375" s="124"/>
      <c r="BC375" s="124"/>
      <c r="BD375" s="124"/>
      <c r="BE375" s="124"/>
      <c r="BF375" s="124"/>
      <c r="BG375" s="124"/>
      <c r="BH375" s="124"/>
      <c r="BI375" s="124"/>
      <c r="BJ375" s="124"/>
      <c r="BK375" s="124"/>
      <c r="BL375" s="124"/>
      <c r="BM375" s="124"/>
      <c r="BN375" s="124"/>
      <c r="BO375" s="124"/>
      <c r="BP375" s="124"/>
      <c r="BQ375" s="124"/>
      <c r="BR375" s="124"/>
      <c r="BS375" s="124"/>
      <c r="BT375" s="124"/>
      <c r="BU375" s="124"/>
      <c r="BV375" s="124"/>
      <c r="BW375" s="124"/>
      <c r="BX375" s="124"/>
      <c r="BY375" s="124"/>
      <c r="BZ375" s="124"/>
      <c r="CA375" s="124"/>
      <c r="CB375" s="124"/>
      <c r="CC375" s="124"/>
      <c r="CD375" s="124"/>
      <c r="CE375" s="124"/>
      <c r="CF375" s="124"/>
      <c r="CG375" s="124"/>
      <c r="CH375" s="124"/>
      <c r="CI375" s="124"/>
      <c r="CJ375" s="124"/>
      <c r="CK375" s="124"/>
      <c r="CL375" s="124"/>
      <c r="CM375" s="124"/>
      <c r="CN375" s="124"/>
      <c r="CO375" s="124"/>
      <c r="CP375" s="124"/>
      <c r="CQ375" s="124"/>
      <c r="CR375" s="124"/>
      <c r="CS375" s="124"/>
      <c r="CT375" s="124"/>
      <c r="CU375" s="124"/>
      <c r="CV375" s="124"/>
      <c r="CW375" s="124"/>
      <c r="CX375" s="124"/>
      <c r="CY375" s="124"/>
      <c r="CZ375" s="124"/>
      <c r="DA375" s="124"/>
      <c r="DB375" s="124"/>
      <c r="DC375" s="124"/>
      <c r="DD375" s="124"/>
      <c r="DE375" s="124"/>
      <c r="DF375" s="124"/>
      <c r="DG375" s="124"/>
      <c r="DH375" s="124"/>
      <c r="DI375" s="124"/>
      <c r="DJ375" s="124"/>
      <c r="DK375" s="124"/>
      <c r="DL375" s="124"/>
      <c r="DM375" s="124"/>
      <c r="DN375" s="124"/>
      <c r="DO375" s="124"/>
      <c r="DP375" s="124"/>
      <c r="DQ375" s="124"/>
      <c r="DR375" s="124"/>
      <c r="DS375" s="124"/>
      <c r="DT375" s="124"/>
      <c r="DU375" s="124"/>
      <c r="DV375" s="124"/>
      <c r="DW375" s="124"/>
      <c r="DX375" s="124"/>
      <c r="DY375" s="124"/>
      <c r="DZ375" s="124"/>
      <c r="EA375" s="124"/>
      <c r="EB375" s="124"/>
      <c r="EC375" s="124"/>
      <c r="ED375" s="124"/>
      <c r="EE375" s="124"/>
      <c r="EF375" s="124"/>
      <c r="EG375" s="124"/>
      <c r="EH375" s="124"/>
      <c r="EI375" s="124"/>
      <c r="EJ375" s="124"/>
      <c r="EK375" s="124"/>
      <c r="EL375" s="124"/>
      <c r="EM375" s="124"/>
      <c r="EN375" s="124"/>
      <c r="EO375" s="124"/>
      <c r="EP375" s="124"/>
      <c r="EQ375" s="124"/>
      <c r="ER375" s="124"/>
      <c r="ES375" s="124"/>
      <c r="ET375" s="124"/>
      <c r="EU375" s="124"/>
      <c r="EV375" s="124"/>
      <c r="EW375" s="124"/>
      <c r="EX375" s="124"/>
      <c r="EY375" s="124"/>
      <c r="EZ375" s="124"/>
      <c r="FA375" s="124"/>
      <c r="FB375" s="124"/>
      <c r="FC375" s="124"/>
      <c r="FD375" s="124"/>
      <c r="FE375" s="124"/>
      <c r="FF375" s="124"/>
      <c r="FG375" s="124"/>
      <c r="FH375" s="124"/>
      <c r="FI375" s="124"/>
      <c r="FJ375" s="124"/>
      <c r="FK375" s="124"/>
      <c r="FL375" s="124"/>
      <c r="FM375" s="124"/>
      <c r="FN375" s="124"/>
      <c r="FO375" s="124"/>
      <c r="FP375" s="124"/>
      <c r="FQ375" s="124"/>
      <c r="FR375" s="124"/>
      <c r="FS375" s="124"/>
      <c r="FT375" s="124"/>
      <c r="FU375" s="124"/>
      <c r="FV375" s="124"/>
      <c r="FW375" s="124"/>
      <c r="FX375" s="124"/>
      <c r="FY375" s="124"/>
      <c r="FZ375" s="124"/>
      <c r="GA375" s="124"/>
      <c r="GB375" s="124"/>
      <c r="GC375" s="124"/>
      <c r="GD375" s="124"/>
      <c r="GE375" s="124"/>
      <c r="GF375" s="124"/>
      <c r="GG375" s="124"/>
      <c r="GH375" s="124"/>
      <c r="GI375" s="124"/>
      <c r="GJ375" s="124"/>
      <c r="GK375" s="124"/>
      <c r="GL375" s="124"/>
      <c r="GM375" s="124"/>
      <c r="GN375" s="124"/>
      <c r="GO375" s="124"/>
      <c r="GP375" s="124"/>
      <c r="GQ375" s="124"/>
      <c r="GR375" s="124"/>
      <c r="GS375" s="124"/>
      <c r="GT375" s="124"/>
      <c r="GU375" s="124"/>
      <c r="GV375" s="124"/>
      <c r="GW375" s="124"/>
      <c r="GX375" s="124"/>
      <c r="GY375" s="124"/>
      <c r="GZ375" s="124"/>
      <c r="HA375" s="124"/>
      <c r="HB375" s="124"/>
      <c r="HC375" s="124"/>
      <c r="HD375" s="124"/>
      <c r="HE375" s="124"/>
      <c r="HF375" s="124"/>
      <c r="HG375" s="124"/>
      <c r="HH375" s="124"/>
      <c r="HI375" s="124"/>
      <c r="HJ375" s="124"/>
      <c r="HK375" s="124"/>
      <c r="HL375" s="124"/>
      <c r="HM375" s="124"/>
      <c r="HN375" s="124"/>
      <c r="HO375" s="124"/>
      <c r="HP375" s="124"/>
      <c r="HQ375" s="124"/>
    </row>
    <row r="376" spans="1:225" x14ac:dyDescent="0.2">
      <c r="A376" s="122"/>
      <c r="B376" s="123"/>
      <c r="C376" s="124"/>
      <c r="D376" s="123"/>
      <c r="E376" s="124"/>
      <c r="F376" s="123"/>
      <c r="G376" s="123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  <c r="AU376" s="124"/>
      <c r="AV376" s="124"/>
      <c r="AW376" s="124"/>
      <c r="AX376" s="124"/>
      <c r="AY376" s="124"/>
      <c r="AZ376" s="124"/>
      <c r="BA376" s="124"/>
      <c r="BB376" s="124"/>
      <c r="BC376" s="124"/>
      <c r="BD376" s="124"/>
      <c r="BE376" s="124"/>
      <c r="BF376" s="124"/>
      <c r="BG376" s="124"/>
      <c r="BH376" s="124"/>
      <c r="BI376" s="124"/>
      <c r="BJ376" s="124"/>
      <c r="BK376" s="124"/>
      <c r="BL376" s="124"/>
      <c r="BM376" s="124"/>
      <c r="BN376" s="124"/>
      <c r="BO376" s="124"/>
      <c r="BP376" s="124"/>
      <c r="BQ376" s="124"/>
      <c r="BR376" s="124"/>
      <c r="BS376" s="124"/>
      <c r="BT376" s="124"/>
      <c r="BU376" s="124"/>
      <c r="BV376" s="124"/>
      <c r="BW376" s="124"/>
      <c r="BX376" s="124"/>
      <c r="BY376" s="124"/>
      <c r="BZ376" s="124"/>
      <c r="CA376" s="124"/>
      <c r="CB376" s="124"/>
      <c r="CC376" s="124"/>
      <c r="CD376" s="124"/>
      <c r="CE376" s="124"/>
      <c r="CF376" s="124"/>
      <c r="CG376" s="124"/>
      <c r="CH376" s="124"/>
      <c r="CI376" s="124"/>
      <c r="CJ376" s="124"/>
      <c r="CK376" s="124"/>
      <c r="CL376" s="124"/>
      <c r="CM376" s="124"/>
      <c r="CN376" s="124"/>
      <c r="CO376" s="124"/>
      <c r="CP376" s="124"/>
      <c r="CQ376" s="124"/>
      <c r="CR376" s="124"/>
      <c r="CS376" s="124"/>
      <c r="CT376" s="124"/>
      <c r="CU376" s="124"/>
      <c r="CV376" s="124"/>
      <c r="CW376" s="124"/>
      <c r="CX376" s="124"/>
      <c r="CY376" s="124"/>
      <c r="CZ376" s="124"/>
      <c r="DA376" s="124"/>
      <c r="DB376" s="124"/>
      <c r="DC376" s="124"/>
      <c r="DD376" s="124"/>
      <c r="DE376" s="124"/>
      <c r="DF376" s="124"/>
      <c r="DG376" s="124"/>
      <c r="DH376" s="124"/>
      <c r="DI376" s="124"/>
      <c r="DJ376" s="124"/>
      <c r="DK376" s="124"/>
      <c r="DL376" s="124"/>
      <c r="DM376" s="124"/>
      <c r="DN376" s="124"/>
      <c r="DO376" s="124"/>
      <c r="DP376" s="124"/>
      <c r="DQ376" s="124"/>
      <c r="DR376" s="124"/>
      <c r="DS376" s="124"/>
      <c r="DT376" s="124"/>
      <c r="DU376" s="124"/>
      <c r="DV376" s="124"/>
      <c r="DW376" s="124"/>
      <c r="DX376" s="124"/>
      <c r="DY376" s="124"/>
      <c r="DZ376" s="124"/>
      <c r="EA376" s="124"/>
      <c r="EB376" s="124"/>
      <c r="EC376" s="124"/>
      <c r="ED376" s="124"/>
      <c r="EE376" s="124"/>
      <c r="EF376" s="124"/>
      <c r="EG376" s="124"/>
      <c r="EH376" s="124"/>
      <c r="EI376" s="124"/>
      <c r="EJ376" s="124"/>
      <c r="EK376" s="124"/>
      <c r="EL376" s="124"/>
      <c r="EM376" s="124"/>
      <c r="EN376" s="124"/>
      <c r="EO376" s="124"/>
      <c r="EP376" s="124"/>
      <c r="EQ376" s="124"/>
      <c r="ER376" s="124"/>
      <c r="ES376" s="124"/>
      <c r="ET376" s="124"/>
      <c r="EU376" s="124"/>
      <c r="EV376" s="124"/>
      <c r="EW376" s="124"/>
      <c r="EX376" s="124"/>
      <c r="EY376" s="124"/>
      <c r="EZ376" s="124"/>
      <c r="FA376" s="124"/>
      <c r="FB376" s="124"/>
      <c r="FC376" s="124"/>
      <c r="FD376" s="124"/>
      <c r="FE376" s="124"/>
      <c r="FF376" s="124"/>
      <c r="FG376" s="124"/>
      <c r="FH376" s="124"/>
      <c r="FI376" s="124"/>
      <c r="FJ376" s="124"/>
      <c r="FK376" s="124"/>
      <c r="FL376" s="124"/>
      <c r="FM376" s="124"/>
      <c r="FN376" s="124"/>
      <c r="FO376" s="124"/>
      <c r="FP376" s="124"/>
      <c r="FQ376" s="124"/>
      <c r="FR376" s="124"/>
      <c r="FS376" s="124"/>
      <c r="FT376" s="124"/>
      <c r="FU376" s="124"/>
      <c r="FV376" s="124"/>
      <c r="FW376" s="124"/>
      <c r="FX376" s="124"/>
      <c r="FY376" s="124"/>
      <c r="FZ376" s="124"/>
      <c r="GA376" s="124"/>
      <c r="GB376" s="124"/>
      <c r="GC376" s="124"/>
      <c r="GD376" s="124"/>
      <c r="GE376" s="124"/>
      <c r="GF376" s="124"/>
      <c r="GG376" s="124"/>
      <c r="GH376" s="124"/>
      <c r="GI376" s="124"/>
      <c r="GJ376" s="124"/>
      <c r="GK376" s="124"/>
      <c r="GL376" s="124"/>
      <c r="GM376" s="124"/>
      <c r="GN376" s="124"/>
      <c r="GO376" s="124"/>
      <c r="GP376" s="124"/>
      <c r="GQ376" s="124"/>
      <c r="GR376" s="124"/>
      <c r="GS376" s="124"/>
      <c r="GT376" s="124"/>
      <c r="GU376" s="124"/>
      <c r="GV376" s="124"/>
      <c r="GW376" s="124"/>
      <c r="GX376" s="124"/>
      <c r="GY376" s="124"/>
      <c r="GZ376" s="124"/>
      <c r="HA376" s="124"/>
      <c r="HB376" s="124"/>
      <c r="HC376" s="124"/>
      <c r="HD376" s="124"/>
      <c r="HE376" s="124"/>
      <c r="HF376" s="124"/>
      <c r="HG376" s="124"/>
      <c r="HH376" s="124"/>
      <c r="HI376" s="124"/>
      <c r="HJ376" s="124"/>
      <c r="HK376" s="124"/>
      <c r="HL376" s="124"/>
      <c r="HM376" s="124"/>
      <c r="HN376" s="124"/>
      <c r="HO376" s="124"/>
      <c r="HP376" s="124"/>
      <c r="HQ376" s="124"/>
    </row>
    <row r="377" spans="1:225" x14ac:dyDescent="0.2">
      <c r="A377" s="122"/>
      <c r="B377" s="123"/>
      <c r="C377" s="124"/>
      <c r="D377" s="123"/>
      <c r="E377" s="124"/>
      <c r="F377" s="123"/>
      <c r="G377" s="123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  <c r="AU377" s="124"/>
      <c r="AV377" s="124"/>
      <c r="AW377" s="124"/>
      <c r="AX377" s="124"/>
      <c r="AY377" s="124"/>
      <c r="AZ377" s="124"/>
      <c r="BA377" s="124"/>
      <c r="BB377" s="124"/>
      <c r="BC377" s="124"/>
      <c r="BD377" s="124"/>
      <c r="BE377" s="124"/>
      <c r="BF377" s="124"/>
      <c r="BG377" s="124"/>
      <c r="BH377" s="124"/>
      <c r="BI377" s="124"/>
      <c r="BJ377" s="124"/>
      <c r="BK377" s="124"/>
      <c r="BL377" s="124"/>
      <c r="BM377" s="124"/>
      <c r="BN377" s="124"/>
      <c r="BO377" s="124"/>
      <c r="BP377" s="124"/>
      <c r="BQ377" s="124"/>
      <c r="BR377" s="124"/>
      <c r="BS377" s="124"/>
      <c r="BT377" s="124"/>
      <c r="BU377" s="124"/>
      <c r="BV377" s="124"/>
      <c r="BW377" s="124"/>
      <c r="BX377" s="124"/>
      <c r="BY377" s="124"/>
      <c r="BZ377" s="124"/>
      <c r="CA377" s="124"/>
      <c r="CB377" s="124"/>
      <c r="CC377" s="124"/>
      <c r="CD377" s="124"/>
      <c r="CE377" s="124"/>
      <c r="CF377" s="124"/>
      <c r="CG377" s="124"/>
      <c r="CH377" s="124"/>
      <c r="CI377" s="124"/>
      <c r="CJ377" s="124"/>
      <c r="CK377" s="124"/>
      <c r="CL377" s="124"/>
      <c r="CM377" s="124"/>
      <c r="CN377" s="124"/>
      <c r="CO377" s="124"/>
      <c r="CP377" s="124"/>
      <c r="CQ377" s="124"/>
      <c r="CR377" s="124"/>
      <c r="CS377" s="124"/>
      <c r="CT377" s="124"/>
      <c r="CU377" s="124"/>
      <c r="CV377" s="124"/>
      <c r="CW377" s="124"/>
      <c r="CX377" s="124"/>
      <c r="CY377" s="124"/>
      <c r="CZ377" s="124"/>
      <c r="DA377" s="124"/>
      <c r="DB377" s="124"/>
      <c r="DC377" s="124"/>
      <c r="DD377" s="124"/>
      <c r="DE377" s="124"/>
      <c r="DF377" s="124"/>
      <c r="DG377" s="124"/>
      <c r="DH377" s="124"/>
      <c r="DI377" s="124"/>
      <c r="DJ377" s="124"/>
      <c r="DK377" s="124"/>
      <c r="DL377" s="124"/>
      <c r="DM377" s="124"/>
      <c r="DN377" s="124"/>
      <c r="DO377" s="124"/>
      <c r="DP377" s="124"/>
      <c r="DQ377" s="124"/>
      <c r="DR377" s="124"/>
      <c r="DS377" s="124"/>
      <c r="DT377" s="124"/>
      <c r="DU377" s="124"/>
      <c r="DV377" s="124"/>
      <c r="DW377" s="124"/>
      <c r="DX377" s="124"/>
      <c r="DY377" s="124"/>
      <c r="DZ377" s="124"/>
      <c r="EA377" s="124"/>
      <c r="EB377" s="124"/>
      <c r="EC377" s="124"/>
      <c r="ED377" s="124"/>
      <c r="EE377" s="124"/>
      <c r="EF377" s="124"/>
      <c r="EG377" s="124"/>
      <c r="EH377" s="124"/>
      <c r="EI377" s="124"/>
      <c r="EJ377" s="124"/>
      <c r="EK377" s="124"/>
      <c r="EL377" s="124"/>
      <c r="EM377" s="124"/>
      <c r="EN377" s="124"/>
      <c r="EO377" s="124"/>
      <c r="EP377" s="124"/>
      <c r="EQ377" s="124"/>
      <c r="ER377" s="124"/>
      <c r="ES377" s="124"/>
      <c r="ET377" s="124"/>
      <c r="EU377" s="124"/>
      <c r="EV377" s="124"/>
      <c r="EW377" s="124"/>
      <c r="EX377" s="124"/>
      <c r="EY377" s="124"/>
      <c r="EZ377" s="124"/>
      <c r="FA377" s="124"/>
      <c r="FB377" s="124"/>
      <c r="FC377" s="124"/>
      <c r="FD377" s="124"/>
      <c r="FE377" s="124"/>
      <c r="FF377" s="124"/>
      <c r="FG377" s="124"/>
      <c r="FH377" s="124"/>
      <c r="FI377" s="124"/>
      <c r="FJ377" s="124"/>
      <c r="FK377" s="124"/>
      <c r="FL377" s="124"/>
      <c r="FM377" s="124"/>
      <c r="FN377" s="124"/>
      <c r="FO377" s="124"/>
      <c r="FP377" s="124"/>
      <c r="FQ377" s="124"/>
      <c r="FR377" s="124"/>
      <c r="FS377" s="124"/>
      <c r="FT377" s="124"/>
      <c r="FU377" s="124"/>
      <c r="FV377" s="124"/>
      <c r="FW377" s="124"/>
      <c r="FX377" s="124"/>
      <c r="FY377" s="124"/>
      <c r="FZ377" s="124"/>
      <c r="GA377" s="124"/>
      <c r="GB377" s="124"/>
      <c r="GC377" s="124"/>
      <c r="GD377" s="124"/>
      <c r="GE377" s="124"/>
      <c r="GF377" s="124"/>
      <c r="GG377" s="124"/>
      <c r="GH377" s="124"/>
      <c r="GI377" s="124"/>
      <c r="GJ377" s="124"/>
      <c r="GK377" s="124"/>
      <c r="GL377" s="124"/>
      <c r="GM377" s="124"/>
      <c r="GN377" s="124"/>
      <c r="GO377" s="124"/>
      <c r="GP377" s="124"/>
      <c r="GQ377" s="124"/>
      <c r="GR377" s="124"/>
      <c r="GS377" s="124"/>
      <c r="GT377" s="124"/>
      <c r="GU377" s="124"/>
      <c r="GV377" s="124"/>
      <c r="GW377" s="124"/>
      <c r="GX377" s="124"/>
      <c r="GY377" s="124"/>
      <c r="GZ377" s="124"/>
      <c r="HA377" s="124"/>
      <c r="HB377" s="124"/>
      <c r="HC377" s="124"/>
      <c r="HD377" s="124"/>
      <c r="HE377" s="124"/>
      <c r="HF377" s="124"/>
      <c r="HG377" s="124"/>
      <c r="HH377" s="124"/>
      <c r="HI377" s="124"/>
      <c r="HJ377" s="124"/>
      <c r="HK377" s="124"/>
      <c r="HL377" s="124"/>
      <c r="HM377" s="124"/>
      <c r="HN377" s="124"/>
      <c r="HO377" s="124"/>
      <c r="HP377" s="124"/>
      <c r="HQ377" s="124"/>
    </row>
    <row r="378" spans="1:225" x14ac:dyDescent="0.2">
      <c r="A378" s="122"/>
      <c r="B378" s="123"/>
      <c r="C378" s="124"/>
      <c r="D378" s="123"/>
      <c r="E378" s="124"/>
      <c r="F378" s="123"/>
      <c r="G378" s="123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  <c r="AU378" s="124"/>
      <c r="AV378" s="124"/>
      <c r="AW378" s="124"/>
      <c r="AX378" s="124"/>
      <c r="AY378" s="124"/>
      <c r="AZ378" s="124"/>
      <c r="BA378" s="124"/>
      <c r="BB378" s="124"/>
      <c r="BC378" s="124"/>
      <c r="BD378" s="124"/>
      <c r="BE378" s="124"/>
      <c r="BF378" s="124"/>
      <c r="BG378" s="124"/>
      <c r="BH378" s="124"/>
      <c r="BI378" s="124"/>
      <c r="BJ378" s="124"/>
      <c r="BK378" s="124"/>
      <c r="BL378" s="124"/>
      <c r="BM378" s="124"/>
      <c r="BN378" s="124"/>
      <c r="BO378" s="124"/>
      <c r="BP378" s="124"/>
      <c r="BQ378" s="124"/>
      <c r="BR378" s="124"/>
      <c r="BS378" s="124"/>
      <c r="BT378" s="124"/>
      <c r="BU378" s="124"/>
      <c r="BV378" s="124"/>
      <c r="BW378" s="124"/>
      <c r="BX378" s="124"/>
      <c r="BY378" s="124"/>
      <c r="BZ378" s="124"/>
      <c r="CA378" s="124"/>
      <c r="CB378" s="124"/>
      <c r="CC378" s="124"/>
      <c r="CD378" s="124"/>
      <c r="CE378" s="124"/>
      <c r="CF378" s="124"/>
      <c r="CG378" s="124"/>
      <c r="CH378" s="124"/>
      <c r="CI378" s="124"/>
      <c r="CJ378" s="124"/>
      <c r="CK378" s="124"/>
      <c r="CL378" s="124"/>
      <c r="CM378" s="124"/>
      <c r="CN378" s="124"/>
      <c r="CO378" s="124"/>
      <c r="CP378" s="124"/>
      <c r="CQ378" s="124"/>
      <c r="CR378" s="124"/>
      <c r="CS378" s="124"/>
      <c r="CT378" s="124"/>
      <c r="CU378" s="124"/>
      <c r="CV378" s="124"/>
      <c r="CW378" s="124"/>
      <c r="CX378" s="124"/>
      <c r="CY378" s="124"/>
      <c r="CZ378" s="124"/>
      <c r="DA378" s="124"/>
      <c r="DB378" s="124"/>
      <c r="DC378" s="124"/>
      <c r="DD378" s="124"/>
      <c r="DE378" s="124"/>
      <c r="DF378" s="124"/>
      <c r="DG378" s="124"/>
      <c r="DH378" s="124"/>
      <c r="DI378" s="124"/>
      <c r="DJ378" s="124"/>
      <c r="DK378" s="124"/>
      <c r="DL378" s="124"/>
      <c r="DM378" s="124"/>
      <c r="DN378" s="124"/>
      <c r="DO378" s="124"/>
      <c r="DP378" s="124"/>
      <c r="DQ378" s="124"/>
      <c r="DR378" s="124"/>
      <c r="DS378" s="124"/>
      <c r="DT378" s="124"/>
      <c r="DU378" s="124"/>
      <c r="DV378" s="124"/>
      <c r="DW378" s="124"/>
      <c r="DX378" s="124"/>
      <c r="DY378" s="124"/>
      <c r="DZ378" s="124"/>
      <c r="EA378" s="124"/>
      <c r="EB378" s="124"/>
      <c r="EC378" s="124"/>
      <c r="ED378" s="124"/>
      <c r="EE378" s="124"/>
      <c r="EF378" s="124"/>
      <c r="EG378" s="124"/>
      <c r="EH378" s="124"/>
      <c r="EI378" s="124"/>
      <c r="EJ378" s="124"/>
      <c r="EK378" s="124"/>
      <c r="EL378" s="124"/>
      <c r="EM378" s="124"/>
      <c r="EN378" s="124"/>
      <c r="EO378" s="124"/>
      <c r="EP378" s="124"/>
      <c r="EQ378" s="124"/>
      <c r="ER378" s="124"/>
      <c r="ES378" s="124"/>
      <c r="ET378" s="124"/>
      <c r="EU378" s="124"/>
      <c r="EV378" s="124"/>
      <c r="EW378" s="124"/>
      <c r="EX378" s="124"/>
      <c r="EY378" s="124"/>
      <c r="EZ378" s="124"/>
      <c r="FA378" s="124"/>
      <c r="FB378" s="124"/>
      <c r="FC378" s="124"/>
      <c r="FD378" s="124"/>
      <c r="FE378" s="124"/>
      <c r="FF378" s="124"/>
      <c r="FG378" s="124"/>
      <c r="FH378" s="124"/>
      <c r="FI378" s="124"/>
      <c r="FJ378" s="124"/>
      <c r="FK378" s="124"/>
      <c r="FL378" s="124"/>
      <c r="FM378" s="124"/>
      <c r="FN378" s="124"/>
      <c r="FO378" s="124"/>
      <c r="FP378" s="124"/>
      <c r="FQ378" s="124"/>
      <c r="FR378" s="124"/>
      <c r="FS378" s="124"/>
      <c r="FT378" s="124"/>
      <c r="FU378" s="124"/>
      <c r="FV378" s="124"/>
      <c r="FW378" s="124"/>
      <c r="FX378" s="124"/>
      <c r="FY378" s="124"/>
      <c r="FZ378" s="124"/>
      <c r="GA378" s="124"/>
      <c r="GB378" s="124"/>
      <c r="GC378" s="124"/>
      <c r="GD378" s="124"/>
      <c r="GE378" s="124"/>
      <c r="GF378" s="124"/>
      <c r="GG378" s="124"/>
      <c r="GH378" s="124"/>
      <c r="GI378" s="124"/>
      <c r="GJ378" s="124"/>
      <c r="GK378" s="124"/>
      <c r="GL378" s="124"/>
      <c r="GM378" s="124"/>
      <c r="GN378" s="124"/>
      <c r="GO378" s="124"/>
      <c r="GP378" s="124"/>
      <c r="GQ378" s="124"/>
      <c r="GR378" s="124"/>
      <c r="GS378" s="124"/>
      <c r="GT378" s="124"/>
      <c r="GU378" s="124"/>
      <c r="GV378" s="124"/>
      <c r="GW378" s="124"/>
      <c r="GX378" s="124"/>
      <c r="GY378" s="124"/>
      <c r="GZ378" s="124"/>
      <c r="HA378" s="124"/>
      <c r="HB378" s="124"/>
      <c r="HC378" s="124"/>
      <c r="HD378" s="124"/>
      <c r="HE378" s="124"/>
      <c r="HF378" s="124"/>
      <c r="HG378" s="124"/>
      <c r="HH378" s="124"/>
      <c r="HI378" s="124"/>
      <c r="HJ378" s="124"/>
      <c r="HK378" s="124"/>
      <c r="HL378" s="124"/>
      <c r="HM378" s="124"/>
      <c r="HN378" s="124"/>
      <c r="HO378" s="124"/>
      <c r="HP378" s="124"/>
      <c r="HQ378" s="124"/>
    </row>
    <row r="379" spans="1:225" x14ac:dyDescent="0.2">
      <c r="A379" s="122"/>
      <c r="B379" s="123"/>
      <c r="C379" s="124"/>
      <c r="D379" s="123"/>
      <c r="E379" s="124"/>
      <c r="F379" s="123"/>
      <c r="G379" s="123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  <c r="AU379" s="124"/>
      <c r="AV379" s="124"/>
      <c r="AW379" s="124"/>
      <c r="AX379" s="124"/>
      <c r="AY379" s="124"/>
      <c r="AZ379" s="124"/>
      <c r="BA379" s="124"/>
      <c r="BB379" s="124"/>
      <c r="BC379" s="124"/>
      <c r="BD379" s="124"/>
      <c r="BE379" s="124"/>
      <c r="BF379" s="124"/>
      <c r="BG379" s="124"/>
      <c r="BH379" s="124"/>
      <c r="BI379" s="124"/>
      <c r="BJ379" s="124"/>
      <c r="BK379" s="124"/>
      <c r="BL379" s="124"/>
      <c r="BM379" s="124"/>
      <c r="BN379" s="124"/>
      <c r="BO379" s="124"/>
      <c r="BP379" s="124"/>
      <c r="BQ379" s="124"/>
      <c r="BR379" s="124"/>
      <c r="BS379" s="124"/>
      <c r="BT379" s="124"/>
      <c r="BU379" s="124"/>
      <c r="BV379" s="124"/>
      <c r="BW379" s="124"/>
      <c r="BX379" s="124"/>
      <c r="BY379" s="124"/>
      <c r="BZ379" s="124"/>
      <c r="CA379" s="124"/>
      <c r="CB379" s="124"/>
      <c r="CC379" s="124"/>
      <c r="CD379" s="124"/>
      <c r="CE379" s="124"/>
      <c r="CF379" s="124"/>
      <c r="CG379" s="124"/>
      <c r="CH379" s="124"/>
      <c r="CI379" s="124"/>
      <c r="CJ379" s="124"/>
      <c r="CK379" s="124"/>
      <c r="CL379" s="124"/>
      <c r="CM379" s="124"/>
      <c r="CN379" s="124"/>
      <c r="CO379" s="124"/>
      <c r="CP379" s="124"/>
      <c r="CQ379" s="124"/>
      <c r="CR379" s="124"/>
      <c r="CS379" s="124"/>
      <c r="CT379" s="124"/>
      <c r="CU379" s="124"/>
      <c r="CV379" s="124"/>
      <c r="CW379" s="124"/>
      <c r="CX379" s="124"/>
      <c r="CY379" s="124"/>
      <c r="CZ379" s="124"/>
      <c r="DA379" s="124"/>
      <c r="DB379" s="124"/>
      <c r="DC379" s="124"/>
      <c r="DD379" s="124"/>
      <c r="DE379" s="124"/>
      <c r="DF379" s="124"/>
      <c r="DG379" s="124"/>
      <c r="DH379" s="124"/>
      <c r="DI379" s="124"/>
      <c r="DJ379" s="124"/>
      <c r="DK379" s="124"/>
      <c r="DL379" s="124"/>
      <c r="DM379" s="124"/>
      <c r="DN379" s="124"/>
      <c r="DO379" s="124"/>
      <c r="DP379" s="124"/>
      <c r="DQ379" s="124"/>
      <c r="DR379" s="124"/>
      <c r="DS379" s="124"/>
      <c r="DT379" s="124"/>
      <c r="DU379" s="124"/>
      <c r="DV379" s="124"/>
      <c r="DW379" s="124"/>
      <c r="DX379" s="124"/>
      <c r="DY379" s="124"/>
      <c r="DZ379" s="124"/>
      <c r="EA379" s="124"/>
      <c r="EB379" s="124"/>
      <c r="EC379" s="124"/>
      <c r="ED379" s="124"/>
      <c r="EE379" s="124"/>
      <c r="EF379" s="124"/>
      <c r="EG379" s="124"/>
      <c r="EH379" s="124"/>
      <c r="EI379" s="124"/>
      <c r="EJ379" s="124"/>
      <c r="EK379" s="124"/>
      <c r="EL379" s="124"/>
      <c r="EM379" s="124"/>
      <c r="EN379" s="124"/>
      <c r="EO379" s="124"/>
      <c r="EP379" s="124"/>
      <c r="EQ379" s="124"/>
      <c r="ER379" s="124"/>
      <c r="ES379" s="124"/>
      <c r="ET379" s="124"/>
      <c r="EU379" s="124"/>
      <c r="EV379" s="124"/>
      <c r="EW379" s="124"/>
      <c r="EX379" s="124"/>
      <c r="EY379" s="124"/>
      <c r="EZ379" s="124"/>
      <c r="FA379" s="124"/>
      <c r="FB379" s="124"/>
      <c r="FC379" s="124"/>
      <c r="FD379" s="124"/>
      <c r="FE379" s="124"/>
      <c r="FF379" s="124"/>
      <c r="FG379" s="124"/>
      <c r="FH379" s="124"/>
      <c r="FI379" s="124"/>
      <c r="FJ379" s="124"/>
      <c r="FK379" s="124"/>
      <c r="FL379" s="124"/>
      <c r="FM379" s="124"/>
      <c r="FN379" s="124"/>
      <c r="FO379" s="124"/>
      <c r="FP379" s="124"/>
      <c r="FQ379" s="124"/>
      <c r="FR379" s="124"/>
      <c r="FS379" s="124"/>
      <c r="FT379" s="124"/>
      <c r="FU379" s="124"/>
      <c r="FV379" s="124"/>
      <c r="FW379" s="124"/>
      <c r="FX379" s="124"/>
      <c r="FY379" s="124"/>
      <c r="FZ379" s="124"/>
      <c r="GA379" s="124"/>
      <c r="GB379" s="124"/>
      <c r="GC379" s="124"/>
      <c r="GD379" s="124"/>
      <c r="GE379" s="124"/>
      <c r="GF379" s="124"/>
      <c r="GG379" s="124"/>
      <c r="GH379" s="124"/>
      <c r="GI379" s="124"/>
      <c r="GJ379" s="124"/>
      <c r="GK379" s="124"/>
      <c r="GL379" s="124"/>
      <c r="GM379" s="124"/>
      <c r="GN379" s="124"/>
      <c r="GO379" s="124"/>
      <c r="GP379" s="124"/>
      <c r="GQ379" s="124"/>
      <c r="GR379" s="124"/>
      <c r="GS379" s="124"/>
      <c r="GT379" s="124"/>
      <c r="GU379" s="124"/>
      <c r="GV379" s="124"/>
      <c r="GW379" s="124"/>
      <c r="GX379" s="124"/>
      <c r="GY379" s="124"/>
      <c r="GZ379" s="124"/>
      <c r="HA379" s="124"/>
      <c r="HB379" s="124"/>
      <c r="HC379" s="124"/>
      <c r="HD379" s="124"/>
      <c r="HE379" s="124"/>
      <c r="HF379" s="124"/>
      <c r="HG379" s="124"/>
      <c r="HH379" s="124"/>
      <c r="HI379" s="124"/>
      <c r="HJ379" s="124"/>
      <c r="HK379" s="124"/>
      <c r="HL379" s="124"/>
      <c r="HM379" s="124"/>
      <c r="HN379" s="124"/>
      <c r="HO379" s="124"/>
      <c r="HP379" s="124"/>
      <c r="HQ379" s="124"/>
    </row>
    <row r="380" spans="1:225" x14ac:dyDescent="0.2">
      <c r="A380" s="122"/>
      <c r="B380" s="123"/>
      <c r="C380" s="124"/>
      <c r="D380" s="123"/>
      <c r="E380" s="124"/>
      <c r="F380" s="123"/>
      <c r="G380" s="123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/>
      <c r="BB380" s="124"/>
      <c r="BC380" s="124"/>
      <c r="BD380" s="124"/>
      <c r="BE380" s="124"/>
      <c r="BF380" s="124"/>
      <c r="BG380" s="124"/>
      <c r="BH380" s="124"/>
      <c r="BI380" s="124"/>
      <c r="BJ380" s="124"/>
      <c r="BK380" s="124"/>
      <c r="BL380" s="124"/>
      <c r="BM380" s="124"/>
      <c r="BN380" s="124"/>
      <c r="BO380" s="124"/>
      <c r="BP380" s="124"/>
      <c r="BQ380" s="124"/>
      <c r="BR380" s="124"/>
      <c r="BS380" s="124"/>
      <c r="BT380" s="124"/>
      <c r="BU380" s="124"/>
      <c r="BV380" s="124"/>
      <c r="BW380" s="124"/>
      <c r="BX380" s="124"/>
      <c r="BY380" s="124"/>
      <c r="BZ380" s="124"/>
      <c r="CA380" s="124"/>
      <c r="CB380" s="124"/>
      <c r="CC380" s="124"/>
      <c r="CD380" s="124"/>
      <c r="CE380" s="124"/>
      <c r="CF380" s="124"/>
      <c r="CG380" s="124"/>
      <c r="CH380" s="124"/>
      <c r="CI380" s="124"/>
      <c r="CJ380" s="124"/>
      <c r="CK380" s="124"/>
      <c r="CL380" s="124"/>
      <c r="CM380" s="124"/>
      <c r="CN380" s="124"/>
      <c r="CO380" s="124"/>
      <c r="CP380" s="124"/>
      <c r="CQ380" s="124"/>
      <c r="CR380" s="124"/>
      <c r="CS380" s="124"/>
      <c r="CT380" s="124"/>
      <c r="CU380" s="124"/>
      <c r="CV380" s="124"/>
      <c r="CW380" s="124"/>
      <c r="CX380" s="124"/>
      <c r="CY380" s="124"/>
      <c r="CZ380" s="124"/>
      <c r="DA380" s="124"/>
      <c r="DB380" s="124"/>
      <c r="DC380" s="124"/>
      <c r="DD380" s="124"/>
      <c r="DE380" s="124"/>
      <c r="DF380" s="124"/>
      <c r="DG380" s="124"/>
      <c r="DH380" s="124"/>
      <c r="DI380" s="124"/>
      <c r="DJ380" s="124"/>
      <c r="DK380" s="124"/>
      <c r="DL380" s="124"/>
      <c r="DM380" s="124"/>
      <c r="DN380" s="124"/>
      <c r="DO380" s="124"/>
      <c r="DP380" s="124"/>
      <c r="DQ380" s="124"/>
      <c r="DR380" s="124"/>
      <c r="DS380" s="124"/>
      <c r="DT380" s="124"/>
      <c r="DU380" s="124"/>
      <c r="DV380" s="124"/>
      <c r="DW380" s="124"/>
      <c r="DX380" s="124"/>
      <c r="DY380" s="124"/>
      <c r="DZ380" s="124"/>
      <c r="EA380" s="124"/>
      <c r="EB380" s="124"/>
      <c r="EC380" s="124"/>
      <c r="ED380" s="124"/>
      <c r="EE380" s="124"/>
      <c r="EF380" s="124"/>
      <c r="EG380" s="124"/>
      <c r="EH380" s="124"/>
      <c r="EI380" s="124"/>
      <c r="EJ380" s="124"/>
      <c r="EK380" s="124"/>
      <c r="EL380" s="124"/>
      <c r="EM380" s="124"/>
      <c r="EN380" s="124"/>
      <c r="EO380" s="124"/>
      <c r="EP380" s="124"/>
      <c r="EQ380" s="124"/>
      <c r="ER380" s="124"/>
      <c r="ES380" s="124"/>
      <c r="ET380" s="124"/>
      <c r="EU380" s="124"/>
      <c r="EV380" s="124"/>
      <c r="EW380" s="124"/>
      <c r="EX380" s="124"/>
      <c r="EY380" s="124"/>
      <c r="EZ380" s="124"/>
      <c r="FA380" s="124"/>
      <c r="FB380" s="124"/>
      <c r="FC380" s="124"/>
      <c r="FD380" s="124"/>
      <c r="FE380" s="124"/>
      <c r="FF380" s="124"/>
      <c r="FG380" s="124"/>
      <c r="FH380" s="124"/>
      <c r="FI380" s="124"/>
      <c r="FJ380" s="124"/>
      <c r="FK380" s="124"/>
      <c r="FL380" s="124"/>
      <c r="FM380" s="124"/>
      <c r="FN380" s="124"/>
      <c r="FO380" s="124"/>
      <c r="FP380" s="124"/>
      <c r="FQ380" s="124"/>
      <c r="FR380" s="124"/>
      <c r="FS380" s="124"/>
      <c r="FT380" s="124"/>
      <c r="FU380" s="124"/>
      <c r="FV380" s="124"/>
      <c r="FW380" s="124"/>
      <c r="FX380" s="124"/>
      <c r="FY380" s="124"/>
      <c r="FZ380" s="124"/>
      <c r="GA380" s="124"/>
      <c r="GB380" s="124"/>
      <c r="GC380" s="124"/>
      <c r="GD380" s="124"/>
      <c r="GE380" s="124"/>
      <c r="GF380" s="124"/>
      <c r="GG380" s="124"/>
      <c r="GH380" s="124"/>
      <c r="GI380" s="124"/>
      <c r="GJ380" s="124"/>
      <c r="GK380" s="124"/>
      <c r="GL380" s="124"/>
      <c r="GM380" s="124"/>
      <c r="GN380" s="124"/>
      <c r="GO380" s="124"/>
      <c r="GP380" s="124"/>
      <c r="GQ380" s="124"/>
      <c r="GR380" s="124"/>
      <c r="GS380" s="124"/>
      <c r="GT380" s="124"/>
      <c r="GU380" s="124"/>
      <c r="GV380" s="124"/>
      <c r="GW380" s="124"/>
      <c r="GX380" s="124"/>
      <c r="GY380" s="124"/>
      <c r="GZ380" s="124"/>
      <c r="HA380" s="124"/>
      <c r="HB380" s="124"/>
      <c r="HC380" s="124"/>
      <c r="HD380" s="124"/>
      <c r="HE380" s="124"/>
      <c r="HF380" s="124"/>
      <c r="HG380" s="124"/>
      <c r="HH380" s="124"/>
      <c r="HI380" s="124"/>
      <c r="HJ380" s="124"/>
      <c r="HK380" s="124"/>
      <c r="HL380" s="124"/>
      <c r="HM380" s="124"/>
      <c r="HN380" s="124"/>
      <c r="HO380" s="124"/>
      <c r="HP380" s="124"/>
      <c r="HQ380" s="124"/>
    </row>
    <row r="381" spans="1:225" x14ac:dyDescent="0.2">
      <c r="A381" s="122"/>
      <c r="B381" s="123"/>
      <c r="C381" s="124"/>
      <c r="D381" s="123"/>
      <c r="E381" s="124"/>
      <c r="F381" s="123"/>
      <c r="G381" s="123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  <c r="AU381" s="124"/>
      <c r="AV381" s="124"/>
      <c r="AW381" s="124"/>
      <c r="AX381" s="124"/>
      <c r="AY381" s="124"/>
      <c r="AZ381" s="124"/>
      <c r="BA381" s="124"/>
      <c r="BB381" s="124"/>
      <c r="BC381" s="124"/>
      <c r="BD381" s="124"/>
      <c r="BE381" s="124"/>
      <c r="BF381" s="124"/>
      <c r="BG381" s="124"/>
      <c r="BH381" s="124"/>
      <c r="BI381" s="124"/>
      <c r="BJ381" s="124"/>
      <c r="BK381" s="124"/>
      <c r="BL381" s="124"/>
      <c r="BM381" s="124"/>
      <c r="BN381" s="124"/>
      <c r="BO381" s="124"/>
      <c r="BP381" s="124"/>
      <c r="BQ381" s="124"/>
      <c r="BR381" s="124"/>
      <c r="BS381" s="124"/>
      <c r="BT381" s="124"/>
      <c r="BU381" s="124"/>
      <c r="BV381" s="124"/>
      <c r="BW381" s="124"/>
      <c r="BX381" s="124"/>
      <c r="BY381" s="124"/>
      <c r="BZ381" s="124"/>
      <c r="CA381" s="124"/>
      <c r="CB381" s="124"/>
      <c r="CC381" s="124"/>
      <c r="CD381" s="124"/>
      <c r="CE381" s="124"/>
      <c r="CF381" s="124"/>
      <c r="CG381" s="124"/>
      <c r="CH381" s="124"/>
      <c r="CI381" s="124"/>
      <c r="CJ381" s="124"/>
      <c r="CK381" s="124"/>
      <c r="CL381" s="124"/>
      <c r="CM381" s="124"/>
      <c r="CN381" s="124"/>
      <c r="CO381" s="124"/>
      <c r="CP381" s="124"/>
      <c r="CQ381" s="124"/>
      <c r="CR381" s="124"/>
      <c r="CS381" s="124"/>
      <c r="CT381" s="124"/>
      <c r="CU381" s="124"/>
      <c r="CV381" s="124"/>
      <c r="CW381" s="124"/>
      <c r="CX381" s="124"/>
      <c r="CY381" s="124"/>
      <c r="CZ381" s="124"/>
      <c r="DA381" s="124"/>
      <c r="DB381" s="124"/>
      <c r="DC381" s="124"/>
      <c r="DD381" s="124"/>
      <c r="DE381" s="124"/>
      <c r="DF381" s="124"/>
      <c r="DG381" s="124"/>
      <c r="DH381" s="124"/>
      <c r="DI381" s="124"/>
      <c r="DJ381" s="124"/>
      <c r="DK381" s="124"/>
      <c r="DL381" s="124"/>
      <c r="DM381" s="124"/>
      <c r="DN381" s="124"/>
      <c r="DO381" s="124"/>
      <c r="DP381" s="124"/>
      <c r="DQ381" s="124"/>
      <c r="DR381" s="124"/>
      <c r="DS381" s="124"/>
      <c r="DT381" s="124"/>
      <c r="DU381" s="124"/>
      <c r="DV381" s="124"/>
      <c r="DW381" s="124"/>
      <c r="DX381" s="124"/>
      <c r="DY381" s="124"/>
      <c r="DZ381" s="124"/>
      <c r="EA381" s="124"/>
      <c r="EB381" s="124"/>
      <c r="EC381" s="124"/>
      <c r="ED381" s="124"/>
      <c r="EE381" s="124"/>
      <c r="EF381" s="124"/>
      <c r="EG381" s="124"/>
      <c r="EH381" s="124"/>
      <c r="EI381" s="124"/>
      <c r="EJ381" s="124"/>
      <c r="EK381" s="124"/>
      <c r="EL381" s="124"/>
      <c r="EM381" s="124"/>
      <c r="EN381" s="124"/>
      <c r="EO381" s="124"/>
      <c r="EP381" s="124"/>
      <c r="EQ381" s="124"/>
      <c r="ER381" s="124"/>
      <c r="ES381" s="124"/>
      <c r="ET381" s="124"/>
      <c r="EU381" s="124"/>
      <c r="EV381" s="124"/>
      <c r="EW381" s="124"/>
      <c r="EX381" s="124"/>
      <c r="EY381" s="124"/>
      <c r="EZ381" s="124"/>
      <c r="FA381" s="124"/>
      <c r="FB381" s="124"/>
      <c r="FC381" s="124"/>
      <c r="FD381" s="124"/>
      <c r="FE381" s="124"/>
      <c r="FF381" s="124"/>
      <c r="FG381" s="124"/>
      <c r="FH381" s="124"/>
      <c r="FI381" s="124"/>
      <c r="FJ381" s="124"/>
      <c r="FK381" s="124"/>
      <c r="FL381" s="124"/>
      <c r="FM381" s="124"/>
      <c r="FN381" s="124"/>
      <c r="FO381" s="124"/>
      <c r="FP381" s="124"/>
      <c r="FQ381" s="124"/>
      <c r="FR381" s="124"/>
      <c r="FS381" s="124"/>
      <c r="FT381" s="124"/>
      <c r="FU381" s="124"/>
      <c r="FV381" s="124"/>
      <c r="FW381" s="124"/>
      <c r="FX381" s="124"/>
      <c r="FY381" s="124"/>
      <c r="FZ381" s="124"/>
      <c r="GA381" s="124"/>
      <c r="GB381" s="124"/>
      <c r="GC381" s="124"/>
      <c r="GD381" s="124"/>
      <c r="GE381" s="124"/>
      <c r="GF381" s="124"/>
      <c r="GG381" s="124"/>
      <c r="GH381" s="124"/>
      <c r="GI381" s="124"/>
      <c r="GJ381" s="124"/>
      <c r="GK381" s="124"/>
      <c r="GL381" s="124"/>
      <c r="GM381" s="124"/>
      <c r="GN381" s="124"/>
      <c r="GO381" s="124"/>
      <c r="GP381" s="124"/>
      <c r="GQ381" s="124"/>
      <c r="GR381" s="124"/>
      <c r="GS381" s="124"/>
      <c r="GT381" s="124"/>
      <c r="GU381" s="124"/>
      <c r="GV381" s="124"/>
      <c r="GW381" s="124"/>
      <c r="GX381" s="124"/>
      <c r="GY381" s="124"/>
      <c r="GZ381" s="124"/>
      <c r="HA381" s="124"/>
      <c r="HB381" s="124"/>
      <c r="HC381" s="124"/>
      <c r="HD381" s="124"/>
      <c r="HE381" s="124"/>
      <c r="HF381" s="124"/>
      <c r="HG381" s="124"/>
      <c r="HH381" s="124"/>
      <c r="HI381" s="124"/>
      <c r="HJ381" s="124"/>
      <c r="HK381" s="124"/>
      <c r="HL381" s="124"/>
      <c r="HM381" s="124"/>
      <c r="HN381" s="124"/>
      <c r="HO381" s="124"/>
      <c r="HP381" s="124"/>
      <c r="HQ381" s="124"/>
    </row>
    <row r="382" spans="1:225" x14ac:dyDescent="0.2">
      <c r="A382" s="122"/>
      <c r="B382" s="123"/>
      <c r="C382" s="124"/>
      <c r="D382" s="123"/>
      <c r="E382" s="124"/>
      <c r="F382" s="123"/>
      <c r="G382" s="123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  <c r="AU382" s="124"/>
      <c r="AV382" s="124"/>
      <c r="AW382" s="124"/>
      <c r="AX382" s="124"/>
      <c r="AY382" s="124"/>
      <c r="AZ382" s="124"/>
      <c r="BA382" s="124"/>
      <c r="BB382" s="124"/>
      <c r="BC382" s="124"/>
      <c r="BD382" s="124"/>
      <c r="BE382" s="124"/>
      <c r="BF382" s="124"/>
      <c r="BG382" s="124"/>
      <c r="BH382" s="124"/>
      <c r="BI382" s="124"/>
      <c r="BJ382" s="124"/>
      <c r="BK382" s="124"/>
      <c r="BL382" s="124"/>
      <c r="BM382" s="124"/>
      <c r="BN382" s="124"/>
      <c r="BO382" s="124"/>
      <c r="BP382" s="124"/>
      <c r="BQ382" s="124"/>
      <c r="BR382" s="124"/>
      <c r="BS382" s="124"/>
      <c r="BT382" s="124"/>
      <c r="BU382" s="124"/>
      <c r="BV382" s="124"/>
      <c r="BW382" s="124"/>
      <c r="BX382" s="124"/>
      <c r="BY382" s="124"/>
      <c r="BZ382" s="124"/>
      <c r="CA382" s="124"/>
      <c r="CB382" s="124"/>
      <c r="CC382" s="124"/>
      <c r="CD382" s="124"/>
      <c r="CE382" s="124"/>
      <c r="CF382" s="124"/>
      <c r="CG382" s="124"/>
      <c r="CH382" s="124"/>
      <c r="CI382" s="124"/>
      <c r="CJ382" s="124"/>
      <c r="CK382" s="124"/>
      <c r="CL382" s="124"/>
      <c r="CM382" s="124"/>
      <c r="CN382" s="124"/>
      <c r="CO382" s="124"/>
      <c r="CP382" s="124"/>
      <c r="CQ382" s="124"/>
      <c r="CR382" s="124"/>
      <c r="CS382" s="124"/>
      <c r="CT382" s="124"/>
      <c r="CU382" s="124"/>
      <c r="CV382" s="124"/>
      <c r="CW382" s="124"/>
      <c r="CX382" s="124"/>
      <c r="CY382" s="124"/>
      <c r="CZ382" s="124"/>
      <c r="DA382" s="124"/>
      <c r="DB382" s="124"/>
      <c r="DC382" s="124"/>
      <c r="DD382" s="124"/>
      <c r="DE382" s="124"/>
      <c r="DF382" s="124"/>
      <c r="DG382" s="124"/>
      <c r="DH382" s="124"/>
      <c r="DI382" s="124"/>
      <c r="DJ382" s="124"/>
      <c r="DK382" s="124"/>
      <c r="DL382" s="124"/>
      <c r="DM382" s="124"/>
      <c r="DN382" s="124"/>
      <c r="DO382" s="124"/>
      <c r="DP382" s="124"/>
      <c r="DQ382" s="124"/>
      <c r="DR382" s="124"/>
      <c r="DS382" s="124"/>
      <c r="DT382" s="124"/>
      <c r="DU382" s="124"/>
      <c r="DV382" s="124"/>
      <c r="DW382" s="124"/>
      <c r="DX382" s="124"/>
      <c r="DY382" s="124"/>
      <c r="DZ382" s="124"/>
      <c r="EA382" s="124"/>
      <c r="EB382" s="124"/>
      <c r="EC382" s="124"/>
      <c r="ED382" s="124"/>
      <c r="EE382" s="124"/>
      <c r="EF382" s="124"/>
      <c r="EG382" s="124"/>
      <c r="EH382" s="124"/>
      <c r="EI382" s="124"/>
      <c r="EJ382" s="124"/>
      <c r="EK382" s="124"/>
      <c r="EL382" s="124"/>
      <c r="EM382" s="124"/>
      <c r="EN382" s="124"/>
      <c r="EO382" s="124"/>
      <c r="EP382" s="124"/>
      <c r="EQ382" s="124"/>
      <c r="ER382" s="124"/>
      <c r="ES382" s="124"/>
      <c r="ET382" s="124"/>
      <c r="EU382" s="124"/>
      <c r="EV382" s="124"/>
      <c r="EW382" s="124"/>
      <c r="EX382" s="124"/>
      <c r="EY382" s="124"/>
      <c r="EZ382" s="124"/>
      <c r="FA382" s="124"/>
      <c r="FB382" s="124"/>
      <c r="FC382" s="124"/>
      <c r="FD382" s="124"/>
      <c r="FE382" s="124"/>
      <c r="FF382" s="124"/>
      <c r="FG382" s="124"/>
      <c r="FH382" s="124"/>
      <c r="FI382" s="124"/>
      <c r="FJ382" s="124"/>
      <c r="FK382" s="124"/>
      <c r="FL382" s="124"/>
      <c r="FM382" s="124"/>
      <c r="FN382" s="124"/>
      <c r="FO382" s="124"/>
      <c r="FP382" s="124"/>
      <c r="FQ382" s="124"/>
      <c r="FR382" s="124"/>
      <c r="FS382" s="124"/>
      <c r="FT382" s="124"/>
      <c r="FU382" s="124"/>
      <c r="FV382" s="124"/>
      <c r="FW382" s="124"/>
      <c r="FX382" s="124"/>
      <c r="FY382" s="124"/>
      <c r="FZ382" s="124"/>
      <c r="GA382" s="124"/>
      <c r="GB382" s="124"/>
      <c r="GC382" s="124"/>
      <c r="GD382" s="124"/>
      <c r="GE382" s="124"/>
      <c r="GF382" s="124"/>
      <c r="GG382" s="124"/>
      <c r="GH382" s="124"/>
      <c r="GI382" s="124"/>
      <c r="GJ382" s="124"/>
      <c r="GK382" s="124"/>
      <c r="GL382" s="124"/>
      <c r="GM382" s="124"/>
      <c r="GN382" s="124"/>
      <c r="GO382" s="124"/>
      <c r="GP382" s="124"/>
      <c r="GQ382" s="124"/>
      <c r="GR382" s="124"/>
      <c r="GS382" s="124"/>
      <c r="GT382" s="124"/>
      <c r="GU382" s="124"/>
      <c r="GV382" s="124"/>
      <c r="GW382" s="124"/>
      <c r="GX382" s="124"/>
      <c r="GY382" s="124"/>
      <c r="GZ382" s="124"/>
      <c r="HA382" s="124"/>
      <c r="HB382" s="124"/>
      <c r="HC382" s="124"/>
      <c r="HD382" s="124"/>
      <c r="HE382" s="124"/>
      <c r="HF382" s="124"/>
      <c r="HG382" s="124"/>
      <c r="HH382" s="124"/>
      <c r="HI382" s="124"/>
      <c r="HJ382" s="124"/>
      <c r="HK382" s="124"/>
      <c r="HL382" s="124"/>
      <c r="HM382" s="124"/>
      <c r="HN382" s="124"/>
      <c r="HO382" s="124"/>
      <c r="HP382" s="124"/>
      <c r="HQ382" s="124"/>
    </row>
    <row r="383" spans="1:225" x14ac:dyDescent="0.2">
      <c r="A383" s="122"/>
      <c r="B383" s="123"/>
      <c r="C383" s="124"/>
      <c r="D383" s="123"/>
      <c r="E383" s="124"/>
      <c r="F383" s="123"/>
      <c r="G383" s="123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/>
      <c r="BB383" s="124"/>
      <c r="BC383" s="124"/>
      <c r="BD383" s="124"/>
      <c r="BE383" s="124"/>
      <c r="BF383" s="124"/>
      <c r="BG383" s="124"/>
      <c r="BH383" s="124"/>
      <c r="BI383" s="124"/>
      <c r="BJ383" s="124"/>
      <c r="BK383" s="124"/>
      <c r="BL383" s="124"/>
      <c r="BM383" s="124"/>
      <c r="BN383" s="124"/>
      <c r="BO383" s="124"/>
      <c r="BP383" s="124"/>
      <c r="BQ383" s="124"/>
      <c r="BR383" s="124"/>
      <c r="BS383" s="124"/>
      <c r="BT383" s="124"/>
      <c r="BU383" s="124"/>
      <c r="BV383" s="124"/>
      <c r="BW383" s="124"/>
      <c r="BX383" s="124"/>
      <c r="BY383" s="124"/>
      <c r="BZ383" s="124"/>
      <c r="CA383" s="124"/>
      <c r="CB383" s="124"/>
      <c r="CC383" s="124"/>
      <c r="CD383" s="124"/>
      <c r="CE383" s="124"/>
      <c r="CF383" s="124"/>
      <c r="CG383" s="124"/>
      <c r="CH383" s="124"/>
      <c r="CI383" s="124"/>
      <c r="CJ383" s="124"/>
      <c r="CK383" s="124"/>
      <c r="CL383" s="124"/>
      <c r="CM383" s="124"/>
      <c r="CN383" s="124"/>
      <c r="CO383" s="124"/>
      <c r="CP383" s="124"/>
      <c r="CQ383" s="124"/>
      <c r="CR383" s="124"/>
      <c r="CS383" s="124"/>
      <c r="CT383" s="124"/>
      <c r="CU383" s="124"/>
      <c r="CV383" s="124"/>
      <c r="CW383" s="124"/>
      <c r="CX383" s="124"/>
      <c r="CY383" s="124"/>
      <c r="CZ383" s="124"/>
      <c r="DA383" s="124"/>
      <c r="DB383" s="124"/>
      <c r="DC383" s="124"/>
      <c r="DD383" s="124"/>
      <c r="DE383" s="124"/>
      <c r="DF383" s="124"/>
      <c r="DG383" s="124"/>
      <c r="DH383" s="124"/>
      <c r="DI383" s="124"/>
      <c r="DJ383" s="124"/>
      <c r="DK383" s="124"/>
      <c r="DL383" s="124"/>
      <c r="DM383" s="124"/>
      <c r="DN383" s="124"/>
      <c r="DO383" s="124"/>
      <c r="DP383" s="124"/>
      <c r="DQ383" s="124"/>
      <c r="DR383" s="124"/>
      <c r="DS383" s="124"/>
      <c r="DT383" s="124"/>
      <c r="DU383" s="124"/>
      <c r="DV383" s="124"/>
      <c r="DW383" s="124"/>
      <c r="DX383" s="124"/>
      <c r="DY383" s="124"/>
      <c r="DZ383" s="124"/>
      <c r="EA383" s="124"/>
      <c r="EB383" s="124"/>
      <c r="EC383" s="124"/>
      <c r="ED383" s="124"/>
      <c r="EE383" s="124"/>
      <c r="EF383" s="124"/>
      <c r="EG383" s="124"/>
      <c r="EH383" s="124"/>
      <c r="EI383" s="124"/>
      <c r="EJ383" s="124"/>
      <c r="EK383" s="124"/>
      <c r="EL383" s="124"/>
      <c r="EM383" s="124"/>
      <c r="EN383" s="124"/>
      <c r="EO383" s="124"/>
      <c r="EP383" s="124"/>
      <c r="EQ383" s="124"/>
      <c r="ER383" s="124"/>
      <c r="ES383" s="124"/>
      <c r="ET383" s="124"/>
      <c r="EU383" s="124"/>
      <c r="EV383" s="124"/>
      <c r="EW383" s="124"/>
      <c r="EX383" s="124"/>
      <c r="EY383" s="124"/>
      <c r="EZ383" s="124"/>
      <c r="FA383" s="124"/>
      <c r="FB383" s="124"/>
      <c r="FC383" s="124"/>
      <c r="FD383" s="124"/>
      <c r="FE383" s="124"/>
      <c r="FF383" s="124"/>
      <c r="FG383" s="124"/>
      <c r="FH383" s="124"/>
      <c r="FI383" s="124"/>
      <c r="FJ383" s="124"/>
      <c r="FK383" s="124"/>
      <c r="FL383" s="124"/>
      <c r="FM383" s="124"/>
      <c r="FN383" s="124"/>
      <c r="FO383" s="124"/>
      <c r="FP383" s="124"/>
      <c r="FQ383" s="124"/>
      <c r="FR383" s="124"/>
      <c r="FS383" s="124"/>
      <c r="FT383" s="124"/>
      <c r="FU383" s="124"/>
      <c r="FV383" s="124"/>
      <c r="FW383" s="124"/>
      <c r="FX383" s="124"/>
      <c r="FY383" s="124"/>
      <c r="FZ383" s="124"/>
      <c r="GA383" s="124"/>
      <c r="GB383" s="124"/>
      <c r="GC383" s="124"/>
      <c r="GD383" s="124"/>
      <c r="GE383" s="124"/>
      <c r="GF383" s="124"/>
      <c r="GG383" s="124"/>
      <c r="GH383" s="124"/>
      <c r="GI383" s="124"/>
      <c r="GJ383" s="124"/>
      <c r="GK383" s="124"/>
      <c r="GL383" s="124"/>
      <c r="GM383" s="124"/>
      <c r="GN383" s="124"/>
      <c r="GO383" s="124"/>
      <c r="GP383" s="124"/>
      <c r="GQ383" s="124"/>
      <c r="GR383" s="124"/>
      <c r="GS383" s="124"/>
      <c r="GT383" s="124"/>
      <c r="GU383" s="124"/>
      <c r="GV383" s="124"/>
      <c r="GW383" s="124"/>
      <c r="GX383" s="124"/>
      <c r="GY383" s="124"/>
      <c r="GZ383" s="124"/>
      <c r="HA383" s="124"/>
      <c r="HB383" s="124"/>
      <c r="HC383" s="124"/>
      <c r="HD383" s="124"/>
      <c r="HE383" s="124"/>
      <c r="HF383" s="124"/>
      <c r="HG383" s="124"/>
      <c r="HH383" s="124"/>
      <c r="HI383" s="124"/>
      <c r="HJ383" s="124"/>
      <c r="HK383" s="124"/>
      <c r="HL383" s="124"/>
      <c r="HM383" s="124"/>
      <c r="HN383" s="124"/>
      <c r="HO383" s="124"/>
      <c r="HP383" s="124"/>
      <c r="HQ383" s="124"/>
    </row>
    <row r="384" spans="1:225" x14ac:dyDescent="0.2">
      <c r="A384" s="122"/>
      <c r="B384" s="123"/>
      <c r="C384" s="124"/>
      <c r="D384" s="123"/>
      <c r="E384" s="124"/>
      <c r="F384" s="123"/>
      <c r="G384" s="123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  <c r="AU384" s="124"/>
      <c r="AV384" s="124"/>
      <c r="AW384" s="124"/>
      <c r="AX384" s="124"/>
      <c r="AY384" s="124"/>
      <c r="AZ384" s="124"/>
      <c r="BA384" s="124"/>
      <c r="BB384" s="124"/>
      <c r="BC384" s="124"/>
      <c r="BD384" s="124"/>
      <c r="BE384" s="124"/>
      <c r="BF384" s="124"/>
      <c r="BG384" s="124"/>
      <c r="BH384" s="124"/>
      <c r="BI384" s="124"/>
      <c r="BJ384" s="124"/>
      <c r="BK384" s="124"/>
      <c r="BL384" s="124"/>
      <c r="BM384" s="124"/>
      <c r="BN384" s="124"/>
      <c r="BO384" s="124"/>
      <c r="BP384" s="124"/>
      <c r="BQ384" s="124"/>
      <c r="BR384" s="124"/>
      <c r="BS384" s="124"/>
      <c r="BT384" s="124"/>
      <c r="BU384" s="124"/>
      <c r="BV384" s="124"/>
      <c r="BW384" s="124"/>
      <c r="BX384" s="124"/>
      <c r="BY384" s="124"/>
      <c r="BZ384" s="124"/>
      <c r="CA384" s="124"/>
      <c r="CB384" s="124"/>
      <c r="CC384" s="124"/>
      <c r="CD384" s="124"/>
      <c r="CE384" s="124"/>
      <c r="CF384" s="124"/>
      <c r="CG384" s="124"/>
      <c r="CH384" s="124"/>
      <c r="CI384" s="124"/>
      <c r="CJ384" s="124"/>
      <c r="CK384" s="124"/>
      <c r="CL384" s="124"/>
      <c r="CM384" s="124"/>
      <c r="CN384" s="124"/>
      <c r="CO384" s="124"/>
      <c r="CP384" s="124"/>
      <c r="CQ384" s="124"/>
      <c r="CR384" s="124"/>
      <c r="CS384" s="124"/>
      <c r="CT384" s="124"/>
      <c r="CU384" s="124"/>
      <c r="CV384" s="124"/>
      <c r="CW384" s="124"/>
      <c r="CX384" s="124"/>
      <c r="CY384" s="124"/>
      <c r="CZ384" s="124"/>
      <c r="DA384" s="124"/>
      <c r="DB384" s="124"/>
      <c r="DC384" s="124"/>
      <c r="DD384" s="124"/>
      <c r="DE384" s="124"/>
      <c r="DF384" s="124"/>
      <c r="DG384" s="124"/>
      <c r="DH384" s="124"/>
      <c r="DI384" s="124"/>
      <c r="DJ384" s="124"/>
      <c r="DK384" s="124"/>
      <c r="DL384" s="124"/>
      <c r="DM384" s="124"/>
      <c r="DN384" s="124"/>
      <c r="DO384" s="124"/>
      <c r="DP384" s="124"/>
      <c r="DQ384" s="124"/>
      <c r="DR384" s="124"/>
      <c r="DS384" s="124"/>
      <c r="DT384" s="124"/>
      <c r="DU384" s="124"/>
      <c r="DV384" s="124"/>
      <c r="DW384" s="124"/>
      <c r="DX384" s="124"/>
      <c r="DY384" s="124"/>
      <c r="DZ384" s="124"/>
      <c r="EA384" s="124"/>
      <c r="EB384" s="124"/>
      <c r="EC384" s="124"/>
      <c r="ED384" s="124"/>
      <c r="EE384" s="124"/>
      <c r="EF384" s="124"/>
      <c r="EG384" s="124"/>
      <c r="EH384" s="124"/>
      <c r="EI384" s="124"/>
      <c r="EJ384" s="124"/>
      <c r="EK384" s="124"/>
      <c r="EL384" s="124"/>
      <c r="EM384" s="124"/>
      <c r="EN384" s="124"/>
      <c r="EO384" s="124"/>
      <c r="EP384" s="124"/>
      <c r="EQ384" s="124"/>
      <c r="ER384" s="124"/>
      <c r="ES384" s="124"/>
      <c r="ET384" s="124"/>
      <c r="EU384" s="124"/>
      <c r="EV384" s="124"/>
      <c r="EW384" s="124"/>
      <c r="EX384" s="124"/>
      <c r="EY384" s="124"/>
      <c r="EZ384" s="124"/>
      <c r="FA384" s="124"/>
      <c r="FB384" s="124"/>
      <c r="FC384" s="124"/>
      <c r="FD384" s="124"/>
      <c r="FE384" s="124"/>
      <c r="FF384" s="124"/>
      <c r="FG384" s="124"/>
      <c r="FH384" s="124"/>
      <c r="FI384" s="124"/>
      <c r="FJ384" s="124"/>
      <c r="FK384" s="124"/>
      <c r="FL384" s="124"/>
      <c r="FM384" s="124"/>
      <c r="FN384" s="124"/>
      <c r="FO384" s="124"/>
      <c r="FP384" s="124"/>
      <c r="FQ384" s="124"/>
      <c r="FR384" s="124"/>
      <c r="FS384" s="124"/>
      <c r="FT384" s="124"/>
      <c r="FU384" s="124"/>
      <c r="FV384" s="124"/>
      <c r="FW384" s="124"/>
      <c r="FX384" s="124"/>
      <c r="FY384" s="124"/>
      <c r="FZ384" s="124"/>
      <c r="GA384" s="124"/>
      <c r="GB384" s="124"/>
      <c r="GC384" s="124"/>
      <c r="GD384" s="124"/>
      <c r="GE384" s="124"/>
      <c r="GF384" s="124"/>
      <c r="GG384" s="124"/>
      <c r="GH384" s="124"/>
      <c r="GI384" s="124"/>
      <c r="GJ384" s="124"/>
      <c r="GK384" s="124"/>
      <c r="GL384" s="124"/>
      <c r="GM384" s="124"/>
      <c r="GN384" s="124"/>
      <c r="GO384" s="124"/>
      <c r="GP384" s="124"/>
      <c r="GQ384" s="124"/>
      <c r="GR384" s="124"/>
      <c r="GS384" s="124"/>
      <c r="GT384" s="124"/>
      <c r="GU384" s="124"/>
      <c r="GV384" s="124"/>
      <c r="GW384" s="124"/>
      <c r="GX384" s="124"/>
      <c r="GY384" s="124"/>
      <c r="GZ384" s="124"/>
      <c r="HA384" s="124"/>
      <c r="HB384" s="124"/>
      <c r="HC384" s="124"/>
      <c r="HD384" s="124"/>
      <c r="HE384" s="124"/>
      <c r="HF384" s="124"/>
      <c r="HG384" s="124"/>
      <c r="HH384" s="124"/>
      <c r="HI384" s="124"/>
      <c r="HJ384" s="124"/>
      <c r="HK384" s="124"/>
      <c r="HL384" s="124"/>
      <c r="HM384" s="124"/>
      <c r="HN384" s="124"/>
      <c r="HO384" s="124"/>
      <c r="HP384" s="124"/>
      <c r="HQ384" s="124"/>
    </row>
    <row r="385" spans="1:225" x14ac:dyDescent="0.2">
      <c r="A385" s="122"/>
      <c r="B385" s="123"/>
      <c r="C385" s="124"/>
      <c r="D385" s="123"/>
      <c r="E385" s="124"/>
      <c r="F385" s="123"/>
      <c r="G385" s="123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  <c r="AU385" s="124"/>
      <c r="AV385" s="124"/>
      <c r="AW385" s="124"/>
      <c r="AX385" s="124"/>
      <c r="AY385" s="124"/>
      <c r="AZ385" s="124"/>
      <c r="BA385" s="124"/>
      <c r="BB385" s="124"/>
      <c r="BC385" s="124"/>
      <c r="BD385" s="124"/>
      <c r="BE385" s="124"/>
      <c r="BF385" s="124"/>
      <c r="BG385" s="124"/>
      <c r="BH385" s="124"/>
      <c r="BI385" s="124"/>
      <c r="BJ385" s="124"/>
      <c r="BK385" s="124"/>
      <c r="BL385" s="124"/>
      <c r="BM385" s="124"/>
      <c r="BN385" s="124"/>
      <c r="BO385" s="124"/>
      <c r="BP385" s="124"/>
      <c r="BQ385" s="124"/>
      <c r="BR385" s="124"/>
      <c r="BS385" s="124"/>
      <c r="BT385" s="124"/>
      <c r="BU385" s="124"/>
      <c r="BV385" s="124"/>
      <c r="BW385" s="124"/>
      <c r="BX385" s="124"/>
      <c r="BY385" s="124"/>
      <c r="BZ385" s="124"/>
      <c r="CA385" s="124"/>
      <c r="CB385" s="124"/>
      <c r="CC385" s="124"/>
      <c r="CD385" s="124"/>
      <c r="CE385" s="124"/>
      <c r="CF385" s="124"/>
      <c r="CG385" s="124"/>
      <c r="CH385" s="124"/>
      <c r="CI385" s="124"/>
      <c r="CJ385" s="124"/>
      <c r="CK385" s="124"/>
      <c r="CL385" s="124"/>
      <c r="CM385" s="124"/>
      <c r="CN385" s="124"/>
      <c r="CO385" s="124"/>
      <c r="CP385" s="124"/>
      <c r="CQ385" s="124"/>
      <c r="CR385" s="124"/>
      <c r="CS385" s="124"/>
      <c r="CT385" s="124"/>
      <c r="CU385" s="124"/>
      <c r="CV385" s="124"/>
      <c r="CW385" s="124"/>
      <c r="CX385" s="124"/>
      <c r="CY385" s="124"/>
      <c r="CZ385" s="124"/>
      <c r="DA385" s="124"/>
      <c r="DB385" s="124"/>
      <c r="DC385" s="124"/>
      <c r="DD385" s="124"/>
      <c r="DE385" s="124"/>
      <c r="DF385" s="124"/>
      <c r="DG385" s="124"/>
      <c r="DH385" s="124"/>
      <c r="DI385" s="124"/>
      <c r="DJ385" s="124"/>
      <c r="DK385" s="124"/>
      <c r="DL385" s="124"/>
      <c r="DM385" s="124"/>
      <c r="DN385" s="124"/>
      <c r="DO385" s="124"/>
      <c r="DP385" s="124"/>
      <c r="DQ385" s="124"/>
      <c r="DR385" s="124"/>
      <c r="DS385" s="124"/>
      <c r="DT385" s="124"/>
      <c r="DU385" s="124"/>
      <c r="DV385" s="124"/>
      <c r="DW385" s="124"/>
      <c r="DX385" s="124"/>
      <c r="DY385" s="124"/>
      <c r="DZ385" s="124"/>
      <c r="EA385" s="124"/>
      <c r="EB385" s="124"/>
      <c r="EC385" s="124"/>
      <c r="ED385" s="124"/>
      <c r="EE385" s="124"/>
      <c r="EF385" s="124"/>
      <c r="EG385" s="124"/>
      <c r="EH385" s="124"/>
      <c r="EI385" s="124"/>
      <c r="EJ385" s="124"/>
      <c r="EK385" s="124"/>
      <c r="EL385" s="124"/>
      <c r="EM385" s="124"/>
      <c r="EN385" s="124"/>
      <c r="EO385" s="124"/>
      <c r="EP385" s="124"/>
      <c r="EQ385" s="124"/>
      <c r="ER385" s="124"/>
      <c r="ES385" s="124"/>
      <c r="ET385" s="124"/>
      <c r="EU385" s="124"/>
      <c r="EV385" s="124"/>
      <c r="EW385" s="124"/>
      <c r="EX385" s="124"/>
      <c r="EY385" s="124"/>
      <c r="EZ385" s="124"/>
      <c r="FA385" s="124"/>
      <c r="FB385" s="124"/>
      <c r="FC385" s="124"/>
      <c r="FD385" s="124"/>
      <c r="FE385" s="124"/>
      <c r="FF385" s="124"/>
      <c r="FG385" s="124"/>
      <c r="FH385" s="124"/>
      <c r="FI385" s="124"/>
      <c r="FJ385" s="124"/>
      <c r="FK385" s="124"/>
      <c r="FL385" s="124"/>
      <c r="FM385" s="124"/>
      <c r="FN385" s="124"/>
      <c r="FO385" s="124"/>
      <c r="FP385" s="124"/>
      <c r="FQ385" s="124"/>
      <c r="FR385" s="124"/>
      <c r="FS385" s="124"/>
      <c r="FT385" s="124"/>
      <c r="FU385" s="124"/>
      <c r="FV385" s="124"/>
      <c r="FW385" s="124"/>
      <c r="FX385" s="124"/>
      <c r="FY385" s="124"/>
      <c r="FZ385" s="124"/>
      <c r="GA385" s="124"/>
      <c r="GB385" s="124"/>
      <c r="GC385" s="124"/>
      <c r="GD385" s="124"/>
      <c r="GE385" s="124"/>
      <c r="GF385" s="124"/>
      <c r="GG385" s="124"/>
      <c r="GH385" s="124"/>
      <c r="GI385" s="124"/>
      <c r="GJ385" s="124"/>
      <c r="GK385" s="124"/>
      <c r="GL385" s="124"/>
      <c r="GM385" s="124"/>
      <c r="GN385" s="124"/>
      <c r="GO385" s="124"/>
      <c r="GP385" s="124"/>
      <c r="GQ385" s="124"/>
      <c r="GR385" s="124"/>
      <c r="GS385" s="124"/>
      <c r="GT385" s="124"/>
      <c r="GU385" s="124"/>
      <c r="GV385" s="124"/>
      <c r="GW385" s="124"/>
      <c r="GX385" s="124"/>
      <c r="GY385" s="124"/>
      <c r="GZ385" s="124"/>
      <c r="HA385" s="124"/>
      <c r="HB385" s="124"/>
      <c r="HC385" s="124"/>
      <c r="HD385" s="124"/>
      <c r="HE385" s="124"/>
      <c r="HF385" s="124"/>
      <c r="HG385" s="124"/>
      <c r="HH385" s="124"/>
      <c r="HI385" s="124"/>
      <c r="HJ385" s="124"/>
      <c r="HK385" s="124"/>
      <c r="HL385" s="124"/>
      <c r="HM385" s="124"/>
      <c r="HN385" s="124"/>
      <c r="HO385" s="124"/>
      <c r="HP385" s="124"/>
      <c r="HQ385" s="124"/>
    </row>
    <row r="386" spans="1:225" x14ac:dyDescent="0.2">
      <c r="A386" s="122"/>
      <c r="B386" s="123"/>
      <c r="C386" s="124"/>
      <c r="D386" s="123"/>
      <c r="E386" s="124"/>
      <c r="F386" s="123"/>
      <c r="G386" s="123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  <c r="AU386" s="124"/>
      <c r="AV386" s="124"/>
      <c r="AW386" s="124"/>
      <c r="AX386" s="124"/>
      <c r="AY386" s="124"/>
      <c r="AZ386" s="124"/>
      <c r="BA386" s="124"/>
      <c r="BB386" s="124"/>
      <c r="BC386" s="124"/>
      <c r="BD386" s="124"/>
      <c r="BE386" s="124"/>
      <c r="BF386" s="124"/>
      <c r="BG386" s="124"/>
      <c r="BH386" s="124"/>
      <c r="BI386" s="124"/>
      <c r="BJ386" s="124"/>
      <c r="BK386" s="124"/>
      <c r="BL386" s="124"/>
      <c r="BM386" s="124"/>
      <c r="BN386" s="124"/>
      <c r="BO386" s="124"/>
      <c r="BP386" s="124"/>
      <c r="BQ386" s="124"/>
      <c r="BR386" s="124"/>
      <c r="BS386" s="124"/>
      <c r="BT386" s="124"/>
      <c r="BU386" s="124"/>
      <c r="BV386" s="124"/>
      <c r="BW386" s="124"/>
      <c r="BX386" s="124"/>
      <c r="BY386" s="124"/>
      <c r="BZ386" s="124"/>
      <c r="CA386" s="124"/>
      <c r="CB386" s="124"/>
      <c r="CC386" s="124"/>
      <c r="CD386" s="124"/>
      <c r="CE386" s="124"/>
      <c r="CF386" s="124"/>
      <c r="CG386" s="124"/>
      <c r="CH386" s="124"/>
      <c r="CI386" s="124"/>
      <c r="CJ386" s="124"/>
      <c r="CK386" s="124"/>
      <c r="CL386" s="124"/>
      <c r="CM386" s="124"/>
      <c r="CN386" s="124"/>
      <c r="CO386" s="124"/>
      <c r="CP386" s="124"/>
      <c r="CQ386" s="124"/>
      <c r="CR386" s="124"/>
      <c r="CS386" s="124"/>
      <c r="CT386" s="124"/>
      <c r="CU386" s="124"/>
      <c r="CV386" s="124"/>
      <c r="CW386" s="124"/>
      <c r="CX386" s="124"/>
      <c r="CY386" s="124"/>
      <c r="CZ386" s="124"/>
      <c r="DA386" s="124"/>
      <c r="DB386" s="124"/>
      <c r="DC386" s="124"/>
      <c r="DD386" s="124"/>
      <c r="DE386" s="124"/>
      <c r="DF386" s="124"/>
      <c r="DG386" s="124"/>
      <c r="DH386" s="124"/>
      <c r="DI386" s="124"/>
      <c r="DJ386" s="124"/>
      <c r="DK386" s="124"/>
      <c r="DL386" s="124"/>
      <c r="DM386" s="124"/>
      <c r="DN386" s="124"/>
      <c r="DO386" s="124"/>
      <c r="DP386" s="124"/>
      <c r="DQ386" s="124"/>
      <c r="DR386" s="124"/>
      <c r="DS386" s="124"/>
      <c r="DT386" s="124"/>
      <c r="DU386" s="124"/>
      <c r="DV386" s="124"/>
      <c r="DW386" s="124"/>
      <c r="DX386" s="124"/>
      <c r="DY386" s="124"/>
      <c r="DZ386" s="124"/>
      <c r="EA386" s="124"/>
      <c r="EB386" s="124"/>
      <c r="EC386" s="124"/>
      <c r="ED386" s="124"/>
      <c r="EE386" s="124"/>
      <c r="EF386" s="124"/>
      <c r="EG386" s="124"/>
      <c r="EH386" s="124"/>
      <c r="EI386" s="124"/>
      <c r="EJ386" s="124"/>
      <c r="EK386" s="124"/>
      <c r="EL386" s="124"/>
      <c r="EM386" s="124"/>
      <c r="EN386" s="124"/>
      <c r="EO386" s="124"/>
      <c r="EP386" s="124"/>
      <c r="EQ386" s="124"/>
      <c r="ER386" s="124"/>
      <c r="ES386" s="124"/>
      <c r="ET386" s="124"/>
      <c r="EU386" s="124"/>
      <c r="EV386" s="124"/>
      <c r="EW386" s="124"/>
      <c r="EX386" s="124"/>
      <c r="EY386" s="124"/>
      <c r="EZ386" s="124"/>
      <c r="FA386" s="124"/>
      <c r="FB386" s="124"/>
      <c r="FC386" s="124"/>
      <c r="FD386" s="124"/>
      <c r="FE386" s="124"/>
      <c r="FF386" s="124"/>
      <c r="FG386" s="124"/>
      <c r="FH386" s="124"/>
      <c r="FI386" s="124"/>
      <c r="FJ386" s="124"/>
      <c r="FK386" s="124"/>
      <c r="FL386" s="124"/>
      <c r="FM386" s="124"/>
      <c r="FN386" s="124"/>
      <c r="FO386" s="124"/>
      <c r="FP386" s="124"/>
      <c r="FQ386" s="124"/>
      <c r="FR386" s="124"/>
      <c r="FS386" s="124"/>
      <c r="FT386" s="124"/>
      <c r="FU386" s="124"/>
      <c r="FV386" s="124"/>
      <c r="FW386" s="124"/>
      <c r="FX386" s="124"/>
      <c r="FY386" s="124"/>
      <c r="FZ386" s="124"/>
      <c r="GA386" s="124"/>
      <c r="GB386" s="124"/>
      <c r="GC386" s="124"/>
      <c r="GD386" s="124"/>
      <c r="GE386" s="124"/>
      <c r="GF386" s="124"/>
      <c r="GG386" s="124"/>
      <c r="GH386" s="124"/>
      <c r="GI386" s="124"/>
      <c r="GJ386" s="124"/>
      <c r="GK386" s="124"/>
      <c r="GL386" s="124"/>
      <c r="GM386" s="124"/>
      <c r="GN386" s="124"/>
      <c r="GO386" s="124"/>
      <c r="GP386" s="124"/>
      <c r="GQ386" s="124"/>
      <c r="GR386" s="124"/>
      <c r="GS386" s="124"/>
      <c r="GT386" s="124"/>
      <c r="GU386" s="124"/>
      <c r="GV386" s="124"/>
      <c r="GW386" s="124"/>
      <c r="GX386" s="124"/>
      <c r="GY386" s="124"/>
      <c r="GZ386" s="124"/>
      <c r="HA386" s="124"/>
      <c r="HB386" s="124"/>
      <c r="HC386" s="124"/>
      <c r="HD386" s="124"/>
      <c r="HE386" s="124"/>
      <c r="HF386" s="124"/>
      <c r="HG386" s="124"/>
      <c r="HH386" s="124"/>
      <c r="HI386" s="124"/>
      <c r="HJ386" s="124"/>
      <c r="HK386" s="124"/>
      <c r="HL386" s="124"/>
      <c r="HM386" s="124"/>
      <c r="HN386" s="124"/>
      <c r="HO386" s="124"/>
      <c r="HP386" s="124"/>
      <c r="HQ386" s="124"/>
    </row>
    <row r="387" spans="1:225" x14ac:dyDescent="0.2">
      <c r="A387" s="122"/>
      <c r="B387" s="123"/>
      <c r="C387" s="124"/>
      <c r="D387" s="123"/>
      <c r="E387" s="124"/>
      <c r="F387" s="123"/>
      <c r="G387" s="123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  <c r="AT387" s="124"/>
      <c r="AU387" s="124"/>
      <c r="AV387" s="124"/>
      <c r="AW387" s="124"/>
      <c r="AX387" s="124"/>
      <c r="AY387" s="124"/>
      <c r="AZ387" s="124"/>
      <c r="BA387" s="124"/>
      <c r="BB387" s="124"/>
      <c r="BC387" s="124"/>
      <c r="BD387" s="124"/>
      <c r="BE387" s="124"/>
      <c r="BF387" s="124"/>
      <c r="BG387" s="124"/>
      <c r="BH387" s="124"/>
      <c r="BI387" s="124"/>
      <c r="BJ387" s="124"/>
      <c r="BK387" s="124"/>
      <c r="BL387" s="124"/>
      <c r="BM387" s="124"/>
      <c r="BN387" s="124"/>
      <c r="BO387" s="124"/>
      <c r="BP387" s="124"/>
      <c r="BQ387" s="124"/>
      <c r="BR387" s="124"/>
      <c r="BS387" s="124"/>
      <c r="BT387" s="124"/>
      <c r="BU387" s="124"/>
      <c r="BV387" s="124"/>
      <c r="BW387" s="124"/>
      <c r="BX387" s="124"/>
      <c r="BY387" s="124"/>
      <c r="BZ387" s="124"/>
      <c r="CA387" s="124"/>
      <c r="CB387" s="124"/>
      <c r="CC387" s="124"/>
      <c r="CD387" s="124"/>
      <c r="CE387" s="124"/>
      <c r="CF387" s="124"/>
      <c r="CG387" s="124"/>
      <c r="CH387" s="124"/>
      <c r="CI387" s="124"/>
      <c r="CJ387" s="124"/>
      <c r="CK387" s="124"/>
      <c r="CL387" s="124"/>
      <c r="CM387" s="124"/>
      <c r="CN387" s="124"/>
      <c r="CO387" s="124"/>
      <c r="CP387" s="124"/>
      <c r="CQ387" s="124"/>
      <c r="CR387" s="124"/>
      <c r="CS387" s="124"/>
      <c r="CT387" s="124"/>
      <c r="CU387" s="124"/>
      <c r="CV387" s="124"/>
      <c r="CW387" s="124"/>
      <c r="CX387" s="124"/>
      <c r="CY387" s="124"/>
      <c r="CZ387" s="124"/>
      <c r="DA387" s="124"/>
      <c r="DB387" s="124"/>
      <c r="DC387" s="124"/>
      <c r="DD387" s="124"/>
      <c r="DE387" s="124"/>
      <c r="DF387" s="124"/>
      <c r="DG387" s="124"/>
      <c r="DH387" s="124"/>
      <c r="DI387" s="124"/>
      <c r="DJ387" s="124"/>
      <c r="DK387" s="124"/>
      <c r="DL387" s="124"/>
      <c r="DM387" s="124"/>
      <c r="DN387" s="124"/>
      <c r="DO387" s="124"/>
      <c r="DP387" s="124"/>
      <c r="DQ387" s="124"/>
      <c r="DR387" s="124"/>
      <c r="DS387" s="124"/>
      <c r="DT387" s="124"/>
      <c r="DU387" s="124"/>
      <c r="DV387" s="124"/>
      <c r="DW387" s="124"/>
      <c r="DX387" s="124"/>
      <c r="DY387" s="124"/>
      <c r="DZ387" s="124"/>
      <c r="EA387" s="124"/>
      <c r="EB387" s="124"/>
      <c r="EC387" s="124"/>
      <c r="ED387" s="124"/>
      <c r="EE387" s="124"/>
      <c r="EF387" s="124"/>
      <c r="EG387" s="124"/>
      <c r="EH387" s="124"/>
      <c r="EI387" s="124"/>
      <c r="EJ387" s="124"/>
      <c r="EK387" s="124"/>
      <c r="EL387" s="124"/>
      <c r="EM387" s="124"/>
      <c r="EN387" s="124"/>
      <c r="EO387" s="124"/>
      <c r="EP387" s="124"/>
      <c r="EQ387" s="124"/>
      <c r="ER387" s="124"/>
      <c r="ES387" s="124"/>
      <c r="ET387" s="124"/>
      <c r="EU387" s="124"/>
      <c r="EV387" s="124"/>
      <c r="EW387" s="124"/>
      <c r="EX387" s="124"/>
      <c r="EY387" s="124"/>
      <c r="EZ387" s="124"/>
      <c r="FA387" s="124"/>
      <c r="FB387" s="124"/>
      <c r="FC387" s="124"/>
      <c r="FD387" s="124"/>
      <c r="FE387" s="124"/>
      <c r="FF387" s="124"/>
      <c r="FG387" s="124"/>
      <c r="FH387" s="124"/>
      <c r="FI387" s="124"/>
      <c r="FJ387" s="124"/>
      <c r="FK387" s="124"/>
      <c r="FL387" s="124"/>
      <c r="FM387" s="124"/>
      <c r="FN387" s="124"/>
      <c r="FO387" s="124"/>
      <c r="FP387" s="124"/>
      <c r="FQ387" s="124"/>
      <c r="FR387" s="124"/>
      <c r="FS387" s="124"/>
      <c r="FT387" s="124"/>
      <c r="FU387" s="124"/>
      <c r="FV387" s="124"/>
      <c r="FW387" s="124"/>
      <c r="FX387" s="124"/>
      <c r="FY387" s="124"/>
      <c r="FZ387" s="124"/>
      <c r="GA387" s="124"/>
      <c r="GB387" s="124"/>
      <c r="GC387" s="124"/>
      <c r="GD387" s="124"/>
      <c r="GE387" s="124"/>
      <c r="GF387" s="124"/>
      <c r="GG387" s="124"/>
      <c r="GH387" s="124"/>
      <c r="GI387" s="124"/>
      <c r="GJ387" s="124"/>
      <c r="GK387" s="124"/>
      <c r="GL387" s="124"/>
      <c r="GM387" s="124"/>
      <c r="GN387" s="124"/>
      <c r="GO387" s="124"/>
      <c r="GP387" s="124"/>
      <c r="GQ387" s="124"/>
      <c r="GR387" s="124"/>
      <c r="GS387" s="124"/>
      <c r="GT387" s="124"/>
      <c r="GU387" s="124"/>
      <c r="GV387" s="124"/>
      <c r="GW387" s="124"/>
      <c r="GX387" s="124"/>
      <c r="GY387" s="124"/>
      <c r="GZ387" s="124"/>
      <c r="HA387" s="124"/>
      <c r="HB387" s="124"/>
      <c r="HC387" s="124"/>
      <c r="HD387" s="124"/>
      <c r="HE387" s="124"/>
      <c r="HF387" s="124"/>
      <c r="HG387" s="124"/>
      <c r="HH387" s="124"/>
      <c r="HI387" s="124"/>
      <c r="HJ387" s="124"/>
      <c r="HK387" s="124"/>
      <c r="HL387" s="124"/>
      <c r="HM387" s="124"/>
      <c r="HN387" s="124"/>
      <c r="HO387" s="124"/>
      <c r="HP387" s="124"/>
      <c r="HQ387" s="124"/>
    </row>
    <row r="388" spans="1:225" x14ac:dyDescent="0.2">
      <c r="A388" s="122"/>
      <c r="B388" s="123"/>
      <c r="C388" s="124"/>
      <c r="D388" s="123"/>
      <c r="E388" s="124"/>
      <c r="F388" s="123"/>
      <c r="G388" s="123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  <c r="AT388" s="124"/>
      <c r="AU388" s="124"/>
      <c r="AV388" s="124"/>
      <c r="AW388" s="124"/>
      <c r="AX388" s="124"/>
      <c r="AY388" s="124"/>
      <c r="AZ388" s="124"/>
      <c r="BA388" s="124"/>
      <c r="BB388" s="124"/>
      <c r="BC388" s="124"/>
      <c r="BD388" s="124"/>
      <c r="BE388" s="124"/>
      <c r="BF388" s="124"/>
      <c r="BG388" s="124"/>
      <c r="BH388" s="124"/>
      <c r="BI388" s="124"/>
      <c r="BJ388" s="124"/>
      <c r="BK388" s="124"/>
      <c r="BL388" s="124"/>
      <c r="BM388" s="124"/>
      <c r="BN388" s="124"/>
      <c r="BO388" s="124"/>
      <c r="BP388" s="124"/>
      <c r="BQ388" s="124"/>
      <c r="BR388" s="124"/>
      <c r="BS388" s="124"/>
      <c r="BT388" s="124"/>
      <c r="BU388" s="124"/>
      <c r="BV388" s="124"/>
      <c r="BW388" s="124"/>
      <c r="BX388" s="124"/>
      <c r="BY388" s="124"/>
      <c r="BZ388" s="124"/>
      <c r="CA388" s="124"/>
      <c r="CB388" s="124"/>
      <c r="CC388" s="124"/>
      <c r="CD388" s="124"/>
      <c r="CE388" s="124"/>
      <c r="CF388" s="124"/>
      <c r="CG388" s="124"/>
      <c r="CH388" s="124"/>
      <c r="CI388" s="124"/>
      <c r="CJ388" s="124"/>
      <c r="CK388" s="124"/>
      <c r="CL388" s="124"/>
      <c r="CM388" s="124"/>
      <c r="CN388" s="124"/>
      <c r="CO388" s="124"/>
      <c r="CP388" s="124"/>
      <c r="CQ388" s="124"/>
      <c r="CR388" s="124"/>
      <c r="CS388" s="124"/>
      <c r="CT388" s="124"/>
      <c r="CU388" s="124"/>
      <c r="CV388" s="124"/>
      <c r="CW388" s="124"/>
      <c r="CX388" s="124"/>
      <c r="CY388" s="124"/>
      <c r="CZ388" s="124"/>
      <c r="DA388" s="124"/>
      <c r="DB388" s="124"/>
      <c r="DC388" s="124"/>
      <c r="DD388" s="124"/>
      <c r="DE388" s="124"/>
      <c r="DF388" s="124"/>
      <c r="DG388" s="124"/>
      <c r="DH388" s="124"/>
      <c r="DI388" s="124"/>
      <c r="DJ388" s="124"/>
      <c r="DK388" s="124"/>
      <c r="DL388" s="124"/>
      <c r="DM388" s="124"/>
      <c r="DN388" s="124"/>
      <c r="DO388" s="124"/>
      <c r="DP388" s="124"/>
      <c r="DQ388" s="124"/>
      <c r="DR388" s="124"/>
      <c r="DS388" s="124"/>
      <c r="DT388" s="124"/>
      <c r="DU388" s="124"/>
      <c r="DV388" s="124"/>
      <c r="DW388" s="124"/>
      <c r="DX388" s="124"/>
      <c r="DY388" s="124"/>
      <c r="DZ388" s="124"/>
      <c r="EA388" s="124"/>
      <c r="EB388" s="124"/>
      <c r="EC388" s="124"/>
      <c r="ED388" s="124"/>
      <c r="EE388" s="124"/>
      <c r="EF388" s="124"/>
      <c r="EG388" s="124"/>
      <c r="EH388" s="124"/>
      <c r="EI388" s="124"/>
      <c r="EJ388" s="124"/>
      <c r="EK388" s="124"/>
      <c r="EL388" s="124"/>
      <c r="EM388" s="124"/>
      <c r="EN388" s="124"/>
      <c r="EO388" s="124"/>
      <c r="EP388" s="124"/>
      <c r="EQ388" s="124"/>
      <c r="ER388" s="124"/>
      <c r="ES388" s="124"/>
      <c r="ET388" s="124"/>
      <c r="EU388" s="124"/>
      <c r="EV388" s="124"/>
      <c r="EW388" s="124"/>
      <c r="EX388" s="124"/>
      <c r="EY388" s="124"/>
      <c r="EZ388" s="124"/>
      <c r="FA388" s="124"/>
      <c r="FB388" s="124"/>
      <c r="FC388" s="124"/>
      <c r="FD388" s="124"/>
      <c r="FE388" s="124"/>
      <c r="FF388" s="124"/>
      <c r="FG388" s="124"/>
      <c r="FH388" s="124"/>
      <c r="FI388" s="124"/>
      <c r="FJ388" s="124"/>
      <c r="FK388" s="124"/>
      <c r="FL388" s="124"/>
      <c r="FM388" s="124"/>
      <c r="FN388" s="124"/>
      <c r="FO388" s="124"/>
      <c r="FP388" s="124"/>
      <c r="FQ388" s="124"/>
      <c r="FR388" s="124"/>
      <c r="FS388" s="124"/>
      <c r="FT388" s="124"/>
      <c r="FU388" s="124"/>
      <c r="FV388" s="124"/>
      <c r="FW388" s="124"/>
      <c r="FX388" s="124"/>
      <c r="FY388" s="124"/>
      <c r="FZ388" s="124"/>
      <c r="GA388" s="124"/>
      <c r="GB388" s="124"/>
      <c r="GC388" s="124"/>
      <c r="GD388" s="124"/>
      <c r="GE388" s="124"/>
      <c r="GF388" s="124"/>
      <c r="GG388" s="124"/>
      <c r="GH388" s="124"/>
      <c r="GI388" s="124"/>
      <c r="GJ388" s="124"/>
      <c r="GK388" s="124"/>
      <c r="GL388" s="124"/>
      <c r="GM388" s="124"/>
      <c r="GN388" s="124"/>
      <c r="GO388" s="124"/>
      <c r="GP388" s="124"/>
      <c r="GQ388" s="124"/>
      <c r="GR388" s="124"/>
      <c r="GS388" s="124"/>
      <c r="GT388" s="124"/>
      <c r="GU388" s="124"/>
      <c r="GV388" s="124"/>
      <c r="GW388" s="124"/>
      <c r="GX388" s="124"/>
      <c r="GY388" s="124"/>
      <c r="GZ388" s="124"/>
      <c r="HA388" s="124"/>
      <c r="HB388" s="124"/>
      <c r="HC388" s="124"/>
      <c r="HD388" s="124"/>
      <c r="HE388" s="124"/>
      <c r="HF388" s="124"/>
      <c r="HG388" s="124"/>
      <c r="HH388" s="124"/>
      <c r="HI388" s="124"/>
      <c r="HJ388" s="124"/>
      <c r="HK388" s="124"/>
      <c r="HL388" s="124"/>
      <c r="HM388" s="124"/>
      <c r="HN388" s="124"/>
      <c r="HO388" s="124"/>
      <c r="HP388" s="124"/>
      <c r="HQ388" s="124"/>
    </row>
    <row r="389" spans="1:225" x14ac:dyDescent="0.2">
      <c r="A389" s="122"/>
      <c r="B389" s="123"/>
      <c r="C389" s="124"/>
      <c r="D389" s="123"/>
      <c r="E389" s="124"/>
      <c r="F389" s="123"/>
      <c r="G389" s="123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  <c r="AT389" s="124"/>
      <c r="AU389" s="124"/>
      <c r="AV389" s="124"/>
      <c r="AW389" s="124"/>
      <c r="AX389" s="124"/>
      <c r="AY389" s="124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  <c r="BJ389" s="124"/>
      <c r="BK389" s="124"/>
      <c r="BL389" s="124"/>
      <c r="BM389" s="124"/>
      <c r="BN389" s="124"/>
      <c r="BO389" s="124"/>
      <c r="BP389" s="124"/>
      <c r="BQ389" s="124"/>
      <c r="BR389" s="124"/>
      <c r="BS389" s="124"/>
      <c r="BT389" s="124"/>
      <c r="BU389" s="124"/>
      <c r="BV389" s="124"/>
      <c r="BW389" s="124"/>
      <c r="BX389" s="124"/>
      <c r="BY389" s="124"/>
      <c r="BZ389" s="124"/>
      <c r="CA389" s="124"/>
      <c r="CB389" s="124"/>
      <c r="CC389" s="124"/>
      <c r="CD389" s="124"/>
      <c r="CE389" s="124"/>
      <c r="CF389" s="124"/>
      <c r="CG389" s="124"/>
      <c r="CH389" s="124"/>
      <c r="CI389" s="124"/>
      <c r="CJ389" s="124"/>
      <c r="CK389" s="124"/>
      <c r="CL389" s="124"/>
      <c r="CM389" s="124"/>
      <c r="CN389" s="124"/>
      <c r="CO389" s="124"/>
      <c r="CP389" s="124"/>
      <c r="CQ389" s="124"/>
      <c r="CR389" s="124"/>
      <c r="CS389" s="124"/>
      <c r="CT389" s="124"/>
      <c r="CU389" s="124"/>
      <c r="CV389" s="124"/>
      <c r="CW389" s="124"/>
      <c r="CX389" s="124"/>
      <c r="CY389" s="124"/>
      <c r="CZ389" s="124"/>
      <c r="DA389" s="124"/>
      <c r="DB389" s="124"/>
      <c r="DC389" s="124"/>
      <c r="DD389" s="124"/>
      <c r="DE389" s="124"/>
      <c r="DF389" s="124"/>
      <c r="DG389" s="124"/>
      <c r="DH389" s="124"/>
      <c r="DI389" s="124"/>
      <c r="DJ389" s="124"/>
      <c r="DK389" s="124"/>
      <c r="DL389" s="124"/>
      <c r="DM389" s="124"/>
      <c r="DN389" s="124"/>
      <c r="DO389" s="124"/>
      <c r="DP389" s="124"/>
      <c r="DQ389" s="124"/>
      <c r="DR389" s="124"/>
      <c r="DS389" s="124"/>
      <c r="DT389" s="124"/>
      <c r="DU389" s="124"/>
      <c r="DV389" s="124"/>
      <c r="DW389" s="124"/>
      <c r="DX389" s="124"/>
      <c r="DY389" s="124"/>
      <c r="DZ389" s="124"/>
      <c r="EA389" s="124"/>
      <c r="EB389" s="124"/>
      <c r="EC389" s="124"/>
      <c r="ED389" s="124"/>
      <c r="EE389" s="124"/>
      <c r="EF389" s="124"/>
      <c r="EG389" s="124"/>
      <c r="EH389" s="124"/>
      <c r="EI389" s="124"/>
      <c r="EJ389" s="124"/>
      <c r="EK389" s="124"/>
      <c r="EL389" s="124"/>
      <c r="EM389" s="124"/>
      <c r="EN389" s="124"/>
      <c r="EO389" s="124"/>
      <c r="EP389" s="124"/>
      <c r="EQ389" s="124"/>
      <c r="ER389" s="124"/>
      <c r="ES389" s="124"/>
      <c r="ET389" s="124"/>
      <c r="EU389" s="124"/>
      <c r="EV389" s="124"/>
      <c r="EW389" s="124"/>
      <c r="EX389" s="124"/>
      <c r="EY389" s="124"/>
      <c r="EZ389" s="124"/>
      <c r="FA389" s="124"/>
      <c r="FB389" s="124"/>
      <c r="FC389" s="124"/>
      <c r="FD389" s="124"/>
      <c r="FE389" s="124"/>
      <c r="FF389" s="124"/>
      <c r="FG389" s="124"/>
      <c r="FH389" s="124"/>
      <c r="FI389" s="124"/>
      <c r="FJ389" s="124"/>
      <c r="FK389" s="124"/>
      <c r="FL389" s="124"/>
      <c r="FM389" s="124"/>
      <c r="FN389" s="124"/>
      <c r="FO389" s="124"/>
      <c r="FP389" s="124"/>
      <c r="FQ389" s="124"/>
      <c r="FR389" s="124"/>
      <c r="FS389" s="124"/>
      <c r="FT389" s="124"/>
      <c r="FU389" s="124"/>
      <c r="FV389" s="124"/>
      <c r="FW389" s="124"/>
      <c r="FX389" s="124"/>
      <c r="FY389" s="124"/>
      <c r="FZ389" s="124"/>
      <c r="GA389" s="124"/>
      <c r="GB389" s="124"/>
      <c r="GC389" s="124"/>
      <c r="GD389" s="124"/>
      <c r="GE389" s="124"/>
      <c r="GF389" s="124"/>
      <c r="GG389" s="124"/>
      <c r="GH389" s="124"/>
      <c r="GI389" s="124"/>
      <c r="GJ389" s="124"/>
      <c r="GK389" s="124"/>
      <c r="GL389" s="124"/>
      <c r="GM389" s="124"/>
      <c r="GN389" s="124"/>
      <c r="GO389" s="124"/>
      <c r="GP389" s="124"/>
      <c r="GQ389" s="124"/>
      <c r="GR389" s="124"/>
      <c r="GS389" s="124"/>
      <c r="GT389" s="124"/>
      <c r="GU389" s="124"/>
      <c r="GV389" s="124"/>
      <c r="GW389" s="124"/>
      <c r="GX389" s="124"/>
      <c r="GY389" s="124"/>
      <c r="GZ389" s="124"/>
      <c r="HA389" s="124"/>
      <c r="HB389" s="124"/>
      <c r="HC389" s="124"/>
      <c r="HD389" s="124"/>
      <c r="HE389" s="124"/>
      <c r="HF389" s="124"/>
      <c r="HG389" s="124"/>
      <c r="HH389" s="124"/>
      <c r="HI389" s="124"/>
      <c r="HJ389" s="124"/>
      <c r="HK389" s="124"/>
      <c r="HL389" s="124"/>
      <c r="HM389" s="124"/>
      <c r="HN389" s="124"/>
      <c r="HO389" s="124"/>
      <c r="HP389" s="124"/>
      <c r="HQ389" s="124"/>
    </row>
    <row r="390" spans="1:225" x14ac:dyDescent="0.2">
      <c r="A390" s="122"/>
      <c r="B390" s="123"/>
      <c r="C390" s="124"/>
      <c r="D390" s="123"/>
      <c r="E390" s="124"/>
      <c r="F390" s="123"/>
      <c r="G390" s="123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  <c r="AT390" s="124"/>
      <c r="AU390" s="124"/>
      <c r="AV390" s="124"/>
      <c r="AW390" s="124"/>
      <c r="AX390" s="124"/>
      <c r="AY390" s="124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  <c r="BJ390" s="124"/>
      <c r="BK390" s="124"/>
      <c r="BL390" s="124"/>
      <c r="BM390" s="124"/>
      <c r="BN390" s="124"/>
      <c r="BO390" s="124"/>
      <c r="BP390" s="124"/>
      <c r="BQ390" s="124"/>
      <c r="BR390" s="124"/>
      <c r="BS390" s="124"/>
      <c r="BT390" s="124"/>
      <c r="BU390" s="124"/>
      <c r="BV390" s="124"/>
      <c r="BW390" s="124"/>
      <c r="BX390" s="124"/>
      <c r="BY390" s="124"/>
      <c r="BZ390" s="124"/>
      <c r="CA390" s="124"/>
      <c r="CB390" s="124"/>
      <c r="CC390" s="124"/>
      <c r="CD390" s="124"/>
      <c r="CE390" s="124"/>
      <c r="CF390" s="124"/>
      <c r="CG390" s="124"/>
      <c r="CH390" s="124"/>
      <c r="CI390" s="124"/>
      <c r="CJ390" s="124"/>
      <c r="CK390" s="124"/>
      <c r="CL390" s="124"/>
      <c r="CM390" s="124"/>
      <c r="CN390" s="124"/>
      <c r="CO390" s="124"/>
      <c r="CP390" s="124"/>
      <c r="CQ390" s="124"/>
      <c r="CR390" s="124"/>
      <c r="CS390" s="124"/>
      <c r="CT390" s="124"/>
      <c r="CU390" s="124"/>
      <c r="CV390" s="124"/>
      <c r="CW390" s="124"/>
      <c r="CX390" s="124"/>
      <c r="CY390" s="124"/>
      <c r="CZ390" s="124"/>
      <c r="DA390" s="124"/>
      <c r="DB390" s="124"/>
      <c r="DC390" s="124"/>
      <c r="DD390" s="124"/>
      <c r="DE390" s="124"/>
      <c r="DF390" s="124"/>
      <c r="DG390" s="124"/>
      <c r="DH390" s="124"/>
      <c r="DI390" s="124"/>
      <c r="DJ390" s="124"/>
      <c r="DK390" s="124"/>
      <c r="DL390" s="124"/>
      <c r="DM390" s="124"/>
      <c r="DN390" s="124"/>
      <c r="DO390" s="124"/>
      <c r="DP390" s="124"/>
      <c r="DQ390" s="124"/>
      <c r="DR390" s="124"/>
      <c r="DS390" s="124"/>
      <c r="DT390" s="124"/>
      <c r="DU390" s="124"/>
      <c r="DV390" s="124"/>
      <c r="DW390" s="124"/>
      <c r="DX390" s="124"/>
      <c r="DY390" s="124"/>
      <c r="DZ390" s="124"/>
      <c r="EA390" s="124"/>
      <c r="EB390" s="124"/>
      <c r="EC390" s="124"/>
      <c r="ED390" s="124"/>
      <c r="EE390" s="124"/>
      <c r="EF390" s="124"/>
      <c r="EG390" s="124"/>
      <c r="EH390" s="124"/>
      <c r="EI390" s="124"/>
      <c r="EJ390" s="124"/>
      <c r="EK390" s="124"/>
      <c r="EL390" s="124"/>
      <c r="EM390" s="124"/>
      <c r="EN390" s="124"/>
      <c r="EO390" s="124"/>
      <c r="EP390" s="124"/>
      <c r="EQ390" s="124"/>
      <c r="ER390" s="124"/>
      <c r="ES390" s="124"/>
      <c r="ET390" s="124"/>
      <c r="EU390" s="124"/>
      <c r="EV390" s="124"/>
      <c r="EW390" s="124"/>
      <c r="EX390" s="124"/>
      <c r="EY390" s="124"/>
      <c r="EZ390" s="124"/>
      <c r="FA390" s="124"/>
      <c r="FB390" s="124"/>
      <c r="FC390" s="124"/>
      <c r="FD390" s="124"/>
      <c r="FE390" s="124"/>
      <c r="FF390" s="124"/>
      <c r="FG390" s="124"/>
      <c r="FH390" s="124"/>
      <c r="FI390" s="124"/>
      <c r="FJ390" s="124"/>
      <c r="FK390" s="124"/>
      <c r="FL390" s="124"/>
      <c r="FM390" s="124"/>
      <c r="FN390" s="124"/>
      <c r="FO390" s="124"/>
      <c r="FP390" s="124"/>
      <c r="FQ390" s="124"/>
      <c r="FR390" s="124"/>
      <c r="FS390" s="124"/>
      <c r="FT390" s="124"/>
      <c r="FU390" s="124"/>
      <c r="FV390" s="124"/>
      <c r="FW390" s="124"/>
      <c r="FX390" s="124"/>
      <c r="FY390" s="124"/>
      <c r="FZ390" s="124"/>
      <c r="GA390" s="124"/>
      <c r="GB390" s="124"/>
      <c r="GC390" s="124"/>
      <c r="GD390" s="124"/>
      <c r="GE390" s="124"/>
      <c r="GF390" s="124"/>
      <c r="GG390" s="124"/>
      <c r="GH390" s="124"/>
      <c r="GI390" s="124"/>
      <c r="GJ390" s="124"/>
      <c r="GK390" s="124"/>
      <c r="GL390" s="124"/>
      <c r="GM390" s="124"/>
      <c r="GN390" s="124"/>
      <c r="GO390" s="124"/>
      <c r="GP390" s="124"/>
      <c r="GQ390" s="124"/>
      <c r="GR390" s="124"/>
      <c r="GS390" s="124"/>
      <c r="GT390" s="124"/>
      <c r="GU390" s="124"/>
      <c r="GV390" s="124"/>
      <c r="GW390" s="124"/>
      <c r="GX390" s="124"/>
      <c r="GY390" s="124"/>
      <c r="GZ390" s="124"/>
      <c r="HA390" s="124"/>
      <c r="HB390" s="124"/>
      <c r="HC390" s="124"/>
      <c r="HD390" s="124"/>
      <c r="HE390" s="124"/>
      <c r="HF390" s="124"/>
      <c r="HG390" s="124"/>
      <c r="HH390" s="124"/>
      <c r="HI390" s="124"/>
      <c r="HJ390" s="124"/>
      <c r="HK390" s="124"/>
      <c r="HL390" s="124"/>
      <c r="HM390" s="124"/>
      <c r="HN390" s="124"/>
      <c r="HO390" s="124"/>
      <c r="HP390" s="124"/>
      <c r="HQ390" s="124"/>
    </row>
    <row r="391" spans="1:225" x14ac:dyDescent="0.2">
      <c r="A391" s="122"/>
      <c r="B391" s="123"/>
      <c r="C391" s="124"/>
      <c r="D391" s="123"/>
      <c r="E391" s="124"/>
      <c r="F391" s="123"/>
      <c r="G391" s="123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  <c r="AU391" s="124"/>
      <c r="AV391" s="124"/>
      <c r="AW391" s="124"/>
      <c r="AX391" s="124"/>
      <c r="AY391" s="124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  <c r="BJ391" s="124"/>
      <c r="BK391" s="124"/>
      <c r="BL391" s="124"/>
      <c r="BM391" s="124"/>
      <c r="BN391" s="124"/>
      <c r="BO391" s="124"/>
      <c r="BP391" s="124"/>
      <c r="BQ391" s="124"/>
      <c r="BR391" s="124"/>
      <c r="BS391" s="124"/>
      <c r="BT391" s="124"/>
      <c r="BU391" s="124"/>
      <c r="BV391" s="124"/>
      <c r="BW391" s="124"/>
      <c r="BX391" s="124"/>
      <c r="BY391" s="124"/>
      <c r="BZ391" s="124"/>
      <c r="CA391" s="124"/>
      <c r="CB391" s="124"/>
      <c r="CC391" s="124"/>
      <c r="CD391" s="124"/>
      <c r="CE391" s="124"/>
      <c r="CF391" s="124"/>
      <c r="CG391" s="124"/>
      <c r="CH391" s="124"/>
      <c r="CI391" s="124"/>
      <c r="CJ391" s="124"/>
      <c r="CK391" s="124"/>
      <c r="CL391" s="124"/>
      <c r="CM391" s="124"/>
      <c r="CN391" s="124"/>
      <c r="CO391" s="124"/>
      <c r="CP391" s="124"/>
      <c r="CQ391" s="124"/>
      <c r="CR391" s="124"/>
      <c r="CS391" s="124"/>
      <c r="CT391" s="124"/>
      <c r="CU391" s="124"/>
      <c r="CV391" s="124"/>
      <c r="CW391" s="124"/>
      <c r="CX391" s="124"/>
      <c r="CY391" s="124"/>
      <c r="CZ391" s="124"/>
      <c r="DA391" s="124"/>
      <c r="DB391" s="124"/>
      <c r="DC391" s="124"/>
      <c r="DD391" s="124"/>
      <c r="DE391" s="124"/>
      <c r="DF391" s="124"/>
      <c r="DG391" s="124"/>
      <c r="DH391" s="124"/>
      <c r="DI391" s="124"/>
      <c r="DJ391" s="124"/>
      <c r="DK391" s="124"/>
      <c r="DL391" s="124"/>
      <c r="DM391" s="124"/>
      <c r="DN391" s="124"/>
      <c r="DO391" s="124"/>
      <c r="DP391" s="124"/>
      <c r="DQ391" s="124"/>
      <c r="DR391" s="124"/>
      <c r="DS391" s="124"/>
      <c r="DT391" s="124"/>
      <c r="DU391" s="124"/>
      <c r="DV391" s="124"/>
      <c r="DW391" s="124"/>
      <c r="DX391" s="124"/>
      <c r="DY391" s="124"/>
      <c r="DZ391" s="124"/>
      <c r="EA391" s="124"/>
      <c r="EB391" s="124"/>
      <c r="EC391" s="124"/>
      <c r="ED391" s="124"/>
      <c r="EE391" s="124"/>
      <c r="EF391" s="124"/>
      <c r="EG391" s="124"/>
      <c r="EH391" s="124"/>
      <c r="EI391" s="124"/>
      <c r="EJ391" s="124"/>
      <c r="EK391" s="124"/>
      <c r="EL391" s="124"/>
      <c r="EM391" s="124"/>
      <c r="EN391" s="124"/>
      <c r="EO391" s="124"/>
      <c r="EP391" s="124"/>
      <c r="EQ391" s="124"/>
      <c r="ER391" s="124"/>
      <c r="ES391" s="124"/>
      <c r="ET391" s="124"/>
      <c r="EU391" s="124"/>
      <c r="EV391" s="124"/>
      <c r="EW391" s="124"/>
      <c r="EX391" s="124"/>
      <c r="EY391" s="124"/>
      <c r="EZ391" s="124"/>
      <c r="FA391" s="124"/>
      <c r="FB391" s="124"/>
      <c r="FC391" s="124"/>
      <c r="FD391" s="124"/>
      <c r="FE391" s="124"/>
      <c r="FF391" s="124"/>
      <c r="FG391" s="124"/>
      <c r="FH391" s="124"/>
      <c r="FI391" s="124"/>
      <c r="FJ391" s="124"/>
      <c r="FK391" s="124"/>
      <c r="FL391" s="124"/>
      <c r="FM391" s="124"/>
      <c r="FN391" s="124"/>
      <c r="FO391" s="124"/>
      <c r="FP391" s="124"/>
      <c r="FQ391" s="124"/>
      <c r="FR391" s="124"/>
      <c r="FS391" s="124"/>
      <c r="FT391" s="124"/>
      <c r="FU391" s="124"/>
      <c r="FV391" s="124"/>
      <c r="FW391" s="124"/>
      <c r="FX391" s="124"/>
      <c r="FY391" s="124"/>
      <c r="FZ391" s="124"/>
      <c r="GA391" s="124"/>
      <c r="GB391" s="124"/>
      <c r="GC391" s="124"/>
      <c r="GD391" s="124"/>
      <c r="GE391" s="124"/>
      <c r="GF391" s="124"/>
      <c r="GG391" s="124"/>
      <c r="GH391" s="124"/>
      <c r="GI391" s="124"/>
      <c r="GJ391" s="124"/>
      <c r="GK391" s="124"/>
      <c r="GL391" s="124"/>
      <c r="GM391" s="124"/>
      <c r="GN391" s="124"/>
      <c r="GO391" s="124"/>
      <c r="GP391" s="124"/>
      <c r="GQ391" s="124"/>
      <c r="GR391" s="124"/>
      <c r="GS391" s="124"/>
      <c r="GT391" s="124"/>
      <c r="GU391" s="124"/>
      <c r="GV391" s="124"/>
      <c r="GW391" s="124"/>
      <c r="GX391" s="124"/>
      <c r="GY391" s="124"/>
      <c r="GZ391" s="124"/>
      <c r="HA391" s="124"/>
      <c r="HB391" s="124"/>
      <c r="HC391" s="124"/>
      <c r="HD391" s="124"/>
      <c r="HE391" s="124"/>
      <c r="HF391" s="124"/>
      <c r="HG391" s="124"/>
      <c r="HH391" s="124"/>
      <c r="HI391" s="124"/>
      <c r="HJ391" s="124"/>
      <c r="HK391" s="124"/>
      <c r="HL391" s="124"/>
      <c r="HM391" s="124"/>
      <c r="HN391" s="124"/>
      <c r="HO391" s="124"/>
      <c r="HP391" s="124"/>
      <c r="HQ391" s="124"/>
    </row>
    <row r="392" spans="1:225" x14ac:dyDescent="0.2">
      <c r="A392" s="122"/>
      <c r="B392" s="123"/>
      <c r="C392" s="124"/>
      <c r="D392" s="123"/>
      <c r="E392" s="124"/>
      <c r="F392" s="123"/>
      <c r="G392" s="123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  <c r="BJ392" s="124"/>
      <c r="BK392" s="124"/>
      <c r="BL392" s="124"/>
      <c r="BM392" s="124"/>
      <c r="BN392" s="124"/>
      <c r="BO392" s="124"/>
      <c r="BP392" s="124"/>
      <c r="BQ392" s="124"/>
      <c r="BR392" s="124"/>
      <c r="BS392" s="124"/>
      <c r="BT392" s="124"/>
      <c r="BU392" s="124"/>
      <c r="BV392" s="124"/>
      <c r="BW392" s="124"/>
      <c r="BX392" s="124"/>
      <c r="BY392" s="124"/>
      <c r="BZ392" s="124"/>
      <c r="CA392" s="124"/>
      <c r="CB392" s="124"/>
      <c r="CC392" s="124"/>
      <c r="CD392" s="124"/>
      <c r="CE392" s="124"/>
      <c r="CF392" s="124"/>
      <c r="CG392" s="124"/>
      <c r="CH392" s="124"/>
      <c r="CI392" s="124"/>
      <c r="CJ392" s="124"/>
      <c r="CK392" s="124"/>
      <c r="CL392" s="124"/>
      <c r="CM392" s="124"/>
      <c r="CN392" s="124"/>
      <c r="CO392" s="124"/>
      <c r="CP392" s="124"/>
      <c r="CQ392" s="124"/>
      <c r="CR392" s="124"/>
      <c r="CS392" s="124"/>
      <c r="CT392" s="124"/>
      <c r="CU392" s="124"/>
      <c r="CV392" s="124"/>
      <c r="CW392" s="124"/>
      <c r="CX392" s="124"/>
      <c r="CY392" s="124"/>
      <c r="CZ392" s="124"/>
      <c r="DA392" s="124"/>
      <c r="DB392" s="124"/>
      <c r="DC392" s="124"/>
      <c r="DD392" s="124"/>
      <c r="DE392" s="124"/>
      <c r="DF392" s="124"/>
      <c r="DG392" s="124"/>
      <c r="DH392" s="124"/>
      <c r="DI392" s="124"/>
      <c r="DJ392" s="124"/>
      <c r="DK392" s="124"/>
      <c r="DL392" s="124"/>
      <c r="DM392" s="124"/>
      <c r="DN392" s="124"/>
      <c r="DO392" s="124"/>
      <c r="DP392" s="124"/>
      <c r="DQ392" s="124"/>
      <c r="DR392" s="124"/>
      <c r="DS392" s="124"/>
      <c r="DT392" s="124"/>
      <c r="DU392" s="124"/>
      <c r="DV392" s="124"/>
      <c r="DW392" s="124"/>
      <c r="DX392" s="124"/>
      <c r="DY392" s="124"/>
      <c r="DZ392" s="124"/>
      <c r="EA392" s="124"/>
      <c r="EB392" s="124"/>
      <c r="EC392" s="124"/>
      <c r="ED392" s="124"/>
      <c r="EE392" s="124"/>
      <c r="EF392" s="124"/>
      <c r="EG392" s="124"/>
      <c r="EH392" s="124"/>
      <c r="EI392" s="124"/>
      <c r="EJ392" s="124"/>
      <c r="EK392" s="124"/>
      <c r="EL392" s="124"/>
      <c r="EM392" s="124"/>
      <c r="EN392" s="124"/>
      <c r="EO392" s="124"/>
      <c r="EP392" s="124"/>
      <c r="EQ392" s="124"/>
      <c r="ER392" s="124"/>
      <c r="ES392" s="124"/>
      <c r="ET392" s="124"/>
      <c r="EU392" s="124"/>
      <c r="EV392" s="124"/>
      <c r="EW392" s="124"/>
      <c r="EX392" s="124"/>
      <c r="EY392" s="124"/>
      <c r="EZ392" s="124"/>
      <c r="FA392" s="124"/>
      <c r="FB392" s="124"/>
      <c r="FC392" s="124"/>
      <c r="FD392" s="124"/>
      <c r="FE392" s="124"/>
      <c r="FF392" s="124"/>
      <c r="FG392" s="124"/>
      <c r="FH392" s="124"/>
      <c r="FI392" s="124"/>
      <c r="FJ392" s="124"/>
      <c r="FK392" s="124"/>
      <c r="FL392" s="124"/>
      <c r="FM392" s="124"/>
      <c r="FN392" s="124"/>
      <c r="FO392" s="124"/>
      <c r="FP392" s="124"/>
      <c r="FQ392" s="124"/>
      <c r="FR392" s="124"/>
      <c r="FS392" s="124"/>
      <c r="FT392" s="124"/>
      <c r="FU392" s="124"/>
      <c r="FV392" s="124"/>
      <c r="FW392" s="124"/>
      <c r="FX392" s="124"/>
      <c r="FY392" s="124"/>
      <c r="FZ392" s="124"/>
      <c r="GA392" s="124"/>
      <c r="GB392" s="124"/>
      <c r="GC392" s="124"/>
      <c r="GD392" s="124"/>
      <c r="GE392" s="124"/>
      <c r="GF392" s="124"/>
      <c r="GG392" s="124"/>
      <c r="GH392" s="124"/>
      <c r="GI392" s="124"/>
      <c r="GJ392" s="124"/>
      <c r="GK392" s="124"/>
      <c r="GL392" s="124"/>
      <c r="GM392" s="124"/>
      <c r="GN392" s="124"/>
      <c r="GO392" s="124"/>
      <c r="GP392" s="124"/>
      <c r="GQ392" s="124"/>
      <c r="GR392" s="124"/>
      <c r="GS392" s="124"/>
      <c r="GT392" s="124"/>
      <c r="GU392" s="124"/>
      <c r="GV392" s="124"/>
      <c r="GW392" s="124"/>
      <c r="GX392" s="124"/>
      <c r="GY392" s="124"/>
      <c r="GZ392" s="124"/>
      <c r="HA392" s="124"/>
      <c r="HB392" s="124"/>
      <c r="HC392" s="124"/>
      <c r="HD392" s="124"/>
      <c r="HE392" s="124"/>
      <c r="HF392" s="124"/>
      <c r="HG392" s="124"/>
      <c r="HH392" s="124"/>
      <c r="HI392" s="124"/>
      <c r="HJ392" s="124"/>
      <c r="HK392" s="124"/>
      <c r="HL392" s="124"/>
      <c r="HM392" s="124"/>
      <c r="HN392" s="124"/>
      <c r="HO392" s="124"/>
      <c r="HP392" s="124"/>
      <c r="HQ392" s="124"/>
    </row>
    <row r="393" spans="1:225" x14ac:dyDescent="0.2">
      <c r="A393" s="122"/>
      <c r="B393" s="123"/>
      <c r="C393" s="124"/>
      <c r="D393" s="123"/>
      <c r="E393" s="124"/>
      <c r="F393" s="123"/>
      <c r="G393" s="123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  <c r="AT393" s="124"/>
      <c r="AU393" s="124"/>
      <c r="AV393" s="124"/>
      <c r="AW393" s="124"/>
      <c r="AX393" s="124"/>
      <c r="AY393" s="124"/>
      <c r="AZ393" s="124"/>
      <c r="BA393" s="124"/>
      <c r="BB393" s="124"/>
      <c r="BC393" s="124"/>
      <c r="BD393" s="124"/>
      <c r="BE393" s="124"/>
      <c r="BF393" s="124"/>
      <c r="BG393" s="124"/>
      <c r="BH393" s="124"/>
      <c r="BI393" s="124"/>
      <c r="BJ393" s="124"/>
      <c r="BK393" s="124"/>
      <c r="BL393" s="124"/>
      <c r="BM393" s="124"/>
      <c r="BN393" s="124"/>
      <c r="BO393" s="124"/>
      <c r="BP393" s="124"/>
      <c r="BQ393" s="124"/>
      <c r="BR393" s="124"/>
      <c r="BS393" s="124"/>
      <c r="BT393" s="124"/>
      <c r="BU393" s="124"/>
      <c r="BV393" s="124"/>
      <c r="BW393" s="124"/>
      <c r="BX393" s="124"/>
      <c r="BY393" s="124"/>
      <c r="BZ393" s="124"/>
      <c r="CA393" s="124"/>
      <c r="CB393" s="124"/>
      <c r="CC393" s="124"/>
      <c r="CD393" s="124"/>
      <c r="CE393" s="124"/>
      <c r="CF393" s="124"/>
      <c r="CG393" s="124"/>
      <c r="CH393" s="124"/>
      <c r="CI393" s="124"/>
      <c r="CJ393" s="124"/>
      <c r="CK393" s="124"/>
      <c r="CL393" s="124"/>
      <c r="CM393" s="124"/>
      <c r="CN393" s="124"/>
      <c r="CO393" s="124"/>
      <c r="CP393" s="124"/>
      <c r="CQ393" s="124"/>
      <c r="CR393" s="124"/>
      <c r="CS393" s="124"/>
      <c r="CT393" s="124"/>
      <c r="CU393" s="124"/>
      <c r="CV393" s="124"/>
      <c r="CW393" s="124"/>
      <c r="CX393" s="124"/>
      <c r="CY393" s="124"/>
      <c r="CZ393" s="124"/>
      <c r="DA393" s="124"/>
      <c r="DB393" s="124"/>
      <c r="DC393" s="124"/>
      <c r="DD393" s="124"/>
      <c r="DE393" s="124"/>
      <c r="DF393" s="124"/>
      <c r="DG393" s="124"/>
      <c r="DH393" s="124"/>
      <c r="DI393" s="124"/>
      <c r="DJ393" s="124"/>
      <c r="DK393" s="124"/>
      <c r="DL393" s="124"/>
      <c r="DM393" s="124"/>
      <c r="DN393" s="124"/>
      <c r="DO393" s="124"/>
      <c r="DP393" s="124"/>
      <c r="DQ393" s="124"/>
      <c r="DR393" s="124"/>
      <c r="DS393" s="124"/>
      <c r="DT393" s="124"/>
      <c r="DU393" s="124"/>
      <c r="DV393" s="124"/>
      <c r="DW393" s="124"/>
      <c r="DX393" s="124"/>
      <c r="DY393" s="124"/>
      <c r="DZ393" s="124"/>
      <c r="EA393" s="124"/>
      <c r="EB393" s="124"/>
      <c r="EC393" s="124"/>
      <c r="ED393" s="124"/>
      <c r="EE393" s="124"/>
      <c r="EF393" s="124"/>
      <c r="EG393" s="124"/>
      <c r="EH393" s="124"/>
      <c r="EI393" s="124"/>
      <c r="EJ393" s="124"/>
      <c r="EK393" s="124"/>
      <c r="EL393" s="124"/>
      <c r="EM393" s="124"/>
      <c r="EN393" s="124"/>
      <c r="EO393" s="124"/>
      <c r="EP393" s="124"/>
      <c r="EQ393" s="124"/>
      <c r="ER393" s="124"/>
      <c r="ES393" s="124"/>
      <c r="ET393" s="124"/>
      <c r="EU393" s="124"/>
      <c r="EV393" s="124"/>
      <c r="EW393" s="124"/>
      <c r="EX393" s="124"/>
      <c r="EY393" s="124"/>
      <c r="EZ393" s="124"/>
      <c r="FA393" s="124"/>
      <c r="FB393" s="124"/>
      <c r="FC393" s="124"/>
      <c r="FD393" s="124"/>
      <c r="FE393" s="124"/>
      <c r="FF393" s="124"/>
      <c r="FG393" s="124"/>
      <c r="FH393" s="124"/>
      <c r="FI393" s="124"/>
      <c r="FJ393" s="124"/>
      <c r="FK393" s="124"/>
      <c r="FL393" s="124"/>
      <c r="FM393" s="124"/>
      <c r="FN393" s="124"/>
      <c r="FO393" s="124"/>
      <c r="FP393" s="124"/>
      <c r="FQ393" s="124"/>
      <c r="FR393" s="124"/>
      <c r="FS393" s="124"/>
      <c r="FT393" s="124"/>
      <c r="FU393" s="124"/>
      <c r="FV393" s="124"/>
      <c r="FW393" s="124"/>
      <c r="FX393" s="124"/>
      <c r="FY393" s="124"/>
      <c r="FZ393" s="124"/>
      <c r="GA393" s="124"/>
      <c r="GB393" s="124"/>
      <c r="GC393" s="124"/>
      <c r="GD393" s="124"/>
      <c r="GE393" s="124"/>
      <c r="GF393" s="124"/>
      <c r="GG393" s="124"/>
      <c r="GH393" s="124"/>
      <c r="GI393" s="124"/>
      <c r="GJ393" s="124"/>
      <c r="GK393" s="124"/>
      <c r="GL393" s="124"/>
      <c r="GM393" s="124"/>
      <c r="GN393" s="124"/>
      <c r="GO393" s="124"/>
      <c r="GP393" s="124"/>
      <c r="GQ393" s="124"/>
      <c r="GR393" s="124"/>
      <c r="GS393" s="124"/>
      <c r="GT393" s="124"/>
      <c r="GU393" s="124"/>
      <c r="GV393" s="124"/>
      <c r="GW393" s="124"/>
      <c r="GX393" s="124"/>
      <c r="GY393" s="124"/>
      <c r="GZ393" s="124"/>
      <c r="HA393" s="124"/>
      <c r="HB393" s="124"/>
      <c r="HC393" s="124"/>
      <c r="HD393" s="124"/>
      <c r="HE393" s="124"/>
      <c r="HF393" s="124"/>
      <c r="HG393" s="124"/>
      <c r="HH393" s="124"/>
      <c r="HI393" s="124"/>
      <c r="HJ393" s="124"/>
      <c r="HK393" s="124"/>
      <c r="HL393" s="124"/>
      <c r="HM393" s="124"/>
      <c r="HN393" s="124"/>
      <c r="HO393" s="124"/>
      <c r="HP393" s="124"/>
      <c r="HQ393" s="124"/>
    </row>
    <row r="394" spans="1:225" x14ac:dyDescent="0.2">
      <c r="A394" s="122"/>
      <c r="B394" s="123"/>
      <c r="C394" s="124"/>
      <c r="D394" s="123"/>
      <c r="E394" s="124"/>
      <c r="F394" s="123"/>
      <c r="G394" s="123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  <c r="AT394" s="124"/>
      <c r="AU394" s="124"/>
      <c r="AV394" s="124"/>
      <c r="AW394" s="124"/>
      <c r="AX394" s="124"/>
      <c r="AY394" s="124"/>
      <c r="AZ394" s="124"/>
      <c r="BA394" s="124"/>
      <c r="BB394" s="124"/>
      <c r="BC394" s="124"/>
      <c r="BD394" s="124"/>
      <c r="BE394" s="124"/>
      <c r="BF394" s="124"/>
      <c r="BG394" s="124"/>
      <c r="BH394" s="124"/>
      <c r="BI394" s="124"/>
      <c r="BJ394" s="124"/>
      <c r="BK394" s="124"/>
      <c r="BL394" s="124"/>
      <c r="BM394" s="124"/>
      <c r="BN394" s="124"/>
      <c r="BO394" s="124"/>
      <c r="BP394" s="124"/>
      <c r="BQ394" s="124"/>
      <c r="BR394" s="124"/>
      <c r="BS394" s="124"/>
      <c r="BT394" s="124"/>
      <c r="BU394" s="124"/>
      <c r="BV394" s="124"/>
      <c r="BW394" s="124"/>
      <c r="BX394" s="124"/>
      <c r="BY394" s="124"/>
      <c r="BZ394" s="124"/>
      <c r="CA394" s="124"/>
      <c r="CB394" s="124"/>
      <c r="CC394" s="124"/>
      <c r="CD394" s="124"/>
      <c r="CE394" s="124"/>
      <c r="CF394" s="124"/>
      <c r="CG394" s="124"/>
      <c r="CH394" s="124"/>
      <c r="CI394" s="124"/>
      <c r="CJ394" s="124"/>
      <c r="CK394" s="124"/>
      <c r="CL394" s="124"/>
      <c r="CM394" s="124"/>
      <c r="CN394" s="124"/>
      <c r="CO394" s="124"/>
      <c r="CP394" s="124"/>
      <c r="CQ394" s="124"/>
      <c r="CR394" s="124"/>
      <c r="CS394" s="124"/>
      <c r="CT394" s="124"/>
      <c r="CU394" s="124"/>
      <c r="CV394" s="124"/>
      <c r="CW394" s="124"/>
      <c r="CX394" s="124"/>
      <c r="CY394" s="124"/>
      <c r="CZ394" s="124"/>
      <c r="DA394" s="124"/>
      <c r="DB394" s="124"/>
      <c r="DC394" s="124"/>
      <c r="DD394" s="124"/>
      <c r="DE394" s="124"/>
      <c r="DF394" s="124"/>
      <c r="DG394" s="124"/>
      <c r="DH394" s="124"/>
      <c r="DI394" s="124"/>
      <c r="DJ394" s="124"/>
      <c r="DK394" s="124"/>
      <c r="DL394" s="124"/>
      <c r="DM394" s="124"/>
      <c r="DN394" s="124"/>
      <c r="DO394" s="124"/>
      <c r="DP394" s="124"/>
      <c r="DQ394" s="124"/>
      <c r="DR394" s="124"/>
      <c r="DS394" s="124"/>
      <c r="DT394" s="124"/>
      <c r="DU394" s="124"/>
      <c r="DV394" s="124"/>
      <c r="DW394" s="124"/>
      <c r="DX394" s="124"/>
      <c r="DY394" s="124"/>
      <c r="DZ394" s="124"/>
      <c r="EA394" s="124"/>
      <c r="EB394" s="124"/>
      <c r="EC394" s="124"/>
      <c r="ED394" s="124"/>
      <c r="EE394" s="124"/>
      <c r="EF394" s="124"/>
      <c r="EG394" s="124"/>
      <c r="EH394" s="124"/>
      <c r="EI394" s="124"/>
      <c r="EJ394" s="124"/>
      <c r="EK394" s="124"/>
      <c r="EL394" s="124"/>
      <c r="EM394" s="124"/>
      <c r="EN394" s="124"/>
      <c r="EO394" s="124"/>
      <c r="EP394" s="124"/>
      <c r="EQ394" s="124"/>
      <c r="ER394" s="124"/>
      <c r="ES394" s="124"/>
      <c r="ET394" s="124"/>
      <c r="EU394" s="124"/>
      <c r="EV394" s="124"/>
      <c r="EW394" s="124"/>
      <c r="EX394" s="124"/>
      <c r="EY394" s="124"/>
      <c r="EZ394" s="124"/>
      <c r="FA394" s="124"/>
      <c r="FB394" s="124"/>
      <c r="FC394" s="124"/>
      <c r="FD394" s="124"/>
      <c r="FE394" s="124"/>
      <c r="FF394" s="124"/>
      <c r="FG394" s="124"/>
      <c r="FH394" s="124"/>
      <c r="FI394" s="124"/>
      <c r="FJ394" s="124"/>
      <c r="FK394" s="124"/>
      <c r="FL394" s="124"/>
      <c r="FM394" s="124"/>
      <c r="FN394" s="124"/>
      <c r="FO394" s="124"/>
      <c r="FP394" s="124"/>
      <c r="FQ394" s="124"/>
      <c r="FR394" s="124"/>
      <c r="FS394" s="124"/>
      <c r="FT394" s="124"/>
      <c r="FU394" s="124"/>
      <c r="FV394" s="124"/>
      <c r="FW394" s="124"/>
      <c r="FX394" s="124"/>
      <c r="FY394" s="124"/>
      <c r="FZ394" s="124"/>
      <c r="GA394" s="124"/>
      <c r="GB394" s="124"/>
      <c r="GC394" s="124"/>
      <c r="GD394" s="124"/>
      <c r="GE394" s="124"/>
      <c r="GF394" s="124"/>
      <c r="GG394" s="124"/>
      <c r="GH394" s="124"/>
      <c r="GI394" s="124"/>
      <c r="GJ394" s="124"/>
      <c r="GK394" s="124"/>
      <c r="GL394" s="124"/>
      <c r="GM394" s="124"/>
      <c r="GN394" s="124"/>
      <c r="GO394" s="124"/>
      <c r="GP394" s="124"/>
      <c r="GQ394" s="124"/>
      <c r="GR394" s="124"/>
      <c r="GS394" s="124"/>
      <c r="GT394" s="124"/>
      <c r="GU394" s="124"/>
      <c r="GV394" s="124"/>
      <c r="GW394" s="124"/>
      <c r="GX394" s="124"/>
      <c r="GY394" s="124"/>
      <c r="GZ394" s="124"/>
      <c r="HA394" s="124"/>
      <c r="HB394" s="124"/>
      <c r="HC394" s="124"/>
      <c r="HD394" s="124"/>
      <c r="HE394" s="124"/>
      <c r="HF394" s="124"/>
      <c r="HG394" s="124"/>
      <c r="HH394" s="124"/>
      <c r="HI394" s="124"/>
      <c r="HJ394" s="124"/>
      <c r="HK394" s="124"/>
      <c r="HL394" s="124"/>
      <c r="HM394" s="124"/>
      <c r="HN394" s="124"/>
      <c r="HO394" s="124"/>
      <c r="HP394" s="124"/>
      <c r="HQ394" s="124"/>
    </row>
    <row r="395" spans="1:225" x14ac:dyDescent="0.2">
      <c r="A395" s="122"/>
      <c r="B395" s="123"/>
      <c r="C395" s="124"/>
      <c r="D395" s="123"/>
      <c r="E395" s="124"/>
      <c r="F395" s="123"/>
      <c r="G395" s="123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/>
      <c r="BB395" s="124"/>
      <c r="BC395" s="124"/>
      <c r="BD395" s="124"/>
      <c r="BE395" s="124"/>
      <c r="BF395" s="124"/>
      <c r="BG395" s="124"/>
      <c r="BH395" s="124"/>
      <c r="BI395" s="124"/>
      <c r="BJ395" s="124"/>
      <c r="BK395" s="124"/>
      <c r="BL395" s="124"/>
      <c r="BM395" s="124"/>
      <c r="BN395" s="124"/>
      <c r="BO395" s="124"/>
      <c r="BP395" s="124"/>
      <c r="BQ395" s="124"/>
      <c r="BR395" s="124"/>
      <c r="BS395" s="124"/>
      <c r="BT395" s="124"/>
      <c r="BU395" s="124"/>
      <c r="BV395" s="124"/>
      <c r="BW395" s="124"/>
      <c r="BX395" s="124"/>
      <c r="BY395" s="124"/>
      <c r="BZ395" s="124"/>
      <c r="CA395" s="124"/>
      <c r="CB395" s="124"/>
      <c r="CC395" s="124"/>
      <c r="CD395" s="124"/>
      <c r="CE395" s="124"/>
      <c r="CF395" s="124"/>
      <c r="CG395" s="124"/>
      <c r="CH395" s="124"/>
      <c r="CI395" s="124"/>
      <c r="CJ395" s="124"/>
      <c r="CK395" s="124"/>
      <c r="CL395" s="124"/>
      <c r="CM395" s="124"/>
      <c r="CN395" s="124"/>
      <c r="CO395" s="124"/>
      <c r="CP395" s="124"/>
      <c r="CQ395" s="124"/>
      <c r="CR395" s="124"/>
      <c r="CS395" s="124"/>
      <c r="CT395" s="124"/>
      <c r="CU395" s="124"/>
      <c r="CV395" s="124"/>
      <c r="CW395" s="124"/>
      <c r="CX395" s="124"/>
      <c r="CY395" s="124"/>
      <c r="CZ395" s="124"/>
      <c r="DA395" s="124"/>
      <c r="DB395" s="124"/>
      <c r="DC395" s="124"/>
      <c r="DD395" s="124"/>
      <c r="DE395" s="124"/>
      <c r="DF395" s="124"/>
      <c r="DG395" s="124"/>
      <c r="DH395" s="124"/>
      <c r="DI395" s="124"/>
      <c r="DJ395" s="124"/>
      <c r="DK395" s="124"/>
      <c r="DL395" s="124"/>
      <c r="DM395" s="124"/>
      <c r="DN395" s="124"/>
      <c r="DO395" s="124"/>
      <c r="DP395" s="124"/>
      <c r="DQ395" s="124"/>
      <c r="DR395" s="124"/>
      <c r="DS395" s="124"/>
      <c r="DT395" s="124"/>
      <c r="DU395" s="124"/>
      <c r="DV395" s="124"/>
      <c r="DW395" s="124"/>
      <c r="DX395" s="124"/>
      <c r="DY395" s="124"/>
      <c r="DZ395" s="124"/>
      <c r="EA395" s="124"/>
      <c r="EB395" s="124"/>
      <c r="EC395" s="124"/>
      <c r="ED395" s="124"/>
      <c r="EE395" s="124"/>
      <c r="EF395" s="124"/>
      <c r="EG395" s="124"/>
      <c r="EH395" s="124"/>
      <c r="EI395" s="124"/>
      <c r="EJ395" s="124"/>
      <c r="EK395" s="124"/>
      <c r="EL395" s="124"/>
      <c r="EM395" s="124"/>
      <c r="EN395" s="124"/>
      <c r="EO395" s="124"/>
      <c r="EP395" s="124"/>
      <c r="EQ395" s="124"/>
      <c r="ER395" s="124"/>
      <c r="ES395" s="124"/>
      <c r="ET395" s="124"/>
      <c r="EU395" s="124"/>
      <c r="EV395" s="124"/>
      <c r="EW395" s="124"/>
      <c r="EX395" s="124"/>
      <c r="EY395" s="124"/>
      <c r="EZ395" s="124"/>
      <c r="FA395" s="124"/>
      <c r="FB395" s="124"/>
      <c r="FC395" s="124"/>
      <c r="FD395" s="124"/>
      <c r="FE395" s="124"/>
      <c r="FF395" s="124"/>
      <c r="FG395" s="124"/>
      <c r="FH395" s="124"/>
      <c r="FI395" s="124"/>
      <c r="FJ395" s="124"/>
      <c r="FK395" s="124"/>
      <c r="FL395" s="124"/>
      <c r="FM395" s="124"/>
      <c r="FN395" s="124"/>
      <c r="FO395" s="124"/>
      <c r="FP395" s="124"/>
      <c r="FQ395" s="124"/>
      <c r="FR395" s="124"/>
      <c r="FS395" s="124"/>
      <c r="FT395" s="124"/>
      <c r="FU395" s="124"/>
      <c r="FV395" s="124"/>
      <c r="FW395" s="124"/>
      <c r="FX395" s="124"/>
      <c r="FY395" s="124"/>
      <c r="FZ395" s="124"/>
      <c r="GA395" s="124"/>
      <c r="GB395" s="124"/>
      <c r="GC395" s="124"/>
      <c r="GD395" s="124"/>
      <c r="GE395" s="124"/>
      <c r="GF395" s="124"/>
      <c r="GG395" s="124"/>
      <c r="GH395" s="124"/>
      <c r="GI395" s="124"/>
      <c r="GJ395" s="124"/>
      <c r="GK395" s="124"/>
      <c r="GL395" s="124"/>
      <c r="GM395" s="124"/>
      <c r="GN395" s="124"/>
      <c r="GO395" s="124"/>
      <c r="GP395" s="124"/>
      <c r="GQ395" s="124"/>
      <c r="GR395" s="124"/>
      <c r="GS395" s="124"/>
      <c r="GT395" s="124"/>
      <c r="GU395" s="124"/>
      <c r="GV395" s="124"/>
      <c r="GW395" s="124"/>
      <c r="GX395" s="124"/>
      <c r="GY395" s="124"/>
      <c r="GZ395" s="124"/>
      <c r="HA395" s="124"/>
      <c r="HB395" s="124"/>
      <c r="HC395" s="124"/>
      <c r="HD395" s="124"/>
      <c r="HE395" s="124"/>
      <c r="HF395" s="124"/>
      <c r="HG395" s="124"/>
      <c r="HH395" s="124"/>
      <c r="HI395" s="124"/>
      <c r="HJ395" s="124"/>
      <c r="HK395" s="124"/>
      <c r="HL395" s="124"/>
      <c r="HM395" s="124"/>
      <c r="HN395" s="124"/>
      <c r="HO395" s="124"/>
      <c r="HP395" s="124"/>
      <c r="HQ395" s="124"/>
    </row>
    <row r="396" spans="1:225" x14ac:dyDescent="0.2">
      <c r="A396" s="122"/>
      <c r="B396" s="123"/>
      <c r="C396" s="124"/>
      <c r="D396" s="123"/>
      <c r="E396" s="124"/>
      <c r="F396" s="123"/>
      <c r="G396" s="123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  <c r="AU396" s="124"/>
      <c r="AV396" s="124"/>
      <c r="AW396" s="124"/>
      <c r="AX396" s="124"/>
      <c r="AY396" s="124"/>
      <c r="AZ396" s="124"/>
      <c r="BA396" s="124"/>
      <c r="BB396" s="124"/>
      <c r="BC396" s="124"/>
      <c r="BD396" s="124"/>
      <c r="BE396" s="124"/>
      <c r="BF396" s="124"/>
      <c r="BG396" s="124"/>
      <c r="BH396" s="124"/>
      <c r="BI396" s="124"/>
      <c r="BJ396" s="124"/>
      <c r="BK396" s="124"/>
      <c r="BL396" s="124"/>
      <c r="BM396" s="124"/>
      <c r="BN396" s="124"/>
      <c r="BO396" s="124"/>
      <c r="BP396" s="124"/>
      <c r="BQ396" s="124"/>
      <c r="BR396" s="124"/>
      <c r="BS396" s="124"/>
      <c r="BT396" s="124"/>
      <c r="BU396" s="124"/>
      <c r="BV396" s="124"/>
      <c r="BW396" s="124"/>
      <c r="BX396" s="124"/>
      <c r="BY396" s="124"/>
      <c r="BZ396" s="124"/>
      <c r="CA396" s="124"/>
      <c r="CB396" s="124"/>
      <c r="CC396" s="124"/>
      <c r="CD396" s="124"/>
      <c r="CE396" s="124"/>
      <c r="CF396" s="124"/>
      <c r="CG396" s="124"/>
      <c r="CH396" s="124"/>
      <c r="CI396" s="124"/>
      <c r="CJ396" s="124"/>
      <c r="CK396" s="124"/>
      <c r="CL396" s="124"/>
      <c r="CM396" s="124"/>
      <c r="CN396" s="124"/>
      <c r="CO396" s="124"/>
      <c r="CP396" s="124"/>
      <c r="CQ396" s="124"/>
      <c r="CR396" s="124"/>
      <c r="CS396" s="124"/>
      <c r="CT396" s="124"/>
      <c r="CU396" s="124"/>
      <c r="CV396" s="124"/>
      <c r="CW396" s="124"/>
      <c r="CX396" s="124"/>
      <c r="CY396" s="124"/>
      <c r="CZ396" s="124"/>
      <c r="DA396" s="124"/>
      <c r="DB396" s="124"/>
      <c r="DC396" s="124"/>
      <c r="DD396" s="124"/>
      <c r="DE396" s="124"/>
      <c r="DF396" s="124"/>
      <c r="DG396" s="124"/>
      <c r="DH396" s="124"/>
      <c r="DI396" s="124"/>
      <c r="DJ396" s="124"/>
      <c r="DK396" s="124"/>
      <c r="DL396" s="124"/>
      <c r="DM396" s="124"/>
      <c r="DN396" s="124"/>
      <c r="DO396" s="124"/>
      <c r="DP396" s="124"/>
      <c r="DQ396" s="124"/>
      <c r="DR396" s="124"/>
      <c r="DS396" s="124"/>
      <c r="DT396" s="124"/>
      <c r="DU396" s="124"/>
      <c r="DV396" s="124"/>
      <c r="DW396" s="124"/>
      <c r="DX396" s="124"/>
      <c r="DY396" s="124"/>
      <c r="DZ396" s="124"/>
      <c r="EA396" s="124"/>
      <c r="EB396" s="124"/>
      <c r="EC396" s="124"/>
      <c r="ED396" s="124"/>
      <c r="EE396" s="124"/>
      <c r="EF396" s="124"/>
      <c r="EG396" s="124"/>
      <c r="EH396" s="124"/>
      <c r="EI396" s="124"/>
      <c r="EJ396" s="124"/>
      <c r="EK396" s="124"/>
      <c r="EL396" s="124"/>
      <c r="EM396" s="124"/>
      <c r="EN396" s="124"/>
      <c r="EO396" s="124"/>
      <c r="EP396" s="124"/>
      <c r="EQ396" s="124"/>
      <c r="ER396" s="124"/>
      <c r="ES396" s="124"/>
      <c r="ET396" s="124"/>
      <c r="EU396" s="124"/>
      <c r="EV396" s="124"/>
      <c r="EW396" s="124"/>
      <c r="EX396" s="124"/>
      <c r="EY396" s="124"/>
      <c r="EZ396" s="124"/>
      <c r="FA396" s="124"/>
      <c r="FB396" s="124"/>
      <c r="FC396" s="124"/>
      <c r="FD396" s="124"/>
      <c r="FE396" s="124"/>
      <c r="FF396" s="124"/>
      <c r="FG396" s="124"/>
      <c r="FH396" s="124"/>
      <c r="FI396" s="124"/>
      <c r="FJ396" s="124"/>
      <c r="FK396" s="124"/>
      <c r="FL396" s="124"/>
      <c r="FM396" s="124"/>
      <c r="FN396" s="124"/>
      <c r="FO396" s="124"/>
      <c r="FP396" s="124"/>
      <c r="FQ396" s="124"/>
      <c r="FR396" s="124"/>
      <c r="FS396" s="124"/>
      <c r="FT396" s="124"/>
      <c r="FU396" s="124"/>
      <c r="FV396" s="124"/>
      <c r="FW396" s="124"/>
      <c r="FX396" s="124"/>
      <c r="FY396" s="124"/>
      <c r="FZ396" s="124"/>
      <c r="GA396" s="124"/>
      <c r="GB396" s="124"/>
      <c r="GC396" s="124"/>
      <c r="GD396" s="124"/>
      <c r="GE396" s="124"/>
      <c r="GF396" s="124"/>
      <c r="GG396" s="124"/>
      <c r="GH396" s="124"/>
      <c r="GI396" s="124"/>
      <c r="GJ396" s="124"/>
      <c r="GK396" s="124"/>
      <c r="GL396" s="124"/>
      <c r="GM396" s="124"/>
      <c r="GN396" s="124"/>
      <c r="GO396" s="124"/>
      <c r="GP396" s="124"/>
      <c r="GQ396" s="124"/>
      <c r="GR396" s="124"/>
      <c r="GS396" s="124"/>
      <c r="GT396" s="124"/>
      <c r="GU396" s="124"/>
      <c r="GV396" s="124"/>
      <c r="GW396" s="124"/>
      <c r="GX396" s="124"/>
      <c r="GY396" s="124"/>
      <c r="GZ396" s="124"/>
      <c r="HA396" s="124"/>
      <c r="HB396" s="124"/>
      <c r="HC396" s="124"/>
      <c r="HD396" s="124"/>
      <c r="HE396" s="124"/>
      <c r="HF396" s="124"/>
      <c r="HG396" s="124"/>
      <c r="HH396" s="124"/>
      <c r="HI396" s="124"/>
      <c r="HJ396" s="124"/>
      <c r="HK396" s="124"/>
      <c r="HL396" s="124"/>
      <c r="HM396" s="124"/>
      <c r="HN396" s="124"/>
      <c r="HO396" s="124"/>
      <c r="HP396" s="124"/>
      <c r="HQ396" s="124"/>
    </row>
    <row r="397" spans="1:225" x14ac:dyDescent="0.2">
      <c r="A397" s="122"/>
      <c r="B397" s="123"/>
      <c r="C397" s="124"/>
      <c r="D397" s="123"/>
      <c r="E397" s="124"/>
      <c r="F397" s="123"/>
      <c r="G397" s="123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  <c r="AT397" s="124"/>
      <c r="AU397" s="124"/>
      <c r="AV397" s="124"/>
      <c r="AW397" s="124"/>
      <c r="AX397" s="124"/>
      <c r="AY397" s="124"/>
      <c r="AZ397" s="124"/>
      <c r="BA397" s="124"/>
      <c r="BB397" s="124"/>
      <c r="BC397" s="124"/>
      <c r="BD397" s="124"/>
      <c r="BE397" s="124"/>
      <c r="BF397" s="124"/>
      <c r="BG397" s="124"/>
      <c r="BH397" s="124"/>
      <c r="BI397" s="124"/>
      <c r="BJ397" s="124"/>
      <c r="BK397" s="124"/>
      <c r="BL397" s="124"/>
      <c r="BM397" s="124"/>
      <c r="BN397" s="124"/>
      <c r="BO397" s="124"/>
      <c r="BP397" s="124"/>
      <c r="BQ397" s="124"/>
      <c r="BR397" s="124"/>
      <c r="BS397" s="124"/>
      <c r="BT397" s="124"/>
      <c r="BU397" s="124"/>
      <c r="BV397" s="124"/>
      <c r="BW397" s="124"/>
      <c r="BX397" s="124"/>
      <c r="BY397" s="124"/>
      <c r="BZ397" s="124"/>
      <c r="CA397" s="124"/>
      <c r="CB397" s="124"/>
      <c r="CC397" s="124"/>
      <c r="CD397" s="124"/>
      <c r="CE397" s="124"/>
      <c r="CF397" s="124"/>
      <c r="CG397" s="124"/>
      <c r="CH397" s="124"/>
      <c r="CI397" s="124"/>
      <c r="CJ397" s="124"/>
      <c r="CK397" s="124"/>
      <c r="CL397" s="124"/>
      <c r="CM397" s="124"/>
      <c r="CN397" s="124"/>
      <c r="CO397" s="124"/>
      <c r="CP397" s="124"/>
      <c r="CQ397" s="124"/>
      <c r="CR397" s="124"/>
      <c r="CS397" s="124"/>
      <c r="CT397" s="124"/>
      <c r="CU397" s="124"/>
      <c r="CV397" s="124"/>
      <c r="CW397" s="124"/>
      <c r="CX397" s="124"/>
      <c r="CY397" s="124"/>
      <c r="CZ397" s="124"/>
      <c r="DA397" s="124"/>
      <c r="DB397" s="124"/>
      <c r="DC397" s="124"/>
      <c r="DD397" s="124"/>
      <c r="DE397" s="124"/>
      <c r="DF397" s="124"/>
      <c r="DG397" s="124"/>
      <c r="DH397" s="124"/>
      <c r="DI397" s="124"/>
      <c r="DJ397" s="124"/>
      <c r="DK397" s="124"/>
      <c r="DL397" s="124"/>
      <c r="DM397" s="124"/>
      <c r="DN397" s="124"/>
      <c r="DO397" s="124"/>
      <c r="DP397" s="124"/>
      <c r="DQ397" s="124"/>
      <c r="DR397" s="124"/>
      <c r="DS397" s="124"/>
      <c r="DT397" s="124"/>
      <c r="DU397" s="124"/>
      <c r="DV397" s="124"/>
      <c r="DW397" s="124"/>
      <c r="DX397" s="124"/>
      <c r="DY397" s="124"/>
      <c r="DZ397" s="124"/>
      <c r="EA397" s="124"/>
      <c r="EB397" s="124"/>
      <c r="EC397" s="124"/>
      <c r="ED397" s="124"/>
      <c r="EE397" s="124"/>
      <c r="EF397" s="124"/>
      <c r="EG397" s="124"/>
      <c r="EH397" s="124"/>
      <c r="EI397" s="124"/>
      <c r="EJ397" s="124"/>
      <c r="EK397" s="124"/>
      <c r="EL397" s="124"/>
      <c r="EM397" s="124"/>
      <c r="EN397" s="124"/>
      <c r="EO397" s="124"/>
      <c r="EP397" s="124"/>
      <c r="EQ397" s="124"/>
      <c r="ER397" s="124"/>
      <c r="ES397" s="124"/>
      <c r="ET397" s="124"/>
      <c r="EU397" s="124"/>
      <c r="EV397" s="124"/>
      <c r="EW397" s="124"/>
      <c r="EX397" s="124"/>
      <c r="EY397" s="124"/>
      <c r="EZ397" s="124"/>
      <c r="FA397" s="124"/>
      <c r="FB397" s="124"/>
      <c r="FC397" s="124"/>
      <c r="FD397" s="124"/>
      <c r="FE397" s="124"/>
      <c r="FF397" s="124"/>
      <c r="FG397" s="124"/>
      <c r="FH397" s="124"/>
      <c r="FI397" s="124"/>
      <c r="FJ397" s="124"/>
      <c r="FK397" s="124"/>
      <c r="FL397" s="124"/>
      <c r="FM397" s="124"/>
      <c r="FN397" s="124"/>
      <c r="FO397" s="124"/>
      <c r="FP397" s="124"/>
      <c r="FQ397" s="124"/>
      <c r="FR397" s="124"/>
      <c r="FS397" s="124"/>
      <c r="FT397" s="124"/>
      <c r="FU397" s="124"/>
      <c r="FV397" s="124"/>
      <c r="FW397" s="124"/>
      <c r="FX397" s="124"/>
      <c r="FY397" s="124"/>
      <c r="FZ397" s="124"/>
      <c r="GA397" s="124"/>
      <c r="GB397" s="124"/>
      <c r="GC397" s="124"/>
      <c r="GD397" s="124"/>
      <c r="GE397" s="124"/>
      <c r="GF397" s="124"/>
      <c r="GG397" s="124"/>
      <c r="GH397" s="124"/>
      <c r="GI397" s="124"/>
      <c r="GJ397" s="124"/>
      <c r="GK397" s="124"/>
      <c r="GL397" s="124"/>
      <c r="GM397" s="124"/>
      <c r="GN397" s="124"/>
      <c r="GO397" s="124"/>
      <c r="GP397" s="124"/>
      <c r="GQ397" s="124"/>
      <c r="GR397" s="124"/>
      <c r="GS397" s="124"/>
      <c r="GT397" s="124"/>
      <c r="GU397" s="124"/>
      <c r="GV397" s="124"/>
      <c r="GW397" s="124"/>
      <c r="GX397" s="124"/>
      <c r="GY397" s="124"/>
      <c r="GZ397" s="124"/>
      <c r="HA397" s="124"/>
      <c r="HB397" s="124"/>
      <c r="HC397" s="124"/>
      <c r="HD397" s="124"/>
      <c r="HE397" s="124"/>
      <c r="HF397" s="124"/>
      <c r="HG397" s="124"/>
      <c r="HH397" s="124"/>
      <c r="HI397" s="124"/>
      <c r="HJ397" s="124"/>
      <c r="HK397" s="124"/>
      <c r="HL397" s="124"/>
      <c r="HM397" s="124"/>
      <c r="HN397" s="124"/>
      <c r="HO397" s="124"/>
      <c r="HP397" s="124"/>
      <c r="HQ397" s="124"/>
    </row>
    <row r="398" spans="1:225" x14ac:dyDescent="0.2">
      <c r="A398" s="122"/>
      <c r="B398" s="123"/>
      <c r="C398" s="124"/>
      <c r="D398" s="123"/>
      <c r="E398" s="124"/>
      <c r="F398" s="123"/>
      <c r="G398" s="123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  <c r="AT398" s="124"/>
      <c r="AU398" s="124"/>
      <c r="AV398" s="124"/>
      <c r="AW398" s="124"/>
      <c r="AX398" s="124"/>
      <c r="AY398" s="124"/>
      <c r="AZ398" s="124"/>
      <c r="BA398" s="124"/>
      <c r="BB398" s="124"/>
      <c r="BC398" s="124"/>
      <c r="BD398" s="124"/>
      <c r="BE398" s="124"/>
      <c r="BF398" s="124"/>
      <c r="BG398" s="124"/>
      <c r="BH398" s="124"/>
      <c r="BI398" s="124"/>
      <c r="BJ398" s="124"/>
      <c r="BK398" s="124"/>
      <c r="BL398" s="124"/>
      <c r="BM398" s="124"/>
      <c r="BN398" s="124"/>
      <c r="BO398" s="124"/>
      <c r="BP398" s="124"/>
      <c r="BQ398" s="124"/>
      <c r="BR398" s="124"/>
      <c r="BS398" s="124"/>
      <c r="BT398" s="124"/>
      <c r="BU398" s="124"/>
      <c r="BV398" s="124"/>
      <c r="BW398" s="124"/>
      <c r="BX398" s="124"/>
      <c r="BY398" s="124"/>
      <c r="BZ398" s="124"/>
      <c r="CA398" s="124"/>
      <c r="CB398" s="124"/>
      <c r="CC398" s="124"/>
      <c r="CD398" s="124"/>
      <c r="CE398" s="124"/>
      <c r="CF398" s="124"/>
      <c r="CG398" s="124"/>
      <c r="CH398" s="124"/>
      <c r="CI398" s="124"/>
      <c r="CJ398" s="124"/>
      <c r="CK398" s="124"/>
      <c r="CL398" s="124"/>
      <c r="CM398" s="124"/>
      <c r="CN398" s="124"/>
      <c r="CO398" s="124"/>
      <c r="CP398" s="124"/>
      <c r="CQ398" s="124"/>
      <c r="CR398" s="124"/>
      <c r="CS398" s="124"/>
      <c r="CT398" s="124"/>
      <c r="CU398" s="124"/>
      <c r="CV398" s="124"/>
      <c r="CW398" s="124"/>
      <c r="CX398" s="124"/>
      <c r="CY398" s="124"/>
      <c r="CZ398" s="124"/>
      <c r="DA398" s="124"/>
      <c r="DB398" s="124"/>
      <c r="DC398" s="124"/>
      <c r="DD398" s="124"/>
      <c r="DE398" s="124"/>
      <c r="DF398" s="124"/>
      <c r="DG398" s="124"/>
      <c r="DH398" s="124"/>
      <c r="DI398" s="124"/>
      <c r="DJ398" s="124"/>
      <c r="DK398" s="124"/>
      <c r="DL398" s="124"/>
      <c r="DM398" s="124"/>
      <c r="DN398" s="124"/>
      <c r="DO398" s="124"/>
      <c r="DP398" s="124"/>
      <c r="DQ398" s="124"/>
      <c r="DR398" s="124"/>
      <c r="DS398" s="124"/>
      <c r="DT398" s="124"/>
      <c r="DU398" s="124"/>
      <c r="DV398" s="124"/>
      <c r="DW398" s="124"/>
      <c r="DX398" s="124"/>
      <c r="DY398" s="124"/>
      <c r="DZ398" s="124"/>
      <c r="EA398" s="124"/>
      <c r="EB398" s="124"/>
      <c r="EC398" s="124"/>
      <c r="ED398" s="124"/>
      <c r="EE398" s="124"/>
      <c r="EF398" s="124"/>
      <c r="EG398" s="124"/>
      <c r="EH398" s="124"/>
      <c r="EI398" s="124"/>
      <c r="EJ398" s="124"/>
      <c r="EK398" s="124"/>
      <c r="EL398" s="124"/>
      <c r="EM398" s="124"/>
      <c r="EN398" s="124"/>
      <c r="EO398" s="124"/>
      <c r="EP398" s="124"/>
      <c r="EQ398" s="124"/>
      <c r="ER398" s="124"/>
      <c r="ES398" s="124"/>
      <c r="ET398" s="124"/>
      <c r="EU398" s="124"/>
      <c r="EV398" s="124"/>
      <c r="EW398" s="124"/>
      <c r="EX398" s="124"/>
      <c r="EY398" s="124"/>
      <c r="EZ398" s="124"/>
      <c r="FA398" s="124"/>
      <c r="FB398" s="124"/>
      <c r="FC398" s="124"/>
      <c r="FD398" s="124"/>
      <c r="FE398" s="124"/>
      <c r="FF398" s="124"/>
      <c r="FG398" s="124"/>
      <c r="FH398" s="124"/>
      <c r="FI398" s="124"/>
      <c r="FJ398" s="124"/>
      <c r="FK398" s="124"/>
      <c r="FL398" s="124"/>
      <c r="FM398" s="124"/>
      <c r="FN398" s="124"/>
      <c r="FO398" s="124"/>
      <c r="FP398" s="124"/>
      <c r="FQ398" s="124"/>
      <c r="FR398" s="124"/>
      <c r="FS398" s="124"/>
      <c r="FT398" s="124"/>
      <c r="FU398" s="124"/>
      <c r="FV398" s="124"/>
      <c r="FW398" s="124"/>
      <c r="FX398" s="124"/>
      <c r="FY398" s="124"/>
      <c r="FZ398" s="124"/>
      <c r="GA398" s="124"/>
      <c r="GB398" s="124"/>
      <c r="GC398" s="124"/>
      <c r="GD398" s="124"/>
      <c r="GE398" s="124"/>
      <c r="GF398" s="124"/>
      <c r="GG398" s="124"/>
      <c r="GH398" s="124"/>
      <c r="GI398" s="124"/>
      <c r="GJ398" s="124"/>
      <c r="GK398" s="124"/>
      <c r="GL398" s="124"/>
      <c r="GM398" s="124"/>
      <c r="GN398" s="124"/>
      <c r="GO398" s="124"/>
      <c r="GP398" s="124"/>
      <c r="GQ398" s="124"/>
      <c r="GR398" s="124"/>
      <c r="GS398" s="124"/>
      <c r="GT398" s="124"/>
      <c r="GU398" s="124"/>
      <c r="GV398" s="124"/>
      <c r="GW398" s="124"/>
      <c r="GX398" s="124"/>
      <c r="GY398" s="124"/>
      <c r="GZ398" s="124"/>
      <c r="HA398" s="124"/>
      <c r="HB398" s="124"/>
      <c r="HC398" s="124"/>
      <c r="HD398" s="124"/>
      <c r="HE398" s="124"/>
      <c r="HF398" s="124"/>
      <c r="HG398" s="124"/>
      <c r="HH398" s="124"/>
      <c r="HI398" s="124"/>
      <c r="HJ398" s="124"/>
      <c r="HK398" s="124"/>
      <c r="HL398" s="124"/>
      <c r="HM398" s="124"/>
      <c r="HN398" s="124"/>
      <c r="HO398" s="124"/>
      <c r="HP398" s="124"/>
      <c r="HQ398" s="124"/>
    </row>
    <row r="399" spans="1:225" x14ac:dyDescent="0.2">
      <c r="A399" s="122"/>
      <c r="B399" s="123"/>
      <c r="C399" s="124"/>
      <c r="D399" s="123"/>
      <c r="E399" s="124"/>
      <c r="F399" s="123"/>
      <c r="G399" s="123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  <c r="AU399" s="124"/>
      <c r="AV399" s="124"/>
      <c r="AW399" s="124"/>
      <c r="AX399" s="124"/>
      <c r="AY399" s="124"/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  <c r="BJ399" s="124"/>
      <c r="BK399" s="124"/>
      <c r="BL399" s="124"/>
      <c r="BM399" s="124"/>
      <c r="BN399" s="124"/>
      <c r="BO399" s="124"/>
      <c r="BP399" s="124"/>
      <c r="BQ399" s="124"/>
      <c r="BR399" s="124"/>
      <c r="BS399" s="124"/>
      <c r="BT399" s="124"/>
      <c r="BU399" s="124"/>
      <c r="BV399" s="124"/>
      <c r="BW399" s="124"/>
      <c r="BX399" s="124"/>
      <c r="BY399" s="124"/>
      <c r="BZ399" s="124"/>
      <c r="CA399" s="124"/>
      <c r="CB399" s="124"/>
      <c r="CC399" s="124"/>
      <c r="CD399" s="124"/>
      <c r="CE399" s="124"/>
      <c r="CF399" s="124"/>
      <c r="CG399" s="124"/>
      <c r="CH399" s="124"/>
      <c r="CI399" s="124"/>
      <c r="CJ399" s="124"/>
      <c r="CK399" s="124"/>
      <c r="CL399" s="124"/>
      <c r="CM399" s="124"/>
      <c r="CN399" s="124"/>
      <c r="CO399" s="124"/>
      <c r="CP399" s="124"/>
      <c r="CQ399" s="124"/>
      <c r="CR399" s="124"/>
      <c r="CS399" s="124"/>
      <c r="CT399" s="124"/>
      <c r="CU399" s="124"/>
      <c r="CV399" s="124"/>
      <c r="CW399" s="124"/>
      <c r="CX399" s="124"/>
      <c r="CY399" s="124"/>
      <c r="CZ399" s="124"/>
      <c r="DA399" s="124"/>
      <c r="DB399" s="124"/>
      <c r="DC399" s="124"/>
      <c r="DD399" s="124"/>
      <c r="DE399" s="124"/>
      <c r="DF399" s="124"/>
      <c r="DG399" s="124"/>
      <c r="DH399" s="124"/>
      <c r="DI399" s="124"/>
      <c r="DJ399" s="124"/>
      <c r="DK399" s="124"/>
      <c r="DL399" s="124"/>
      <c r="DM399" s="124"/>
      <c r="DN399" s="124"/>
      <c r="DO399" s="124"/>
      <c r="DP399" s="124"/>
      <c r="DQ399" s="124"/>
      <c r="DR399" s="124"/>
      <c r="DS399" s="124"/>
      <c r="DT399" s="124"/>
      <c r="DU399" s="124"/>
      <c r="DV399" s="124"/>
      <c r="DW399" s="124"/>
      <c r="DX399" s="124"/>
      <c r="DY399" s="124"/>
      <c r="DZ399" s="124"/>
      <c r="EA399" s="124"/>
      <c r="EB399" s="124"/>
      <c r="EC399" s="124"/>
      <c r="ED399" s="124"/>
      <c r="EE399" s="124"/>
      <c r="EF399" s="124"/>
      <c r="EG399" s="124"/>
      <c r="EH399" s="124"/>
      <c r="EI399" s="124"/>
      <c r="EJ399" s="124"/>
      <c r="EK399" s="124"/>
      <c r="EL399" s="124"/>
      <c r="EM399" s="124"/>
      <c r="EN399" s="124"/>
      <c r="EO399" s="124"/>
      <c r="EP399" s="124"/>
      <c r="EQ399" s="124"/>
      <c r="ER399" s="124"/>
      <c r="ES399" s="124"/>
      <c r="ET399" s="124"/>
      <c r="EU399" s="124"/>
      <c r="EV399" s="124"/>
      <c r="EW399" s="124"/>
      <c r="EX399" s="124"/>
      <c r="EY399" s="124"/>
      <c r="EZ399" s="124"/>
      <c r="FA399" s="124"/>
      <c r="FB399" s="124"/>
      <c r="FC399" s="124"/>
      <c r="FD399" s="124"/>
      <c r="FE399" s="124"/>
      <c r="FF399" s="124"/>
      <c r="FG399" s="124"/>
      <c r="FH399" s="124"/>
      <c r="FI399" s="124"/>
      <c r="FJ399" s="124"/>
      <c r="FK399" s="124"/>
      <c r="FL399" s="124"/>
      <c r="FM399" s="124"/>
      <c r="FN399" s="124"/>
      <c r="FO399" s="124"/>
      <c r="FP399" s="124"/>
      <c r="FQ399" s="124"/>
      <c r="FR399" s="124"/>
      <c r="FS399" s="124"/>
      <c r="FT399" s="124"/>
      <c r="FU399" s="124"/>
      <c r="FV399" s="124"/>
      <c r="FW399" s="124"/>
      <c r="FX399" s="124"/>
      <c r="FY399" s="124"/>
      <c r="FZ399" s="124"/>
      <c r="GA399" s="124"/>
      <c r="GB399" s="124"/>
      <c r="GC399" s="124"/>
      <c r="GD399" s="124"/>
      <c r="GE399" s="124"/>
      <c r="GF399" s="124"/>
      <c r="GG399" s="124"/>
      <c r="GH399" s="124"/>
      <c r="GI399" s="124"/>
      <c r="GJ399" s="124"/>
      <c r="GK399" s="124"/>
      <c r="GL399" s="124"/>
      <c r="GM399" s="124"/>
      <c r="GN399" s="124"/>
      <c r="GO399" s="124"/>
      <c r="GP399" s="124"/>
      <c r="GQ399" s="124"/>
      <c r="GR399" s="124"/>
      <c r="GS399" s="124"/>
      <c r="GT399" s="124"/>
      <c r="GU399" s="124"/>
      <c r="GV399" s="124"/>
      <c r="GW399" s="124"/>
      <c r="GX399" s="124"/>
      <c r="GY399" s="124"/>
      <c r="GZ399" s="124"/>
      <c r="HA399" s="124"/>
      <c r="HB399" s="124"/>
      <c r="HC399" s="124"/>
      <c r="HD399" s="124"/>
      <c r="HE399" s="124"/>
      <c r="HF399" s="124"/>
      <c r="HG399" s="124"/>
      <c r="HH399" s="124"/>
      <c r="HI399" s="124"/>
      <c r="HJ399" s="124"/>
      <c r="HK399" s="124"/>
      <c r="HL399" s="124"/>
      <c r="HM399" s="124"/>
      <c r="HN399" s="124"/>
      <c r="HO399" s="124"/>
      <c r="HP399" s="124"/>
      <c r="HQ399" s="124"/>
    </row>
    <row r="400" spans="1:225" x14ac:dyDescent="0.2">
      <c r="A400" s="122"/>
      <c r="B400" s="123"/>
      <c r="C400" s="124"/>
      <c r="D400" s="123"/>
      <c r="E400" s="124"/>
      <c r="F400" s="123"/>
      <c r="G400" s="123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  <c r="AU400" s="124"/>
      <c r="AV400" s="124"/>
      <c r="AW400" s="124"/>
      <c r="AX400" s="124"/>
      <c r="AY400" s="124"/>
      <c r="AZ400" s="124"/>
      <c r="BA400" s="124"/>
      <c r="BB400" s="124"/>
      <c r="BC400" s="124"/>
      <c r="BD400" s="124"/>
      <c r="BE400" s="124"/>
      <c r="BF400" s="124"/>
      <c r="BG400" s="124"/>
      <c r="BH400" s="124"/>
      <c r="BI400" s="124"/>
      <c r="BJ400" s="124"/>
      <c r="BK400" s="124"/>
      <c r="BL400" s="124"/>
      <c r="BM400" s="124"/>
      <c r="BN400" s="124"/>
      <c r="BO400" s="124"/>
      <c r="BP400" s="124"/>
      <c r="BQ400" s="124"/>
      <c r="BR400" s="124"/>
      <c r="BS400" s="124"/>
      <c r="BT400" s="124"/>
      <c r="BU400" s="124"/>
      <c r="BV400" s="124"/>
      <c r="BW400" s="124"/>
      <c r="BX400" s="124"/>
      <c r="BY400" s="124"/>
      <c r="BZ400" s="124"/>
      <c r="CA400" s="124"/>
      <c r="CB400" s="124"/>
      <c r="CC400" s="124"/>
      <c r="CD400" s="124"/>
      <c r="CE400" s="124"/>
      <c r="CF400" s="124"/>
      <c r="CG400" s="124"/>
      <c r="CH400" s="124"/>
      <c r="CI400" s="124"/>
      <c r="CJ400" s="124"/>
      <c r="CK400" s="124"/>
      <c r="CL400" s="124"/>
      <c r="CM400" s="124"/>
      <c r="CN400" s="124"/>
      <c r="CO400" s="124"/>
      <c r="CP400" s="124"/>
      <c r="CQ400" s="124"/>
      <c r="CR400" s="124"/>
      <c r="CS400" s="124"/>
      <c r="CT400" s="124"/>
      <c r="CU400" s="124"/>
      <c r="CV400" s="124"/>
      <c r="CW400" s="124"/>
      <c r="CX400" s="124"/>
      <c r="CY400" s="124"/>
      <c r="CZ400" s="124"/>
      <c r="DA400" s="124"/>
      <c r="DB400" s="124"/>
      <c r="DC400" s="124"/>
      <c r="DD400" s="124"/>
      <c r="DE400" s="124"/>
      <c r="DF400" s="124"/>
      <c r="DG400" s="124"/>
      <c r="DH400" s="124"/>
      <c r="DI400" s="124"/>
      <c r="DJ400" s="124"/>
      <c r="DK400" s="124"/>
      <c r="DL400" s="124"/>
      <c r="DM400" s="124"/>
      <c r="DN400" s="124"/>
      <c r="DO400" s="124"/>
      <c r="DP400" s="124"/>
      <c r="DQ400" s="124"/>
      <c r="DR400" s="124"/>
      <c r="DS400" s="124"/>
      <c r="DT400" s="124"/>
      <c r="DU400" s="124"/>
      <c r="DV400" s="124"/>
      <c r="DW400" s="124"/>
      <c r="DX400" s="124"/>
      <c r="DY400" s="124"/>
      <c r="DZ400" s="124"/>
      <c r="EA400" s="124"/>
      <c r="EB400" s="124"/>
      <c r="EC400" s="124"/>
      <c r="ED400" s="124"/>
      <c r="EE400" s="124"/>
      <c r="EF400" s="124"/>
      <c r="EG400" s="124"/>
      <c r="EH400" s="124"/>
      <c r="EI400" s="124"/>
      <c r="EJ400" s="124"/>
      <c r="EK400" s="124"/>
      <c r="EL400" s="124"/>
      <c r="EM400" s="124"/>
      <c r="EN400" s="124"/>
      <c r="EO400" s="124"/>
      <c r="EP400" s="124"/>
      <c r="EQ400" s="124"/>
      <c r="ER400" s="124"/>
      <c r="ES400" s="124"/>
      <c r="ET400" s="124"/>
      <c r="EU400" s="124"/>
      <c r="EV400" s="124"/>
      <c r="EW400" s="124"/>
      <c r="EX400" s="124"/>
      <c r="EY400" s="124"/>
      <c r="EZ400" s="124"/>
      <c r="FA400" s="124"/>
      <c r="FB400" s="124"/>
      <c r="FC400" s="124"/>
      <c r="FD400" s="124"/>
      <c r="FE400" s="124"/>
      <c r="FF400" s="124"/>
      <c r="FG400" s="124"/>
      <c r="FH400" s="124"/>
      <c r="FI400" s="124"/>
      <c r="FJ400" s="124"/>
      <c r="FK400" s="124"/>
      <c r="FL400" s="124"/>
      <c r="FM400" s="124"/>
      <c r="FN400" s="124"/>
      <c r="FO400" s="124"/>
      <c r="FP400" s="124"/>
      <c r="FQ400" s="124"/>
      <c r="FR400" s="124"/>
      <c r="FS400" s="124"/>
      <c r="FT400" s="124"/>
      <c r="FU400" s="124"/>
      <c r="FV400" s="124"/>
      <c r="FW400" s="124"/>
      <c r="FX400" s="124"/>
      <c r="FY400" s="124"/>
      <c r="FZ400" s="124"/>
      <c r="GA400" s="124"/>
      <c r="GB400" s="124"/>
      <c r="GC400" s="124"/>
      <c r="GD400" s="124"/>
      <c r="GE400" s="124"/>
      <c r="GF400" s="124"/>
      <c r="GG400" s="124"/>
      <c r="GH400" s="124"/>
      <c r="GI400" s="124"/>
      <c r="GJ400" s="124"/>
      <c r="GK400" s="124"/>
      <c r="GL400" s="124"/>
      <c r="GM400" s="124"/>
      <c r="GN400" s="124"/>
      <c r="GO400" s="124"/>
      <c r="GP400" s="124"/>
      <c r="GQ400" s="124"/>
      <c r="GR400" s="124"/>
      <c r="GS400" s="124"/>
      <c r="GT400" s="124"/>
      <c r="GU400" s="124"/>
      <c r="GV400" s="124"/>
      <c r="GW400" s="124"/>
      <c r="GX400" s="124"/>
      <c r="GY400" s="124"/>
      <c r="GZ400" s="124"/>
      <c r="HA400" s="124"/>
      <c r="HB400" s="124"/>
      <c r="HC400" s="124"/>
      <c r="HD400" s="124"/>
      <c r="HE400" s="124"/>
      <c r="HF400" s="124"/>
      <c r="HG400" s="124"/>
      <c r="HH400" s="124"/>
      <c r="HI400" s="124"/>
      <c r="HJ400" s="124"/>
      <c r="HK400" s="124"/>
      <c r="HL400" s="124"/>
      <c r="HM400" s="124"/>
      <c r="HN400" s="124"/>
      <c r="HO400" s="124"/>
      <c r="HP400" s="124"/>
      <c r="HQ400" s="124"/>
    </row>
    <row r="401" spans="1:225" x14ac:dyDescent="0.2">
      <c r="A401" s="122"/>
      <c r="B401" s="123"/>
      <c r="C401" s="124"/>
      <c r="D401" s="123"/>
      <c r="E401" s="124"/>
      <c r="F401" s="123"/>
      <c r="G401" s="123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  <c r="AU401" s="124"/>
      <c r="AV401" s="124"/>
      <c r="AW401" s="124"/>
      <c r="AX401" s="124"/>
      <c r="AY401" s="124"/>
      <c r="AZ401" s="124"/>
      <c r="BA401" s="124"/>
      <c r="BB401" s="124"/>
      <c r="BC401" s="124"/>
      <c r="BD401" s="124"/>
      <c r="BE401" s="124"/>
      <c r="BF401" s="124"/>
      <c r="BG401" s="124"/>
      <c r="BH401" s="124"/>
      <c r="BI401" s="124"/>
      <c r="BJ401" s="124"/>
      <c r="BK401" s="124"/>
      <c r="BL401" s="124"/>
      <c r="BM401" s="124"/>
      <c r="BN401" s="124"/>
      <c r="BO401" s="124"/>
      <c r="BP401" s="124"/>
      <c r="BQ401" s="124"/>
      <c r="BR401" s="124"/>
      <c r="BS401" s="124"/>
      <c r="BT401" s="124"/>
      <c r="BU401" s="124"/>
      <c r="BV401" s="124"/>
      <c r="BW401" s="124"/>
      <c r="BX401" s="124"/>
      <c r="BY401" s="124"/>
      <c r="BZ401" s="124"/>
      <c r="CA401" s="124"/>
      <c r="CB401" s="124"/>
      <c r="CC401" s="124"/>
      <c r="CD401" s="124"/>
      <c r="CE401" s="124"/>
      <c r="CF401" s="124"/>
      <c r="CG401" s="124"/>
      <c r="CH401" s="124"/>
      <c r="CI401" s="124"/>
      <c r="CJ401" s="124"/>
      <c r="CK401" s="124"/>
      <c r="CL401" s="124"/>
      <c r="CM401" s="124"/>
      <c r="CN401" s="124"/>
      <c r="CO401" s="124"/>
      <c r="CP401" s="124"/>
      <c r="CQ401" s="124"/>
      <c r="CR401" s="124"/>
      <c r="CS401" s="124"/>
      <c r="CT401" s="124"/>
      <c r="CU401" s="124"/>
      <c r="CV401" s="124"/>
      <c r="CW401" s="124"/>
      <c r="CX401" s="124"/>
      <c r="CY401" s="124"/>
      <c r="CZ401" s="124"/>
      <c r="DA401" s="124"/>
      <c r="DB401" s="124"/>
      <c r="DC401" s="124"/>
      <c r="DD401" s="124"/>
      <c r="DE401" s="124"/>
      <c r="DF401" s="124"/>
      <c r="DG401" s="124"/>
      <c r="DH401" s="124"/>
      <c r="DI401" s="124"/>
      <c r="DJ401" s="124"/>
      <c r="DK401" s="124"/>
      <c r="DL401" s="124"/>
      <c r="DM401" s="124"/>
      <c r="DN401" s="124"/>
      <c r="DO401" s="124"/>
      <c r="DP401" s="124"/>
      <c r="DQ401" s="124"/>
      <c r="DR401" s="124"/>
      <c r="DS401" s="124"/>
      <c r="DT401" s="124"/>
      <c r="DU401" s="124"/>
      <c r="DV401" s="124"/>
      <c r="DW401" s="124"/>
      <c r="DX401" s="124"/>
      <c r="DY401" s="124"/>
      <c r="DZ401" s="124"/>
      <c r="EA401" s="124"/>
      <c r="EB401" s="124"/>
      <c r="EC401" s="124"/>
      <c r="ED401" s="124"/>
      <c r="EE401" s="124"/>
      <c r="EF401" s="124"/>
      <c r="EG401" s="124"/>
      <c r="EH401" s="124"/>
      <c r="EI401" s="124"/>
      <c r="EJ401" s="124"/>
      <c r="EK401" s="124"/>
      <c r="EL401" s="124"/>
      <c r="EM401" s="124"/>
      <c r="EN401" s="124"/>
      <c r="EO401" s="124"/>
      <c r="EP401" s="124"/>
      <c r="EQ401" s="124"/>
      <c r="ER401" s="124"/>
      <c r="ES401" s="124"/>
      <c r="ET401" s="124"/>
      <c r="EU401" s="124"/>
      <c r="EV401" s="124"/>
      <c r="EW401" s="124"/>
      <c r="EX401" s="124"/>
      <c r="EY401" s="124"/>
      <c r="EZ401" s="124"/>
      <c r="FA401" s="124"/>
      <c r="FB401" s="124"/>
      <c r="FC401" s="124"/>
      <c r="FD401" s="124"/>
      <c r="FE401" s="124"/>
      <c r="FF401" s="124"/>
      <c r="FG401" s="124"/>
      <c r="FH401" s="124"/>
      <c r="FI401" s="124"/>
      <c r="FJ401" s="124"/>
      <c r="FK401" s="124"/>
      <c r="FL401" s="124"/>
      <c r="FM401" s="124"/>
      <c r="FN401" s="124"/>
      <c r="FO401" s="124"/>
      <c r="FP401" s="124"/>
      <c r="FQ401" s="124"/>
      <c r="FR401" s="124"/>
      <c r="FS401" s="124"/>
      <c r="FT401" s="124"/>
      <c r="FU401" s="124"/>
      <c r="FV401" s="124"/>
      <c r="FW401" s="124"/>
      <c r="FX401" s="124"/>
      <c r="FY401" s="124"/>
      <c r="FZ401" s="124"/>
      <c r="GA401" s="124"/>
      <c r="GB401" s="124"/>
      <c r="GC401" s="124"/>
      <c r="GD401" s="124"/>
      <c r="GE401" s="124"/>
      <c r="GF401" s="124"/>
      <c r="GG401" s="124"/>
      <c r="GH401" s="124"/>
      <c r="GI401" s="124"/>
      <c r="GJ401" s="124"/>
      <c r="GK401" s="124"/>
      <c r="GL401" s="124"/>
      <c r="GM401" s="124"/>
      <c r="GN401" s="124"/>
      <c r="GO401" s="124"/>
      <c r="GP401" s="124"/>
      <c r="GQ401" s="124"/>
      <c r="GR401" s="124"/>
      <c r="GS401" s="124"/>
      <c r="GT401" s="124"/>
      <c r="GU401" s="124"/>
      <c r="GV401" s="124"/>
      <c r="GW401" s="124"/>
      <c r="GX401" s="124"/>
      <c r="GY401" s="124"/>
      <c r="GZ401" s="124"/>
      <c r="HA401" s="124"/>
      <c r="HB401" s="124"/>
      <c r="HC401" s="124"/>
      <c r="HD401" s="124"/>
      <c r="HE401" s="124"/>
      <c r="HF401" s="124"/>
      <c r="HG401" s="124"/>
      <c r="HH401" s="124"/>
      <c r="HI401" s="124"/>
      <c r="HJ401" s="124"/>
      <c r="HK401" s="124"/>
      <c r="HL401" s="124"/>
      <c r="HM401" s="124"/>
      <c r="HN401" s="124"/>
      <c r="HO401" s="124"/>
      <c r="HP401" s="124"/>
      <c r="HQ401" s="124"/>
    </row>
    <row r="402" spans="1:225" x14ac:dyDescent="0.2">
      <c r="A402" s="122"/>
      <c r="B402" s="123"/>
      <c r="C402" s="124"/>
      <c r="D402" s="123"/>
      <c r="E402" s="124"/>
      <c r="F402" s="123"/>
      <c r="G402" s="123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  <c r="AU402" s="124"/>
      <c r="AV402" s="124"/>
      <c r="AW402" s="124"/>
      <c r="AX402" s="124"/>
      <c r="AY402" s="124"/>
      <c r="AZ402" s="124"/>
      <c r="BA402" s="124"/>
      <c r="BB402" s="124"/>
      <c r="BC402" s="124"/>
      <c r="BD402" s="124"/>
      <c r="BE402" s="124"/>
      <c r="BF402" s="124"/>
      <c r="BG402" s="124"/>
      <c r="BH402" s="124"/>
      <c r="BI402" s="124"/>
      <c r="BJ402" s="124"/>
      <c r="BK402" s="124"/>
      <c r="BL402" s="124"/>
      <c r="BM402" s="124"/>
      <c r="BN402" s="124"/>
      <c r="BO402" s="124"/>
      <c r="BP402" s="124"/>
      <c r="BQ402" s="124"/>
      <c r="BR402" s="124"/>
      <c r="BS402" s="124"/>
      <c r="BT402" s="124"/>
      <c r="BU402" s="124"/>
      <c r="BV402" s="124"/>
      <c r="BW402" s="124"/>
      <c r="BX402" s="124"/>
      <c r="BY402" s="124"/>
      <c r="BZ402" s="124"/>
      <c r="CA402" s="124"/>
      <c r="CB402" s="124"/>
      <c r="CC402" s="124"/>
      <c r="CD402" s="124"/>
      <c r="CE402" s="124"/>
      <c r="CF402" s="124"/>
      <c r="CG402" s="124"/>
      <c r="CH402" s="124"/>
      <c r="CI402" s="124"/>
      <c r="CJ402" s="124"/>
      <c r="CK402" s="124"/>
      <c r="CL402" s="124"/>
      <c r="CM402" s="124"/>
      <c r="CN402" s="124"/>
      <c r="CO402" s="124"/>
      <c r="CP402" s="124"/>
      <c r="CQ402" s="124"/>
      <c r="CR402" s="124"/>
      <c r="CS402" s="124"/>
      <c r="CT402" s="124"/>
      <c r="CU402" s="124"/>
      <c r="CV402" s="124"/>
      <c r="CW402" s="124"/>
      <c r="CX402" s="124"/>
      <c r="CY402" s="124"/>
      <c r="CZ402" s="124"/>
      <c r="DA402" s="124"/>
      <c r="DB402" s="124"/>
      <c r="DC402" s="124"/>
      <c r="DD402" s="124"/>
      <c r="DE402" s="124"/>
      <c r="DF402" s="124"/>
      <c r="DG402" s="124"/>
      <c r="DH402" s="124"/>
      <c r="DI402" s="124"/>
      <c r="DJ402" s="124"/>
      <c r="DK402" s="124"/>
      <c r="DL402" s="124"/>
      <c r="DM402" s="124"/>
      <c r="DN402" s="124"/>
      <c r="DO402" s="124"/>
      <c r="DP402" s="124"/>
      <c r="DQ402" s="124"/>
      <c r="DR402" s="124"/>
      <c r="DS402" s="124"/>
      <c r="DT402" s="124"/>
      <c r="DU402" s="124"/>
      <c r="DV402" s="124"/>
      <c r="DW402" s="124"/>
      <c r="DX402" s="124"/>
      <c r="DY402" s="124"/>
      <c r="DZ402" s="124"/>
      <c r="EA402" s="124"/>
      <c r="EB402" s="124"/>
      <c r="EC402" s="124"/>
      <c r="ED402" s="124"/>
      <c r="EE402" s="124"/>
      <c r="EF402" s="124"/>
      <c r="EG402" s="124"/>
      <c r="EH402" s="124"/>
      <c r="EI402" s="124"/>
      <c r="EJ402" s="124"/>
      <c r="EK402" s="124"/>
      <c r="EL402" s="124"/>
      <c r="EM402" s="124"/>
      <c r="EN402" s="124"/>
      <c r="EO402" s="124"/>
      <c r="EP402" s="124"/>
      <c r="EQ402" s="124"/>
      <c r="ER402" s="124"/>
      <c r="ES402" s="124"/>
      <c r="ET402" s="124"/>
      <c r="EU402" s="124"/>
      <c r="EV402" s="124"/>
      <c r="EW402" s="124"/>
      <c r="EX402" s="124"/>
      <c r="EY402" s="124"/>
      <c r="EZ402" s="124"/>
      <c r="FA402" s="124"/>
      <c r="FB402" s="124"/>
      <c r="FC402" s="124"/>
      <c r="FD402" s="124"/>
      <c r="FE402" s="124"/>
      <c r="FF402" s="124"/>
      <c r="FG402" s="124"/>
      <c r="FH402" s="124"/>
      <c r="FI402" s="124"/>
      <c r="FJ402" s="124"/>
      <c r="FK402" s="124"/>
      <c r="FL402" s="124"/>
      <c r="FM402" s="124"/>
      <c r="FN402" s="124"/>
      <c r="FO402" s="124"/>
      <c r="FP402" s="124"/>
      <c r="FQ402" s="124"/>
      <c r="FR402" s="124"/>
      <c r="FS402" s="124"/>
      <c r="FT402" s="124"/>
      <c r="FU402" s="124"/>
      <c r="FV402" s="124"/>
      <c r="FW402" s="124"/>
      <c r="FX402" s="124"/>
      <c r="FY402" s="124"/>
      <c r="FZ402" s="124"/>
      <c r="GA402" s="124"/>
      <c r="GB402" s="124"/>
      <c r="GC402" s="124"/>
      <c r="GD402" s="124"/>
      <c r="GE402" s="124"/>
      <c r="GF402" s="124"/>
      <c r="GG402" s="124"/>
      <c r="GH402" s="124"/>
      <c r="GI402" s="124"/>
      <c r="GJ402" s="124"/>
      <c r="GK402" s="124"/>
      <c r="GL402" s="124"/>
      <c r="GM402" s="124"/>
      <c r="GN402" s="124"/>
      <c r="GO402" s="124"/>
      <c r="GP402" s="124"/>
      <c r="GQ402" s="124"/>
      <c r="GR402" s="124"/>
      <c r="GS402" s="124"/>
      <c r="GT402" s="124"/>
      <c r="GU402" s="124"/>
      <c r="GV402" s="124"/>
      <c r="GW402" s="124"/>
      <c r="GX402" s="124"/>
      <c r="GY402" s="124"/>
      <c r="GZ402" s="124"/>
      <c r="HA402" s="124"/>
      <c r="HB402" s="124"/>
      <c r="HC402" s="124"/>
      <c r="HD402" s="124"/>
      <c r="HE402" s="124"/>
      <c r="HF402" s="124"/>
      <c r="HG402" s="124"/>
      <c r="HH402" s="124"/>
      <c r="HI402" s="124"/>
      <c r="HJ402" s="124"/>
      <c r="HK402" s="124"/>
      <c r="HL402" s="124"/>
      <c r="HM402" s="124"/>
      <c r="HN402" s="124"/>
      <c r="HO402" s="124"/>
      <c r="HP402" s="124"/>
      <c r="HQ402" s="124"/>
    </row>
    <row r="403" spans="1:225" x14ac:dyDescent="0.2">
      <c r="A403" s="122"/>
      <c r="B403" s="123"/>
      <c r="C403" s="124"/>
      <c r="D403" s="123"/>
      <c r="E403" s="124"/>
      <c r="F403" s="123"/>
      <c r="G403" s="123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4"/>
      <c r="BJ403" s="124"/>
      <c r="BK403" s="124"/>
      <c r="BL403" s="124"/>
      <c r="BM403" s="124"/>
      <c r="BN403" s="124"/>
      <c r="BO403" s="124"/>
      <c r="BP403" s="124"/>
      <c r="BQ403" s="124"/>
      <c r="BR403" s="124"/>
      <c r="BS403" s="124"/>
      <c r="BT403" s="124"/>
      <c r="BU403" s="124"/>
      <c r="BV403" s="124"/>
      <c r="BW403" s="124"/>
      <c r="BX403" s="124"/>
      <c r="BY403" s="124"/>
      <c r="BZ403" s="124"/>
      <c r="CA403" s="124"/>
      <c r="CB403" s="124"/>
      <c r="CC403" s="124"/>
      <c r="CD403" s="124"/>
      <c r="CE403" s="124"/>
      <c r="CF403" s="124"/>
      <c r="CG403" s="124"/>
      <c r="CH403" s="124"/>
      <c r="CI403" s="124"/>
      <c r="CJ403" s="124"/>
      <c r="CK403" s="124"/>
      <c r="CL403" s="124"/>
      <c r="CM403" s="124"/>
      <c r="CN403" s="124"/>
      <c r="CO403" s="124"/>
      <c r="CP403" s="124"/>
      <c r="CQ403" s="124"/>
      <c r="CR403" s="124"/>
      <c r="CS403" s="124"/>
      <c r="CT403" s="124"/>
      <c r="CU403" s="124"/>
      <c r="CV403" s="124"/>
      <c r="CW403" s="124"/>
      <c r="CX403" s="124"/>
      <c r="CY403" s="124"/>
      <c r="CZ403" s="124"/>
      <c r="DA403" s="124"/>
      <c r="DB403" s="124"/>
      <c r="DC403" s="124"/>
      <c r="DD403" s="124"/>
      <c r="DE403" s="124"/>
      <c r="DF403" s="124"/>
      <c r="DG403" s="124"/>
      <c r="DH403" s="124"/>
      <c r="DI403" s="124"/>
      <c r="DJ403" s="124"/>
      <c r="DK403" s="124"/>
      <c r="DL403" s="124"/>
      <c r="DM403" s="124"/>
      <c r="DN403" s="124"/>
      <c r="DO403" s="124"/>
      <c r="DP403" s="124"/>
      <c r="DQ403" s="124"/>
      <c r="DR403" s="124"/>
      <c r="DS403" s="124"/>
      <c r="DT403" s="124"/>
      <c r="DU403" s="124"/>
      <c r="DV403" s="124"/>
      <c r="DW403" s="124"/>
      <c r="DX403" s="124"/>
      <c r="DY403" s="124"/>
      <c r="DZ403" s="124"/>
      <c r="EA403" s="124"/>
      <c r="EB403" s="124"/>
      <c r="EC403" s="124"/>
      <c r="ED403" s="124"/>
      <c r="EE403" s="124"/>
      <c r="EF403" s="124"/>
      <c r="EG403" s="124"/>
      <c r="EH403" s="124"/>
      <c r="EI403" s="124"/>
      <c r="EJ403" s="124"/>
      <c r="EK403" s="124"/>
      <c r="EL403" s="124"/>
      <c r="EM403" s="124"/>
      <c r="EN403" s="124"/>
      <c r="EO403" s="124"/>
      <c r="EP403" s="124"/>
      <c r="EQ403" s="124"/>
      <c r="ER403" s="124"/>
      <c r="ES403" s="124"/>
      <c r="ET403" s="124"/>
      <c r="EU403" s="124"/>
      <c r="EV403" s="124"/>
      <c r="EW403" s="124"/>
      <c r="EX403" s="124"/>
      <c r="EY403" s="124"/>
      <c r="EZ403" s="124"/>
      <c r="FA403" s="124"/>
      <c r="FB403" s="124"/>
      <c r="FC403" s="124"/>
      <c r="FD403" s="124"/>
      <c r="FE403" s="124"/>
      <c r="FF403" s="124"/>
      <c r="FG403" s="124"/>
      <c r="FH403" s="124"/>
      <c r="FI403" s="124"/>
      <c r="FJ403" s="124"/>
      <c r="FK403" s="124"/>
      <c r="FL403" s="124"/>
      <c r="FM403" s="124"/>
      <c r="FN403" s="124"/>
      <c r="FO403" s="124"/>
      <c r="FP403" s="124"/>
      <c r="FQ403" s="124"/>
      <c r="FR403" s="124"/>
      <c r="FS403" s="124"/>
      <c r="FT403" s="124"/>
      <c r="FU403" s="124"/>
      <c r="FV403" s="124"/>
      <c r="FW403" s="124"/>
      <c r="FX403" s="124"/>
      <c r="FY403" s="124"/>
      <c r="FZ403" s="124"/>
      <c r="GA403" s="124"/>
      <c r="GB403" s="124"/>
      <c r="GC403" s="124"/>
      <c r="GD403" s="124"/>
      <c r="GE403" s="124"/>
      <c r="GF403" s="124"/>
      <c r="GG403" s="124"/>
      <c r="GH403" s="124"/>
      <c r="GI403" s="124"/>
      <c r="GJ403" s="124"/>
      <c r="GK403" s="124"/>
      <c r="GL403" s="124"/>
      <c r="GM403" s="124"/>
      <c r="GN403" s="124"/>
      <c r="GO403" s="124"/>
      <c r="GP403" s="124"/>
      <c r="GQ403" s="124"/>
      <c r="GR403" s="124"/>
      <c r="GS403" s="124"/>
      <c r="GT403" s="124"/>
      <c r="GU403" s="124"/>
      <c r="GV403" s="124"/>
      <c r="GW403" s="124"/>
      <c r="GX403" s="124"/>
      <c r="GY403" s="124"/>
      <c r="GZ403" s="124"/>
      <c r="HA403" s="124"/>
      <c r="HB403" s="124"/>
      <c r="HC403" s="124"/>
      <c r="HD403" s="124"/>
      <c r="HE403" s="124"/>
      <c r="HF403" s="124"/>
      <c r="HG403" s="124"/>
      <c r="HH403" s="124"/>
      <c r="HI403" s="124"/>
      <c r="HJ403" s="124"/>
      <c r="HK403" s="124"/>
      <c r="HL403" s="124"/>
      <c r="HM403" s="124"/>
      <c r="HN403" s="124"/>
      <c r="HO403" s="124"/>
      <c r="HP403" s="124"/>
      <c r="HQ403" s="124"/>
    </row>
    <row r="404" spans="1:225" x14ac:dyDescent="0.2">
      <c r="A404" s="122"/>
      <c r="B404" s="123"/>
      <c r="C404" s="124"/>
      <c r="D404" s="123"/>
      <c r="E404" s="124"/>
      <c r="F404" s="123"/>
      <c r="G404" s="123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/>
      <c r="BB404" s="124"/>
      <c r="BC404" s="124"/>
      <c r="BD404" s="124"/>
      <c r="BE404" s="124"/>
      <c r="BF404" s="124"/>
      <c r="BG404" s="124"/>
      <c r="BH404" s="124"/>
      <c r="BI404" s="124"/>
      <c r="BJ404" s="124"/>
      <c r="BK404" s="124"/>
      <c r="BL404" s="124"/>
      <c r="BM404" s="124"/>
      <c r="BN404" s="124"/>
      <c r="BO404" s="124"/>
      <c r="BP404" s="124"/>
      <c r="BQ404" s="124"/>
      <c r="BR404" s="124"/>
      <c r="BS404" s="124"/>
      <c r="BT404" s="124"/>
      <c r="BU404" s="124"/>
      <c r="BV404" s="124"/>
      <c r="BW404" s="124"/>
      <c r="BX404" s="124"/>
      <c r="BY404" s="124"/>
      <c r="BZ404" s="124"/>
      <c r="CA404" s="124"/>
      <c r="CB404" s="124"/>
      <c r="CC404" s="124"/>
      <c r="CD404" s="124"/>
      <c r="CE404" s="124"/>
      <c r="CF404" s="124"/>
      <c r="CG404" s="124"/>
      <c r="CH404" s="124"/>
      <c r="CI404" s="124"/>
      <c r="CJ404" s="124"/>
      <c r="CK404" s="124"/>
      <c r="CL404" s="124"/>
      <c r="CM404" s="124"/>
      <c r="CN404" s="124"/>
      <c r="CO404" s="124"/>
      <c r="CP404" s="124"/>
      <c r="CQ404" s="124"/>
      <c r="CR404" s="124"/>
      <c r="CS404" s="124"/>
      <c r="CT404" s="124"/>
      <c r="CU404" s="124"/>
      <c r="CV404" s="124"/>
      <c r="CW404" s="124"/>
      <c r="CX404" s="124"/>
      <c r="CY404" s="124"/>
      <c r="CZ404" s="124"/>
      <c r="DA404" s="124"/>
      <c r="DB404" s="124"/>
      <c r="DC404" s="124"/>
      <c r="DD404" s="124"/>
      <c r="DE404" s="124"/>
      <c r="DF404" s="124"/>
      <c r="DG404" s="124"/>
      <c r="DH404" s="124"/>
      <c r="DI404" s="124"/>
      <c r="DJ404" s="124"/>
      <c r="DK404" s="124"/>
      <c r="DL404" s="124"/>
      <c r="DM404" s="124"/>
      <c r="DN404" s="124"/>
      <c r="DO404" s="124"/>
      <c r="DP404" s="124"/>
      <c r="DQ404" s="124"/>
      <c r="DR404" s="124"/>
      <c r="DS404" s="124"/>
      <c r="DT404" s="124"/>
      <c r="DU404" s="124"/>
      <c r="DV404" s="124"/>
      <c r="DW404" s="124"/>
      <c r="DX404" s="124"/>
      <c r="DY404" s="124"/>
      <c r="DZ404" s="124"/>
      <c r="EA404" s="124"/>
      <c r="EB404" s="124"/>
      <c r="EC404" s="124"/>
      <c r="ED404" s="124"/>
      <c r="EE404" s="124"/>
      <c r="EF404" s="124"/>
      <c r="EG404" s="124"/>
      <c r="EH404" s="124"/>
      <c r="EI404" s="124"/>
      <c r="EJ404" s="124"/>
      <c r="EK404" s="124"/>
      <c r="EL404" s="124"/>
      <c r="EM404" s="124"/>
      <c r="EN404" s="124"/>
      <c r="EO404" s="124"/>
      <c r="EP404" s="124"/>
      <c r="EQ404" s="124"/>
      <c r="ER404" s="124"/>
      <c r="ES404" s="124"/>
      <c r="ET404" s="124"/>
      <c r="EU404" s="124"/>
      <c r="EV404" s="124"/>
      <c r="EW404" s="124"/>
      <c r="EX404" s="124"/>
      <c r="EY404" s="124"/>
      <c r="EZ404" s="124"/>
      <c r="FA404" s="124"/>
      <c r="FB404" s="124"/>
      <c r="FC404" s="124"/>
      <c r="FD404" s="124"/>
      <c r="FE404" s="124"/>
      <c r="FF404" s="124"/>
      <c r="FG404" s="124"/>
      <c r="FH404" s="124"/>
      <c r="FI404" s="124"/>
      <c r="FJ404" s="124"/>
      <c r="FK404" s="124"/>
      <c r="FL404" s="124"/>
      <c r="FM404" s="124"/>
      <c r="FN404" s="124"/>
      <c r="FO404" s="124"/>
      <c r="FP404" s="124"/>
      <c r="FQ404" s="124"/>
      <c r="FR404" s="124"/>
      <c r="FS404" s="124"/>
      <c r="FT404" s="124"/>
      <c r="FU404" s="124"/>
      <c r="FV404" s="124"/>
      <c r="FW404" s="124"/>
      <c r="FX404" s="124"/>
      <c r="FY404" s="124"/>
      <c r="FZ404" s="124"/>
      <c r="GA404" s="124"/>
      <c r="GB404" s="124"/>
      <c r="GC404" s="124"/>
      <c r="GD404" s="124"/>
      <c r="GE404" s="124"/>
      <c r="GF404" s="124"/>
      <c r="GG404" s="124"/>
      <c r="GH404" s="124"/>
      <c r="GI404" s="124"/>
      <c r="GJ404" s="124"/>
      <c r="GK404" s="124"/>
      <c r="GL404" s="124"/>
      <c r="GM404" s="124"/>
      <c r="GN404" s="124"/>
      <c r="GO404" s="124"/>
      <c r="GP404" s="124"/>
      <c r="GQ404" s="124"/>
      <c r="GR404" s="124"/>
      <c r="GS404" s="124"/>
      <c r="GT404" s="124"/>
      <c r="GU404" s="124"/>
      <c r="GV404" s="124"/>
      <c r="GW404" s="124"/>
      <c r="GX404" s="124"/>
      <c r="GY404" s="124"/>
      <c r="GZ404" s="124"/>
      <c r="HA404" s="124"/>
      <c r="HB404" s="124"/>
      <c r="HC404" s="124"/>
      <c r="HD404" s="124"/>
      <c r="HE404" s="124"/>
      <c r="HF404" s="124"/>
      <c r="HG404" s="124"/>
      <c r="HH404" s="124"/>
      <c r="HI404" s="124"/>
      <c r="HJ404" s="124"/>
      <c r="HK404" s="124"/>
      <c r="HL404" s="124"/>
      <c r="HM404" s="124"/>
      <c r="HN404" s="124"/>
      <c r="HO404" s="124"/>
      <c r="HP404" s="124"/>
      <c r="HQ404" s="124"/>
    </row>
    <row r="405" spans="1:225" x14ac:dyDescent="0.2">
      <c r="A405" s="122"/>
      <c r="B405" s="123"/>
      <c r="C405" s="124"/>
      <c r="D405" s="123"/>
      <c r="E405" s="124"/>
      <c r="F405" s="123"/>
      <c r="G405" s="123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  <c r="AU405" s="124"/>
      <c r="AV405" s="124"/>
      <c r="AW405" s="124"/>
      <c r="AX405" s="124"/>
      <c r="AY405" s="124"/>
      <c r="AZ405" s="124"/>
      <c r="BA405" s="124"/>
      <c r="BB405" s="124"/>
      <c r="BC405" s="124"/>
      <c r="BD405" s="124"/>
      <c r="BE405" s="124"/>
      <c r="BF405" s="124"/>
      <c r="BG405" s="124"/>
      <c r="BH405" s="124"/>
      <c r="BI405" s="124"/>
      <c r="BJ405" s="124"/>
      <c r="BK405" s="124"/>
      <c r="BL405" s="124"/>
      <c r="BM405" s="124"/>
      <c r="BN405" s="124"/>
      <c r="BO405" s="124"/>
      <c r="BP405" s="124"/>
      <c r="BQ405" s="124"/>
      <c r="BR405" s="124"/>
      <c r="BS405" s="124"/>
      <c r="BT405" s="124"/>
      <c r="BU405" s="124"/>
      <c r="BV405" s="124"/>
      <c r="BW405" s="124"/>
      <c r="BX405" s="124"/>
      <c r="BY405" s="124"/>
      <c r="BZ405" s="124"/>
      <c r="CA405" s="124"/>
      <c r="CB405" s="124"/>
      <c r="CC405" s="124"/>
      <c r="CD405" s="124"/>
      <c r="CE405" s="124"/>
      <c r="CF405" s="124"/>
      <c r="CG405" s="124"/>
      <c r="CH405" s="124"/>
      <c r="CI405" s="124"/>
      <c r="CJ405" s="124"/>
      <c r="CK405" s="124"/>
      <c r="CL405" s="124"/>
      <c r="CM405" s="124"/>
      <c r="CN405" s="124"/>
      <c r="CO405" s="124"/>
      <c r="CP405" s="124"/>
      <c r="CQ405" s="124"/>
      <c r="CR405" s="124"/>
      <c r="CS405" s="124"/>
      <c r="CT405" s="124"/>
      <c r="CU405" s="124"/>
      <c r="CV405" s="124"/>
      <c r="CW405" s="124"/>
      <c r="CX405" s="124"/>
      <c r="CY405" s="124"/>
      <c r="CZ405" s="124"/>
      <c r="DA405" s="124"/>
      <c r="DB405" s="124"/>
      <c r="DC405" s="124"/>
      <c r="DD405" s="124"/>
      <c r="DE405" s="124"/>
      <c r="DF405" s="124"/>
      <c r="DG405" s="124"/>
      <c r="DH405" s="124"/>
      <c r="DI405" s="124"/>
      <c r="DJ405" s="124"/>
      <c r="DK405" s="124"/>
      <c r="DL405" s="124"/>
      <c r="DM405" s="124"/>
      <c r="DN405" s="124"/>
      <c r="DO405" s="124"/>
      <c r="DP405" s="124"/>
      <c r="DQ405" s="124"/>
      <c r="DR405" s="124"/>
      <c r="DS405" s="124"/>
      <c r="DT405" s="124"/>
      <c r="DU405" s="124"/>
      <c r="DV405" s="124"/>
      <c r="DW405" s="124"/>
      <c r="DX405" s="124"/>
      <c r="DY405" s="124"/>
      <c r="DZ405" s="124"/>
      <c r="EA405" s="124"/>
      <c r="EB405" s="124"/>
      <c r="EC405" s="124"/>
      <c r="ED405" s="124"/>
      <c r="EE405" s="124"/>
      <c r="EF405" s="124"/>
      <c r="EG405" s="124"/>
      <c r="EH405" s="124"/>
      <c r="EI405" s="124"/>
      <c r="EJ405" s="124"/>
      <c r="EK405" s="124"/>
      <c r="EL405" s="124"/>
      <c r="EM405" s="124"/>
      <c r="EN405" s="124"/>
      <c r="EO405" s="124"/>
      <c r="EP405" s="124"/>
      <c r="EQ405" s="124"/>
      <c r="ER405" s="124"/>
      <c r="ES405" s="124"/>
      <c r="ET405" s="124"/>
      <c r="EU405" s="124"/>
      <c r="EV405" s="124"/>
      <c r="EW405" s="124"/>
      <c r="EX405" s="124"/>
      <c r="EY405" s="124"/>
      <c r="EZ405" s="124"/>
      <c r="FA405" s="124"/>
      <c r="FB405" s="124"/>
      <c r="FC405" s="124"/>
      <c r="FD405" s="124"/>
      <c r="FE405" s="124"/>
      <c r="FF405" s="124"/>
      <c r="FG405" s="124"/>
      <c r="FH405" s="124"/>
      <c r="FI405" s="124"/>
      <c r="FJ405" s="124"/>
      <c r="FK405" s="124"/>
      <c r="FL405" s="124"/>
      <c r="FM405" s="124"/>
      <c r="FN405" s="124"/>
      <c r="FO405" s="124"/>
      <c r="FP405" s="124"/>
      <c r="FQ405" s="124"/>
      <c r="FR405" s="124"/>
      <c r="FS405" s="124"/>
      <c r="FT405" s="124"/>
      <c r="FU405" s="124"/>
      <c r="FV405" s="124"/>
      <c r="FW405" s="124"/>
      <c r="FX405" s="124"/>
      <c r="FY405" s="124"/>
      <c r="FZ405" s="124"/>
      <c r="GA405" s="124"/>
      <c r="GB405" s="124"/>
      <c r="GC405" s="124"/>
      <c r="GD405" s="124"/>
      <c r="GE405" s="124"/>
      <c r="GF405" s="124"/>
      <c r="GG405" s="124"/>
      <c r="GH405" s="124"/>
      <c r="GI405" s="124"/>
      <c r="GJ405" s="124"/>
      <c r="GK405" s="124"/>
      <c r="GL405" s="124"/>
      <c r="GM405" s="124"/>
      <c r="GN405" s="124"/>
      <c r="GO405" s="124"/>
      <c r="GP405" s="124"/>
      <c r="GQ405" s="124"/>
      <c r="GR405" s="124"/>
      <c r="GS405" s="124"/>
      <c r="GT405" s="124"/>
      <c r="GU405" s="124"/>
      <c r="GV405" s="124"/>
      <c r="GW405" s="124"/>
      <c r="GX405" s="124"/>
      <c r="GY405" s="124"/>
      <c r="GZ405" s="124"/>
      <c r="HA405" s="124"/>
      <c r="HB405" s="124"/>
      <c r="HC405" s="124"/>
      <c r="HD405" s="124"/>
      <c r="HE405" s="124"/>
      <c r="HF405" s="124"/>
      <c r="HG405" s="124"/>
      <c r="HH405" s="124"/>
      <c r="HI405" s="124"/>
      <c r="HJ405" s="124"/>
      <c r="HK405" s="124"/>
      <c r="HL405" s="124"/>
      <c r="HM405" s="124"/>
      <c r="HN405" s="124"/>
      <c r="HO405" s="124"/>
      <c r="HP405" s="124"/>
      <c r="HQ405" s="124"/>
    </row>
    <row r="406" spans="1:225" x14ac:dyDescent="0.2">
      <c r="A406" s="122"/>
      <c r="B406" s="123"/>
      <c r="C406" s="124"/>
      <c r="D406" s="123"/>
      <c r="E406" s="124"/>
      <c r="F406" s="123"/>
      <c r="G406" s="123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24"/>
      <c r="BK406" s="124"/>
      <c r="BL406" s="124"/>
      <c r="BM406" s="124"/>
      <c r="BN406" s="124"/>
      <c r="BO406" s="124"/>
      <c r="BP406" s="124"/>
      <c r="BQ406" s="124"/>
      <c r="BR406" s="124"/>
      <c r="BS406" s="124"/>
      <c r="BT406" s="124"/>
      <c r="BU406" s="124"/>
      <c r="BV406" s="124"/>
      <c r="BW406" s="124"/>
      <c r="BX406" s="124"/>
      <c r="BY406" s="124"/>
      <c r="BZ406" s="124"/>
      <c r="CA406" s="124"/>
      <c r="CB406" s="124"/>
      <c r="CC406" s="124"/>
      <c r="CD406" s="124"/>
      <c r="CE406" s="124"/>
      <c r="CF406" s="124"/>
      <c r="CG406" s="124"/>
      <c r="CH406" s="124"/>
      <c r="CI406" s="124"/>
      <c r="CJ406" s="124"/>
      <c r="CK406" s="124"/>
      <c r="CL406" s="124"/>
      <c r="CM406" s="124"/>
      <c r="CN406" s="124"/>
      <c r="CO406" s="124"/>
      <c r="CP406" s="124"/>
      <c r="CQ406" s="124"/>
      <c r="CR406" s="124"/>
      <c r="CS406" s="124"/>
      <c r="CT406" s="124"/>
      <c r="CU406" s="124"/>
      <c r="CV406" s="124"/>
      <c r="CW406" s="124"/>
      <c r="CX406" s="124"/>
      <c r="CY406" s="124"/>
      <c r="CZ406" s="124"/>
      <c r="DA406" s="124"/>
      <c r="DB406" s="124"/>
      <c r="DC406" s="124"/>
      <c r="DD406" s="124"/>
      <c r="DE406" s="124"/>
      <c r="DF406" s="124"/>
      <c r="DG406" s="124"/>
      <c r="DH406" s="124"/>
      <c r="DI406" s="124"/>
      <c r="DJ406" s="124"/>
      <c r="DK406" s="124"/>
      <c r="DL406" s="124"/>
      <c r="DM406" s="124"/>
      <c r="DN406" s="124"/>
      <c r="DO406" s="124"/>
      <c r="DP406" s="124"/>
      <c r="DQ406" s="124"/>
      <c r="DR406" s="124"/>
      <c r="DS406" s="124"/>
      <c r="DT406" s="124"/>
      <c r="DU406" s="124"/>
      <c r="DV406" s="124"/>
      <c r="DW406" s="124"/>
      <c r="DX406" s="124"/>
      <c r="DY406" s="124"/>
      <c r="DZ406" s="124"/>
      <c r="EA406" s="124"/>
      <c r="EB406" s="124"/>
      <c r="EC406" s="124"/>
      <c r="ED406" s="124"/>
      <c r="EE406" s="124"/>
      <c r="EF406" s="124"/>
      <c r="EG406" s="124"/>
      <c r="EH406" s="124"/>
      <c r="EI406" s="124"/>
      <c r="EJ406" s="124"/>
      <c r="EK406" s="124"/>
      <c r="EL406" s="124"/>
      <c r="EM406" s="124"/>
      <c r="EN406" s="124"/>
      <c r="EO406" s="124"/>
      <c r="EP406" s="124"/>
      <c r="EQ406" s="124"/>
      <c r="ER406" s="124"/>
      <c r="ES406" s="124"/>
      <c r="ET406" s="124"/>
      <c r="EU406" s="124"/>
      <c r="EV406" s="124"/>
      <c r="EW406" s="124"/>
      <c r="EX406" s="124"/>
      <c r="EY406" s="124"/>
      <c r="EZ406" s="124"/>
      <c r="FA406" s="124"/>
      <c r="FB406" s="124"/>
      <c r="FC406" s="124"/>
      <c r="FD406" s="124"/>
      <c r="FE406" s="124"/>
      <c r="FF406" s="124"/>
      <c r="FG406" s="124"/>
      <c r="FH406" s="124"/>
      <c r="FI406" s="124"/>
      <c r="FJ406" s="124"/>
      <c r="FK406" s="124"/>
      <c r="FL406" s="124"/>
      <c r="FM406" s="124"/>
      <c r="FN406" s="124"/>
      <c r="FO406" s="124"/>
      <c r="FP406" s="124"/>
      <c r="FQ406" s="124"/>
      <c r="FR406" s="124"/>
      <c r="FS406" s="124"/>
      <c r="FT406" s="124"/>
      <c r="FU406" s="124"/>
      <c r="FV406" s="124"/>
      <c r="FW406" s="124"/>
      <c r="FX406" s="124"/>
      <c r="FY406" s="124"/>
      <c r="FZ406" s="124"/>
      <c r="GA406" s="124"/>
      <c r="GB406" s="124"/>
      <c r="GC406" s="124"/>
      <c r="GD406" s="124"/>
      <c r="GE406" s="124"/>
      <c r="GF406" s="124"/>
      <c r="GG406" s="124"/>
      <c r="GH406" s="124"/>
      <c r="GI406" s="124"/>
      <c r="GJ406" s="124"/>
      <c r="GK406" s="124"/>
      <c r="GL406" s="124"/>
      <c r="GM406" s="124"/>
      <c r="GN406" s="124"/>
      <c r="GO406" s="124"/>
      <c r="GP406" s="124"/>
      <c r="GQ406" s="124"/>
      <c r="GR406" s="124"/>
      <c r="GS406" s="124"/>
      <c r="GT406" s="124"/>
      <c r="GU406" s="124"/>
      <c r="GV406" s="124"/>
      <c r="GW406" s="124"/>
      <c r="GX406" s="124"/>
      <c r="GY406" s="124"/>
      <c r="GZ406" s="124"/>
      <c r="HA406" s="124"/>
      <c r="HB406" s="124"/>
      <c r="HC406" s="124"/>
      <c r="HD406" s="124"/>
      <c r="HE406" s="124"/>
      <c r="HF406" s="124"/>
      <c r="HG406" s="124"/>
      <c r="HH406" s="124"/>
      <c r="HI406" s="124"/>
      <c r="HJ406" s="124"/>
      <c r="HK406" s="124"/>
      <c r="HL406" s="124"/>
      <c r="HM406" s="124"/>
      <c r="HN406" s="124"/>
      <c r="HO406" s="124"/>
      <c r="HP406" s="124"/>
      <c r="HQ406" s="124"/>
    </row>
    <row r="407" spans="1:225" x14ac:dyDescent="0.2">
      <c r="A407" s="122"/>
      <c r="B407" s="123"/>
      <c r="C407" s="124"/>
      <c r="D407" s="123"/>
      <c r="E407" s="124"/>
      <c r="F407" s="123"/>
      <c r="G407" s="123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24"/>
      <c r="BK407" s="124"/>
      <c r="BL407" s="124"/>
      <c r="BM407" s="124"/>
      <c r="BN407" s="124"/>
      <c r="BO407" s="124"/>
      <c r="BP407" s="124"/>
      <c r="BQ407" s="124"/>
      <c r="BR407" s="124"/>
      <c r="BS407" s="124"/>
      <c r="BT407" s="124"/>
      <c r="BU407" s="124"/>
      <c r="BV407" s="124"/>
      <c r="BW407" s="124"/>
      <c r="BX407" s="124"/>
      <c r="BY407" s="124"/>
      <c r="BZ407" s="124"/>
      <c r="CA407" s="124"/>
      <c r="CB407" s="124"/>
      <c r="CC407" s="124"/>
      <c r="CD407" s="124"/>
      <c r="CE407" s="124"/>
      <c r="CF407" s="124"/>
      <c r="CG407" s="124"/>
      <c r="CH407" s="124"/>
      <c r="CI407" s="124"/>
      <c r="CJ407" s="124"/>
      <c r="CK407" s="124"/>
      <c r="CL407" s="124"/>
      <c r="CM407" s="124"/>
      <c r="CN407" s="124"/>
      <c r="CO407" s="124"/>
      <c r="CP407" s="124"/>
      <c r="CQ407" s="124"/>
      <c r="CR407" s="124"/>
      <c r="CS407" s="124"/>
      <c r="CT407" s="124"/>
      <c r="CU407" s="124"/>
      <c r="CV407" s="124"/>
      <c r="CW407" s="124"/>
      <c r="CX407" s="124"/>
      <c r="CY407" s="124"/>
      <c r="CZ407" s="124"/>
      <c r="DA407" s="124"/>
      <c r="DB407" s="124"/>
      <c r="DC407" s="124"/>
      <c r="DD407" s="124"/>
      <c r="DE407" s="124"/>
      <c r="DF407" s="124"/>
      <c r="DG407" s="124"/>
      <c r="DH407" s="124"/>
      <c r="DI407" s="124"/>
      <c r="DJ407" s="124"/>
      <c r="DK407" s="124"/>
      <c r="DL407" s="124"/>
      <c r="DM407" s="124"/>
      <c r="DN407" s="124"/>
      <c r="DO407" s="124"/>
      <c r="DP407" s="124"/>
      <c r="DQ407" s="124"/>
      <c r="DR407" s="124"/>
      <c r="DS407" s="124"/>
      <c r="DT407" s="124"/>
      <c r="DU407" s="124"/>
      <c r="DV407" s="124"/>
      <c r="DW407" s="124"/>
      <c r="DX407" s="124"/>
      <c r="DY407" s="124"/>
      <c r="DZ407" s="124"/>
      <c r="EA407" s="124"/>
      <c r="EB407" s="124"/>
      <c r="EC407" s="124"/>
      <c r="ED407" s="124"/>
      <c r="EE407" s="124"/>
      <c r="EF407" s="124"/>
      <c r="EG407" s="124"/>
      <c r="EH407" s="124"/>
      <c r="EI407" s="124"/>
      <c r="EJ407" s="124"/>
      <c r="EK407" s="124"/>
      <c r="EL407" s="124"/>
      <c r="EM407" s="124"/>
      <c r="EN407" s="124"/>
      <c r="EO407" s="124"/>
      <c r="EP407" s="124"/>
      <c r="EQ407" s="124"/>
      <c r="ER407" s="124"/>
      <c r="ES407" s="124"/>
      <c r="ET407" s="124"/>
      <c r="EU407" s="124"/>
      <c r="EV407" s="124"/>
      <c r="EW407" s="124"/>
      <c r="EX407" s="124"/>
      <c r="EY407" s="124"/>
      <c r="EZ407" s="124"/>
      <c r="FA407" s="124"/>
      <c r="FB407" s="124"/>
      <c r="FC407" s="124"/>
      <c r="FD407" s="124"/>
      <c r="FE407" s="124"/>
      <c r="FF407" s="124"/>
      <c r="FG407" s="124"/>
      <c r="FH407" s="124"/>
      <c r="FI407" s="124"/>
      <c r="FJ407" s="124"/>
      <c r="FK407" s="124"/>
      <c r="FL407" s="124"/>
      <c r="FM407" s="124"/>
      <c r="FN407" s="124"/>
      <c r="FO407" s="124"/>
      <c r="FP407" s="124"/>
      <c r="FQ407" s="124"/>
      <c r="FR407" s="124"/>
      <c r="FS407" s="124"/>
      <c r="FT407" s="124"/>
      <c r="FU407" s="124"/>
      <c r="FV407" s="124"/>
      <c r="FW407" s="124"/>
      <c r="FX407" s="124"/>
      <c r="FY407" s="124"/>
      <c r="FZ407" s="124"/>
      <c r="GA407" s="124"/>
      <c r="GB407" s="124"/>
      <c r="GC407" s="124"/>
      <c r="GD407" s="124"/>
      <c r="GE407" s="124"/>
      <c r="GF407" s="124"/>
      <c r="GG407" s="124"/>
      <c r="GH407" s="124"/>
      <c r="GI407" s="124"/>
      <c r="GJ407" s="124"/>
      <c r="GK407" s="124"/>
      <c r="GL407" s="124"/>
      <c r="GM407" s="124"/>
      <c r="GN407" s="124"/>
      <c r="GO407" s="124"/>
      <c r="GP407" s="124"/>
      <c r="GQ407" s="124"/>
      <c r="GR407" s="124"/>
      <c r="GS407" s="124"/>
      <c r="GT407" s="124"/>
      <c r="GU407" s="124"/>
      <c r="GV407" s="124"/>
      <c r="GW407" s="124"/>
      <c r="GX407" s="124"/>
      <c r="GY407" s="124"/>
      <c r="GZ407" s="124"/>
      <c r="HA407" s="124"/>
      <c r="HB407" s="124"/>
      <c r="HC407" s="124"/>
      <c r="HD407" s="124"/>
      <c r="HE407" s="124"/>
      <c r="HF407" s="124"/>
      <c r="HG407" s="124"/>
      <c r="HH407" s="124"/>
      <c r="HI407" s="124"/>
      <c r="HJ407" s="124"/>
      <c r="HK407" s="124"/>
      <c r="HL407" s="124"/>
      <c r="HM407" s="124"/>
      <c r="HN407" s="124"/>
      <c r="HO407" s="124"/>
      <c r="HP407" s="124"/>
      <c r="HQ407" s="124"/>
    </row>
    <row r="408" spans="1:225" x14ac:dyDescent="0.2">
      <c r="A408" s="122"/>
      <c r="B408" s="123"/>
      <c r="C408" s="124"/>
      <c r="D408" s="123"/>
      <c r="E408" s="124"/>
      <c r="F408" s="123"/>
      <c r="G408" s="123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/>
      <c r="BB408" s="124"/>
      <c r="BC408" s="124"/>
      <c r="BD408" s="124"/>
      <c r="BE408" s="124"/>
      <c r="BF408" s="124"/>
      <c r="BG408" s="124"/>
      <c r="BH408" s="124"/>
      <c r="BI408" s="124"/>
      <c r="BJ408" s="124"/>
      <c r="BK408" s="124"/>
      <c r="BL408" s="124"/>
      <c r="BM408" s="124"/>
      <c r="BN408" s="124"/>
      <c r="BO408" s="124"/>
      <c r="BP408" s="124"/>
      <c r="BQ408" s="124"/>
      <c r="BR408" s="124"/>
      <c r="BS408" s="124"/>
      <c r="BT408" s="124"/>
      <c r="BU408" s="124"/>
      <c r="BV408" s="124"/>
      <c r="BW408" s="124"/>
      <c r="BX408" s="124"/>
      <c r="BY408" s="124"/>
      <c r="BZ408" s="124"/>
      <c r="CA408" s="124"/>
      <c r="CB408" s="124"/>
      <c r="CC408" s="124"/>
      <c r="CD408" s="124"/>
      <c r="CE408" s="124"/>
      <c r="CF408" s="124"/>
      <c r="CG408" s="124"/>
      <c r="CH408" s="124"/>
      <c r="CI408" s="124"/>
      <c r="CJ408" s="124"/>
      <c r="CK408" s="124"/>
      <c r="CL408" s="124"/>
      <c r="CM408" s="124"/>
      <c r="CN408" s="124"/>
      <c r="CO408" s="124"/>
      <c r="CP408" s="124"/>
      <c r="CQ408" s="124"/>
      <c r="CR408" s="124"/>
      <c r="CS408" s="124"/>
      <c r="CT408" s="124"/>
      <c r="CU408" s="124"/>
      <c r="CV408" s="124"/>
      <c r="CW408" s="124"/>
      <c r="CX408" s="124"/>
      <c r="CY408" s="124"/>
      <c r="CZ408" s="124"/>
      <c r="DA408" s="124"/>
      <c r="DB408" s="124"/>
      <c r="DC408" s="124"/>
      <c r="DD408" s="124"/>
      <c r="DE408" s="124"/>
      <c r="DF408" s="124"/>
      <c r="DG408" s="124"/>
      <c r="DH408" s="124"/>
      <c r="DI408" s="124"/>
      <c r="DJ408" s="124"/>
      <c r="DK408" s="124"/>
      <c r="DL408" s="124"/>
      <c r="DM408" s="124"/>
      <c r="DN408" s="124"/>
      <c r="DO408" s="124"/>
      <c r="DP408" s="124"/>
      <c r="DQ408" s="124"/>
      <c r="DR408" s="124"/>
      <c r="DS408" s="124"/>
      <c r="DT408" s="124"/>
      <c r="DU408" s="124"/>
      <c r="DV408" s="124"/>
      <c r="DW408" s="124"/>
      <c r="DX408" s="124"/>
      <c r="DY408" s="124"/>
      <c r="DZ408" s="124"/>
      <c r="EA408" s="124"/>
      <c r="EB408" s="124"/>
      <c r="EC408" s="124"/>
      <c r="ED408" s="124"/>
      <c r="EE408" s="124"/>
      <c r="EF408" s="124"/>
      <c r="EG408" s="124"/>
      <c r="EH408" s="124"/>
      <c r="EI408" s="124"/>
      <c r="EJ408" s="124"/>
      <c r="EK408" s="124"/>
      <c r="EL408" s="124"/>
      <c r="EM408" s="124"/>
      <c r="EN408" s="124"/>
      <c r="EO408" s="124"/>
      <c r="EP408" s="124"/>
      <c r="EQ408" s="124"/>
      <c r="ER408" s="124"/>
      <c r="ES408" s="124"/>
      <c r="ET408" s="124"/>
      <c r="EU408" s="124"/>
      <c r="EV408" s="124"/>
      <c r="EW408" s="124"/>
      <c r="EX408" s="124"/>
      <c r="EY408" s="124"/>
      <c r="EZ408" s="124"/>
      <c r="FA408" s="124"/>
      <c r="FB408" s="124"/>
      <c r="FC408" s="124"/>
      <c r="FD408" s="124"/>
      <c r="FE408" s="124"/>
      <c r="FF408" s="124"/>
      <c r="FG408" s="124"/>
      <c r="FH408" s="124"/>
      <c r="FI408" s="124"/>
      <c r="FJ408" s="124"/>
      <c r="FK408" s="124"/>
      <c r="FL408" s="124"/>
      <c r="FM408" s="124"/>
      <c r="FN408" s="124"/>
      <c r="FO408" s="124"/>
      <c r="FP408" s="124"/>
      <c r="FQ408" s="124"/>
      <c r="FR408" s="124"/>
      <c r="FS408" s="124"/>
      <c r="FT408" s="124"/>
      <c r="FU408" s="124"/>
      <c r="FV408" s="124"/>
      <c r="FW408" s="124"/>
      <c r="FX408" s="124"/>
      <c r="FY408" s="124"/>
      <c r="FZ408" s="124"/>
      <c r="GA408" s="124"/>
      <c r="GB408" s="124"/>
      <c r="GC408" s="124"/>
      <c r="GD408" s="124"/>
      <c r="GE408" s="124"/>
      <c r="GF408" s="124"/>
      <c r="GG408" s="124"/>
      <c r="GH408" s="124"/>
      <c r="GI408" s="124"/>
      <c r="GJ408" s="124"/>
      <c r="GK408" s="124"/>
      <c r="GL408" s="124"/>
      <c r="GM408" s="124"/>
      <c r="GN408" s="124"/>
      <c r="GO408" s="124"/>
      <c r="GP408" s="124"/>
      <c r="GQ408" s="124"/>
      <c r="GR408" s="124"/>
      <c r="GS408" s="124"/>
      <c r="GT408" s="124"/>
      <c r="GU408" s="124"/>
      <c r="GV408" s="124"/>
      <c r="GW408" s="124"/>
      <c r="GX408" s="124"/>
      <c r="GY408" s="124"/>
      <c r="GZ408" s="124"/>
      <c r="HA408" s="124"/>
      <c r="HB408" s="124"/>
      <c r="HC408" s="124"/>
      <c r="HD408" s="124"/>
      <c r="HE408" s="124"/>
      <c r="HF408" s="124"/>
      <c r="HG408" s="124"/>
      <c r="HH408" s="124"/>
      <c r="HI408" s="124"/>
      <c r="HJ408" s="124"/>
      <c r="HK408" s="124"/>
      <c r="HL408" s="124"/>
      <c r="HM408" s="124"/>
      <c r="HN408" s="124"/>
      <c r="HO408" s="124"/>
      <c r="HP408" s="124"/>
      <c r="HQ408" s="124"/>
    </row>
    <row r="409" spans="1:225" x14ac:dyDescent="0.2">
      <c r="A409" s="122"/>
      <c r="B409" s="123"/>
      <c r="C409" s="124"/>
      <c r="D409" s="123"/>
      <c r="E409" s="124"/>
      <c r="F409" s="123"/>
      <c r="G409" s="123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/>
      <c r="BB409" s="124"/>
      <c r="BC409" s="124"/>
      <c r="BD409" s="124"/>
      <c r="BE409" s="124"/>
      <c r="BF409" s="124"/>
      <c r="BG409" s="124"/>
      <c r="BH409" s="124"/>
      <c r="BI409" s="124"/>
      <c r="BJ409" s="124"/>
      <c r="BK409" s="124"/>
      <c r="BL409" s="124"/>
      <c r="BM409" s="124"/>
      <c r="BN409" s="124"/>
      <c r="BO409" s="124"/>
      <c r="BP409" s="124"/>
      <c r="BQ409" s="124"/>
      <c r="BR409" s="124"/>
      <c r="BS409" s="124"/>
      <c r="BT409" s="124"/>
      <c r="BU409" s="124"/>
      <c r="BV409" s="124"/>
      <c r="BW409" s="124"/>
      <c r="BX409" s="124"/>
      <c r="BY409" s="124"/>
      <c r="BZ409" s="124"/>
      <c r="CA409" s="124"/>
      <c r="CB409" s="124"/>
      <c r="CC409" s="124"/>
      <c r="CD409" s="124"/>
      <c r="CE409" s="124"/>
      <c r="CF409" s="124"/>
      <c r="CG409" s="124"/>
      <c r="CH409" s="124"/>
      <c r="CI409" s="124"/>
      <c r="CJ409" s="124"/>
      <c r="CK409" s="124"/>
      <c r="CL409" s="124"/>
      <c r="CM409" s="124"/>
      <c r="CN409" s="124"/>
      <c r="CO409" s="124"/>
      <c r="CP409" s="124"/>
      <c r="CQ409" s="124"/>
      <c r="CR409" s="124"/>
      <c r="CS409" s="124"/>
      <c r="CT409" s="124"/>
      <c r="CU409" s="124"/>
      <c r="CV409" s="124"/>
      <c r="CW409" s="124"/>
      <c r="CX409" s="124"/>
      <c r="CY409" s="124"/>
      <c r="CZ409" s="124"/>
      <c r="DA409" s="124"/>
      <c r="DB409" s="124"/>
      <c r="DC409" s="124"/>
      <c r="DD409" s="124"/>
      <c r="DE409" s="124"/>
      <c r="DF409" s="124"/>
      <c r="DG409" s="124"/>
      <c r="DH409" s="124"/>
      <c r="DI409" s="124"/>
      <c r="DJ409" s="124"/>
      <c r="DK409" s="124"/>
      <c r="DL409" s="124"/>
      <c r="DM409" s="124"/>
      <c r="DN409" s="124"/>
      <c r="DO409" s="124"/>
      <c r="DP409" s="124"/>
      <c r="DQ409" s="124"/>
      <c r="DR409" s="124"/>
      <c r="DS409" s="124"/>
      <c r="DT409" s="124"/>
      <c r="DU409" s="124"/>
      <c r="DV409" s="124"/>
      <c r="DW409" s="124"/>
      <c r="DX409" s="124"/>
      <c r="DY409" s="124"/>
      <c r="DZ409" s="124"/>
      <c r="EA409" s="124"/>
      <c r="EB409" s="124"/>
      <c r="EC409" s="124"/>
      <c r="ED409" s="124"/>
      <c r="EE409" s="124"/>
      <c r="EF409" s="124"/>
      <c r="EG409" s="124"/>
      <c r="EH409" s="124"/>
      <c r="EI409" s="124"/>
      <c r="EJ409" s="124"/>
      <c r="EK409" s="124"/>
      <c r="EL409" s="124"/>
      <c r="EM409" s="124"/>
      <c r="EN409" s="124"/>
      <c r="EO409" s="124"/>
      <c r="EP409" s="124"/>
      <c r="EQ409" s="124"/>
      <c r="ER409" s="124"/>
      <c r="ES409" s="124"/>
      <c r="ET409" s="124"/>
      <c r="EU409" s="124"/>
      <c r="EV409" s="124"/>
      <c r="EW409" s="124"/>
      <c r="EX409" s="124"/>
      <c r="EY409" s="124"/>
      <c r="EZ409" s="124"/>
      <c r="FA409" s="124"/>
      <c r="FB409" s="124"/>
      <c r="FC409" s="124"/>
      <c r="FD409" s="124"/>
      <c r="FE409" s="124"/>
      <c r="FF409" s="124"/>
      <c r="FG409" s="124"/>
      <c r="FH409" s="124"/>
      <c r="FI409" s="124"/>
      <c r="FJ409" s="124"/>
      <c r="FK409" s="124"/>
      <c r="FL409" s="124"/>
      <c r="FM409" s="124"/>
      <c r="FN409" s="124"/>
      <c r="FO409" s="124"/>
      <c r="FP409" s="124"/>
      <c r="FQ409" s="124"/>
      <c r="FR409" s="124"/>
      <c r="FS409" s="124"/>
      <c r="FT409" s="124"/>
      <c r="FU409" s="124"/>
      <c r="FV409" s="124"/>
      <c r="FW409" s="124"/>
      <c r="FX409" s="124"/>
      <c r="FY409" s="124"/>
      <c r="FZ409" s="124"/>
      <c r="GA409" s="124"/>
      <c r="GB409" s="124"/>
      <c r="GC409" s="124"/>
      <c r="GD409" s="124"/>
      <c r="GE409" s="124"/>
      <c r="GF409" s="124"/>
      <c r="GG409" s="124"/>
      <c r="GH409" s="124"/>
      <c r="GI409" s="124"/>
      <c r="GJ409" s="124"/>
      <c r="GK409" s="124"/>
      <c r="GL409" s="124"/>
      <c r="GM409" s="124"/>
      <c r="GN409" s="124"/>
      <c r="GO409" s="124"/>
      <c r="GP409" s="124"/>
      <c r="GQ409" s="124"/>
      <c r="GR409" s="124"/>
      <c r="GS409" s="124"/>
      <c r="GT409" s="124"/>
      <c r="GU409" s="124"/>
      <c r="GV409" s="124"/>
      <c r="GW409" s="124"/>
      <c r="GX409" s="124"/>
      <c r="GY409" s="124"/>
      <c r="GZ409" s="124"/>
      <c r="HA409" s="124"/>
      <c r="HB409" s="124"/>
      <c r="HC409" s="124"/>
      <c r="HD409" s="124"/>
      <c r="HE409" s="124"/>
      <c r="HF409" s="124"/>
      <c r="HG409" s="124"/>
      <c r="HH409" s="124"/>
      <c r="HI409" s="124"/>
      <c r="HJ409" s="124"/>
      <c r="HK409" s="124"/>
      <c r="HL409" s="124"/>
      <c r="HM409" s="124"/>
      <c r="HN409" s="124"/>
      <c r="HO409" s="124"/>
      <c r="HP409" s="124"/>
      <c r="HQ409" s="124"/>
    </row>
    <row r="410" spans="1:225" x14ac:dyDescent="0.2">
      <c r="A410" s="122"/>
      <c r="B410" s="123"/>
      <c r="C410" s="124"/>
      <c r="D410" s="123"/>
      <c r="E410" s="124"/>
      <c r="F410" s="123"/>
      <c r="G410" s="123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/>
      <c r="BB410" s="124"/>
      <c r="BC410" s="124"/>
      <c r="BD410" s="124"/>
      <c r="BE410" s="124"/>
      <c r="BF410" s="124"/>
      <c r="BG410" s="124"/>
      <c r="BH410" s="124"/>
      <c r="BI410" s="124"/>
      <c r="BJ410" s="124"/>
      <c r="BK410" s="124"/>
      <c r="BL410" s="124"/>
      <c r="BM410" s="124"/>
      <c r="BN410" s="124"/>
      <c r="BO410" s="124"/>
      <c r="BP410" s="124"/>
      <c r="BQ410" s="124"/>
      <c r="BR410" s="124"/>
      <c r="BS410" s="124"/>
      <c r="BT410" s="124"/>
      <c r="BU410" s="124"/>
      <c r="BV410" s="124"/>
      <c r="BW410" s="124"/>
      <c r="BX410" s="124"/>
      <c r="BY410" s="124"/>
      <c r="BZ410" s="124"/>
      <c r="CA410" s="124"/>
      <c r="CB410" s="124"/>
      <c r="CC410" s="124"/>
      <c r="CD410" s="124"/>
      <c r="CE410" s="124"/>
      <c r="CF410" s="124"/>
      <c r="CG410" s="124"/>
      <c r="CH410" s="124"/>
      <c r="CI410" s="124"/>
      <c r="CJ410" s="124"/>
      <c r="CK410" s="124"/>
      <c r="CL410" s="124"/>
      <c r="CM410" s="124"/>
      <c r="CN410" s="124"/>
      <c r="CO410" s="124"/>
      <c r="CP410" s="124"/>
      <c r="CQ410" s="124"/>
      <c r="CR410" s="124"/>
      <c r="CS410" s="124"/>
      <c r="CT410" s="124"/>
      <c r="CU410" s="124"/>
      <c r="CV410" s="124"/>
      <c r="CW410" s="124"/>
      <c r="CX410" s="124"/>
      <c r="CY410" s="124"/>
      <c r="CZ410" s="124"/>
      <c r="DA410" s="124"/>
      <c r="DB410" s="124"/>
      <c r="DC410" s="124"/>
      <c r="DD410" s="124"/>
      <c r="DE410" s="124"/>
      <c r="DF410" s="124"/>
      <c r="DG410" s="124"/>
      <c r="DH410" s="124"/>
      <c r="DI410" s="124"/>
      <c r="DJ410" s="124"/>
      <c r="DK410" s="124"/>
      <c r="DL410" s="124"/>
      <c r="DM410" s="124"/>
      <c r="DN410" s="124"/>
      <c r="DO410" s="124"/>
      <c r="DP410" s="124"/>
      <c r="DQ410" s="124"/>
      <c r="DR410" s="124"/>
      <c r="DS410" s="124"/>
      <c r="DT410" s="124"/>
      <c r="DU410" s="124"/>
      <c r="DV410" s="124"/>
      <c r="DW410" s="124"/>
      <c r="DX410" s="124"/>
      <c r="DY410" s="124"/>
      <c r="DZ410" s="124"/>
      <c r="EA410" s="124"/>
      <c r="EB410" s="124"/>
      <c r="EC410" s="124"/>
      <c r="ED410" s="124"/>
      <c r="EE410" s="124"/>
      <c r="EF410" s="124"/>
      <c r="EG410" s="124"/>
      <c r="EH410" s="124"/>
      <c r="EI410" s="124"/>
      <c r="EJ410" s="124"/>
      <c r="EK410" s="124"/>
      <c r="EL410" s="124"/>
      <c r="EM410" s="124"/>
      <c r="EN410" s="124"/>
      <c r="EO410" s="124"/>
      <c r="EP410" s="124"/>
      <c r="EQ410" s="124"/>
      <c r="ER410" s="124"/>
      <c r="ES410" s="124"/>
      <c r="ET410" s="124"/>
      <c r="EU410" s="124"/>
      <c r="EV410" s="124"/>
      <c r="EW410" s="124"/>
      <c r="EX410" s="124"/>
      <c r="EY410" s="124"/>
      <c r="EZ410" s="124"/>
      <c r="FA410" s="124"/>
      <c r="FB410" s="124"/>
      <c r="FC410" s="124"/>
      <c r="FD410" s="124"/>
      <c r="FE410" s="124"/>
      <c r="FF410" s="124"/>
      <c r="FG410" s="124"/>
      <c r="FH410" s="124"/>
      <c r="FI410" s="124"/>
      <c r="FJ410" s="124"/>
      <c r="FK410" s="124"/>
      <c r="FL410" s="124"/>
      <c r="FM410" s="124"/>
      <c r="FN410" s="124"/>
      <c r="FO410" s="124"/>
      <c r="FP410" s="124"/>
      <c r="FQ410" s="124"/>
      <c r="FR410" s="124"/>
      <c r="FS410" s="124"/>
      <c r="FT410" s="124"/>
      <c r="FU410" s="124"/>
      <c r="FV410" s="124"/>
      <c r="FW410" s="124"/>
      <c r="FX410" s="124"/>
      <c r="FY410" s="124"/>
      <c r="FZ410" s="124"/>
      <c r="GA410" s="124"/>
      <c r="GB410" s="124"/>
      <c r="GC410" s="124"/>
      <c r="GD410" s="124"/>
      <c r="GE410" s="124"/>
      <c r="GF410" s="124"/>
      <c r="GG410" s="124"/>
      <c r="GH410" s="124"/>
      <c r="GI410" s="124"/>
      <c r="GJ410" s="124"/>
      <c r="GK410" s="124"/>
      <c r="GL410" s="124"/>
      <c r="GM410" s="124"/>
      <c r="GN410" s="124"/>
      <c r="GO410" s="124"/>
      <c r="GP410" s="124"/>
      <c r="GQ410" s="124"/>
      <c r="GR410" s="124"/>
      <c r="GS410" s="124"/>
      <c r="GT410" s="124"/>
      <c r="GU410" s="124"/>
      <c r="GV410" s="124"/>
      <c r="GW410" s="124"/>
      <c r="GX410" s="124"/>
      <c r="GY410" s="124"/>
      <c r="GZ410" s="124"/>
      <c r="HA410" s="124"/>
      <c r="HB410" s="124"/>
      <c r="HC410" s="124"/>
      <c r="HD410" s="124"/>
      <c r="HE410" s="124"/>
      <c r="HF410" s="124"/>
      <c r="HG410" s="124"/>
      <c r="HH410" s="124"/>
      <c r="HI410" s="124"/>
      <c r="HJ410" s="124"/>
      <c r="HK410" s="124"/>
      <c r="HL410" s="124"/>
      <c r="HM410" s="124"/>
      <c r="HN410" s="124"/>
      <c r="HO410" s="124"/>
      <c r="HP410" s="124"/>
      <c r="HQ410" s="124"/>
    </row>
    <row r="411" spans="1:225" x14ac:dyDescent="0.2">
      <c r="A411" s="122"/>
      <c r="B411" s="123"/>
      <c r="C411" s="124"/>
      <c r="D411" s="123"/>
      <c r="E411" s="124"/>
      <c r="F411" s="123"/>
      <c r="G411" s="123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/>
      <c r="BB411" s="124"/>
      <c r="BC411" s="124"/>
      <c r="BD411" s="124"/>
      <c r="BE411" s="124"/>
      <c r="BF411" s="124"/>
      <c r="BG411" s="124"/>
      <c r="BH411" s="124"/>
      <c r="BI411" s="124"/>
      <c r="BJ411" s="124"/>
      <c r="BK411" s="124"/>
      <c r="BL411" s="124"/>
      <c r="BM411" s="124"/>
      <c r="BN411" s="124"/>
      <c r="BO411" s="124"/>
      <c r="BP411" s="124"/>
      <c r="BQ411" s="124"/>
      <c r="BR411" s="124"/>
      <c r="BS411" s="124"/>
      <c r="BT411" s="124"/>
      <c r="BU411" s="124"/>
      <c r="BV411" s="124"/>
      <c r="BW411" s="124"/>
      <c r="BX411" s="124"/>
      <c r="BY411" s="124"/>
      <c r="BZ411" s="124"/>
      <c r="CA411" s="124"/>
      <c r="CB411" s="124"/>
      <c r="CC411" s="124"/>
      <c r="CD411" s="124"/>
      <c r="CE411" s="124"/>
      <c r="CF411" s="124"/>
      <c r="CG411" s="124"/>
      <c r="CH411" s="124"/>
      <c r="CI411" s="124"/>
      <c r="CJ411" s="124"/>
      <c r="CK411" s="124"/>
      <c r="CL411" s="124"/>
      <c r="CM411" s="124"/>
      <c r="CN411" s="124"/>
      <c r="CO411" s="124"/>
      <c r="CP411" s="124"/>
      <c r="CQ411" s="124"/>
      <c r="CR411" s="124"/>
      <c r="CS411" s="124"/>
      <c r="CT411" s="124"/>
      <c r="CU411" s="124"/>
      <c r="CV411" s="124"/>
      <c r="CW411" s="124"/>
      <c r="CX411" s="124"/>
      <c r="CY411" s="124"/>
      <c r="CZ411" s="124"/>
      <c r="DA411" s="124"/>
      <c r="DB411" s="124"/>
      <c r="DC411" s="124"/>
      <c r="DD411" s="124"/>
      <c r="DE411" s="124"/>
      <c r="DF411" s="124"/>
      <c r="DG411" s="124"/>
      <c r="DH411" s="124"/>
      <c r="DI411" s="124"/>
      <c r="DJ411" s="124"/>
      <c r="DK411" s="124"/>
      <c r="DL411" s="124"/>
      <c r="DM411" s="124"/>
      <c r="DN411" s="124"/>
      <c r="DO411" s="124"/>
      <c r="DP411" s="124"/>
      <c r="DQ411" s="124"/>
      <c r="DR411" s="124"/>
      <c r="DS411" s="124"/>
      <c r="DT411" s="124"/>
      <c r="DU411" s="124"/>
      <c r="DV411" s="124"/>
      <c r="DW411" s="124"/>
      <c r="DX411" s="124"/>
      <c r="DY411" s="124"/>
      <c r="DZ411" s="124"/>
      <c r="EA411" s="124"/>
      <c r="EB411" s="124"/>
      <c r="EC411" s="124"/>
      <c r="ED411" s="124"/>
      <c r="EE411" s="124"/>
      <c r="EF411" s="124"/>
      <c r="EG411" s="124"/>
      <c r="EH411" s="124"/>
      <c r="EI411" s="124"/>
      <c r="EJ411" s="124"/>
      <c r="EK411" s="124"/>
      <c r="EL411" s="124"/>
      <c r="EM411" s="124"/>
      <c r="EN411" s="124"/>
      <c r="EO411" s="124"/>
      <c r="EP411" s="124"/>
      <c r="EQ411" s="124"/>
      <c r="ER411" s="124"/>
      <c r="ES411" s="124"/>
      <c r="ET411" s="124"/>
      <c r="EU411" s="124"/>
      <c r="EV411" s="124"/>
      <c r="EW411" s="124"/>
      <c r="EX411" s="124"/>
      <c r="EY411" s="124"/>
      <c r="EZ411" s="124"/>
      <c r="FA411" s="124"/>
      <c r="FB411" s="124"/>
      <c r="FC411" s="124"/>
      <c r="FD411" s="124"/>
      <c r="FE411" s="124"/>
      <c r="FF411" s="124"/>
      <c r="FG411" s="124"/>
      <c r="FH411" s="124"/>
      <c r="FI411" s="124"/>
      <c r="FJ411" s="124"/>
      <c r="FK411" s="124"/>
      <c r="FL411" s="124"/>
      <c r="FM411" s="124"/>
      <c r="FN411" s="124"/>
      <c r="FO411" s="124"/>
      <c r="FP411" s="124"/>
      <c r="FQ411" s="124"/>
      <c r="FR411" s="124"/>
      <c r="FS411" s="124"/>
      <c r="FT411" s="124"/>
      <c r="FU411" s="124"/>
      <c r="FV411" s="124"/>
      <c r="FW411" s="124"/>
      <c r="FX411" s="124"/>
      <c r="FY411" s="124"/>
      <c r="FZ411" s="124"/>
      <c r="GA411" s="124"/>
      <c r="GB411" s="124"/>
      <c r="GC411" s="124"/>
      <c r="GD411" s="124"/>
      <c r="GE411" s="124"/>
      <c r="GF411" s="124"/>
      <c r="GG411" s="124"/>
      <c r="GH411" s="124"/>
      <c r="GI411" s="124"/>
      <c r="GJ411" s="124"/>
      <c r="GK411" s="124"/>
      <c r="GL411" s="124"/>
      <c r="GM411" s="124"/>
      <c r="GN411" s="124"/>
      <c r="GO411" s="124"/>
      <c r="GP411" s="124"/>
      <c r="GQ411" s="124"/>
      <c r="GR411" s="124"/>
      <c r="GS411" s="124"/>
      <c r="GT411" s="124"/>
      <c r="GU411" s="124"/>
      <c r="GV411" s="124"/>
      <c r="GW411" s="124"/>
      <c r="GX411" s="124"/>
      <c r="GY411" s="124"/>
      <c r="GZ411" s="124"/>
      <c r="HA411" s="124"/>
      <c r="HB411" s="124"/>
      <c r="HC411" s="124"/>
      <c r="HD411" s="124"/>
      <c r="HE411" s="124"/>
      <c r="HF411" s="124"/>
      <c r="HG411" s="124"/>
      <c r="HH411" s="124"/>
      <c r="HI411" s="124"/>
      <c r="HJ411" s="124"/>
      <c r="HK411" s="124"/>
      <c r="HL411" s="124"/>
      <c r="HM411" s="124"/>
      <c r="HN411" s="124"/>
      <c r="HO411" s="124"/>
      <c r="HP411" s="124"/>
      <c r="HQ411" s="124"/>
    </row>
    <row r="412" spans="1:225" x14ac:dyDescent="0.2">
      <c r="A412" s="122"/>
      <c r="B412" s="123"/>
      <c r="C412" s="124"/>
      <c r="D412" s="123"/>
      <c r="E412" s="124"/>
      <c r="F412" s="123"/>
      <c r="G412" s="123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/>
      <c r="BB412" s="124"/>
      <c r="BC412" s="124"/>
      <c r="BD412" s="124"/>
      <c r="BE412" s="124"/>
      <c r="BF412" s="124"/>
      <c r="BG412" s="124"/>
      <c r="BH412" s="124"/>
      <c r="BI412" s="124"/>
      <c r="BJ412" s="124"/>
      <c r="BK412" s="124"/>
      <c r="BL412" s="124"/>
      <c r="BM412" s="124"/>
      <c r="BN412" s="124"/>
      <c r="BO412" s="124"/>
      <c r="BP412" s="124"/>
      <c r="BQ412" s="124"/>
      <c r="BR412" s="124"/>
      <c r="BS412" s="124"/>
      <c r="BT412" s="124"/>
      <c r="BU412" s="124"/>
      <c r="BV412" s="124"/>
      <c r="BW412" s="124"/>
      <c r="BX412" s="124"/>
      <c r="BY412" s="124"/>
      <c r="BZ412" s="124"/>
      <c r="CA412" s="124"/>
      <c r="CB412" s="124"/>
      <c r="CC412" s="124"/>
      <c r="CD412" s="124"/>
      <c r="CE412" s="124"/>
      <c r="CF412" s="124"/>
      <c r="CG412" s="124"/>
      <c r="CH412" s="124"/>
      <c r="CI412" s="124"/>
      <c r="CJ412" s="124"/>
      <c r="CK412" s="124"/>
      <c r="CL412" s="124"/>
      <c r="CM412" s="124"/>
      <c r="CN412" s="124"/>
      <c r="CO412" s="124"/>
      <c r="CP412" s="124"/>
      <c r="CQ412" s="124"/>
      <c r="CR412" s="124"/>
      <c r="CS412" s="124"/>
      <c r="CT412" s="124"/>
      <c r="CU412" s="124"/>
      <c r="CV412" s="124"/>
      <c r="CW412" s="124"/>
      <c r="CX412" s="124"/>
      <c r="CY412" s="124"/>
      <c r="CZ412" s="124"/>
      <c r="DA412" s="124"/>
      <c r="DB412" s="124"/>
      <c r="DC412" s="124"/>
      <c r="DD412" s="124"/>
      <c r="DE412" s="124"/>
      <c r="DF412" s="124"/>
      <c r="DG412" s="124"/>
      <c r="DH412" s="124"/>
      <c r="DI412" s="124"/>
      <c r="DJ412" s="124"/>
      <c r="DK412" s="124"/>
      <c r="DL412" s="124"/>
      <c r="DM412" s="124"/>
      <c r="DN412" s="124"/>
      <c r="DO412" s="124"/>
      <c r="DP412" s="124"/>
      <c r="DQ412" s="124"/>
      <c r="DR412" s="124"/>
      <c r="DS412" s="124"/>
      <c r="DT412" s="124"/>
      <c r="DU412" s="124"/>
      <c r="DV412" s="124"/>
      <c r="DW412" s="124"/>
      <c r="DX412" s="124"/>
      <c r="DY412" s="124"/>
      <c r="DZ412" s="124"/>
      <c r="EA412" s="124"/>
      <c r="EB412" s="124"/>
      <c r="EC412" s="124"/>
      <c r="ED412" s="124"/>
      <c r="EE412" s="124"/>
      <c r="EF412" s="124"/>
      <c r="EG412" s="124"/>
      <c r="EH412" s="124"/>
      <c r="EI412" s="124"/>
      <c r="EJ412" s="124"/>
      <c r="EK412" s="124"/>
      <c r="EL412" s="124"/>
      <c r="EM412" s="124"/>
      <c r="EN412" s="124"/>
      <c r="EO412" s="124"/>
      <c r="EP412" s="124"/>
      <c r="EQ412" s="124"/>
      <c r="ER412" s="124"/>
      <c r="ES412" s="124"/>
      <c r="ET412" s="124"/>
      <c r="EU412" s="124"/>
      <c r="EV412" s="124"/>
      <c r="EW412" s="124"/>
      <c r="EX412" s="124"/>
      <c r="EY412" s="124"/>
      <c r="EZ412" s="124"/>
      <c r="FA412" s="124"/>
      <c r="FB412" s="124"/>
      <c r="FC412" s="124"/>
      <c r="FD412" s="124"/>
      <c r="FE412" s="124"/>
      <c r="FF412" s="124"/>
      <c r="FG412" s="124"/>
      <c r="FH412" s="124"/>
      <c r="FI412" s="124"/>
      <c r="FJ412" s="124"/>
      <c r="FK412" s="124"/>
      <c r="FL412" s="124"/>
      <c r="FM412" s="124"/>
      <c r="FN412" s="124"/>
      <c r="FO412" s="124"/>
      <c r="FP412" s="124"/>
      <c r="FQ412" s="124"/>
      <c r="FR412" s="124"/>
      <c r="FS412" s="124"/>
      <c r="FT412" s="124"/>
      <c r="FU412" s="124"/>
      <c r="FV412" s="124"/>
      <c r="FW412" s="124"/>
      <c r="FX412" s="124"/>
      <c r="FY412" s="124"/>
      <c r="FZ412" s="124"/>
      <c r="GA412" s="124"/>
      <c r="GB412" s="124"/>
      <c r="GC412" s="124"/>
      <c r="GD412" s="124"/>
      <c r="GE412" s="124"/>
      <c r="GF412" s="124"/>
      <c r="GG412" s="124"/>
      <c r="GH412" s="124"/>
      <c r="GI412" s="124"/>
      <c r="GJ412" s="124"/>
      <c r="GK412" s="124"/>
      <c r="GL412" s="124"/>
      <c r="GM412" s="124"/>
      <c r="GN412" s="124"/>
      <c r="GO412" s="124"/>
      <c r="GP412" s="124"/>
      <c r="GQ412" s="124"/>
      <c r="GR412" s="124"/>
      <c r="GS412" s="124"/>
      <c r="GT412" s="124"/>
      <c r="GU412" s="124"/>
      <c r="GV412" s="124"/>
      <c r="GW412" s="124"/>
      <c r="GX412" s="124"/>
      <c r="GY412" s="124"/>
      <c r="GZ412" s="124"/>
      <c r="HA412" s="124"/>
      <c r="HB412" s="124"/>
      <c r="HC412" s="124"/>
      <c r="HD412" s="124"/>
      <c r="HE412" s="124"/>
      <c r="HF412" s="124"/>
      <c r="HG412" s="124"/>
      <c r="HH412" s="124"/>
      <c r="HI412" s="124"/>
      <c r="HJ412" s="124"/>
      <c r="HK412" s="124"/>
      <c r="HL412" s="124"/>
      <c r="HM412" s="124"/>
      <c r="HN412" s="124"/>
      <c r="HO412" s="124"/>
      <c r="HP412" s="124"/>
      <c r="HQ412" s="124"/>
    </row>
    <row r="413" spans="1:225" x14ac:dyDescent="0.2">
      <c r="A413" s="122"/>
      <c r="B413" s="123"/>
      <c r="C413" s="124"/>
      <c r="D413" s="123"/>
      <c r="E413" s="124"/>
      <c r="F413" s="123"/>
      <c r="G413" s="123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24"/>
      <c r="BK413" s="124"/>
      <c r="BL413" s="124"/>
      <c r="BM413" s="124"/>
      <c r="BN413" s="124"/>
      <c r="BO413" s="124"/>
      <c r="BP413" s="124"/>
      <c r="BQ413" s="124"/>
      <c r="BR413" s="124"/>
      <c r="BS413" s="124"/>
      <c r="BT413" s="124"/>
      <c r="BU413" s="124"/>
      <c r="BV413" s="124"/>
      <c r="BW413" s="124"/>
      <c r="BX413" s="124"/>
      <c r="BY413" s="124"/>
      <c r="BZ413" s="124"/>
      <c r="CA413" s="124"/>
      <c r="CB413" s="124"/>
      <c r="CC413" s="124"/>
      <c r="CD413" s="124"/>
      <c r="CE413" s="124"/>
      <c r="CF413" s="124"/>
      <c r="CG413" s="124"/>
      <c r="CH413" s="124"/>
      <c r="CI413" s="124"/>
      <c r="CJ413" s="124"/>
      <c r="CK413" s="124"/>
      <c r="CL413" s="124"/>
      <c r="CM413" s="124"/>
      <c r="CN413" s="124"/>
      <c r="CO413" s="124"/>
      <c r="CP413" s="124"/>
      <c r="CQ413" s="124"/>
      <c r="CR413" s="124"/>
      <c r="CS413" s="124"/>
      <c r="CT413" s="124"/>
      <c r="CU413" s="124"/>
      <c r="CV413" s="124"/>
      <c r="CW413" s="124"/>
      <c r="CX413" s="124"/>
      <c r="CY413" s="124"/>
      <c r="CZ413" s="124"/>
      <c r="DA413" s="124"/>
      <c r="DB413" s="124"/>
      <c r="DC413" s="124"/>
      <c r="DD413" s="124"/>
      <c r="DE413" s="124"/>
      <c r="DF413" s="124"/>
      <c r="DG413" s="124"/>
      <c r="DH413" s="124"/>
      <c r="DI413" s="124"/>
      <c r="DJ413" s="124"/>
      <c r="DK413" s="124"/>
      <c r="DL413" s="124"/>
      <c r="DM413" s="124"/>
      <c r="DN413" s="124"/>
      <c r="DO413" s="124"/>
      <c r="DP413" s="124"/>
      <c r="DQ413" s="124"/>
      <c r="DR413" s="124"/>
      <c r="DS413" s="124"/>
      <c r="DT413" s="124"/>
      <c r="DU413" s="124"/>
      <c r="DV413" s="124"/>
      <c r="DW413" s="124"/>
      <c r="DX413" s="124"/>
      <c r="DY413" s="124"/>
      <c r="DZ413" s="124"/>
      <c r="EA413" s="124"/>
      <c r="EB413" s="124"/>
      <c r="EC413" s="124"/>
      <c r="ED413" s="124"/>
      <c r="EE413" s="124"/>
      <c r="EF413" s="124"/>
      <c r="EG413" s="124"/>
      <c r="EH413" s="124"/>
      <c r="EI413" s="124"/>
      <c r="EJ413" s="124"/>
      <c r="EK413" s="124"/>
      <c r="EL413" s="124"/>
      <c r="EM413" s="124"/>
      <c r="EN413" s="124"/>
      <c r="EO413" s="124"/>
      <c r="EP413" s="124"/>
      <c r="EQ413" s="124"/>
      <c r="ER413" s="124"/>
      <c r="ES413" s="124"/>
      <c r="ET413" s="124"/>
      <c r="EU413" s="124"/>
      <c r="EV413" s="124"/>
      <c r="EW413" s="124"/>
      <c r="EX413" s="124"/>
      <c r="EY413" s="124"/>
      <c r="EZ413" s="124"/>
      <c r="FA413" s="124"/>
      <c r="FB413" s="124"/>
      <c r="FC413" s="124"/>
      <c r="FD413" s="124"/>
      <c r="FE413" s="124"/>
      <c r="FF413" s="124"/>
      <c r="FG413" s="124"/>
      <c r="FH413" s="124"/>
      <c r="FI413" s="124"/>
      <c r="FJ413" s="124"/>
      <c r="FK413" s="124"/>
      <c r="FL413" s="124"/>
      <c r="FM413" s="124"/>
      <c r="FN413" s="124"/>
      <c r="FO413" s="124"/>
      <c r="FP413" s="124"/>
      <c r="FQ413" s="124"/>
      <c r="FR413" s="124"/>
      <c r="FS413" s="124"/>
      <c r="FT413" s="124"/>
      <c r="FU413" s="124"/>
      <c r="FV413" s="124"/>
      <c r="FW413" s="124"/>
      <c r="FX413" s="124"/>
      <c r="FY413" s="124"/>
      <c r="FZ413" s="124"/>
      <c r="GA413" s="124"/>
      <c r="GB413" s="124"/>
      <c r="GC413" s="124"/>
      <c r="GD413" s="124"/>
      <c r="GE413" s="124"/>
      <c r="GF413" s="124"/>
      <c r="GG413" s="124"/>
      <c r="GH413" s="124"/>
      <c r="GI413" s="124"/>
      <c r="GJ413" s="124"/>
      <c r="GK413" s="124"/>
      <c r="GL413" s="124"/>
      <c r="GM413" s="124"/>
      <c r="GN413" s="124"/>
      <c r="GO413" s="124"/>
      <c r="GP413" s="124"/>
      <c r="GQ413" s="124"/>
      <c r="GR413" s="124"/>
      <c r="GS413" s="124"/>
      <c r="GT413" s="124"/>
      <c r="GU413" s="124"/>
      <c r="GV413" s="124"/>
      <c r="GW413" s="124"/>
      <c r="GX413" s="124"/>
      <c r="GY413" s="124"/>
      <c r="GZ413" s="124"/>
      <c r="HA413" s="124"/>
      <c r="HB413" s="124"/>
      <c r="HC413" s="124"/>
      <c r="HD413" s="124"/>
      <c r="HE413" s="124"/>
      <c r="HF413" s="124"/>
      <c r="HG413" s="124"/>
      <c r="HH413" s="124"/>
      <c r="HI413" s="124"/>
      <c r="HJ413" s="124"/>
      <c r="HK413" s="124"/>
      <c r="HL413" s="124"/>
      <c r="HM413" s="124"/>
      <c r="HN413" s="124"/>
      <c r="HO413" s="124"/>
      <c r="HP413" s="124"/>
      <c r="HQ413" s="124"/>
    </row>
    <row r="414" spans="1:225" x14ac:dyDescent="0.2">
      <c r="A414" s="122"/>
      <c r="B414" s="123"/>
      <c r="C414" s="124"/>
      <c r="D414" s="123"/>
      <c r="E414" s="124"/>
      <c r="F414" s="123"/>
      <c r="G414" s="123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/>
      <c r="BB414" s="124"/>
      <c r="BC414" s="124"/>
      <c r="BD414" s="124"/>
      <c r="BE414" s="124"/>
      <c r="BF414" s="124"/>
      <c r="BG414" s="124"/>
      <c r="BH414" s="124"/>
      <c r="BI414" s="124"/>
      <c r="BJ414" s="124"/>
      <c r="BK414" s="124"/>
      <c r="BL414" s="124"/>
      <c r="BM414" s="124"/>
      <c r="BN414" s="124"/>
      <c r="BO414" s="124"/>
      <c r="BP414" s="124"/>
      <c r="BQ414" s="124"/>
      <c r="BR414" s="124"/>
      <c r="BS414" s="124"/>
      <c r="BT414" s="124"/>
      <c r="BU414" s="124"/>
      <c r="BV414" s="124"/>
      <c r="BW414" s="124"/>
      <c r="BX414" s="124"/>
      <c r="BY414" s="124"/>
      <c r="BZ414" s="124"/>
      <c r="CA414" s="124"/>
      <c r="CB414" s="124"/>
      <c r="CC414" s="124"/>
      <c r="CD414" s="124"/>
      <c r="CE414" s="124"/>
      <c r="CF414" s="124"/>
      <c r="CG414" s="124"/>
      <c r="CH414" s="124"/>
      <c r="CI414" s="124"/>
      <c r="CJ414" s="124"/>
      <c r="CK414" s="124"/>
      <c r="CL414" s="124"/>
      <c r="CM414" s="124"/>
      <c r="CN414" s="124"/>
      <c r="CO414" s="124"/>
      <c r="CP414" s="124"/>
      <c r="CQ414" s="124"/>
      <c r="CR414" s="124"/>
      <c r="CS414" s="124"/>
      <c r="CT414" s="124"/>
      <c r="CU414" s="124"/>
      <c r="CV414" s="124"/>
      <c r="CW414" s="124"/>
      <c r="CX414" s="124"/>
      <c r="CY414" s="124"/>
      <c r="CZ414" s="124"/>
      <c r="DA414" s="124"/>
      <c r="DB414" s="124"/>
      <c r="DC414" s="124"/>
      <c r="DD414" s="124"/>
      <c r="DE414" s="124"/>
      <c r="DF414" s="124"/>
      <c r="DG414" s="124"/>
      <c r="DH414" s="124"/>
      <c r="DI414" s="124"/>
      <c r="DJ414" s="124"/>
      <c r="DK414" s="124"/>
      <c r="DL414" s="124"/>
      <c r="DM414" s="124"/>
      <c r="DN414" s="124"/>
      <c r="DO414" s="124"/>
      <c r="DP414" s="124"/>
      <c r="DQ414" s="124"/>
      <c r="DR414" s="124"/>
      <c r="DS414" s="124"/>
      <c r="DT414" s="124"/>
      <c r="DU414" s="124"/>
      <c r="DV414" s="124"/>
      <c r="DW414" s="124"/>
      <c r="DX414" s="124"/>
      <c r="DY414" s="124"/>
      <c r="DZ414" s="124"/>
      <c r="EA414" s="124"/>
      <c r="EB414" s="124"/>
      <c r="EC414" s="124"/>
      <c r="ED414" s="124"/>
      <c r="EE414" s="124"/>
      <c r="EF414" s="124"/>
      <c r="EG414" s="124"/>
      <c r="EH414" s="124"/>
      <c r="EI414" s="124"/>
      <c r="EJ414" s="124"/>
      <c r="EK414" s="124"/>
      <c r="EL414" s="124"/>
      <c r="EM414" s="124"/>
      <c r="EN414" s="124"/>
      <c r="EO414" s="124"/>
      <c r="EP414" s="124"/>
      <c r="EQ414" s="124"/>
      <c r="ER414" s="124"/>
      <c r="ES414" s="124"/>
      <c r="ET414" s="124"/>
      <c r="EU414" s="124"/>
      <c r="EV414" s="124"/>
      <c r="EW414" s="124"/>
      <c r="EX414" s="124"/>
      <c r="EY414" s="124"/>
      <c r="EZ414" s="124"/>
      <c r="FA414" s="124"/>
      <c r="FB414" s="124"/>
      <c r="FC414" s="124"/>
      <c r="FD414" s="124"/>
      <c r="FE414" s="124"/>
      <c r="FF414" s="124"/>
      <c r="FG414" s="124"/>
      <c r="FH414" s="124"/>
      <c r="FI414" s="124"/>
      <c r="FJ414" s="124"/>
      <c r="FK414" s="124"/>
      <c r="FL414" s="124"/>
      <c r="FM414" s="124"/>
      <c r="FN414" s="124"/>
      <c r="FO414" s="124"/>
      <c r="FP414" s="124"/>
      <c r="FQ414" s="124"/>
      <c r="FR414" s="124"/>
      <c r="FS414" s="124"/>
      <c r="FT414" s="124"/>
      <c r="FU414" s="124"/>
      <c r="FV414" s="124"/>
      <c r="FW414" s="124"/>
      <c r="FX414" s="124"/>
      <c r="FY414" s="124"/>
      <c r="FZ414" s="124"/>
      <c r="GA414" s="124"/>
      <c r="GB414" s="124"/>
      <c r="GC414" s="124"/>
      <c r="GD414" s="124"/>
      <c r="GE414" s="124"/>
      <c r="GF414" s="124"/>
      <c r="GG414" s="124"/>
      <c r="GH414" s="124"/>
      <c r="GI414" s="124"/>
      <c r="GJ414" s="124"/>
      <c r="GK414" s="124"/>
      <c r="GL414" s="124"/>
      <c r="GM414" s="124"/>
      <c r="GN414" s="124"/>
      <c r="GO414" s="124"/>
      <c r="GP414" s="124"/>
      <c r="GQ414" s="124"/>
      <c r="GR414" s="124"/>
      <c r="GS414" s="124"/>
      <c r="GT414" s="124"/>
      <c r="GU414" s="124"/>
      <c r="GV414" s="124"/>
      <c r="GW414" s="124"/>
      <c r="GX414" s="124"/>
      <c r="GY414" s="124"/>
      <c r="GZ414" s="124"/>
      <c r="HA414" s="124"/>
      <c r="HB414" s="124"/>
      <c r="HC414" s="124"/>
      <c r="HD414" s="124"/>
      <c r="HE414" s="124"/>
      <c r="HF414" s="124"/>
      <c r="HG414" s="124"/>
      <c r="HH414" s="124"/>
      <c r="HI414" s="124"/>
      <c r="HJ414" s="124"/>
      <c r="HK414" s="124"/>
      <c r="HL414" s="124"/>
      <c r="HM414" s="124"/>
      <c r="HN414" s="124"/>
      <c r="HO414" s="124"/>
      <c r="HP414" s="124"/>
      <c r="HQ414" s="124"/>
    </row>
    <row r="415" spans="1:225" x14ac:dyDescent="0.2">
      <c r="A415" s="122"/>
      <c r="B415" s="123"/>
      <c r="C415" s="124"/>
      <c r="D415" s="123"/>
      <c r="E415" s="124"/>
      <c r="F415" s="123"/>
      <c r="G415" s="123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  <c r="AU415" s="124"/>
      <c r="AV415" s="124"/>
      <c r="AW415" s="124"/>
      <c r="AX415" s="124"/>
      <c r="AY415" s="124"/>
      <c r="AZ415" s="124"/>
      <c r="BA415" s="124"/>
      <c r="BB415" s="124"/>
      <c r="BC415" s="124"/>
      <c r="BD415" s="124"/>
      <c r="BE415" s="124"/>
      <c r="BF415" s="124"/>
      <c r="BG415" s="124"/>
      <c r="BH415" s="124"/>
      <c r="BI415" s="124"/>
      <c r="BJ415" s="124"/>
      <c r="BK415" s="124"/>
      <c r="BL415" s="124"/>
      <c r="BM415" s="124"/>
      <c r="BN415" s="124"/>
      <c r="BO415" s="124"/>
      <c r="BP415" s="124"/>
      <c r="BQ415" s="124"/>
      <c r="BR415" s="124"/>
      <c r="BS415" s="124"/>
      <c r="BT415" s="124"/>
      <c r="BU415" s="124"/>
      <c r="BV415" s="124"/>
      <c r="BW415" s="124"/>
      <c r="BX415" s="124"/>
      <c r="BY415" s="124"/>
      <c r="BZ415" s="124"/>
      <c r="CA415" s="124"/>
      <c r="CB415" s="124"/>
      <c r="CC415" s="124"/>
      <c r="CD415" s="124"/>
      <c r="CE415" s="124"/>
      <c r="CF415" s="124"/>
      <c r="CG415" s="124"/>
      <c r="CH415" s="124"/>
      <c r="CI415" s="124"/>
      <c r="CJ415" s="124"/>
      <c r="CK415" s="124"/>
      <c r="CL415" s="124"/>
      <c r="CM415" s="124"/>
      <c r="CN415" s="124"/>
      <c r="CO415" s="124"/>
      <c r="CP415" s="124"/>
      <c r="CQ415" s="124"/>
      <c r="CR415" s="124"/>
      <c r="CS415" s="124"/>
      <c r="CT415" s="124"/>
      <c r="CU415" s="124"/>
      <c r="CV415" s="124"/>
      <c r="CW415" s="124"/>
      <c r="CX415" s="124"/>
      <c r="CY415" s="124"/>
      <c r="CZ415" s="124"/>
      <c r="DA415" s="124"/>
      <c r="DB415" s="124"/>
      <c r="DC415" s="124"/>
      <c r="DD415" s="124"/>
      <c r="DE415" s="124"/>
      <c r="DF415" s="124"/>
      <c r="DG415" s="124"/>
      <c r="DH415" s="124"/>
      <c r="DI415" s="124"/>
      <c r="DJ415" s="124"/>
      <c r="DK415" s="124"/>
      <c r="DL415" s="124"/>
      <c r="DM415" s="124"/>
      <c r="DN415" s="124"/>
      <c r="DO415" s="124"/>
      <c r="DP415" s="124"/>
      <c r="DQ415" s="124"/>
      <c r="DR415" s="124"/>
      <c r="DS415" s="124"/>
      <c r="DT415" s="124"/>
      <c r="DU415" s="124"/>
      <c r="DV415" s="124"/>
      <c r="DW415" s="124"/>
      <c r="DX415" s="124"/>
      <c r="DY415" s="124"/>
      <c r="DZ415" s="124"/>
      <c r="EA415" s="124"/>
      <c r="EB415" s="124"/>
      <c r="EC415" s="124"/>
      <c r="ED415" s="124"/>
      <c r="EE415" s="124"/>
      <c r="EF415" s="124"/>
      <c r="EG415" s="124"/>
      <c r="EH415" s="124"/>
      <c r="EI415" s="124"/>
      <c r="EJ415" s="124"/>
      <c r="EK415" s="124"/>
      <c r="EL415" s="124"/>
      <c r="EM415" s="124"/>
      <c r="EN415" s="124"/>
      <c r="EO415" s="124"/>
      <c r="EP415" s="124"/>
      <c r="EQ415" s="124"/>
      <c r="ER415" s="124"/>
      <c r="ES415" s="124"/>
      <c r="ET415" s="124"/>
      <c r="EU415" s="124"/>
      <c r="EV415" s="124"/>
      <c r="EW415" s="124"/>
      <c r="EX415" s="124"/>
      <c r="EY415" s="124"/>
      <c r="EZ415" s="124"/>
      <c r="FA415" s="124"/>
      <c r="FB415" s="124"/>
      <c r="FC415" s="124"/>
      <c r="FD415" s="124"/>
      <c r="FE415" s="124"/>
      <c r="FF415" s="124"/>
      <c r="FG415" s="124"/>
      <c r="FH415" s="124"/>
      <c r="FI415" s="124"/>
      <c r="FJ415" s="124"/>
      <c r="FK415" s="124"/>
      <c r="FL415" s="124"/>
      <c r="FM415" s="124"/>
      <c r="FN415" s="124"/>
      <c r="FO415" s="124"/>
      <c r="FP415" s="124"/>
      <c r="FQ415" s="124"/>
      <c r="FR415" s="124"/>
      <c r="FS415" s="124"/>
      <c r="FT415" s="124"/>
      <c r="FU415" s="124"/>
      <c r="FV415" s="124"/>
      <c r="FW415" s="124"/>
      <c r="FX415" s="124"/>
      <c r="FY415" s="124"/>
      <c r="FZ415" s="124"/>
      <c r="GA415" s="124"/>
      <c r="GB415" s="124"/>
      <c r="GC415" s="124"/>
      <c r="GD415" s="124"/>
      <c r="GE415" s="124"/>
      <c r="GF415" s="124"/>
      <c r="GG415" s="124"/>
      <c r="GH415" s="124"/>
      <c r="GI415" s="124"/>
      <c r="GJ415" s="124"/>
      <c r="GK415" s="124"/>
      <c r="GL415" s="124"/>
      <c r="GM415" s="124"/>
      <c r="GN415" s="124"/>
      <c r="GO415" s="124"/>
      <c r="GP415" s="124"/>
      <c r="GQ415" s="124"/>
      <c r="GR415" s="124"/>
      <c r="GS415" s="124"/>
      <c r="GT415" s="124"/>
      <c r="GU415" s="124"/>
      <c r="GV415" s="124"/>
      <c r="GW415" s="124"/>
      <c r="GX415" s="124"/>
      <c r="GY415" s="124"/>
      <c r="GZ415" s="124"/>
      <c r="HA415" s="124"/>
      <c r="HB415" s="124"/>
      <c r="HC415" s="124"/>
      <c r="HD415" s="124"/>
      <c r="HE415" s="124"/>
      <c r="HF415" s="124"/>
      <c r="HG415" s="124"/>
      <c r="HH415" s="124"/>
      <c r="HI415" s="124"/>
      <c r="HJ415" s="124"/>
      <c r="HK415" s="124"/>
      <c r="HL415" s="124"/>
      <c r="HM415" s="124"/>
      <c r="HN415" s="124"/>
      <c r="HO415" s="124"/>
      <c r="HP415" s="124"/>
      <c r="HQ415" s="124"/>
    </row>
    <row r="416" spans="1:225" x14ac:dyDescent="0.2">
      <c r="A416" s="122"/>
      <c r="B416" s="123"/>
      <c r="C416" s="124"/>
      <c r="D416" s="123"/>
      <c r="E416" s="124"/>
      <c r="F416" s="123"/>
      <c r="G416" s="123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  <c r="AT416" s="124"/>
      <c r="AU416" s="124"/>
      <c r="AV416" s="124"/>
      <c r="AW416" s="124"/>
      <c r="AX416" s="124"/>
      <c r="AY416" s="124"/>
      <c r="AZ416" s="124"/>
      <c r="BA416" s="124"/>
      <c r="BB416" s="124"/>
      <c r="BC416" s="124"/>
      <c r="BD416" s="124"/>
      <c r="BE416" s="124"/>
      <c r="BF416" s="124"/>
      <c r="BG416" s="124"/>
      <c r="BH416" s="124"/>
      <c r="BI416" s="124"/>
      <c r="BJ416" s="124"/>
      <c r="BK416" s="124"/>
      <c r="BL416" s="124"/>
      <c r="BM416" s="124"/>
      <c r="BN416" s="124"/>
      <c r="BO416" s="124"/>
      <c r="BP416" s="124"/>
      <c r="BQ416" s="124"/>
      <c r="BR416" s="124"/>
      <c r="BS416" s="124"/>
      <c r="BT416" s="124"/>
      <c r="BU416" s="124"/>
      <c r="BV416" s="124"/>
      <c r="BW416" s="124"/>
      <c r="BX416" s="124"/>
      <c r="BY416" s="124"/>
      <c r="BZ416" s="124"/>
      <c r="CA416" s="124"/>
      <c r="CB416" s="124"/>
      <c r="CC416" s="124"/>
      <c r="CD416" s="124"/>
      <c r="CE416" s="124"/>
      <c r="CF416" s="124"/>
      <c r="CG416" s="124"/>
      <c r="CH416" s="124"/>
      <c r="CI416" s="124"/>
      <c r="CJ416" s="124"/>
      <c r="CK416" s="124"/>
      <c r="CL416" s="124"/>
      <c r="CM416" s="124"/>
      <c r="CN416" s="124"/>
      <c r="CO416" s="124"/>
      <c r="CP416" s="124"/>
      <c r="CQ416" s="124"/>
      <c r="CR416" s="124"/>
      <c r="CS416" s="124"/>
      <c r="CT416" s="124"/>
      <c r="CU416" s="124"/>
      <c r="CV416" s="124"/>
      <c r="CW416" s="124"/>
      <c r="CX416" s="124"/>
      <c r="CY416" s="124"/>
      <c r="CZ416" s="124"/>
      <c r="DA416" s="124"/>
      <c r="DB416" s="124"/>
      <c r="DC416" s="124"/>
      <c r="DD416" s="124"/>
      <c r="DE416" s="124"/>
      <c r="DF416" s="124"/>
      <c r="DG416" s="124"/>
      <c r="DH416" s="124"/>
      <c r="DI416" s="124"/>
      <c r="DJ416" s="124"/>
      <c r="DK416" s="124"/>
      <c r="DL416" s="124"/>
      <c r="DM416" s="124"/>
      <c r="DN416" s="124"/>
      <c r="DO416" s="124"/>
      <c r="DP416" s="124"/>
      <c r="DQ416" s="124"/>
      <c r="DR416" s="124"/>
      <c r="DS416" s="124"/>
      <c r="DT416" s="124"/>
      <c r="DU416" s="124"/>
      <c r="DV416" s="124"/>
      <c r="DW416" s="124"/>
      <c r="DX416" s="124"/>
      <c r="DY416" s="124"/>
      <c r="DZ416" s="124"/>
      <c r="EA416" s="124"/>
      <c r="EB416" s="124"/>
      <c r="EC416" s="124"/>
      <c r="ED416" s="124"/>
      <c r="EE416" s="124"/>
      <c r="EF416" s="124"/>
      <c r="EG416" s="124"/>
      <c r="EH416" s="124"/>
      <c r="EI416" s="124"/>
      <c r="EJ416" s="124"/>
      <c r="EK416" s="124"/>
      <c r="EL416" s="124"/>
      <c r="EM416" s="124"/>
      <c r="EN416" s="124"/>
      <c r="EO416" s="124"/>
      <c r="EP416" s="124"/>
      <c r="EQ416" s="124"/>
      <c r="ER416" s="124"/>
      <c r="ES416" s="124"/>
      <c r="ET416" s="124"/>
      <c r="EU416" s="124"/>
      <c r="EV416" s="124"/>
      <c r="EW416" s="124"/>
      <c r="EX416" s="124"/>
      <c r="EY416" s="124"/>
      <c r="EZ416" s="124"/>
      <c r="FA416" s="124"/>
      <c r="FB416" s="124"/>
      <c r="FC416" s="124"/>
      <c r="FD416" s="124"/>
      <c r="FE416" s="124"/>
      <c r="FF416" s="124"/>
      <c r="FG416" s="124"/>
      <c r="FH416" s="124"/>
      <c r="FI416" s="124"/>
      <c r="FJ416" s="124"/>
      <c r="FK416" s="124"/>
      <c r="FL416" s="124"/>
      <c r="FM416" s="124"/>
      <c r="FN416" s="124"/>
      <c r="FO416" s="124"/>
      <c r="FP416" s="124"/>
      <c r="FQ416" s="124"/>
      <c r="FR416" s="124"/>
      <c r="FS416" s="124"/>
      <c r="FT416" s="124"/>
      <c r="FU416" s="124"/>
      <c r="FV416" s="124"/>
      <c r="FW416" s="124"/>
      <c r="FX416" s="124"/>
      <c r="FY416" s="124"/>
      <c r="FZ416" s="124"/>
      <c r="GA416" s="124"/>
      <c r="GB416" s="124"/>
      <c r="GC416" s="124"/>
      <c r="GD416" s="124"/>
      <c r="GE416" s="124"/>
      <c r="GF416" s="124"/>
      <c r="GG416" s="124"/>
      <c r="GH416" s="124"/>
      <c r="GI416" s="124"/>
      <c r="GJ416" s="124"/>
      <c r="GK416" s="124"/>
      <c r="GL416" s="124"/>
      <c r="GM416" s="124"/>
      <c r="GN416" s="124"/>
      <c r="GO416" s="124"/>
      <c r="GP416" s="124"/>
      <c r="GQ416" s="124"/>
      <c r="GR416" s="124"/>
      <c r="GS416" s="124"/>
      <c r="GT416" s="124"/>
      <c r="GU416" s="124"/>
      <c r="GV416" s="124"/>
      <c r="GW416" s="124"/>
      <c r="GX416" s="124"/>
      <c r="GY416" s="124"/>
      <c r="GZ416" s="124"/>
      <c r="HA416" s="124"/>
      <c r="HB416" s="124"/>
      <c r="HC416" s="124"/>
      <c r="HD416" s="124"/>
      <c r="HE416" s="124"/>
      <c r="HF416" s="124"/>
      <c r="HG416" s="124"/>
      <c r="HH416" s="124"/>
      <c r="HI416" s="124"/>
      <c r="HJ416" s="124"/>
      <c r="HK416" s="124"/>
      <c r="HL416" s="124"/>
      <c r="HM416" s="124"/>
      <c r="HN416" s="124"/>
      <c r="HO416" s="124"/>
      <c r="HP416" s="124"/>
      <c r="HQ416" s="124"/>
    </row>
    <row r="417" spans="1:225" x14ac:dyDescent="0.2">
      <c r="A417" s="122"/>
      <c r="B417" s="123"/>
      <c r="C417" s="124"/>
      <c r="D417" s="123"/>
      <c r="E417" s="124"/>
      <c r="F417" s="123"/>
      <c r="G417" s="123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  <c r="AT417" s="124"/>
      <c r="AU417" s="124"/>
      <c r="AV417" s="124"/>
      <c r="AW417" s="124"/>
      <c r="AX417" s="124"/>
      <c r="AY417" s="124"/>
      <c r="AZ417" s="124"/>
      <c r="BA417" s="124"/>
      <c r="BB417" s="124"/>
      <c r="BC417" s="124"/>
      <c r="BD417" s="124"/>
      <c r="BE417" s="124"/>
      <c r="BF417" s="124"/>
      <c r="BG417" s="124"/>
      <c r="BH417" s="124"/>
      <c r="BI417" s="124"/>
      <c r="BJ417" s="124"/>
      <c r="BK417" s="124"/>
      <c r="BL417" s="124"/>
      <c r="BM417" s="124"/>
      <c r="BN417" s="124"/>
      <c r="BO417" s="124"/>
      <c r="BP417" s="124"/>
      <c r="BQ417" s="124"/>
      <c r="BR417" s="124"/>
      <c r="BS417" s="124"/>
      <c r="BT417" s="124"/>
      <c r="BU417" s="124"/>
      <c r="BV417" s="124"/>
      <c r="BW417" s="124"/>
      <c r="BX417" s="124"/>
      <c r="BY417" s="124"/>
      <c r="BZ417" s="124"/>
      <c r="CA417" s="124"/>
      <c r="CB417" s="124"/>
      <c r="CC417" s="124"/>
      <c r="CD417" s="124"/>
      <c r="CE417" s="124"/>
      <c r="CF417" s="124"/>
      <c r="CG417" s="124"/>
      <c r="CH417" s="124"/>
      <c r="CI417" s="124"/>
      <c r="CJ417" s="124"/>
      <c r="CK417" s="124"/>
      <c r="CL417" s="124"/>
      <c r="CM417" s="124"/>
      <c r="CN417" s="124"/>
      <c r="CO417" s="124"/>
      <c r="CP417" s="124"/>
      <c r="CQ417" s="124"/>
      <c r="CR417" s="124"/>
      <c r="CS417" s="124"/>
      <c r="CT417" s="124"/>
      <c r="CU417" s="124"/>
      <c r="CV417" s="124"/>
      <c r="CW417" s="124"/>
      <c r="CX417" s="124"/>
      <c r="CY417" s="124"/>
      <c r="CZ417" s="124"/>
      <c r="DA417" s="124"/>
      <c r="DB417" s="124"/>
      <c r="DC417" s="124"/>
      <c r="DD417" s="124"/>
      <c r="DE417" s="124"/>
      <c r="DF417" s="124"/>
      <c r="DG417" s="124"/>
      <c r="DH417" s="124"/>
      <c r="DI417" s="124"/>
      <c r="DJ417" s="124"/>
      <c r="DK417" s="124"/>
      <c r="DL417" s="124"/>
      <c r="DM417" s="124"/>
      <c r="DN417" s="124"/>
      <c r="DO417" s="124"/>
      <c r="DP417" s="124"/>
      <c r="DQ417" s="124"/>
      <c r="DR417" s="124"/>
      <c r="DS417" s="124"/>
      <c r="DT417" s="124"/>
      <c r="DU417" s="124"/>
      <c r="DV417" s="124"/>
      <c r="DW417" s="124"/>
      <c r="DX417" s="124"/>
      <c r="DY417" s="124"/>
      <c r="DZ417" s="124"/>
      <c r="EA417" s="124"/>
      <c r="EB417" s="124"/>
      <c r="EC417" s="124"/>
      <c r="ED417" s="124"/>
      <c r="EE417" s="124"/>
      <c r="EF417" s="124"/>
      <c r="EG417" s="124"/>
      <c r="EH417" s="124"/>
      <c r="EI417" s="124"/>
      <c r="EJ417" s="124"/>
      <c r="EK417" s="124"/>
      <c r="EL417" s="124"/>
      <c r="EM417" s="124"/>
      <c r="EN417" s="124"/>
      <c r="EO417" s="124"/>
      <c r="EP417" s="124"/>
      <c r="EQ417" s="124"/>
      <c r="ER417" s="124"/>
      <c r="ES417" s="124"/>
      <c r="ET417" s="124"/>
      <c r="EU417" s="124"/>
      <c r="EV417" s="124"/>
      <c r="EW417" s="124"/>
      <c r="EX417" s="124"/>
      <c r="EY417" s="124"/>
      <c r="EZ417" s="124"/>
      <c r="FA417" s="124"/>
      <c r="FB417" s="124"/>
      <c r="FC417" s="124"/>
      <c r="FD417" s="124"/>
      <c r="FE417" s="124"/>
      <c r="FF417" s="124"/>
      <c r="FG417" s="124"/>
      <c r="FH417" s="124"/>
      <c r="FI417" s="124"/>
      <c r="FJ417" s="124"/>
      <c r="FK417" s="124"/>
      <c r="FL417" s="124"/>
      <c r="FM417" s="124"/>
      <c r="FN417" s="124"/>
      <c r="FO417" s="124"/>
      <c r="FP417" s="124"/>
      <c r="FQ417" s="124"/>
      <c r="FR417" s="124"/>
      <c r="FS417" s="124"/>
      <c r="FT417" s="124"/>
      <c r="FU417" s="124"/>
      <c r="FV417" s="124"/>
      <c r="FW417" s="124"/>
      <c r="FX417" s="124"/>
      <c r="FY417" s="124"/>
      <c r="FZ417" s="124"/>
      <c r="GA417" s="124"/>
      <c r="GB417" s="124"/>
      <c r="GC417" s="124"/>
      <c r="GD417" s="124"/>
      <c r="GE417" s="124"/>
      <c r="GF417" s="124"/>
      <c r="GG417" s="124"/>
      <c r="GH417" s="124"/>
      <c r="GI417" s="124"/>
      <c r="GJ417" s="124"/>
      <c r="GK417" s="124"/>
      <c r="GL417" s="124"/>
      <c r="GM417" s="124"/>
      <c r="GN417" s="124"/>
      <c r="GO417" s="124"/>
      <c r="GP417" s="124"/>
      <c r="GQ417" s="124"/>
      <c r="GR417" s="124"/>
      <c r="GS417" s="124"/>
      <c r="GT417" s="124"/>
      <c r="GU417" s="124"/>
      <c r="GV417" s="124"/>
      <c r="GW417" s="124"/>
      <c r="GX417" s="124"/>
      <c r="GY417" s="124"/>
      <c r="GZ417" s="124"/>
      <c r="HA417" s="124"/>
      <c r="HB417" s="124"/>
      <c r="HC417" s="124"/>
      <c r="HD417" s="124"/>
      <c r="HE417" s="124"/>
      <c r="HF417" s="124"/>
      <c r="HG417" s="124"/>
      <c r="HH417" s="124"/>
      <c r="HI417" s="124"/>
      <c r="HJ417" s="124"/>
      <c r="HK417" s="124"/>
      <c r="HL417" s="124"/>
      <c r="HM417" s="124"/>
      <c r="HN417" s="124"/>
      <c r="HO417" s="124"/>
      <c r="HP417" s="124"/>
      <c r="HQ417" s="124"/>
    </row>
    <row r="418" spans="1:225" x14ac:dyDescent="0.2">
      <c r="A418" s="122"/>
      <c r="B418" s="123"/>
      <c r="C418" s="124"/>
      <c r="D418" s="123"/>
      <c r="E418" s="124"/>
      <c r="F418" s="123"/>
      <c r="G418" s="123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/>
      <c r="BB418" s="124"/>
      <c r="BC418" s="124"/>
      <c r="BD418" s="124"/>
      <c r="BE418" s="124"/>
      <c r="BF418" s="124"/>
      <c r="BG418" s="124"/>
      <c r="BH418" s="124"/>
      <c r="BI418" s="124"/>
      <c r="BJ418" s="124"/>
      <c r="BK418" s="124"/>
      <c r="BL418" s="124"/>
      <c r="BM418" s="124"/>
      <c r="BN418" s="124"/>
      <c r="BO418" s="124"/>
      <c r="BP418" s="124"/>
      <c r="BQ418" s="124"/>
      <c r="BR418" s="124"/>
      <c r="BS418" s="124"/>
      <c r="BT418" s="124"/>
      <c r="BU418" s="124"/>
      <c r="BV418" s="124"/>
      <c r="BW418" s="124"/>
      <c r="BX418" s="124"/>
      <c r="BY418" s="124"/>
      <c r="BZ418" s="124"/>
      <c r="CA418" s="124"/>
      <c r="CB418" s="124"/>
      <c r="CC418" s="124"/>
      <c r="CD418" s="124"/>
      <c r="CE418" s="124"/>
      <c r="CF418" s="124"/>
      <c r="CG418" s="124"/>
      <c r="CH418" s="124"/>
      <c r="CI418" s="124"/>
      <c r="CJ418" s="124"/>
      <c r="CK418" s="124"/>
      <c r="CL418" s="124"/>
      <c r="CM418" s="124"/>
      <c r="CN418" s="124"/>
      <c r="CO418" s="124"/>
      <c r="CP418" s="124"/>
      <c r="CQ418" s="124"/>
      <c r="CR418" s="124"/>
      <c r="CS418" s="124"/>
      <c r="CT418" s="124"/>
      <c r="CU418" s="124"/>
      <c r="CV418" s="124"/>
      <c r="CW418" s="124"/>
      <c r="CX418" s="124"/>
      <c r="CY418" s="124"/>
      <c r="CZ418" s="124"/>
      <c r="DA418" s="124"/>
      <c r="DB418" s="124"/>
      <c r="DC418" s="124"/>
      <c r="DD418" s="124"/>
      <c r="DE418" s="124"/>
      <c r="DF418" s="124"/>
      <c r="DG418" s="124"/>
      <c r="DH418" s="124"/>
      <c r="DI418" s="124"/>
      <c r="DJ418" s="124"/>
      <c r="DK418" s="124"/>
      <c r="DL418" s="124"/>
      <c r="DM418" s="124"/>
      <c r="DN418" s="124"/>
      <c r="DO418" s="124"/>
      <c r="DP418" s="124"/>
      <c r="DQ418" s="124"/>
      <c r="DR418" s="124"/>
      <c r="DS418" s="124"/>
      <c r="DT418" s="124"/>
      <c r="DU418" s="124"/>
      <c r="DV418" s="124"/>
      <c r="DW418" s="124"/>
      <c r="DX418" s="124"/>
      <c r="DY418" s="124"/>
      <c r="DZ418" s="124"/>
      <c r="EA418" s="124"/>
      <c r="EB418" s="124"/>
      <c r="EC418" s="124"/>
      <c r="ED418" s="124"/>
      <c r="EE418" s="124"/>
      <c r="EF418" s="124"/>
      <c r="EG418" s="124"/>
      <c r="EH418" s="124"/>
      <c r="EI418" s="124"/>
      <c r="EJ418" s="124"/>
      <c r="EK418" s="124"/>
      <c r="EL418" s="124"/>
      <c r="EM418" s="124"/>
      <c r="EN418" s="124"/>
      <c r="EO418" s="124"/>
      <c r="EP418" s="124"/>
      <c r="EQ418" s="124"/>
      <c r="ER418" s="124"/>
      <c r="ES418" s="124"/>
      <c r="ET418" s="124"/>
      <c r="EU418" s="124"/>
      <c r="EV418" s="124"/>
      <c r="EW418" s="124"/>
      <c r="EX418" s="124"/>
      <c r="EY418" s="124"/>
      <c r="EZ418" s="124"/>
      <c r="FA418" s="124"/>
      <c r="FB418" s="124"/>
      <c r="FC418" s="124"/>
      <c r="FD418" s="124"/>
      <c r="FE418" s="124"/>
      <c r="FF418" s="124"/>
      <c r="FG418" s="124"/>
      <c r="FH418" s="124"/>
      <c r="FI418" s="124"/>
      <c r="FJ418" s="124"/>
      <c r="FK418" s="124"/>
      <c r="FL418" s="124"/>
      <c r="FM418" s="124"/>
      <c r="FN418" s="124"/>
      <c r="FO418" s="124"/>
      <c r="FP418" s="124"/>
      <c r="FQ418" s="124"/>
      <c r="FR418" s="124"/>
      <c r="FS418" s="124"/>
      <c r="FT418" s="124"/>
      <c r="FU418" s="124"/>
      <c r="FV418" s="124"/>
      <c r="FW418" s="124"/>
      <c r="FX418" s="124"/>
      <c r="FY418" s="124"/>
      <c r="FZ418" s="124"/>
      <c r="GA418" s="124"/>
      <c r="GB418" s="124"/>
      <c r="GC418" s="124"/>
      <c r="GD418" s="124"/>
      <c r="GE418" s="124"/>
      <c r="GF418" s="124"/>
      <c r="GG418" s="124"/>
      <c r="GH418" s="124"/>
      <c r="GI418" s="124"/>
      <c r="GJ418" s="124"/>
      <c r="GK418" s="124"/>
      <c r="GL418" s="124"/>
      <c r="GM418" s="124"/>
      <c r="GN418" s="124"/>
      <c r="GO418" s="124"/>
      <c r="GP418" s="124"/>
      <c r="GQ418" s="124"/>
      <c r="GR418" s="124"/>
      <c r="GS418" s="124"/>
      <c r="GT418" s="124"/>
      <c r="GU418" s="124"/>
      <c r="GV418" s="124"/>
      <c r="GW418" s="124"/>
      <c r="GX418" s="124"/>
      <c r="GY418" s="124"/>
      <c r="GZ418" s="124"/>
      <c r="HA418" s="124"/>
      <c r="HB418" s="124"/>
      <c r="HC418" s="124"/>
      <c r="HD418" s="124"/>
      <c r="HE418" s="124"/>
      <c r="HF418" s="124"/>
      <c r="HG418" s="124"/>
      <c r="HH418" s="124"/>
      <c r="HI418" s="124"/>
      <c r="HJ418" s="124"/>
      <c r="HK418" s="124"/>
      <c r="HL418" s="124"/>
      <c r="HM418" s="124"/>
      <c r="HN418" s="124"/>
      <c r="HO418" s="124"/>
      <c r="HP418" s="124"/>
      <c r="HQ418" s="124"/>
    </row>
    <row r="419" spans="1:225" x14ac:dyDescent="0.2">
      <c r="A419" s="122"/>
      <c r="B419" s="123"/>
      <c r="C419" s="124"/>
      <c r="D419" s="123"/>
      <c r="E419" s="124"/>
      <c r="F419" s="123"/>
      <c r="G419" s="123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  <c r="AU419" s="124"/>
      <c r="AV419" s="124"/>
      <c r="AW419" s="124"/>
      <c r="AX419" s="124"/>
      <c r="AY419" s="124"/>
      <c r="AZ419" s="124"/>
      <c r="BA419" s="124"/>
      <c r="BB419" s="124"/>
      <c r="BC419" s="124"/>
      <c r="BD419" s="124"/>
      <c r="BE419" s="124"/>
      <c r="BF419" s="124"/>
      <c r="BG419" s="124"/>
      <c r="BH419" s="124"/>
      <c r="BI419" s="124"/>
      <c r="BJ419" s="124"/>
      <c r="BK419" s="124"/>
      <c r="BL419" s="124"/>
      <c r="BM419" s="124"/>
      <c r="BN419" s="124"/>
      <c r="BO419" s="124"/>
      <c r="BP419" s="124"/>
      <c r="BQ419" s="124"/>
      <c r="BR419" s="124"/>
      <c r="BS419" s="124"/>
      <c r="BT419" s="124"/>
      <c r="BU419" s="124"/>
      <c r="BV419" s="124"/>
      <c r="BW419" s="124"/>
      <c r="BX419" s="124"/>
      <c r="BY419" s="124"/>
      <c r="BZ419" s="124"/>
      <c r="CA419" s="124"/>
      <c r="CB419" s="124"/>
      <c r="CC419" s="124"/>
      <c r="CD419" s="124"/>
      <c r="CE419" s="124"/>
      <c r="CF419" s="124"/>
      <c r="CG419" s="124"/>
      <c r="CH419" s="124"/>
      <c r="CI419" s="124"/>
      <c r="CJ419" s="124"/>
      <c r="CK419" s="124"/>
      <c r="CL419" s="124"/>
      <c r="CM419" s="124"/>
      <c r="CN419" s="124"/>
      <c r="CO419" s="124"/>
      <c r="CP419" s="124"/>
      <c r="CQ419" s="124"/>
      <c r="CR419" s="124"/>
      <c r="CS419" s="124"/>
      <c r="CT419" s="124"/>
      <c r="CU419" s="124"/>
      <c r="CV419" s="124"/>
      <c r="CW419" s="124"/>
      <c r="CX419" s="124"/>
      <c r="CY419" s="124"/>
      <c r="CZ419" s="124"/>
      <c r="DA419" s="124"/>
      <c r="DB419" s="124"/>
      <c r="DC419" s="124"/>
      <c r="DD419" s="124"/>
      <c r="DE419" s="124"/>
      <c r="DF419" s="124"/>
      <c r="DG419" s="124"/>
      <c r="DH419" s="124"/>
      <c r="DI419" s="124"/>
      <c r="DJ419" s="124"/>
      <c r="DK419" s="124"/>
      <c r="DL419" s="124"/>
      <c r="DM419" s="124"/>
      <c r="DN419" s="124"/>
      <c r="DO419" s="124"/>
      <c r="DP419" s="124"/>
      <c r="DQ419" s="124"/>
      <c r="DR419" s="124"/>
      <c r="DS419" s="124"/>
      <c r="DT419" s="124"/>
      <c r="DU419" s="124"/>
      <c r="DV419" s="124"/>
      <c r="DW419" s="124"/>
      <c r="DX419" s="124"/>
      <c r="DY419" s="124"/>
      <c r="DZ419" s="124"/>
      <c r="EA419" s="124"/>
      <c r="EB419" s="124"/>
      <c r="EC419" s="124"/>
      <c r="ED419" s="124"/>
      <c r="EE419" s="124"/>
      <c r="EF419" s="124"/>
      <c r="EG419" s="124"/>
      <c r="EH419" s="124"/>
      <c r="EI419" s="124"/>
      <c r="EJ419" s="124"/>
      <c r="EK419" s="124"/>
      <c r="EL419" s="124"/>
      <c r="EM419" s="124"/>
      <c r="EN419" s="124"/>
      <c r="EO419" s="124"/>
      <c r="EP419" s="124"/>
      <c r="EQ419" s="124"/>
      <c r="ER419" s="124"/>
      <c r="ES419" s="124"/>
      <c r="ET419" s="124"/>
      <c r="EU419" s="124"/>
      <c r="EV419" s="124"/>
      <c r="EW419" s="124"/>
      <c r="EX419" s="124"/>
      <c r="EY419" s="124"/>
      <c r="EZ419" s="124"/>
      <c r="FA419" s="124"/>
      <c r="FB419" s="124"/>
      <c r="FC419" s="124"/>
      <c r="FD419" s="124"/>
      <c r="FE419" s="124"/>
      <c r="FF419" s="124"/>
      <c r="FG419" s="124"/>
      <c r="FH419" s="124"/>
      <c r="FI419" s="124"/>
      <c r="FJ419" s="124"/>
      <c r="FK419" s="124"/>
      <c r="FL419" s="124"/>
      <c r="FM419" s="124"/>
      <c r="FN419" s="124"/>
      <c r="FO419" s="124"/>
      <c r="FP419" s="124"/>
      <c r="FQ419" s="124"/>
      <c r="FR419" s="124"/>
      <c r="FS419" s="124"/>
      <c r="FT419" s="124"/>
      <c r="FU419" s="124"/>
      <c r="FV419" s="124"/>
      <c r="FW419" s="124"/>
      <c r="FX419" s="124"/>
      <c r="FY419" s="124"/>
      <c r="FZ419" s="124"/>
      <c r="GA419" s="124"/>
      <c r="GB419" s="124"/>
      <c r="GC419" s="124"/>
      <c r="GD419" s="124"/>
      <c r="GE419" s="124"/>
      <c r="GF419" s="124"/>
      <c r="GG419" s="124"/>
      <c r="GH419" s="124"/>
      <c r="GI419" s="124"/>
      <c r="GJ419" s="124"/>
      <c r="GK419" s="124"/>
      <c r="GL419" s="124"/>
      <c r="GM419" s="124"/>
      <c r="GN419" s="124"/>
      <c r="GO419" s="124"/>
      <c r="GP419" s="124"/>
      <c r="GQ419" s="124"/>
      <c r="GR419" s="124"/>
      <c r="GS419" s="124"/>
      <c r="GT419" s="124"/>
      <c r="GU419" s="124"/>
      <c r="GV419" s="124"/>
      <c r="GW419" s="124"/>
      <c r="GX419" s="124"/>
      <c r="GY419" s="124"/>
      <c r="GZ419" s="124"/>
      <c r="HA419" s="124"/>
      <c r="HB419" s="124"/>
      <c r="HC419" s="124"/>
      <c r="HD419" s="124"/>
      <c r="HE419" s="124"/>
      <c r="HF419" s="124"/>
      <c r="HG419" s="124"/>
      <c r="HH419" s="124"/>
      <c r="HI419" s="124"/>
      <c r="HJ419" s="124"/>
      <c r="HK419" s="124"/>
      <c r="HL419" s="124"/>
      <c r="HM419" s="124"/>
      <c r="HN419" s="124"/>
      <c r="HO419" s="124"/>
      <c r="HP419" s="124"/>
      <c r="HQ419" s="124"/>
    </row>
    <row r="420" spans="1:225" x14ac:dyDescent="0.2">
      <c r="A420" s="122"/>
      <c r="B420" s="123"/>
      <c r="C420" s="124"/>
      <c r="D420" s="123"/>
      <c r="E420" s="124"/>
      <c r="F420" s="123"/>
      <c r="G420" s="123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  <c r="AT420" s="124"/>
      <c r="AU420" s="124"/>
      <c r="AV420" s="124"/>
      <c r="AW420" s="124"/>
      <c r="AX420" s="124"/>
      <c r="AY420" s="124"/>
      <c r="AZ420" s="124"/>
      <c r="BA420" s="124"/>
      <c r="BB420" s="124"/>
      <c r="BC420" s="124"/>
      <c r="BD420" s="124"/>
      <c r="BE420" s="124"/>
      <c r="BF420" s="124"/>
      <c r="BG420" s="124"/>
      <c r="BH420" s="124"/>
      <c r="BI420" s="124"/>
      <c r="BJ420" s="124"/>
      <c r="BK420" s="124"/>
      <c r="BL420" s="124"/>
      <c r="BM420" s="124"/>
      <c r="BN420" s="124"/>
      <c r="BO420" s="124"/>
      <c r="BP420" s="124"/>
      <c r="BQ420" s="124"/>
      <c r="BR420" s="124"/>
      <c r="BS420" s="124"/>
      <c r="BT420" s="124"/>
      <c r="BU420" s="124"/>
      <c r="BV420" s="124"/>
      <c r="BW420" s="124"/>
      <c r="BX420" s="124"/>
      <c r="BY420" s="124"/>
      <c r="BZ420" s="124"/>
      <c r="CA420" s="124"/>
      <c r="CB420" s="124"/>
      <c r="CC420" s="124"/>
      <c r="CD420" s="124"/>
      <c r="CE420" s="124"/>
      <c r="CF420" s="124"/>
      <c r="CG420" s="124"/>
      <c r="CH420" s="124"/>
      <c r="CI420" s="124"/>
      <c r="CJ420" s="124"/>
      <c r="CK420" s="124"/>
      <c r="CL420" s="124"/>
      <c r="CM420" s="124"/>
      <c r="CN420" s="124"/>
      <c r="CO420" s="124"/>
      <c r="CP420" s="124"/>
      <c r="CQ420" s="124"/>
      <c r="CR420" s="124"/>
      <c r="CS420" s="124"/>
      <c r="CT420" s="124"/>
      <c r="CU420" s="124"/>
      <c r="CV420" s="124"/>
      <c r="CW420" s="124"/>
      <c r="CX420" s="124"/>
      <c r="CY420" s="124"/>
      <c r="CZ420" s="124"/>
      <c r="DA420" s="124"/>
      <c r="DB420" s="124"/>
      <c r="DC420" s="124"/>
      <c r="DD420" s="124"/>
      <c r="DE420" s="124"/>
      <c r="DF420" s="124"/>
      <c r="DG420" s="124"/>
      <c r="DH420" s="124"/>
      <c r="DI420" s="124"/>
      <c r="DJ420" s="124"/>
      <c r="DK420" s="124"/>
      <c r="DL420" s="124"/>
      <c r="DM420" s="124"/>
      <c r="DN420" s="124"/>
      <c r="DO420" s="124"/>
      <c r="DP420" s="124"/>
      <c r="DQ420" s="124"/>
      <c r="DR420" s="124"/>
      <c r="DS420" s="124"/>
      <c r="DT420" s="124"/>
      <c r="DU420" s="124"/>
      <c r="DV420" s="124"/>
      <c r="DW420" s="124"/>
      <c r="DX420" s="124"/>
      <c r="DY420" s="124"/>
      <c r="DZ420" s="124"/>
      <c r="EA420" s="124"/>
      <c r="EB420" s="124"/>
      <c r="EC420" s="124"/>
      <c r="ED420" s="124"/>
      <c r="EE420" s="124"/>
      <c r="EF420" s="124"/>
      <c r="EG420" s="124"/>
      <c r="EH420" s="124"/>
      <c r="EI420" s="124"/>
      <c r="EJ420" s="124"/>
      <c r="EK420" s="124"/>
      <c r="EL420" s="124"/>
      <c r="EM420" s="124"/>
      <c r="EN420" s="124"/>
      <c r="EO420" s="124"/>
      <c r="EP420" s="124"/>
      <c r="EQ420" s="124"/>
      <c r="ER420" s="124"/>
      <c r="ES420" s="124"/>
      <c r="ET420" s="124"/>
      <c r="EU420" s="124"/>
      <c r="EV420" s="124"/>
      <c r="EW420" s="124"/>
      <c r="EX420" s="124"/>
      <c r="EY420" s="124"/>
      <c r="EZ420" s="124"/>
      <c r="FA420" s="124"/>
      <c r="FB420" s="124"/>
      <c r="FC420" s="124"/>
      <c r="FD420" s="124"/>
      <c r="FE420" s="124"/>
      <c r="FF420" s="124"/>
      <c r="FG420" s="124"/>
      <c r="FH420" s="124"/>
      <c r="FI420" s="124"/>
      <c r="FJ420" s="124"/>
      <c r="FK420" s="124"/>
      <c r="FL420" s="124"/>
      <c r="FM420" s="124"/>
      <c r="FN420" s="124"/>
      <c r="FO420" s="124"/>
      <c r="FP420" s="124"/>
      <c r="FQ420" s="124"/>
      <c r="FR420" s="124"/>
      <c r="FS420" s="124"/>
      <c r="FT420" s="124"/>
      <c r="FU420" s="124"/>
      <c r="FV420" s="124"/>
      <c r="FW420" s="124"/>
      <c r="FX420" s="124"/>
      <c r="FY420" s="124"/>
      <c r="FZ420" s="124"/>
      <c r="GA420" s="124"/>
      <c r="GB420" s="124"/>
      <c r="GC420" s="124"/>
      <c r="GD420" s="124"/>
      <c r="GE420" s="124"/>
      <c r="GF420" s="124"/>
      <c r="GG420" s="124"/>
      <c r="GH420" s="124"/>
      <c r="GI420" s="124"/>
      <c r="GJ420" s="124"/>
      <c r="GK420" s="124"/>
      <c r="GL420" s="124"/>
      <c r="GM420" s="124"/>
      <c r="GN420" s="124"/>
      <c r="GO420" s="124"/>
      <c r="GP420" s="124"/>
      <c r="GQ420" s="124"/>
      <c r="GR420" s="124"/>
      <c r="GS420" s="124"/>
      <c r="GT420" s="124"/>
      <c r="GU420" s="124"/>
      <c r="GV420" s="124"/>
      <c r="GW420" s="124"/>
      <c r="GX420" s="124"/>
      <c r="GY420" s="124"/>
      <c r="GZ420" s="124"/>
      <c r="HA420" s="124"/>
      <c r="HB420" s="124"/>
      <c r="HC420" s="124"/>
      <c r="HD420" s="124"/>
      <c r="HE420" s="124"/>
      <c r="HF420" s="124"/>
      <c r="HG420" s="124"/>
      <c r="HH420" s="124"/>
      <c r="HI420" s="124"/>
      <c r="HJ420" s="124"/>
      <c r="HK420" s="124"/>
      <c r="HL420" s="124"/>
      <c r="HM420" s="124"/>
      <c r="HN420" s="124"/>
      <c r="HO420" s="124"/>
      <c r="HP420" s="124"/>
      <c r="HQ420" s="124"/>
    </row>
    <row r="421" spans="1:225" x14ac:dyDescent="0.2">
      <c r="A421" s="122"/>
      <c r="B421" s="123"/>
      <c r="C421" s="124"/>
      <c r="D421" s="123"/>
      <c r="E421" s="124"/>
      <c r="F421" s="123"/>
      <c r="G421" s="123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/>
      <c r="BB421" s="124"/>
      <c r="BC421" s="124"/>
      <c r="BD421" s="124"/>
      <c r="BE421" s="124"/>
      <c r="BF421" s="124"/>
      <c r="BG421" s="124"/>
      <c r="BH421" s="124"/>
      <c r="BI421" s="124"/>
      <c r="BJ421" s="124"/>
      <c r="BK421" s="124"/>
      <c r="BL421" s="124"/>
      <c r="BM421" s="124"/>
      <c r="BN421" s="124"/>
      <c r="BO421" s="124"/>
      <c r="BP421" s="124"/>
      <c r="BQ421" s="124"/>
      <c r="BR421" s="124"/>
      <c r="BS421" s="124"/>
      <c r="BT421" s="124"/>
      <c r="BU421" s="124"/>
      <c r="BV421" s="124"/>
      <c r="BW421" s="124"/>
      <c r="BX421" s="124"/>
      <c r="BY421" s="124"/>
      <c r="BZ421" s="124"/>
      <c r="CA421" s="124"/>
      <c r="CB421" s="124"/>
      <c r="CC421" s="124"/>
      <c r="CD421" s="124"/>
      <c r="CE421" s="124"/>
      <c r="CF421" s="124"/>
      <c r="CG421" s="124"/>
      <c r="CH421" s="124"/>
      <c r="CI421" s="124"/>
      <c r="CJ421" s="124"/>
      <c r="CK421" s="124"/>
      <c r="CL421" s="124"/>
      <c r="CM421" s="124"/>
      <c r="CN421" s="124"/>
      <c r="CO421" s="124"/>
      <c r="CP421" s="124"/>
      <c r="CQ421" s="124"/>
      <c r="CR421" s="124"/>
      <c r="CS421" s="124"/>
      <c r="CT421" s="124"/>
      <c r="CU421" s="124"/>
      <c r="CV421" s="124"/>
      <c r="CW421" s="124"/>
      <c r="CX421" s="124"/>
      <c r="CY421" s="124"/>
      <c r="CZ421" s="124"/>
      <c r="DA421" s="124"/>
      <c r="DB421" s="124"/>
      <c r="DC421" s="124"/>
      <c r="DD421" s="124"/>
      <c r="DE421" s="124"/>
      <c r="DF421" s="124"/>
      <c r="DG421" s="124"/>
      <c r="DH421" s="124"/>
      <c r="DI421" s="124"/>
      <c r="DJ421" s="124"/>
      <c r="DK421" s="124"/>
      <c r="DL421" s="124"/>
      <c r="DM421" s="124"/>
      <c r="DN421" s="124"/>
      <c r="DO421" s="124"/>
      <c r="DP421" s="124"/>
      <c r="DQ421" s="124"/>
      <c r="DR421" s="124"/>
      <c r="DS421" s="124"/>
      <c r="DT421" s="124"/>
      <c r="DU421" s="124"/>
      <c r="DV421" s="124"/>
      <c r="DW421" s="124"/>
      <c r="DX421" s="124"/>
      <c r="DY421" s="124"/>
      <c r="DZ421" s="124"/>
      <c r="EA421" s="124"/>
      <c r="EB421" s="124"/>
      <c r="EC421" s="124"/>
      <c r="ED421" s="124"/>
      <c r="EE421" s="124"/>
      <c r="EF421" s="124"/>
      <c r="EG421" s="124"/>
      <c r="EH421" s="124"/>
      <c r="EI421" s="124"/>
      <c r="EJ421" s="124"/>
      <c r="EK421" s="124"/>
      <c r="EL421" s="124"/>
      <c r="EM421" s="124"/>
      <c r="EN421" s="124"/>
      <c r="EO421" s="124"/>
      <c r="EP421" s="124"/>
      <c r="EQ421" s="124"/>
      <c r="ER421" s="124"/>
      <c r="ES421" s="124"/>
      <c r="ET421" s="124"/>
      <c r="EU421" s="124"/>
      <c r="EV421" s="124"/>
      <c r="EW421" s="124"/>
      <c r="EX421" s="124"/>
      <c r="EY421" s="124"/>
      <c r="EZ421" s="124"/>
      <c r="FA421" s="124"/>
      <c r="FB421" s="124"/>
      <c r="FC421" s="124"/>
      <c r="FD421" s="124"/>
      <c r="FE421" s="124"/>
      <c r="FF421" s="124"/>
      <c r="FG421" s="124"/>
      <c r="FH421" s="124"/>
      <c r="FI421" s="124"/>
      <c r="FJ421" s="124"/>
      <c r="FK421" s="124"/>
      <c r="FL421" s="124"/>
      <c r="FM421" s="124"/>
      <c r="FN421" s="124"/>
      <c r="FO421" s="124"/>
      <c r="FP421" s="124"/>
      <c r="FQ421" s="124"/>
      <c r="FR421" s="124"/>
      <c r="FS421" s="124"/>
      <c r="FT421" s="124"/>
      <c r="FU421" s="124"/>
      <c r="FV421" s="124"/>
      <c r="FW421" s="124"/>
      <c r="FX421" s="124"/>
      <c r="FY421" s="124"/>
      <c r="FZ421" s="124"/>
      <c r="GA421" s="124"/>
      <c r="GB421" s="124"/>
      <c r="GC421" s="124"/>
      <c r="GD421" s="124"/>
      <c r="GE421" s="124"/>
      <c r="GF421" s="124"/>
      <c r="GG421" s="124"/>
      <c r="GH421" s="124"/>
      <c r="GI421" s="124"/>
      <c r="GJ421" s="124"/>
      <c r="GK421" s="124"/>
      <c r="GL421" s="124"/>
      <c r="GM421" s="124"/>
      <c r="GN421" s="124"/>
      <c r="GO421" s="124"/>
      <c r="GP421" s="124"/>
      <c r="GQ421" s="124"/>
      <c r="GR421" s="124"/>
      <c r="GS421" s="124"/>
      <c r="GT421" s="124"/>
      <c r="GU421" s="124"/>
      <c r="GV421" s="124"/>
      <c r="GW421" s="124"/>
      <c r="GX421" s="124"/>
      <c r="GY421" s="124"/>
      <c r="GZ421" s="124"/>
      <c r="HA421" s="124"/>
      <c r="HB421" s="124"/>
      <c r="HC421" s="124"/>
      <c r="HD421" s="124"/>
      <c r="HE421" s="124"/>
      <c r="HF421" s="124"/>
      <c r="HG421" s="124"/>
      <c r="HH421" s="124"/>
      <c r="HI421" s="124"/>
      <c r="HJ421" s="124"/>
      <c r="HK421" s="124"/>
      <c r="HL421" s="124"/>
      <c r="HM421" s="124"/>
      <c r="HN421" s="124"/>
      <c r="HO421" s="124"/>
      <c r="HP421" s="124"/>
      <c r="HQ421" s="124"/>
    </row>
    <row r="422" spans="1:225" x14ac:dyDescent="0.2">
      <c r="A422" s="122"/>
      <c r="B422" s="123"/>
      <c r="C422" s="124"/>
      <c r="D422" s="123"/>
      <c r="E422" s="124"/>
      <c r="F422" s="123"/>
      <c r="G422" s="123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  <c r="AU422" s="124"/>
      <c r="AV422" s="124"/>
      <c r="AW422" s="124"/>
      <c r="AX422" s="124"/>
      <c r="AY422" s="124"/>
      <c r="AZ422" s="124"/>
      <c r="BA422" s="124"/>
      <c r="BB422" s="124"/>
      <c r="BC422" s="124"/>
      <c r="BD422" s="124"/>
      <c r="BE422" s="124"/>
      <c r="BF422" s="124"/>
      <c r="BG422" s="124"/>
      <c r="BH422" s="124"/>
      <c r="BI422" s="124"/>
      <c r="BJ422" s="124"/>
      <c r="BK422" s="124"/>
      <c r="BL422" s="124"/>
      <c r="BM422" s="124"/>
      <c r="BN422" s="124"/>
      <c r="BO422" s="124"/>
      <c r="BP422" s="124"/>
      <c r="BQ422" s="124"/>
      <c r="BR422" s="124"/>
      <c r="BS422" s="124"/>
      <c r="BT422" s="124"/>
      <c r="BU422" s="124"/>
      <c r="BV422" s="124"/>
      <c r="BW422" s="124"/>
      <c r="BX422" s="124"/>
      <c r="BY422" s="124"/>
      <c r="BZ422" s="124"/>
      <c r="CA422" s="124"/>
      <c r="CB422" s="124"/>
      <c r="CC422" s="124"/>
      <c r="CD422" s="124"/>
      <c r="CE422" s="124"/>
      <c r="CF422" s="124"/>
      <c r="CG422" s="124"/>
      <c r="CH422" s="124"/>
      <c r="CI422" s="124"/>
      <c r="CJ422" s="124"/>
      <c r="CK422" s="124"/>
      <c r="CL422" s="124"/>
      <c r="CM422" s="124"/>
      <c r="CN422" s="124"/>
      <c r="CO422" s="124"/>
      <c r="CP422" s="124"/>
      <c r="CQ422" s="124"/>
      <c r="CR422" s="124"/>
      <c r="CS422" s="124"/>
      <c r="CT422" s="124"/>
      <c r="CU422" s="124"/>
      <c r="CV422" s="124"/>
      <c r="CW422" s="124"/>
      <c r="CX422" s="124"/>
      <c r="CY422" s="124"/>
      <c r="CZ422" s="124"/>
      <c r="DA422" s="124"/>
      <c r="DB422" s="124"/>
      <c r="DC422" s="124"/>
      <c r="DD422" s="124"/>
      <c r="DE422" s="124"/>
      <c r="DF422" s="124"/>
      <c r="DG422" s="124"/>
      <c r="DH422" s="124"/>
      <c r="DI422" s="124"/>
      <c r="DJ422" s="124"/>
      <c r="DK422" s="124"/>
      <c r="DL422" s="124"/>
      <c r="DM422" s="124"/>
      <c r="DN422" s="124"/>
      <c r="DO422" s="124"/>
      <c r="DP422" s="124"/>
      <c r="DQ422" s="124"/>
      <c r="DR422" s="124"/>
      <c r="DS422" s="124"/>
      <c r="DT422" s="124"/>
      <c r="DU422" s="124"/>
      <c r="DV422" s="124"/>
      <c r="DW422" s="124"/>
      <c r="DX422" s="124"/>
      <c r="DY422" s="124"/>
      <c r="DZ422" s="124"/>
      <c r="EA422" s="124"/>
      <c r="EB422" s="124"/>
      <c r="EC422" s="124"/>
      <c r="ED422" s="124"/>
      <c r="EE422" s="124"/>
      <c r="EF422" s="124"/>
      <c r="EG422" s="124"/>
      <c r="EH422" s="124"/>
      <c r="EI422" s="124"/>
      <c r="EJ422" s="124"/>
      <c r="EK422" s="124"/>
      <c r="EL422" s="124"/>
      <c r="EM422" s="124"/>
      <c r="EN422" s="124"/>
      <c r="EO422" s="124"/>
      <c r="EP422" s="124"/>
      <c r="EQ422" s="124"/>
      <c r="ER422" s="124"/>
      <c r="ES422" s="124"/>
      <c r="ET422" s="124"/>
      <c r="EU422" s="124"/>
      <c r="EV422" s="124"/>
      <c r="EW422" s="124"/>
      <c r="EX422" s="124"/>
      <c r="EY422" s="124"/>
      <c r="EZ422" s="124"/>
      <c r="FA422" s="124"/>
      <c r="FB422" s="124"/>
      <c r="FC422" s="124"/>
      <c r="FD422" s="124"/>
      <c r="FE422" s="124"/>
      <c r="FF422" s="124"/>
      <c r="FG422" s="124"/>
      <c r="FH422" s="124"/>
      <c r="FI422" s="124"/>
      <c r="FJ422" s="124"/>
      <c r="FK422" s="124"/>
      <c r="FL422" s="124"/>
      <c r="FM422" s="124"/>
      <c r="FN422" s="124"/>
      <c r="FO422" s="124"/>
      <c r="FP422" s="124"/>
      <c r="FQ422" s="124"/>
      <c r="FR422" s="124"/>
      <c r="FS422" s="124"/>
      <c r="FT422" s="124"/>
      <c r="FU422" s="124"/>
      <c r="FV422" s="124"/>
      <c r="FW422" s="124"/>
      <c r="FX422" s="124"/>
      <c r="FY422" s="124"/>
      <c r="FZ422" s="124"/>
      <c r="GA422" s="124"/>
      <c r="GB422" s="124"/>
      <c r="GC422" s="124"/>
      <c r="GD422" s="124"/>
      <c r="GE422" s="124"/>
      <c r="GF422" s="124"/>
      <c r="GG422" s="124"/>
      <c r="GH422" s="124"/>
      <c r="GI422" s="124"/>
      <c r="GJ422" s="124"/>
      <c r="GK422" s="124"/>
      <c r="GL422" s="124"/>
      <c r="GM422" s="124"/>
      <c r="GN422" s="124"/>
      <c r="GO422" s="124"/>
      <c r="GP422" s="124"/>
      <c r="GQ422" s="124"/>
      <c r="GR422" s="124"/>
      <c r="GS422" s="124"/>
      <c r="GT422" s="124"/>
      <c r="GU422" s="124"/>
      <c r="GV422" s="124"/>
      <c r="GW422" s="124"/>
      <c r="GX422" s="124"/>
      <c r="GY422" s="124"/>
      <c r="GZ422" s="124"/>
      <c r="HA422" s="124"/>
      <c r="HB422" s="124"/>
      <c r="HC422" s="124"/>
      <c r="HD422" s="124"/>
      <c r="HE422" s="124"/>
      <c r="HF422" s="124"/>
      <c r="HG422" s="124"/>
      <c r="HH422" s="124"/>
      <c r="HI422" s="124"/>
      <c r="HJ422" s="124"/>
      <c r="HK422" s="124"/>
      <c r="HL422" s="124"/>
      <c r="HM422" s="124"/>
      <c r="HN422" s="124"/>
      <c r="HO422" s="124"/>
      <c r="HP422" s="124"/>
      <c r="HQ422" s="124"/>
    </row>
    <row r="423" spans="1:225" x14ac:dyDescent="0.2">
      <c r="A423" s="122"/>
      <c r="B423" s="123"/>
      <c r="C423" s="124"/>
      <c r="D423" s="123"/>
      <c r="E423" s="124"/>
      <c r="F423" s="123"/>
      <c r="G423" s="123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/>
      <c r="BB423" s="124"/>
      <c r="BC423" s="124"/>
      <c r="BD423" s="124"/>
      <c r="BE423" s="124"/>
      <c r="BF423" s="124"/>
      <c r="BG423" s="124"/>
      <c r="BH423" s="124"/>
      <c r="BI423" s="124"/>
      <c r="BJ423" s="124"/>
      <c r="BK423" s="124"/>
      <c r="BL423" s="124"/>
      <c r="BM423" s="124"/>
      <c r="BN423" s="124"/>
      <c r="BO423" s="124"/>
      <c r="BP423" s="124"/>
      <c r="BQ423" s="124"/>
      <c r="BR423" s="124"/>
      <c r="BS423" s="124"/>
      <c r="BT423" s="124"/>
      <c r="BU423" s="124"/>
      <c r="BV423" s="124"/>
      <c r="BW423" s="124"/>
      <c r="BX423" s="124"/>
      <c r="BY423" s="124"/>
      <c r="BZ423" s="124"/>
      <c r="CA423" s="124"/>
      <c r="CB423" s="124"/>
      <c r="CC423" s="124"/>
      <c r="CD423" s="124"/>
      <c r="CE423" s="124"/>
      <c r="CF423" s="124"/>
      <c r="CG423" s="124"/>
      <c r="CH423" s="124"/>
      <c r="CI423" s="124"/>
      <c r="CJ423" s="124"/>
      <c r="CK423" s="124"/>
      <c r="CL423" s="124"/>
      <c r="CM423" s="124"/>
      <c r="CN423" s="124"/>
      <c r="CO423" s="124"/>
      <c r="CP423" s="124"/>
      <c r="CQ423" s="124"/>
      <c r="CR423" s="124"/>
      <c r="CS423" s="124"/>
      <c r="CT423" s="124"/>
      <c r="CU423" s="124"/>
      <c r="CV423" s="124"/>
      <c r="CW423" s="124"/>
      <c r="CX423" s="124"/>
      <c r="CY423" s="124"/>
      <c r="CZ423" s="124"/>
      <c r="DA423" s="124"/>
      <c r="DB423" s="124"/>
      <c r="DC423" s="124"/>
      <c r="DD423" s="124"/>
      <c r="DE423" s="124"/>
      <c r="DF423" s="124"/>
      <c r="DG423" s="124"/>
      <c r="DH423" s="124"/>
      <c r="DI423" s="124"/>
      <c r="DJ423" s="124"/>
      <c r="DK423" s="124"/>
      <c r="DL423" s="124"/>
      <c r="DM423" s="124"/>
      <c r="DN423" s="124"/>
      <c r="DO423" s="124"/>
      <c r="DP423" s="124"/>
      <c r="DQ423" s="124"/>
      <c r="DR423" s="124"/>
      <c r="DS423" s="124"/>
      <c r="DT423" s="124"/>
      <c r="DU423" s="124"/>
      <c r="DV423" s="124"/>
      <c r="DW423" s="124"/>
      <c r="DX423" s="124"/>
      <c r="DY423" s="124"/>
      <c r="DZ423" s="124"/>
      <c r="EA423" s="124"/>
      <c r="EB423" s="124"/>
      <c r="EC423" s="124"/>
      <c r="ED423" s="124"/>
      <c r="EE423" s="124"/>
      <c r="EF423" s="124"/>
      <c r="EG423" s="124"/>
      <c r="EH423" s="124"/>
      <c r="EI423" s="124"/>
      <c r="EJ423" s="124"/>
      <c r="EK423" s="124"/>
      <c r="EL423" s="124"/>
      <c r="EM423" s="124"/>
      <c r="EN423" s="124"/>
      <c r="EO423" s="124"/>
      <c r="EP423" s="124"/>
      <c r="EQ423" s="124"/>
      <c r="ER423" s="124"/>
      <c r="ES423" s="124"/>
      <c r="ET423" s="124"/>
      <c r="EU423" s="124"/>
      <c r="EV423" s="124"/>
      <c r="EW423" s="124"/>
      <c r="EX423" s="124"/>
      <c r="EY423" s="124"/>
      <c r="EZ423" s="124"/>
      <c r="FA423" s="124"/>
      <c r="FB423" s="124"/>
      <c r="FC423" s="124"/>
      <c r="FD423" s="124"/>
      <c r="FE423" s="124"/>
      <c r="FF423" s="124"/>
      <c r="FG423" s="124"/>
      <c r="FH423" s="124"/>
      <c r="FI423" s="124"/>
      <c r="FJ423" s="124"/>
      <c r="FK423" s="124"/>
      <c r="FL423" s="124"/>
      <c r="FM423" s="124"/>
      <c r="FN423" s="124"/>
      <c r="FO423" s="124"/>
      <c r="FP423" s="124"/>
      <c r="FQ423" s="124"/>
      <c r="FR423" s="124"/>
      <c r="FS423" s="124"/>
      <c r="FT423" s="124"/>
      <c r="FU423" s="124"/>
      <c r="FV423" s="124"/>
      <c r="FW423" s="124"/>
      <c r="FX423" s="124"/>
      <c r="FY423" s="124"/>
      <c r="FZ423" s="124"/>
      <c r="GA423" s="124"/>
      <c r="GB423" s="124"/>
      <c r="GC423" s="124"/>
      <c r="GD423" s="124"/>
      <c r="GE423" s="124"/>
      <c r="GF423" s="124"/>
      <c r="GG423" s="124"/>
      <c r="GH423" s="124"/>
      <c r="GI423" s="124"/>
      <c r="GJ423" s="124"/>
      <c r="GK423" s="124"/>
      <c r="GL423" s="124"/>
      <c r="GM423" s="124"/>
      <c r="GN423" s="124"/>
      <c r="GO423" s="124"/>
      <c r="GP423" s="124"/>
      <c r="GQ423" s="124"/>
      <c r="GR423" s="124"/>
      <c r="GS423" s="124"/>
      <c r="GT423" s="124"/>
      <c r="GU423" s="124"/>
      <c r="GV423" s="124"/>
      <c r="GW423" s="124"/>
      <c r="GX423" s="124"/>
      <c r="GY423" s="124"/>
      <c r="GZ423" s="124"/>
      <c r="HA423" s="124"/>
      <c r="HB423" s="124"/>
      <c r="HC423" s="124"/>
      <c r="HD423" s="124"/>
      <c r="HE423" s="124"/>
      <c r="HF423" s="124"/>
      <c r="HG423" s="124"/>
      <c r="HH423" s="124"/>
      <c r="HI423" s="124"/>
      <c r="HJ423" s="124"/>
      <c r="HK423" s="124"/>
      <c r="HL423" s="124"/>
      <c r="HM423" s="124"/>
      <c r="HN423" s="124"/>
      <c r="HO423" s="124"/>
      <c r="HP423" s="124"/>
      <c r="HQ423" s="124"/>
    </row>
    <row r="424" spans="1:225" x14ac:dyDescent="0.2">
      <c r="A424" s="122"/>
      <c r="B424" s="123"/>
      <c r="C424" s="124"/>
      <c r="D424" s="123"/>
      <c r="E424" s="124"/>
      <c r="F424" s="123"/>
      <c r="G424" s="123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  <c r="AT424" s="124"/>
      <c r="AU424" s="124"/>
      <c r="AV424" s="124"/>
      <c r="AW424" s="124"/>
      <c r="AX424" s="124"/>
      <c r="AY424" s="124"/>
      <c r="AZ424" s="124"/>
      <c r="BA424" s="124"/>
      <c r="BB424" s="124"/>
      <c r="BC424" s="124"/>
      <c r="BD424" s="124"/>
      <c r="BE424" s="124"/>
      <c r="BF424" s="124"/>
      <c r="BG424" s="124"/>
      <c r="BH424" s="124"/>
      <c r="BI424" s="124"/>
      <c r="BJ424" s="124"/>
      <c r="BK424" s="124"/>
      <c r="BL424" s="124"/>
      <c r="BM424" s="124"/>
      <c r="BN424" s="124"/>
      <c r="BO424" s="124"/>
      <c r="BP424" s="124"/>
      <c r="BQ424" s="124"/>
      <c r="BR424" s="124"/>
      <c r="BS424" s="124"/>
      <c r="BT424" s="124"/>
      <c r="BU424" s="124"/>
      <c r="BV424" s="124"/>
      <c r="BW424" s="124"/>
      <c r="BX424" s="124"/>
      <c r="BY424" s="124"/>
      <c r="BZ424" s="124"/>
      <c r="CA424" s="124"/>
      <c r="CB424" s="124"/>
      <c r="CC424" s="124"/>
      <c r="CD424" s="124"/>
      <c r="CE424" s="124"/>
      <c r="CF424" s="124"/>
      <c r="CG424" s="124"/>
      <c r="CH424" s="124"/>
      <c r="CI424" s="124"/>
      <c r="CJ424" s="124"/>
      <c r="CK424" s="124"/>
      <c r="CL424" s="124"/>
      <c r="CM424" s="124"/>
      <c r="CN424" s="124"/>
      <c r="CO424" s="124"/>
      <c r="CP424" s="124"/>
      <c r="CQ424" s="124"/>
      <c r="CR424" s="124"/>
      <c r="CS424" s="124"/>
      <c r="CT424" s="124"/>
      <c r="CU424" s="124"/>
      <c r="CV424" s="124"/>
      <c r="CW424" s="124"/>
      <c r="CX424" s="124"/>
      <c r="CY424" s="124"/>
      <c r="CZ424" s="124"/>
      <c r="DA424" s="124"/>
      <c r="DB424" s="124"/>
      <c r="DC424" s="124"/>
      <c r="DD424" s="124"/>
      <c r="DE424" s="124"/>
      <c r="DF424" s="124"/>
      <c r="DG424" s="124"/>
      <c r="DH424" s="124"/>
      <c r="DI424" s="124"/>
      <c r="DJ424" s="124"/>
      <c r="DK424" s="124"/>
      <c r="DL424" s="124"/>
      <c r="DM424" s="124"/>
      <c r="DN424" s="124"/>
      <c r="DO424" s="124"/>
      <c r="DP424" s="124"/>
      <c r="DQ424" s="124"/>
      <c r="DR424" s="124"/>
      <c r="DS424" s="124"/>
      <c r="DT424" s="124"/>
      <c r="DU424" s="124"/>
      <c r="DV424" s="124"/>
      <c r="DW424" s="124"/>
      <c r="DX424" s="124"/>
      <c r="DY424" s="124"/>
      <c r="DZ424" s="124"/>
      <c r="EA424" s="124"/>
      <c r="EB424" s="124"/>
      <c r="EC424" s="124"/>
      <c r="ED424" s="124"/>
      <c r="EE424" s="124"/>
      <c r="EF424" s="124"/>
      <c r="EG424" s="124"/>
      <c r="EH424" s="124"/>
      <c r="EI424" s="124"/>
      <c r="EJ424" s="124"/>
      <c r="EK424" s="124"/>
      <c r="EL424" s="124"/>
      <c r="EM424" s="124"/>
      <c r="EN424" s="124"/>
      <c r="EO424" s="124"/>
      <c r="EP424" s="124"/>
      <c r="EQ424" s="124"/>
      <c r="ER424" s="124"/>
      <c r="ES424" s="124"/>
      <c r="ET424" s="124"/>
      <c r="EU424" s="124"/>
      <c r="EV424" s="124"/>
      <c r="EW424" s="124"/>
      <c r="EX424" s="124"/>
      <c r="EY424" s="124"/>
      <c r="EZ424" s="124"/>
      <c r="FA424" s="124"/>
      <c r="FB424" s="124"/>
      <c r="FC424" s="124"/>
      <c r="FD424" s="124"/>
      <c r="FE424" s="124"/>
      <c r="FF424" s="124"/>
      <c r="FG424" s="124"/>
      <c r="FH424" s="124"/>
      <c r="FI424" s="124"/>
      <c r="FJ424" s="124"/>
      <c r="FK424" s="124"/>
      <c r="FL424" s="124"/>
      <c r="FM424" s="124"/>
      <c r="FN424" s="124"/>
      <c r="FO424" s="124"/>
      <c r="FP424" s="124"/>
      <c r="FQ424" s="124"/>
      <c r="FR424" s="124"/>
      <c r="FS424" s="124"/>
      <c r="FT424" s="124"/>
      <c r="FU424" s="124"/>
      <c r="FV424" s="124"/>
      <c r="FW424" s="124"/>
      <c r="FX424" s="124"/>
      <c r="FY424" s="124"/>
      <c r="FZ424" s="124"/>
      <c r="GA424" s="124"/>
      <c r="GB424" s="124"/>
      <c r="GC424" s="124"/>
      <c r="GD424" s="124"/>
      <c r="GE424" s="124"/>
      <c r="GF424" s="124"/>
      <c r="GG424" s="124"/>
      <c r="GH424" s="124"/>
      <c r="GI424" s="124"/>
      <c r="GJ424" s="124"/>
      <c r="GK424" s="124"/>
      <c r="GL424" s="124"/>
      <c r="GM424" s="124"/>
      <c r="GN424" s="124"/>
      <c r="GO424" s="124"/>
      <c r="GP424" s="124"/>
      <c r="GQ424" s="124"/>
      <c r="GR424" s="124"/>
      <c r="GS424" s="124"/>
      <c r="GT424" s="124"/>
      <c r="GU424" s="124"/>
      <c r="GV424" s="124"/>
      <c r="GW424" s="124"/>
      <c r="GX424" s="124"/>
      <c r="GY424" s="124"/>
      <c r="GZ424" s="124"/>
      <c r="HA424" s="124"/>
      <c r="HB424" s="124"/>
      <c r="HC424" s="124"/>
      <c r="HD424" s="124"/>
      <c r="HE424" s="124"/>
      <c r="HF424" s="124"/>
      <c r="HG424" s="124"/>
      <c r="HH424" s="124"/>
      <c r="HI424" s="124"/>
      <c r="HJ424" s="124"/>
      <c r="HK424" s="124"/>
      <c r="HL424" s="124"/>
      <c r="HM424" s="124"/>
      <c r="HN424" s="124"/>
      <c r="HO424" s="124"/>
      <c r="HP424" s="124"/>
      <c r="HQ424" s="124"/>
    </row>
    <row r="425" spans="1:225" x14ac:dyDescent="0.2">
      <c r="A425" s="122"/>
      <c r="B425" s="123"/>
      <c r="C425" s="124"/>
      <c r="D425" s="123"/>
      <c r="E425" s="124"/>
      <c r="F425" s="123"/>
      <c r="G425" s="123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  <c r="AU425" s="124"/>
      <c r="AV425" s="124"/>
      <c r="AW425" s="124"/>
      <c r="AX425" s="124"/>
      <c r="AY425" s="124"/>
      <c r="AZ425" s="124"/>
      <c r="BA425" s="124"/>
      <c r="BB425" s="124"/>
      <c r="BC425" s="124"/>
      <c r="BD425" s="124"/>
      <c r="BE425" s="124"/>
      <c r="BF425" s="124"/>
      <c r="BG425" s="124"/>
      <c r="BH425" s="124"/>
      <c r="BI425" s="124"/>
      <c r="BJ425" s="124"/>
      <c r="BK425" s="124"/>
      <c r="BL425" s="124"/>
      <c r="BM425" s="124"/>
      <c r="BN425" s="124"/>
      <c r="BO425" s="124"/>
      <c r="BP425" s="124"/>
      <c r="BQ425" s="124"/>
      <c r="BR425" s="124"/>
      <c r="BS425" s="124"/>
      <c r="BT425" s="124"/>
      <c r="BU425" s="124"/>
      <c r="BV425" s="124"/>
      <c r="BW425" s="124"/>
      <c r="BX425" s="124"/>
      <c r="BY425" s="124"/>
      <c r="BZ425" s="124"/>
      <c r="CA425" s="124"/>
      <c r="CB425" s="124"/>
      <c r="CC425" s="124"/>
      <c r="CD425" s="124"/>
      <c r="CE425" s="124"/>
      <c r="CF425" s="124"/>
      <c r="CG425" s="124"/>
      <c r="CH425" s="124"/>
      <c r="CI425" s="124"/>
      <c r="CJ425" s="124"/>
      <c r="CK425" s="124"/>
      <c r="CL425" s="124"/>
      <c r="CM425" s="124"/>
      <c r="CN425" s="124"/>
      <c r="CO425" s="124"/>
      <c r="CP425" s="124"/>
      <c r="CQ425" s="124"/>
      <c r="CR425" s="124"/>
      <c r="CS425" s="124"/>
      <c r="CT425" s="124"/>
      <c r="CU425" s="124"/>
      <c r="CV425" s="124"/>
      <c r="CW425" s="124"/>
      <c r="CX425" s="124"/>
      <c r="CY425" s="124"/>
      <c r="CZ425" s="124"/>
      <c r="DA425" s="124"/>
      <c r="DB425" s="124"/>
      <c r="DC425" s="124"/>
      <c r="DD425" s="124"/>
      <c r="DE425" s="124"/>
      <c r="DF425" s="124"/>
      <c r="DG425" s="124"/>
      <c r="DH425" s="124"/>
      <c r="DI425" s="124"/>
      <c r="DJ425" s="124"/>
      <c r="DK425" s="124"/>
      <c r="DL425" s="124"/>
      <c r="DM425" s="124"/>
      <c r="DN425" s="124"/>
      <c r="DO425" s="124"/>
      <c r="DP425" s="124"/>
      <c r="DQ425" s="124"/>
      <c r="DR425" s="124"/>
      <c r="DS425" s="124"/>
      <c r="DT425" s="124"/>
      <c r="DU425" s="124"/>
      <c r="DV425" s="124"/>
      <c r="DW425" s="124"/>
      <c r="DX425" s="124"/>
      <c r="DY425" s="124"/>
      <c r="DZ425" s="124"/>
      <c r="EA425" s="124"/>
      <c r="EB425" s="124"/>
      <c r="EC425" s="124"/>
      <c r="ED425" s="124"/>
      <c r="EE425" s="124"/>
      <c r="EF425" s="124"/>
      <c r="EG425" s="124"/>
      <c r="EH425" s="124"/>
      <c r="EI425" s="124"/>
      <c r="EJ425" s="124"/>
      <c r="EK425" s="124"/>
      <c r="EL425" s="124"/>
      <c r="EM425" s="124"/>
      <c r="EN425" s="124"/>
      <c r="EO425" s="124"/>
      <c r="EP425" s="124"/>
      <c r="EQ425" s="124"/>
      <c r="ER425" s="124"/>
      <c r="ES425" s="124"/>
      <c r="ET425" s="124"/>
      <c r="EU425" s="124"/>
      <c r="EV425" s="124"/>
      <c r="EW425" s="124"/>
      <c r="EX425" s="124"/>
      <c r="EY425" s="124"/>
      <c r="EZ425" s="124"/>
      <c r="FA425" s="124"/>
      <c r="FB425" s="124"/>
      <c r="FC425" s="124"/>
      <c r="FD425" s="124"/>
      <c r="FE425" s="124"/>
      <c r="FF425" s="124"/>
      <c r="FG425" s="124"/>
      <c r="FH425" s="124"/>
      <c r="FI425" s="124"/>
      <c r="FJ425" s="124"/>
      <c r="FK425" s="124"/>
      <c r="FL425" s="124"/>
      <c r="FM425" s="124"/>
      <c r="FN425" s="124"/>
      <c r="FO425" s="124"/>
      <c r="FP425" s="124"/>
      <c r="FQ425" s="124"/>
      <c r="FR425" s="124"/>
      <c r="FS425" s="124"/>
      <c r="FT425" s="124"/>
      <c r="FU425" s="124"/>
      <c r="FV425" s="124"/>
      <c r="FW425" s="124"/>
      <c r="FX425" s="124"/>
      <c r="FY425" s="124"/>
      <c r="FZ425" s="124"/>
      <c r="GA425" s="124"/>
      <c r="GB425" s="124"/>
      <c r="GC425" s="124"/>
      <c r="GD425" s="124"/>
      <c r="GE425" s="124"/>
      <c r="GF425" s="124"/>
      <c r="GG425" s="124"/>
      <c r="GH425" s="124"/>
      <c r="GI425" s="124"/>
      <c r="GJ425" s="124"/>
      <c r="GK425" s="124"/>
      <c r="GL425" s="124"/>
      <c r="GM425" s="124"/>
      <c r="GN425" s="124"/>
      <c r="GO425" s="124"/>
      <c r="GP425" s="124"/>
      <c r="GQ425" s="124"/>
      <c r="GR425" s="124"/>
      <c r="GS425" s="124"/>
      <c r="GT425" s="124"/>
      <c r="GU425" s="124"/>
      <c r="GV425" s="124"/>
      <c r="GW425" s="124"/>
      <c r="GX425" s="124"/>
      <c r="GY425" s="124"/>
      <c r="GZ425" s="124"/>
      <c r="HA425" s="124"/>
      <c r="HB425" s="124"/>
      <c r="HC425" s="124"/>
      <c r="HD425" s="124"/>
      <c r="HE425" s="124"/>
      <c r="HF425" s="124"/>
      <c r="HG425" s="124"/>
      <c r="HH425" s="124"/>
      <c r="HI425" s="124"/>
      <c r="HJ425" s="124"/>
      <c r="HK425" s="124"/>
      <c r="HL425" s="124"/>
      <c r="HM425" s="124"/>
      <c r="HN425" s="124"/>
      <c r="HO425" s="124"/>
      <c r="HP425" s="124"/>
      <c r="HQ425" s="124"/>
    </row>
    <row r="426" spans="1:225" x14ac:dyDescent="0.2">
      <c r="A426" s="122"/>
      <c r="B426" s="123"/>
      <c r="C426" s="124"/>
      <c r="D426" s="123"/>
      <c r="E426" s="124"/>
      <c r="F426" s="123"/>
      <c r="G426" s="123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  <c r="AU426" s="124"/>
      <c r="AV426" s="124"/>
      <c r="AW426" s="124"/>
      <c r="AX426" s="124"/>
      <c r="AY426" s="124"/>
      <c r="AZ426" s="124"/>
      <c r="BA426" s="124"/>
      <c r="BB426" s="124"/>
      <c r="BC426" s="124"/>
      <c r="BD426" s="124"/>
      <c r="BE426" s="124"/>
      <c r="BF426" s="124"/>
      <c r="BG426" s="124"/>
      <c r="BH426" s="124"/>
      <c r="BI426" s="124"/>
      <c r="BJ426" s="124"/>
      <c r="BK426" s="124"/>
      <c r="BL426" s="124"/>
      <c r="BM426" s="124"/>
      <c r="BN426" s="124"/>
      <c r="BO426" s="124"/>
      <c r="BP426" s="124"/>
      <c r="BQ426" s="124"/>
      <c r="BR426" s="124"/>
      <c r="BS426" s="124"/>
      <c r="BT426" s="124"/>
      <c r="BU426" s="124"/>
      <c r="BV426" s="124"/>
      <c r="BW426" s="124"/>
      <c r="BX426" s="124"/>
      <c r="BY426" s="124"/>
      <c r="BZ426" s="124"/>
      <c r="CA426" s="124"/>
      <c r="CB426" s="124"/>
      <c r="CC426" s="124"/>
      <c r="CD426" s="124"/>
      <c r="CE426" s="124"/>
      <c r="CF426" s="124"/>
      <c r="CG426" s="124"/>
      <c r="CH426" s="124"/>
      <c r="CI426" s="124"/>
      <c r="CJ426" s="124"/>
      <c r="CK426" s="124"/>
      <c r="CL426" s="124"/>
      <c r="CM426" s="124"/>
      <c r="CN426" s="124"/>
      <c r="CO426" s="124"/>
      <c r="CP426" s="124"/>
      <c r="CQ426" s="124"/>
      <c r="CR426" s="124"/>
      <c r="CS426" s="124"/>
      <c r="CT426" s="124"/>
      <c r="CU426" s="124"/>
      <c r="CV426" s="124"/>
      <c r="CW426" s="124"/>
      <c r="CX426" s="124"/>
      <c r="CY426" s="124"/>
      <c r="CZ426" s="124"/>
      <c r="DA426" s="124"/>
      <c r="DB426" s="124"/>
      <c r="DC426" s="124"/>
      <c r="DD426" s="124"/>
      <c r="DE426" s="124"/>
      <c r="DF426" s="124"/>
      <c r="DG426" s="124"/>
      <c r="DH426" s="124"/>
      <c r="DI426" s="124"/>
      <c r="DJ426" s="124"/>
      <c r="DK426" s="124"/>
      <c r="DL426" s="124"/>
      <c r="DM426" s="124"/>
      <c r="DN426" s="124"/>
      <c r="DO426" s="124"/>
      <c r="DP426" s="124"/>
      <c r="DQ426" s="124"/>
      <c r="DR426" s="124"/>
      <c r="DS426" s="124"/>
      <c r="DT426" s="124"/>
      <c r="DU426" s="124"/>
      <c r="DV426" s="124"/>
      <c r="DW426" s="124"/>
      <c r="DX426" s="124"/>
      <c r="DY426" s="124"/>
      <c r="DZ426" s="124"/>
      <c r="EA426" s="124"/>
      <c r="EB426" s="124"/>
      <c r="EC426" s="124"/>
      <c r="ED426" s="124"/>
      <c r="EE426" s="124"/>
      <c r="EF426" s="124"/>
      <c r="EG426" s="124"/>
      <c r="EH426" s="124"/>
      <c r="EI426" s="124"/>
      <c r="EJ426" s="124"/>
      <c r="EK426" s="124"/>
      <c r="EL426" s="124"/>
      <c r="EM426" s="124"/>
      <c r="EN426" s="124"/>
      <c r="EO426" s="124"/>
      <c r="EP426" s="124"/>
      <c r="EQ426" s="124"/>
      <c r="ER426" s="124"/>
      <c r="ES426" s="124"/>
      <c r="ET426" s="124"/>
      <c r="EU426" s="124"/>
      <c r="EV426" s="124"/>
      <c r="EW426" s="124"/>
      <c r="EX426" s="124"/>
      <c r="EY426" s="124"/>
      <c r="EZ426" s="124"/>
      <c r="FA426" s="124"/>
      <c r="FB426" s="124"/>
      <c r="FC426" s="124"/>
      <c r="FD426" s="124"/>
      <c r="FE426" s="124"/>
      <c r="FF426" s="124"/>
      <c r="FG426" s="124"/>
      <c r="FH426" s="124"/>
      <c r="FI426" s="124"/>
      <c r="FJ426" s="124"/>
      <c r="FK426" s="124"/>
      <c r="FL426" s="124"/>
      <c r="FM426" s="124"/>
      <c r="FN426" s="124"/>
      <c r="FO426" s="124"/>
      <c r="FP426" s="124"/>
      <c r="FQ426" s="124"/>
      <c r="FR426" s="124"/>
      <c r="FS426" s="124"/>
      <c r="FT426" s="124"/>
      <c r="FU426" s="124"/>
      <c r="FV426" s="124"/>
      <c r="FW426" s="124"/>
      <c r="FX426" s="124"/>
      <c r="FY426" s="124"/>
      <c r="FZ426" s="124"/>
      <c r="GA426" s="124"/>
      <c r="GB426" s="124"/>
      <c r="GC426" s="124"/>
      <c r="GD426" s="124"/>
      <c r="GE426" s="124"/>
      <c r="GF426" s="124"/>
      <c r="GG426" s="124"/>
      <c r="GH426" s="124"/>
      <c r="GI426" s="124"/>
      <c r="GJ426" s="124"/>
      <c r="GK426" s="124"/>
      <c r="GL426" s="124"/>
      <c r="GM426" s="124"/>
      <c r="GN426" s="124"/>
      <c r="GO426" s="124"/>
      <c r="GP426" s="124"/>
      <c r="GQ426" s="124"/>
      <c r="GR426" s="124"/>
      <c r="GS426" s="124"/>
      <c r="GT426" s="124"/>
      <c r="GU426" s="124"/>
      <c r="GV426" s="124"/>
      <c r="GW426" s="124"/>
      <c r="GX426" s="124"/>
      <c r="GY426" s="124"/>
      <c r="GZ426" s="124"/>
      <c r="HA426" s="124"/>
      <c r="HB426" s="124"/>
      <c r="HC426" s="124"/>
      <c r="HD426" s="124"/>
      <c r="HE426" s="124"/>
      <c r="HF426" s="124"/>
      <c r="HG426" s="124"/>
      <c r="HH426" s="124"/>
      <c r="HI426" s="124"/>
      <c r="HJ426" s="124"/>
      <c r="HK426" s="124"/>
      <c r="HL426" s="124"/>
      <c r="HM426" s="124"/>
      <c r="HN426" s="124"/>
      <c r="HO426" s="124"/>
      <c r="HP426" s="124"/>
      <c r="HQ426" s="124"/>
    </row>
    <row r="427" spans="1:225" x14ac:dyDescent="0.2">
      <c r="A427" s="122"/>
      <c r="B427" s="123"/>
      <c r="C427" s="124"/>
      <c r="D427" s="123"/>
      <c r="E427" s="124"/>
      <c r="F427" s="123"/>
      <c r="G427" s="123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  <c r="AU427" s="124"/>
      <c r="AV427" s="124"/>
      <c r="AW427" s="124"/>
      <c r="AX427" s="124"/>
      <c r="AY427" s="124"/>
      <c r="AZ427" s="124"/>
      <c r="BA427" s="124"/>
      <c r="BB427" s="124"/>
      <c r="BC427" s="124"/>
      <c r="BD427" s="124"/>
      <c r="BE427" s="124"/>
      <c r="BF427" s="124"/>
      <c r="BG427" s="124"/>
      <c r="BH427" s="124"/>
      <c r="BI427" s="124"/>
      <c r="BJ427" s="124"/>
      <c r="BK427" s="124"/>
      <c r="BL427" s="124"/>
      <c r="BM427" s="124"/>
      <c r="BN427" s="124"/>
      <c r="BO427" s="124"/>
      <c r="BP427" s="124"/>
      <c r="BQ427" s="124"/>
      <c r="BR427" s="124"/>
      <c r="BS427" s="124"/>
      <c r="BT427" s="124"/>
      <c r="BU427" s="124"/>
      <c r="BV427" s="124"/>
      <c r="BW427" s="124"/>
      <c r="BX427" s="124"/>
      <c r="BY427" s="124"/>
      <c r="BZ427" s="124"/>
      <c r="CA427" s="124"/>
      <c r="CB427" s="124"/>
      <c r="CC427" s="124"/>
      <c r="CD427" s="124"/>
      <c r="CE427" s="124"/>
      <c r="CF427" s="124"/>
      <c r="CG427" s="124"/>
      <c r="CH427" s="124"/>
      <c r="CI427" s="124"/>
      <c r="CJ427" s="124"/>
      <c r="CK427" s="124"/>
      <c r="CL427" s="124"/>
      <c r="CM427" s="124"/>
      <c r="CN427" s="124"/>
      <c r="CO427" s="124"/>
      <c r="CP427" s="124"/>
      <c r="CQ427" s="124"/>
      <c r="CR427" s="124"/>
      <c r="CS427" s="124"/>
      <c r="CT427" s="124"/>
      <c r="CU427" s="124"/>
      <c r="CV427" s="124"/>
      <c r="CW427" s="124"/>
      <c r="CX427" s="124"/>
      <c r="CY427" s="124"/>
      <c r="CZ427" s="124"/>
      <c r="DA427" s="124"/>
      <c r="DB427" s="124"/>
      <c r="DC427" s="124"/>
      <c r="DD427" s="124"/>
      <c r="DE427" s="124"/>
      <c r="DF427" s="124"/>
      <c r="DG427" s="124"/>
      <c r="DH427" s="124"/>
      <c r="DI427" s="124"/>
      <c r="DJ427" s="124"/>
      <c r="DK427" s="124"/>
      <c r="DL427" s="124"/>
      <c r="DM427" s="124"/>
      <c r="DN427" s="124"/>
      <c r="DO427" s="124"/>
      <c r="DP427" s="124"/>
      <c r="DQ427" s="124"/>
      <c r="DR427" s="124"/>
      <c r="DS427" s="124"/>
      <c r="DT427" s="124"/>
      <c r="DU427" s="124"/>
      <c r="DV427" s="124"/>
      <c r="DW427" s="124"/>
      <c r="DX427" s="124"/>
      <c r="DY427" s="124"/>
      <c r="DZ427" s="124"/>
      <c r="EA427" s="124"/>
      <c r="EB427" s="124"/>
      <c r="EC427" s="124"/>
      <c r="ED427" s="124"/>
      <c r="EE427" s="124"/>
      <c r="EF427" s="124"/>
      <c r="EG427" s="124"/>
      <c r="EH427" s="124"/>
      <c r="EI427" s="124"/>
      <c r="EJ427" s="124"/>
      <c r="EK427" s="124"/>
      <c r="EL427" s="124"/>
      <c r="EM427" s="124"/>
      <c r="EN427" s="124"/>
      <c r="EO427" s="124"/>
      <c r="EP427" s="124"/>
      <c r="EQ427" s="124"/>
      <c r="ER427" s="124"/>
      <c r="ES427" s="124"/>
      <c r="ET427" s="124"/>
      <c r="EU427" s="124"/>
      <c r="EV427" s="124"/>
      <c r="EW427" s="124"/>
      <c r="EX427" s="124"/>
      <c r="EY427" s="124"/>
      <c r="EZ427" s="124"/>
      <c r="FA427" s="124"/>
      <c r="FB427" s="124"/>
      <c r="FC427" s="124"/>
      <c r="FD427" s="124"/>
      <c r="FE427" s="124"/>
      <c r="FF427" s="124"/>
      <c r="FG427" s="124"/>
      <c r="FH427" s="124"/>
      <c r="FI427" s="124"/>
      <c r="FJ427" s="124"/>
      <c r="FK427" s="124"/>
      <c r="FL427" s="124"/>
      <c r="FM427" s="124"/>
      <c r="FN427" s="124"/>
      <c r="FO427" s="124"/>
      <c r="FP427" s="124"/>
      <c r="FQ427" s="124"/>
      <c r="FR427" s="124"/>
      <c r="FS427" s="124"/>
      <c r="FT427" s="124"/>
      <c r="FU427" s="124"/>
      <c r="FV427" s="124"/>
      <c r="FW427" s="124"/>
      <c r="FX427" s="124"/>
      <c r="FY427" s="124"/>
      <c r="FZ427" s="124"/>
      <c r="GA427" s="124"/>
      <c r="GB427" s="124"/>
      <c r="GC427" s="124"/>
      <c r="GD427" s="124"/>
      <c r="GE427" s="124"/>
      <c r="GF427" s="124"/>
      <c r="GG427" s="124"/>
      <c r="GH427" s="124"/>
      <c r="GI427" s="124"/>
      <c r="GJ427" s="124"/>
      <c r="GK427" s="124"/>
      <c r="GL427" s="124"/>
      <c r="GM427" s="124"/>
      <c r="GN427" s="124"/>
      <c r="GO427" s="124"/>
      <c r="GP427" s="124"/>
      <c r="GQ427" s="124"/>
      <c r="GR427" s="124"/>
      <c r="GS427" s="124"/>
      <c r="GT427" s="124"/>
      <c r="GU427" s="124"/>
      <c r="GV427" s="124"/>
      <c r="GW427" s="124"/>
      <c r="GX427" s="124"/>
      <c r="GY427" s="124"/>
      <c r="GZ427" s="124"/>
      <c r="HA427" s="124"/>
      <c r="HB427" s="124"/>
      <c r="HC427" s="124"/>
      <c r="HD427" s="124"/>
      <c r="HE427" s="124"/>
      <c r="HF427" s="124"/>
      <c r="HG427" s="124"/>
      <c r="HH427" s="124"/>
      <c r="HI427" s="124"/>
      <c r="HJ427" s="124"/>
      <c r="HK427" s="124"/>
      <c r="HL427" s="124"/>
      <c r="HM427" s="124"/>
      <c r="HN427" s="124"/>
      <c r="HO427" s="124"/>
      <c r="HP427" s="124"/>
      <c r="HQ427" s="124"/>
    </row>
    <row r="428" spans="1:225" x14ac:dyDescent="0.2">
      <c r="A428" s="122"/>
      <c r="B428" s="123"/>
      <c r="C428" s="124"/>
      <c r="D428" s="123"/>
      <c r="E428" s="124"/>
      <c r="F428" s="123"/>
      <c r="G428" s="123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  <c r="AU428" s="124"/>
      <c r="AV428" s="124"/>
      <c r="AW428" s="124"/>
      <c r="AX428" s="124"/>
      <c r="AY428" s="124"/>
      <c r="AZ428" s="124"/>
      <c r="BA428" s="124"/>
      <c r="BB428" s="124"/>
      <c r="BC428" s="124"/>
      <c r="BD428" s="124"/>
      <c r="BE428" s="124"/>
      <c r="BF428" s="124"/>
      <c r="BG428" s="124"/>
      <c r="BH428" s="124"/>
      <c r="BI428" s="124"/>
      <c r="BJ428" s="124"/>
      <c r="BK428" s="124"/>
      <c r="BL428" s="124"/>
      <c r="BM428" s="124"/>
      <c r="BN428" s="124"/>
      <c r="BO428" s="124"/>
      <c r="BP428" s="124"/>
      <c r="BQ428" s="124"/>
      <c r="BR428" s="124"/>
      <c r="BS428" s="124"/>
      <c r="BT428" s="124"/>
      <c r="BU428" s="124"/>
      <c r="BV428" s="124"/>
      <c r="BW428" s="124"/>
      <c r="BX428" s="124"/>
      <c r="BY428" s="124"/>
      <c r="BZ428" s="124"/>
      <c r="CA428" s="124"/>
      <c r="CB428" s="124"/>
      <c r="CC428" s="124"/>
      <c r="CD428" s="124"/>
      <c r="CE428" s="124"/>
      <c r="CF428" s="124"/>
      <c r="CG428" s="124"/>
      <c r="CH428" s="124"/>
      <c r="CI428" s="124"/>
      <c r="CJ428" s="124"/>
      <c r="CK428" s="124"/>
      <c r="CL428" s="124"/>
      <c r="CM428" s="124"/>
      <c r="CN428" s="124"/>
      <c r="CO428" s="124"/>
      <c r="CP428" s="124"/>
      <c r="CQ428" s="124"/>
      <c r="CR428" s="124"/>
      <c r="CS428" s="124"/>
      <c r="CT428" s="124"/>
      <c r="CU428" s="124"/>
      <c r="CV428" s="124"/>
      <c r="CW428" s="124"/>
      <c r="CX428" s="124"/>
      <c r="CY428" s="124"/>
      <c r="CZ428" s="124"/>
      <c r="DA428" s="124"/>
      <c r="DB428" s="124"/>
      <c r="DC428" s="124"/>
      <c r="DD428" s="124"/>
      <c r="DE428" s="124"/>
      <c r="DF428" s="124"/>
      <c r="DG428" s="124"/>
      <c r="DH428" s="124"/>
      <c r="DI428" s="124"/>
      <c r="DJ428" s="124"/>
      <c r="DK428" s="124"/>
      <c r="DL428" s="124"/>
      <c r="DM428" s="124"/>
      <c r="DN428" s="124"/>
      <c r="DO428" s="124"/>
      <c r="DP428" s="124"/>
      <c r="DQ428" s="124"/>
      <c r="DR428" s="124"/>
      <c r="DS428" s="124"/>
      <c r="DT428" s="124"/>
      <c r="DU428" s="124"/>
      <c r="DV428" s="124"/>
      <c r="DW428" s="124"/>
      <c r="DX428" s="124"/>
      <c r="DY428" s="124"/>
      <c r="DZ428" s="124"/>
      <c r="EA428" s="124"/>
      <c r="EB428" s="124"/>
      <c r="EC428" s="124"/>
      <c r="ED428" s="124"/>
      <c r="EE428" s="124"/>
      <c r="EF428" s="124"/>
      <c r="EG428" s="124"/>
      <c r="EH428" s="124"/>
      <c r="EI428" s="124"/>
      <c r="EJ428" s="124"/>
      <c r="EK428" s="124"/>
      <c r="EL428" s="124"/>
      <c r="EM428" s="124"/>
      <c r="EN428" s="124"/>
      <c r="EO428" s="124"/>
      <c r="EP428" s="124"/>
      <c r="EQ428" s="124"/>
      <c r="ER428" s="124"/>
      <c r="ES428" s="124"/>
      <c r="ET428" s="124"/>
      <c r="EU428" s="124"/>
      <c r="EV428" s="124"/>
      <c r="EW428" s="124"/>
      <c r="EX428" s="124"/>
      <c r="EY428" s="124"/>
      <c r="EZ428" s="124"/>
      <c r="FA428" s="124"/>
      <c r="FB428" s="124"/>
      <c r="FC428" s="124"/>
      <c r="FD428" s="124"/>
      <c r="FE428" s="124"/>
      <c r="FF428" s="124"/>
      <c r="FG428" s="124"/>
      <c r="FH428" s="124"/>
      <c r="FI428" s="124"/>
      <c r="FJ428" s="124"/>
      <c r="FK428" s="124"/>
      <c r="FL428" s="124"/>
      <c r="FM428" s="124"/>
      <c r="FN428" s="124"/>
      <c r="FO428" s="124"/>
      <c r="FP428" s="124"/>
      <c r="FQ428" s="124"/>
      <c r="FR428" s="124"/>
      <c r="FS428" s="124"/>
      <c r="FT428" s="124"/>
      <c r="FU428" s="124"/>
      <c r="FV428" s="124"/>
      <c r="FW428" s="124"/>
      <c r="FX428" s="124"/>
      <c r="FY428" s="124"/>
      <c r="FZ428" s="124"/>
      <c r="GA428" s="124"/>
      <c r="GB428" s="124"/>
      <c r="GC428" s="124"/>
      <c r="GD428" s="124"/>
      <c r="GE428" s="124"/>
      <c r="GF428" s="124"/>
      <c r="GG428" s="124"/>
      <c r="GH428" s="124"/>
      <c r="GI428" s="124"/>
      <c r="GJ428" s="124"/>
      <c r="GK428" s="124"/>
      <c r="GL428" s="124"/>
      <c r="GM428" s="124"/>
      <c r="GN428" s="124"/>
      <c r="GO428" s="124"/>
      <c r="GP428" s="124"/>
      <c r="GQ428" s="124"/>
      <c r="GR428" s="124"/>
      <c r="GS428" s="124"/>
      <c r="GT428" s="124"/>
      <c r="GU428" s="124"/>
      <c r="GV428" s="124"/>
      <c r="GW428" s="124"/>
      <c r="GX428" s="124"/>
      <c r="GY428" s="124"/>
      <c r="GZ428" s="124"/>
      <c r="HA428" s="124"/>
      <c r="HB428" s="124"/>
      <c r="HC428" s="124"/>
      <c r="HD428" s="124"/>
      <c r="HE428" s="124"/>
      <c r="HF428" s="124"/>
      <c r="HG428" s="124"/>
      <c r="HH428" s="124"/>
      <c r="HI428" s="124"/>
      <c r="HJ428" s="124"/>
      <c r="HK428" s="124"/>
      <c r="HL428" s="124"/>
      <c r="HM428" s="124"/>
      <c r="HN428" s="124"/>
      <c r="HO428" s="124"/>
      <c r="HP428" s="124"/>
      <c r="HQ428" s="124"/>
    </row>
    <row r="429" spans="1:225" x14ac:dyDescent="0.2">
      <c r="A429" s="122"/>
      <c r="B429" s="123"/>
      <c r="C429" s="124"/>
      <c r="D429" s="123"/>
      <c r="E429" s="124"/>
      <c r="F429" s="123"/>
      <c r="G429" s="123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  <c r="AU429" s="124"/>
      <c r="AV429" s="124"/>
      <c r="AW429" s="124"/>
      <c r="AX429" s="124"/>
      <c r="AY429" s="124"/>
      <c r="AZ429" s="124"/>
      <c r="BA429" s="124"/>
      <c r="BB429" s="124"/>
      <c r="BC429" s="124"/>
      <c r="BD429" s="124"/>
      <c r="BE429" s="124"/>
      <c r="BF429" s="124"/>
      <c r="BG429" s="124"/>
      <c r="BH429" s="124"/>
      <c r="BI429" s="124"/>
      <c r="BJ429" s="124"/>
      <c r="BK429" s="124"/>
      <c r="BL429" s="124"/>
      <c r="BM429" s="124"/>
      <c r="BN429" s="124"/>
      <c r="BO429" s="124"/>
      <c r="BP429" s="124"/>
      <c r="BQ429" s="124"/>
      <c r="BR429" s="124"/>
      <c r="BS429" s="124"/>
      <c r="BT429" s="124"/>
      <c r="BU429" s="124"/>
      <c r="BV429" s="124"/>
      <c r="BW429" s="124"/>
      <c r="BX429" s="124"/>
      <c r="BY429" s="124"/>
      <c r="BZ429" s="124"/>
      <c r="CA429" s="124"/>
      <c r="CB429" s="124"/>
      <c r="CC429" s="124"/>
      <c r="CD429" s="124"/>
      <c r="CE429" s="124"/>
      <c r="CF429" s="124"/>
      <c r="CG429" s="124"/>
      <c r="CH429" s="124"/>
      <c r="CI429" s="124"/>
      <c r="CJ429" s="124"/>
      <c r="CK429" s="124"/>
      <c r="CL429" s="124"/>
      <c r="CM429" s="124"/>
      <c r="CN429" s="124"/>
      <c r="CO429" s="124"/>
      <c r="CP429" s="124"/>
      <c r="CQ429" s="124"/>
      <c r="CR429" s="124"/>
      <c r="CS429" s="124"/>
      <c r="CT429" s="124"/>
      <c r="CU429" s="124"/>
      <c r="CV429" s="124"/>
      <c r="CW429" s="124"/>
      <c r="CX429" s="124"/>
      <c r="CY429" s="124"/>
      <c r="CZ429" s="124"/>
      <c r="DA429" s="124"/>
      <c r="DB429" s="124"/>
      <c r="DC429" s="124"/>
      <c r="DD429" s="124"/>
      <c r="DE429" s="124"/>
      <c r="DF429" s="124"/>
      <c r="DG429" s="124"/>
      <c r="DH429" s="124"/>
      <c r="DI429" s="124"/>
      <c r="DJ429" s="124"/>
      <c r="DK429" s="124"/>
      <c r="DL429" s="124"/>
      <c r="DM429" s="124"/>
      <c r="DN429" s="124"/>
      <c r="DO429" s="124"/>
      <c r="DP429" s="124"/>
      <c r="DQ429" s="124"/>
      <c r="DR429" s="124"/>
      <c r="DS429" s="124"/>
      <c r="DT429" s="124"/>
      <c r="DU429" s="124"/>
      <c r="DV429" s="124"/>
      <c r="DW429" s="124"/>
      <c r="DX429" s="124"/>
      <c r="DY429" s="124"/>
      <c r="DZ429" s="124"/>
      <c r="EA429" s="124"/>
      <c r="EB429" s="124"/>
      <c r="EC429" s="124"/>
      <c r="ED429" s="124"/>
      <c r="EE429" s="124"/>
      <c r="EF429" s="124"/>
      <c r="EG429" s="124"/>
      <c r="EH429" s="124"/>
      <c r="EI429" s="124"/>
      <c r="EJ429" s="124"/>
      <c r="EK429" s="124"/>
      <c r="EL429" s="124"/>
      <c r="EM429" s="124"/>
      <c r="EN429" s="124"/>
      <c r="EO429" s="124"/>
      <c r="EP429" s="124"/>
      <c r="EQ429" s="124"/>
      <c r="ER429" s="124"/>
      <c r="ES429" s="124"/>
      <c r="ET429" s="124"/>
      <c r="EU429" s="124"/>
      <c r="EV429" s="124"/>
      <c r="EW429" s="124"/>
      <c r="EX429" s="124"/>
      <c r="EY429" s="124"/>
      <c r="EZ429" s="124"/>
      <c r="FA429" s="124"/>
      <c r="FB429" s="124"/>
      <c r="FC429" s="124"/>
      <c r="FD429" s="124"/>
      <c r="FE429" s="124"/>
      <c r="FF429" s="124"/>
      <c r="FG429" s="124"/>
      <c r="FH429" s="124"/>
      <c r="FI429" s="124"/>
      <c r="FJ429" s="124"/>
      <c r="FK429" s="124"/>
      <c r="FL429" s="124"/>
      <c r="FM429" s="124"/>
      <c r="FN429" s="124"/>
      <c r="FO429" s="124"/>
      <c r="FP429" s="124"/>
      <c r="FQ429" s="124"/>
      <c r="FR429" s="124"/>
      <c r="FS429" s="124"/>
      <c r="FT429" s="124"/>
      <c r="FU429" s="124"/>
      <c r="FV429" s="124"/>
      <c r="FW429" s="124"/>
      <c r="FX429" s="124"/>
      <c r="FY429" s="124"/>
      <c r="FZ429" s="124"/>
      <c r="GA429" s="124"/>
      <c r="GB429" s="124"/>
      <c r="GC429" s="124"/>
      <c r="GD429" s="124"/>
      <c r="GE429" s="124"/>
      <c r="GF429" s="124"/>
      <c r="GG429" s="124"/>
      <c r="GH429" s="124"/>
      <c r="GI429" s="124"/>
      <c r="GJ429" s="124"/>
      <c r="GK429" s="124"/>
      <c r="GL429" s="124"/>
      <c r="GM429" s="124"/>
      <c r="GN429" s="124"/>
      <c r="GO429" s="124"/>
      <c r="GP429" s="124"/>
      <c r="GQ429" s="124"/>
      <c r="GR429" s="124"/>
      <c r="GS429" s="124"/>
      <c r="GT429" s="124"/>
      <c r="GU429" s="124"/>
      <c r="GV429" s="124"/>
      <c r="GW429" s="124"/>
      <c r="GX429" s="124"/>
      <c r="GY429" s="124"/>
      <c r="GZ429" s="124"/>
      <c r="HA429" s="124"/>
      <c r="HB429" s="124"/>
      <c r="HC429" s="124"/>
      <c r="HD429" s="124"/>
      <c r="HE429" s="124"/>
      <c r="HF429" s="124"/>
      <c r="HG429" s="124"/>
      <c r="HH429" s="124"/>
      <c r="HI429" s="124"/>
      <c r="HJ429" s="124"/>
      <c r="HK429" s="124"/>
      <c r="HL429" s="124"/>
      <c r="HM429" s="124"/>
      <c r="HN429" s="124"/>
      <c r="HO429" s="124"/>
      <c r="HP429" s="124"/>
      <c r="HQ429" s="124"/>
    </row>
    <row r="430" spans="1:225" x14ac:dyDescent="0.2">
      <c r="A430" s="122"/>
      <c r="B430" s="123"/>
      <c r="C430" s="124"/>
      <c r="D430" s="123"/>
      <c r="E430" s="124"/>
      <c r="F430" s="123"/>
      <c r="G430" s="123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/>
      <c r="BB430" s="124"/>
      <c r="BC430" s="124"/>
      <c r="BD430" s="124"/>
      <c r="BE430" s="124"/>
      <c r="BF430" s="124"/>
      <c r="BG430" s="124"/>
      <c r="BH430" s="124"/>
      <c r="BI430" s="124"/>
      <c r="BJ430" s="124"/>
      <c r="BK430" s="124"/>
      <c r="BL430" s="124"/>
      <c r="BM430" s="124"/>
      <c r="BN430" s="124"/>
      <c r="BO430" s="124"/>
      <c r="BP430" s="124"/>
      <c r="BQ430" s="124"/>
      <c r="BR430" s="124"/>
      <c r="BS430" s="124"/>
      <c r="BT430" s="124"/>
      <c r="BU430" s="124"/>
      <c r="BV430" s="124"/>
      <c r="BW430" s="124"/>
      <c r="BX430" s="124"/>
      <c r="BY430" s="124"/>
      <c r="BZ430" s="124"/>
      <c r="CA430" s="124"/>
      <c r="CB430" s="124"/>
      <c r="CC430" s="124"/>
      <c r="CD430" s="124"/>
      <c r="CE430" s="124"/>
      <c r="CF430" s="124"/>
      <c r="CG430" s="124"/>
      <c r="CH430" s="124"/>
      <c r="CI430" s="124"/>
      <c r="CJ430" s="124"/>
      <c r="CK430" s="124"/>
      <c r="CL430" s="124"/>
      <c r="CM430" s="124"/>
      <c r="CN430" s="124"/>
      <c r="CO430" s="124"/>
      <c r="CP430" s="124"/>
      <c r="CQ430" s="124"/>
      <c r="CR430" s="124"/>
      <c r="CS430" s="124"/>
      <c r="CT430" s="124"/>
      <c r="CU430" s="124"/>
      <c r="CV430" s="124"/>
      <c r="CW430" s="124"/>
      <c r="CX430" s="124"/>
      <c r="CY430" s="124"/>
      <c r="CZ430" s="124"/>
      <c r="DA430" s="124"/>
      <c r="DB430" s="124"/>
      <c r="DC430" s="124"/>
      <c r="DD430" s="124"/>
      <c r="DE430" s="124"/>
      <c r="DF430" s="124"/>
      <c r="DG430" s="124"/>
      <c r="DH430" s="124"/>
      <c r="DI430" s="124"/>
      <c r="DJ430" s="124"/>
      <c r="DK430" s="124"/>
      <c r="DL430" s="124"/>
      <c r="DM430" s="124"/>
      <c r="DN430" s="124"/>
      <c r="DO430" s="124"/>
      <c r="DP430" s="124"/>
      <c r="DQ430" s="124"/>
      <c r="DR430" s="124"/>
      <c r="DS430" s="124"/>
      <c r="DT430" s="124"/>
      <c r="DU430" s="124"/>
      <c r="DV430" s="124"/>
      <c r="DW430" s="124"/>
      <c r="DX430" s="124"/>
      <c r="DY430" s="124"/>
      <c r="DZ430" s="124"/>
      <c r="EA430" s="124"/>
      <c r="EB430" s="124"/>
      <c r="EC430" s="124"/>
      <c r="ED430" s="124"/>
      <c r="EE430" s="124"/>
      <c r="EF430" s="124"/>
      <c r="EG430" s="124"/>
      <c r="EH430" s="124"/>
      <c r="EI430" s="124"/>
      <c r="EJ430" s="124"/>
      <c r="EK430" s="124"/>
      <c r="EL430" s="124"/>
      <c r="EM430" s="124"/>
      <c r="EN430" s="124"/>
      <c r="EO430" s="124"/>
      <c r="EP430" s="124"/>
      <c r="EQ430" s="124"/>
      <c r="ER430" s="124"/>
      <c r="ES430" s="124"/>
      <c r="ET430" s="124"/>
      <c r="EU430" s="124"/>
      <c r="EV430" s="124"/>
      <c r="EW430" s="124"/>
      <c r="EX430" s="124"/>
      <c r="EY430" s="124"/>
      <c r="EZ430" s="124"/>
      <c r="FA430" s="124"/>
      <c r="FB430" s="124"/>
      <c r="FC430" s="124"/>
      <c r="FD430" s="124"/>
      <c r="FE430" s="124"/>
      <c r="FF430" s="124"/>
      <c r="FG430" s="124"/>
      <c r="FH430" s="124"/>
      <c r="FI430" s="124"/>
      <c r="FJ430" s="124"/>
      <c r="FK430" s="124"/>
      <c r="FL430" s="124"/>
      <c r="FM430" s="124"/>
      <c r="FN430" s="124"/>
      <c r="FO430" s="124"/>
      <c r="FP430" s="124"/>
      <c r="FQ430" s="124"/>
      <c r="FR430" s="124"/>
      <c r="FS430" s="124"/>
      <c r="FT430" s="124"/>
      <c r="FU430" s="124"/>
      <c r="FV430" s="124"/>
      <c r="FW430" s="124"/>
      <c r="FX430" s="124"/>
      <c r="FY430" s="124"/>
      <c r="FZ430" s="124"/>
      <c r="GA430" s="124"/>
      <c r="GB430" s="124"/>
      <c r="GC430" s="124"/>
      <c r="GD430" s="124"/>
      <c r="GE430" s="124"/>
      <c r="GF430" s="124"/>
      <c r="GG430" s="124"/>
      <c r="GH430" s="124"/>
      <c r="GI430" s="124"/>
      <c r="GJ430" s="124"/>
      <c r="GK430" s="124"/>
      <c r="GL430" s="124"/>
      <c r="GM430" s="124"/>
      <c r="GN430" s="124"/>
      <c r="GO430" s="124"/>
      <c r="GP430" s="124"/>
      <c r="GQ430" s="124"/>
      <c r="GR430" s="124"/>
      <c r="GS430" s="124"/>
      <c r="GT430" s="124"/>
      <c r="GU430" s="124"/>
      <c r="GV430" s="124"/>
      <c r="GW430" s="124"/>
      <c r="GX430" s="124"/>
      <c r="GY430" s="124"/>
      <c r="GZ430" s="124"/>
      <c r="HA430" s="124"/>
      <c r="HB430" s="124"/>
      <c r="HC430" s="124"/>
      <c r="HD430" s="124"/>
      <c r="HE430" s="124"/>
      <c r="HF430" s="124"/>
      <c r="HG430" s="124"/>
      <c r="HH430" s="124"/>
      <c r="HI430" s="124"/>
      <c r="HJ430" s="124"/>
      <c r="HK430" s="124"/>
      <c r="HL430" s="124"/>
      <c r="HM430" s="124"/>
      <c r="HN430" s="124"/>
      <c r="HO430" s="124"/>
      <c r="HP430" s="124"/>
      <c r="HQ430" s="124"/>
    </row>
    <row r="431" spans="1:225" x14ac:dyDescent="0.2">
      <c r="A431" s="122"/>
      <c r="B431" s="123"/>
      <c r="C431" s="124"/>
      <c r="D431" s="123"/>
      <c r="E431" s="124"/>
      <c r="F431" s="123"/>
      <c r="G431" s="123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  <c r="AU431" s="124"/>
      <c r="AV431" s="124"/>
      <c r="AW431" s="124"/>
      <c r="AX431" s="124"/>
      <c r="AY431" s="124"/>
      <c r="AZ431" s="124"/>
      <c r="BA431" s="124"/>
      <c r="BB431" s="124"/>
      <c r="BC431" s="124"/>
      <c r="BD431" s="124"/>
      <c r="BE431" s="124"/>
      <c r="BF431" s="124"/>
      <c r="BG431" s="124"/>
      <c r="BH431" s="124"/>
      <c r="BI431" s="124"/>
      <c r="BJ431" s="124"/>
      <c r="BK431" s="124"/>
      <c r="BL431" s="124"/>
      <c r="BM431" s="124"/>
      <c r="BN431" s="124"/>
      <c r="BO431" s="124"/>
      <c r="BP431" s="124"/>
      <c r="BQ431" s="124"/>
      <c r="BR431" s="124"/>
      <c r="BS431" s="124"/>
      <c r="BT431" s="124"/>
      <c r="BU431" s="124"/>
      <c r="BV431" s="124"/>
      <c r="BW431" s="124"/>
      <c r="BX431" s="124"/>
      <c r="BY431" s="124"/>
      <c r="BZ431" s="124"/>
      <c r="CA431" s="124"/>
      <c r="CB431" s="124"/>
      <c r="CC431" s="124"/>
      <c r="CD431" s="124"/>
      <c r="CE431" s="124"/>
      <c r="CF431" s="124"/>
      <c r="CG431" s="124"/>
      <c r="CH431" s="124"/>
      <c r="CI431" s="124"/>
      <c r="CJ431" s="124"/>
      <c r="CK431" s="124"/>
      <c r="CL431" s="124"/>
      <c r="CM431" s="124"/>
      <c r="CN431" s="124"/>
      <c r="CO431" s="124"/>
      <c r="CP431" s="124"/>
      <c r="CQ431" s="124"/>
      <c r="CR431" s="124"/>
      <c r="CS431" s="124"/>
      <c r="CT431" s="124"/>
      <c r="CU431" s="124"/>
      <c r="CV431" s="124"/>
      <c r="CW431" s="124"/>
      <c r="CX431" s="124"/>
      <c r="CY431" s="124"/>
      <c r="CZ431" s="124"/>
      <c r="DA431" s="124"/>
      <c r="DB431" s="124"/>
      <c r="DC431" s="124"/>
      <c r="DD431" s="124"/>
      <c r="DE431" s="124"/>
      <c r="DF431" s="124"/>
      <c r="DG431" s="124"/>
      <c r="DH431" s="124"/>
      <c r="DI431" s="124"/>
      <c r="DJ431" s="124"/>
      <c r="DK431" s="124"/>
      <c r="DL431" s="124"/>
      <c r="DM431" s="124"/>
      <c r="DN431" s="124"/>
      <c r="DO431" s="124"/>
      <c r="DP431" s="124"/>
      <c r="DQ431" s="124"/>
      <c r="DR431" s="124"/>
      <c r="DS431" s="124"/>
      <c r="DT431" s="124"/>
      <c r="DU431" s="124"/>
      <c r="DV431" s="124"/>
      <c r="DW431" s="124"/>
      <c r="DX431" s="124"/>
      <c r="DY431" s="124"/>
      <c r="DZ431" s="124"/>
      <c r="EA431" s="124"/>
      <c r="EB431" s="124"/>
      <c r="EC431" s="124"/>
      <c r="ED431" s="124"/>
      <c r="EE431" s="124"/>
      <c r="EF431" s="124"/>
      <c r="EG431" s="124"/>
      <c r="EH431" s="124"/>
      <c r="EI431" s="124"/>
      <c r="EJ431" s="124"/>
      <c r="EK431" s="124"/>
      <c r="EL431" s="124"/>
      <c r="EM431" s="124"/>
      <c r="EN431" s="124"/>
      <c r="EO431" s="124"/>
      <c r="EP431" s="124"/>
      <c r="EQ431" s="124"/>
      <c r="ER431" s="124"/>
      <c r="ES431" s="124"/>
      <c r="ET431" s="124"/>
      <c r="EU431" s="124"/>
      <c r="EV431" s="124"/>
      <c r="EW431" s="124"/>
      <c r="EX431" s="124"/>
      <c r="EY431" s="124"/>
      <c r="EZ431" s="124"/>
      <c r="FA431" s="124"/>
      <c r="FB431" s="124"/>
      <c r="FC431" s="124"/>
      <c r="FD431" s="124"/>
      <c r="FE431" s="124"/>
      <c r="FF431" s="124"/>
      <c r="FG431" s="124"/>
      <c r="FH431" s="124"/>
      <c r="FI431" s="124"/>
      <c r="FJ431" s="124"/>
      <c r="FK431" s="124"/>
      <c r="FL431" s="124"/>
      <c r="FM431" s="124"/>
      <c r="FN431" s="124"/>
      <c r="FO431" s="124"/>
      <c r="FP431" s="124"/>
      <c r="FQ431" s="124"/>
      <c r="FR431" s="124"/>
      <c r="FS431" s="124"/>
      <c r="FT431" s="124"/>
      <c r="FU431" s="124"/>
      <c r="FV431" s="124"/>
      <c r="FW431" s="124"/>
      <c r="FX431" s="124"/>
      <c r="FY431" s="124"/>
      <c r="FZ431" s="124"/>
      <c r="GA431" s="124"/>
      <c r="GB431" s="124"/>
      <c r="GC431" s="124"/>
      <c r="GD431" s="124"/>
      <c r="GE431" s="124"/>
      <c r="GF431" s="124"/>
      <c r="GG431" s="124"/>
      <c r="GH431" s="124"/>
      <c r="GI431" s="124"/>
      <c r="GJ431" s="124"/>
      <c r="GK431" s="124"/>
      <c r="GL431" s="124"/>
      <c r="GM431" s="124"/>
      <c r="GN431" s="124"/>
      <c r="GO431" s="124"/>
      <c r="GP431" s="124"/>
      <c r="GQ431" s="124"/>
      <c r="GR431" s="124"/>
      <c r="GS431" s="124"/>
      <c r="GT431" s="124"/>
      <c r="GU431" s="124"/>
      <c r="GV431" s="124"/>
      <c r="GW431" s="124"/>
      <c r="GX431" s="124"/>
      <c r="GY431" s="124"/>
      <c r="GZ431" s="124"/>
      <c r="HA431" s="124"/>
      <c r="HB431" s="124"/>
      <c r="HC431" s="124"/>
      <c r="HD431" s="124"/>
      <c r="HE431" s="124"/>
      <c r="HF431" s="124"/>
      <c r="HG431" s="124"/>
      <c r="HH431" s="124"/>
      <c r="HI431" s="124"/>
      <c r="HJ431" s="124"/>
      <c r="HK431" s="124"/>
      <c r="HL431" s="124"/>
      <c r="HM431" s="124"/>
      <c r="HN431" s="124"/>
      <c r="HO431" s="124"/>
      <c r="HP431" s="124"/>
      <c r="HQ431" s="124"/>
    </row>
    <row r="432" spans="1:225" x14ac:dyDescent="0.2">
      <c r="A432" s="122"/>
      <c r="B432" s="123"/>
      <c r="C432" s="124"/>
      <c r="D432" s="123"/>
      <c r="E432" s="124"/>
      <c r="F432" s="123"/>
      <c r="G432" s="123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124"/>
      <c r="AU432" s="124"/>
      <c r="AV432" s="124"/>
      <c r="AW432" s="124"/>
      <c r="AX432" s="124"/>
      <c r="AY432" s="124"/>
      <c r="AZ432" s="124"/>
      <c r="BA432" s="124"/>
      <c r="BB432" s="124"/>
      <c r="BC432" s="124"/>
      <c r="BD432" s="124"/>
      <c r="BE432" s="124"/>
      <c r="BF432" s="124"/>
      <c r="BG432" s="124"/>
      <c r="BH432" s="124"/>
      <c r="BI432" s="124"/>
      <c r="BJ432" s="124"/>
      <c r="BK432" s="124"/>
      <c r="BL432" s="124"/>
      <c r="BM432" s="124"/>
      <c r="BN432" s="124"/>
      <c r="BO432" s="124"/>
      <c r="BP432" s="124"/>
      <c r="BQ432" s="124"/>
      <c r="BR432" s="124"/>
      <c r="BS432" s="124"/>
      <c r="BT432" s="124"/>
      <c r="BU432" s="124"/>
      <c r="BV432" s="124"/>
      <c r="BW432" s="124"/>
      <c r="BX432" s="124"/>
      <c r="BY432" s="124"/>
      <c r="BZ432" s="124"/>
      <c r="CA432" s="124"/>
      <c r="CB432" s="124"/>
      <c r="CC432" s="124"/>
      <c r="CD432" s="124"/>
      <c r="CE432" s="124"/>
      <c r="CF432" s="124"/>
      <c r="CG432" s="124"/>
      <c r="CH432" s="124"/>
      <c r="CI432" s="124"/>
      <c r="CJ432" s="124"/>
      <c r="CK432" s="124"/>
      <c r="CL432" s="124"/>
      <c r="CM432" s="124"/>
      <c r="CN432" s="124"/>
      <c r="CO432" s="124"/>
      <c r="CP432" s="124"/>
      <c r="CQ432" s="124"/>
      <c r="CR432" s="124"/>
      <c r="CS432" s="124"/>
      <c r="CT432" s="124"/>
      <c r="CU432" s="124"/>
      <c r="CV432" s="124"/>
      <c r="CW432" s="124"/>
      <c r="CX432" s="124"/>
      <c r="CY432" s="124"/>
      <c r="CZ432" s="124"/>
      <c r="DA432" s="124"/>
      <c r="DB432" s="124"/>
      <c r="DC432" s="124"/>
      <c r="DD432" s="124"/>
      <c r="DE432" s="124"/>
      <c r="DF432" s="124"/>
      <c r="DG432" s="124"/>
      <c r="DH432" s="124"/>
      <c r="DI432" s="124"/>
      <c r="DJ432" s="124"/>
      <c r="DK432" s="124"/>
      <c r="DL432" s="124"/>
      <c r="DM432" s="124"/>
      <c r="DN432" s="124"/>
      <c r="DO432" s="124"/>
      <c r="DP432" s="124"/>
      <c r="DQ432" s="124"/>
      <c r="DR432" s="124"/>
      <c r="DS432" s="124"/>
      <c r="DT432" s="124"/>
      <c r="DU432" s="124"/>
      <c r="DV432" s="124"/>
      <c r="DW432" s="124"/>
      <c r="DX432" s="124"/>
      <c r="DY432" s="124"/>
      <c r="DZ432" s="124"/>
      <c r="EA432" s="124"/>
      <c r="EB432" s="124"/>
      <c r="EC432" s="124"/>
      <c r="ED432" s="124"/>
      <c r="EE432" s="124"/>
      <c r="EF432" s="124"/>
      <c r="EG432" s="124"/>
      <c r="EH432" s="124"/>
      <c r="EI432" s="124"/>
      <c r="EJ432" s="124"/>
      <c r="EK432" s="124"/>
      <c r="EL432" s="124"/>
      <c r="EM432" s="124"/>
      <c r="EN432" s="124"/>
      <c r="EO432" s="124"/>
      <c r="EP432" s="124"/>
      <c r="EQ432" s="124"/>
      <c r="ER432" s="124"/>
      <c r="ES432" s="124"/>
      <c r="ET432" s="124"/>
      <c r="EU432" s="124"/>
      <c r="EV432" s="124"/>
      <c r="EW432" s="124"/>
      <c r="EX432" s="124"/>
      <c r="EY432" s="124"/>
      <c r="EZ432" s="124"/>
      <c r="FA432" s="124"/>
      <c r="FB432" s="124"/>
      <c r="FC432" s="124"/>
      <c r="FD432" s="124"/>
      <c r="FE432" s="124"/>
      <c r="FF432" s="124"/>
      <c r="FG432" s="124"/>
      <c r="FH432" s="124"/>
      <c r="FI432" s="124"/>
      <c r="FJ432" s="124"/>
      <c r="FK432" s="124"/>
      <c r="FL432" s="124"/>
      <c r="FM432" s="124"/>
      <c r="FN432" s="124"/>
      <c r="FO432" s="124"/>
      <c r="FP432" s="124"/>
      <c r="FQ432" s="124"/>
      <c r="FR432" s="124"/>
      <c r="FS432" s="124"/>
      <c r="FT432" s="124"/>
      <c r="FU432" s="124"/>
      <c r="FV432" s="124"/>
      <c r="FW432" s="124"/>
      <c r="FX432" s="124"/>
      <c r="FY432" s="124"/>
      <c r="FZ432" s="124"/>
      <c r="GA432" s="124"/>
      <c r="GB432" s="124"/>
      <c r="GC432" s="124"/>
      <c r="GD432" s="124"/>
      <c r="GE432" s="124"/>
      <c r="GF432" s="124"/>
      <c r="GG432" s="124"/>
      <c r="GH432" s="124"/>
      <c r="GI432" s="124"/>
      <c r="GJ432" s="124"/>
      <c r="GK432" s="124"/>
      <c r="GL432" s="124"/>
      <c r="GM432" s="124"/>
      <c r="GN432" s="124"/>
      <c r="GO432" s="124"/>
      <c r="GP432" s="124"/>
      <c r="GQ432" s="124"/>
      <c r="GR432" s="124"/>
      <c r="GS432" s="124"/>
      <c r="GT432" s="124"/>
      <c r="GU432" s="124"/>
      <c r="GV432" s="124"/>
      <c r="GW432" s="124"/>
      <c r="GX432" s="124"/>
      <c r="GY432" s="124"/>
      <c r="GZ432" s="124"/>
      <c r="HA432" s="124"/>
      <c r="HB432" s="124"/>
      <c r="HC432" s="124"/>
      <c r="HD432" s="124"/>
      <c r="HE432" s="124"/>
      <c r="HF432" s="124"/>
      <c r="HG432" s="124"/>
      <c r="HH432" s="124"/>
      <c r="HI432" s="124"/>
      <c r="HJ432" s="124"/>
      <c r="HK432" s="124"/>
      <c r="HL432" s="124"/>
      <c r="HM432" s="124"/>
      <c r="HN432" s="124"/>
      <c r="HO432" s="124"/>
      <c r="HP432" s="124"/>
      <c r="HQ432" s="124"/>
    </row>
    <row r="433" spans="1:225" x14ac:dyDescent="0.2">
      <c r="A433" s="122"/>
      <c r="B433" s="123"/>
      <c r="C433" s="124"/>
      <c r="D433" s="123"/>
      <c r="E433" s="124"/>
      <c r="F433" s="123"/>
      <c r="G433" s="123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/>
      <c r="BB433" s="124"/>
      <c r="BC433" s="124"/>
      <c r="BD433" s="124"/>
      <c r="BE433" s="124"/>
      <c r="BF433" s="124"/>
      <c r="BG433" s="124"/>
      <c r="BH433" s="124"/>
      <c r="BI433" s="124"/>
      <c r="BJ433" s="124"/>
      <c r="BK433" s="124"/>
      <c r="BL433" s="124"/>
      <c r="BM433" s="124"/>
      <c r="BN433" s="124"/>
      <c r="BO433" s="124"/>
      <c r="BP433" s="124"/>
      <c r="BQ433" s="124"/>
      <c r="BR433" s="124"/>
      <c r="BS433" s="124"/>
      <c r="BT433" s="124"/>
      <c r="BU433" s="124"/>
      <c r="BV433" s="124"/>
      <c r="BW433" s="124"/>
      <c r="BX433" s="124"/>
      <c r="BY433" s="124"/>
      <c r="BZ433" s="124"/>
      <c r="CA433" s="124"/>
      <c r="CB433" s="124"/>
      <c r="CC433" s="124"/>
      <c r="CD433" s="124"/>
      <c r="CE433" s="124"/>
      <c r="CF433" s="124"/>
      <c r="CG433" s="124"/>
      <c r="CH433" s="124"/>
      <c r="CI433" s="124"/>
      <c r="CJ433" s="124"/>
      <c r="CK433" s="124"/>
      <c r="CL433" s="124"/>
      <c r="CM433" s="124"/>
      <c r="CN433" s="124"/>
      <c r="CO433" s="124"/>
      <c r="CP433" s="124"/>
      <c r="CQ433" s="124"/>
      <c r="CR433" s="124"/>
      <c r="CS433" s="124"/>
      <c r="CT433" s="124"/>
      <c r="CU433" s="124"/>
      <c r="CV433" s="124"/>
      <c r="CW433" s="124"/>
      <c r="CX433" s="124"/>
      <c r="CY433" s="124"/>
      <c r="CZ433" s="124"/>
      <c r="DA433" s="124"/>
      <c r="DB433" s="124"/>
      <c r="DC433" s="124"/>
      <c r="DD433" s="124"/>
      <c r="DE433" s="124"/>
      <c r="DF433" s="124"/>
      <c r="DG433" s="124"/>
      <c r="DH433" s="124"/>
      <c r="DI433" s="124"/>
      <c r="DJ433" s="124"/>
      <c r="DK433" s="124"/>
      <c r="DL433" s="124"/>
      <c r="DM433" s="124"/>
      <c r="DN433" s="124"/>
      <c r="DO433" s="124"/>
      <c r="DP433" s="124"/>
      <c r="DQ433" s="124"/>
      <c r="DR433" s="124"/>
      <c r="DS433" s="124"/>
      <c r="DT433" s="124"/>
      <c r="DU433" s="124"/>
      <c r="DV433" s="124"/>
      <c r="DW433" s="124"/>
      <c r="DX433" s="124"/>
      <c r="DY433" s="124"/>
      <c r="DZ433" s="124"/>
      <c r="EA433" s="124"/>
      <c r="EB433" s="124"/>
      <c r="EC433" s="124"/>
      <c r="ED433" s="124"/>
      <c r="EE433" s="124"/>
      <c r="EF433" s="124"/>
      <c r="EG433" s="124"/>
      <c r="EH433" s="124"/>
      <c r="EI433" s="124"/>
      <c r="EJ433" s="124"/>
      <c r="EK433" s="124"/>
      <c r="EL433" s="124"/>
      <c r="EM433" s="124"/>
      <c r="EN433" s="124"/>
      <c r="EO433" s="124"/>
      <c r="EP433" s="124"/>
      <c r="EQ433" s="124"/>
      <c r="ER433" s="124"/>
      <c r="ES433" s="124"/>
      <c r="ET433" s="124"/>
      <c r="EU433" s="124"/>
      <c r="EV433" s="124"/>
      <c r="EW433" s="124"/>
      <c r="EX433" s="124"/>
      <c r="EY433" s="124"/>
      <c r="EZ433" s="124"/>
      <c r="FA433" s="124"/>
      <c r="FB433" s="124"/>
      <c r="FC433" s="124"/>
      <c r="FD433" s="124"/>
      <c r="FE433" s="124"/>
      <c r="FF433" s="124"/>
      <c r="FG433" s="124"/>
      <c r="FH433" s="124"/>
      <c r="FI433" s="124"/>
      <c r="FJ433" s="124"/>
      <c r="FK433" s="124"/>
      <c r="FL433" s="124"/>
      <c r="FM433" s="124"/>
      <c r="FN433" s="124"/>
      <c r="FO433" s="124"/>
      <c r="FP433" s="124"/>
      <c r="FQ433" s="124"/>
      <c r="FR433" s="124"/>
      <c r="FS433" s="124"/>
      <c r="FT433" s="124"/>
      <c r="FU433" s="124"/>
      <c r="FV433" s="124"/>
      <c r="FW433" s="124"/>
      <c r="FX433" s="124"/>
      <c r="FY433" s="124"/>
      <c r="FZ433" s="124"/>
      <c r="GA433" s="124"/>
      <c r="GB433" s="124"/>
      <c r="GC433" s="124"/>
      <c r="GD433" s="124"/>
      <c r="GE433" s="124"/>
      <c r="GF433" s="124"/>
      <c r="GG433" s="124"/>
      <c r="GH433" s="124"/>
      <c r="GI433" s="124"/>
      <c r="GJ433" s="124"/>
      <c r="GK433" s="124"/>
      <c r="GL433" s="124"/>
      <c r="GM433" s="124"/>
      <c r="GN433" s="124"/>
      <c r="GO433" s="124"/>
      <c r="GP433" s="124"/>
      <c r="GQ433" s="124"/>
      <c r="GR433" s="124"/>
      <c r="GS433" s="124"/>
      <c r="GT433" s="124"/>
      <c r="GU433" s="124"/>
      <c r="GV433" s="124"/>
      <c r="GW433" s="124"/>
      <c r="GX433" s="124"/>
      <c r="GY433" s="124"/>
      <c r="GZ433" s="124"/>
      <c r="HA433" s="124"/>
      <c r="HB433" s="124"/>
      <c r="HC433" s="124"/>
      <c r="HD433" s="124"/>
      <c r="HE433" s="124"/>
      <c r="HF433" s="124"/>
      <c r="HG433" s="124"/>
      <c r="HH433" s="124"/>
      <c r="HI433" s="124"/>
      <c r="HJ433" s="124"/>
      <c r="HK433" s="124"/>
      <c r="HL433" s="124"/>
      <c r="HM433" s="124"/>
      <c r="HN433" s="124"/>
      <c r="HO433" s="124"/>
      <c r="HP433" s="124"/>
      <c r="HQ433" s="124"/>
    </row>
    <row r="434" spans="1:225" x14ac:dyDescent="0.2">
      <c r="A434" s="122"/>
      <c r="B434" s="123"/>
      <c r="C434" s="124"/>
      <c r="D434" s="123"/>
      <c r="E434" s="124"/>
      <c r="F434" s="123"/>
      <c r="G434" s="123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  <c r="AU434" s="124"/>
      <c r="AV434" s="124"/>
      <c r="AW434" s="124"/>
      <c r="AX434" s="124"/>
      <c r="AY434" s="124"/>
      <c r="AZ434" s="124"/>
      <c r="BA434" s="124"/>
      <c r="BB434" s="124"/>
      <c r="BC434" s="124"/>
      <c r="BD434" s="124"/>
      <c r="BE434" s="124"/>
      <c r="BF434" s="124"/>
      <c r="BG434" s="124"/>
      <c r="BH434" s="124"/>
      <c r="BI434" s="124"/>
      <c r="BJ434" s="124"/>
      <c r="BK434" s="124"/>
      <c r="BL434" s="124"/>
      <c r="BM434" s="124"/>
      <c r="BN434" s="124"/>
      <c r="BO434" s="124"/>
      <c r="BP434" s="124"/>
      <c r="BQ434" s="124"/>
      <c r="BR434" s="124"/>
      <c r="BS434" s="124"/>
      <c r="BT434" s="124"/>
      <c r="BU434" s="124"/>
      <c r="BV434" s="124"/>
      <c r="BW434" s="124"/>
      <c r="BX434" s="124"/>
      <c r="BY434" s="124"/>
      <c r="BZ434" s="124"/>
      <c r="CA434" s="124"/>
      <c r="CB434" s="124"/>
      <c r="CC434" s="124"/>
      <c r="CD434" s="124"/>
      <c r="CE434" s="124"/>
      <c r="CF434" s="124"/>
      <c r="CG434" s="124"/>
      <c r="CH434" s="124"/>
      <c r="CI434" s="124"/>
      <c r="CJ434" s="124"/>
      <c r="CK434" s="124"/>
      <c r="CL434" s="124"/>
      <c r="CM434" s="124"/>
      <c r="CN434" s="124"/>
      <c r="CO434" s="124"/>
      <c r="CP434" s="124"/>
      <c r="CQ434" s="124"/>
      <c r="CR434" s="124"/>
      <c r="CS434" s="124"/>
      <c r="CT434" s="124"/>
      <c r="CU434" s="124"/>
      <c r="CV434" s="124"/>
      <c r="CW434" s="124"/>
      <c r="CX434" s="124"/>
      <c r="CY434" s="124"/>
      <c r="CZ434" s="124"/>
      <c r="DA434" s="124"/>
      <c r="DB434" s="124"/>
      <c r="DC434" s="124"/>
      <c r="DD434" s="124"/>
      <c r="DE434" s="124"/>
      <c r="DF434" s="124"/>
      <c r="DG434" s="124"/>
      <c r="DH434" s="124"/>
      <c r="DI434" s="124"/>
      <c r="DJ434" s="124"/>
      <c r="DK434" s="124"/>
      <c r="DL434" s="124"/>
      <c r="DM434" s="124"/>
      <c r="DN434" s="124"/>
      <c r="DO434" s="124"/>
      <c r="DP434" s="124"/>
      <c r="DQ434" s="124"/>
      <c r="DR434" s="124"/>
      <c r="DS434" s="124"/>
      <c r="DT434" s="124"/>
      <c r="DU434" s="124"/>
      <c r="DV434" s="124"/>
      <c r="DW434" s="124"/>
      <c r="DX434" s="124"/>
      <c r="DY434" s="124"/>
      <c r="DZ434" s="124"/>
      <c r="EA434" s="124"/>
      <c r="EB434" s="124"/>
      <c r="EC434" s="124"/>
      <c r="ED434" s="124"/>
      <c r="EE434" s="124"/>
      <c r="EF434" s="124"/>
      <c r="EG434" s="124"/>
      <c r="EH434" s="124"/>
      <c r="EI434" s="124"/>
      <c r="EJ434" s="124"/>
      <c r="EK434" s="124"/>
      <c r="EL434" s="124"/>
      <c r="EM434" s="124"/>
      <c r="EN434" s="124"/>
      <c r="EO434" s="124"/>
      <c r="EP434" s="124"/>
      <c r="EQ434" s="124"/>
      <c r="ER434" s="124"/>
      <c r="ES434" s="124"/>
      <c r="ET434" s="124"/>
      <c r="EU434" s="124"/>
      <c r="EV434" s="124"/>
      <c r="EW434" s="124"/>
      <c r="EX434" s="124"/>
      <c r="EY434" s="124"/>
      <c r="EZ434" s="124"/>
      <c r="FA434" s="124"/>
      <c r="FB434" s="124"/>
      <c r="FC434" s="124"/>
      <c r="FD434" s="124"/>
      <c r="FE434" s="124"/>
      <c r="FF434" s="124"/>
      <c r="FG434" s="124"/>
      <c r="FH434" s="124"/>
      <c r="FI434" s="124"/>
      <c r="FJ434" s="124"/>
      <c r="FK434" s="124"/>
      <c r="FL434" s="124"/>
      <c r="FM434" s="124"/>
      <c r="FN434" s="124"/>
      <c r="FO434" s="124"/>
      <c r="FP434" s="124"/>
      <c r="FQ434" s="124"/>
      <c r="FR434" s="124"/>
      <c r="FS434" s="124"/>
      <c r="FT434" s="124"/>
      <c r="FU434" s="124"/>
      <c r="FV434" s="124"/>
      <c r="FW434" s="124"/>
      <c r="FX434" s="124"/>
      <c r="FY434" s="124"/>
      <c r="FZ434" s="124"/>
      <c r="GA434" s="124"/>
      <c r="GB434" s="124"/>
      <c r="GC434" s="124"/>
      <c r="GD434" s="124"/>
      <c r="GE434" s="124"/>
      <c r="GF434" s="124"/>
      <c r="GG434" s="124"/>
      <c r="GH434" s="124"/>
      <c r="GI434" s="124"/>
      <c r="GJ434" s="124"/>
      <c r="GK434" s="124"/>
      <c r="GL434" s="124"/>
      <c r="GM434" s="124"/>
      <c r="GN434" s="124"/>
      <c r="GO434" s="124"/>
      <c r="GP434" s="124"/>
      <c r="GQ434" s="124"/>
      <c r="GR434" s="124"/>
      <c r="GS434" s="124"/>
      <c r="GT434" s="124"/>
      <c r="GU434" s="124"/>
      <c r="GV434" s="124"/>
      <c r="GW434" s="124"/>
      <c r="GX434" s="124"/>
      <c r="GY434" s="124"/>
      <c r="GZ434" s="124"/>
      <c r="HA434" s="124"/>
      <c r="HB434" s="124"/>
      <c r="HC434" s="124"/>
      <c r="HD434" s="124"/>
      <c r="HE434" s="124"/>
      <c r="HF434" s="124"/>
      <c r="HG434" s="124"/>
      <c r="HH434" s="124"/>
      <c r="HI434" s="124"/>
      <c r="HJ434" s="124"/>
      <c r="HK434" s="124"/>
      <c r="HL434" s="124"/>
      <c r="HM434" s="124"/>
      <c r="HN434" s="124"/>
      <c r="HO434" s="124"/>
      <c r="HP434" s="124"/>
      <c r="HQ434" s="124"/>
    </row>
    <row r="435" spans="1:225" x14ac:dyDescent="0.2">
      <c r="A435" s="122"/>
      <c r="B435" s="123"/>
      <c r="C435" s="124"/>
      <c r="D435" s="123"/>
      <c r="E435" s="124"/>
      <c r="F435" s="123"/>
      <c r="G435" s="123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124"/>
      <c r="AU435" s="124"/>
      <c r="AV435" s="124"/>
      <c r="AW435" s="124"/>
      <c r="AX435" s="124"/>
      <c r="AY435" s="124"/>
      <c r="AZ435" s="124"/>
      <c r="BA435" s="124"/>
      <c r="BB435" s="124"/>
      <c r="BC435" s="124"/>
      <c r="BD435" s="124"/>
      <c r="BE435" s="124"/>
      <c r="BF435" s="124"/>
      <c r="BG435" s="124"/>
      <c r="BH435" s="124"/>
      <c r="BI435" s="124"/>
      <c r="BJ435" s="124"/>
      <c r="BK435" s="124"/>
      <c r="BL435" s="124"/>
      <c r="BM435" s="124"/>
      <c r="BN435" s="124"/>
      <c r="BO435" s="124"/>
      <c r="BP435" s="124"/>
      <c r="BQ435" s="124"/>
      <c r="BR435" s="124"/>
      <c r="BS435" s="124"/>
      <c r="BT435" s="124"/>
      <c r="BU435" s="124"/>
      <c r="BV435" s="124"/>
      <c r="BW435" s="124"/>
      <c r="BX435" s="124"/>
      <c r="BY435" s="124"/>
      <c r="BZ435" s="124"/>
      <c r="CA435" s="124"/>
      <c r="CB435" s="124"/>
      <c r="CC435" s="124"/>
      <c r="CD435" s="124"/>
      <c r="CE435" s="124"/>
      <c r="CF435" s="124"/>
      <c r="CG435" s="124"/>
      <c r="CH435" s="124"/>
      <c r="CI435" s="124"/>
      <c r="CJ435" s="124"/>
      <c r="CK435" s="124"/>
      <c r="CL435" s="124"/>
      <c r="CM435" s="124"/>
      <c r="CN435" s="124"/>
      <c r="CO435" s="124"/>
      <c r="CP435" s="124"/>
      <c r="CQ435" s="124"/>
      <c r="CR435" s="124"/>
      <c r="CS435" s="124"/>
      <c r="CT435" s="124"/>
      <c r="CU435" s="124"/>
      <c r="CV435" s="124"/>
      <c r="CW435" s="124"/>
      <c r="CX435" s="124"/>
      <c r="CY435" s="124"/>
      <c r="CZ435" s="124"/>
      <c r="DA435" s="124"/>
      <c r="DB435" s="124"/>
      <c r="DC435" s="124"/>
      <c r="DD435" s="124"/>
      <c r="DE435" s="124"/>
      <c r="DF435" s="124"/>
      <c r="DG435" s="124"/>
      <c r="DH435" s="124"/>
      <c r="DI435" s="124"/>
      <c r="DJ435" s="124"/>
      <c r="DK435" s="124"/>
      <c r="DL435" s="124"/>
      <c r="DM435" s="124"/>
      <c r="DN435" s="124"/>
      <c r="DO435" s="124"/>
      <c r="DP435" s="124"/>
      <c r="DQ435" s="124"/>
      <c r="DR435" s="124"/>
      <c r="DS435" s="124"/>
      <c r="DT435" s="124"/>
      <c r="DU435" s="124"/>
      <c r="DV435" s="124"/>
      <c r="DW435" s="124"/>
      <c r="DX435" s="124"/>
      <c r="DY435" s="124"/>
      <c r="DZ435" s="124"/>
      <c r="EA435" s="124"/>
      <c r="EB435" s="124"/>
      <c r="EC435" s="124"/>
      <c r="ED435" s="124"/>
      <c r="EE435" s="124"/>
      <c r="EF435" s="124"/>
      <c r="EG435" s="124"/>
      <c r="EH435" s="124"/>
      <c r="EI435" s="124"/>
      <c r="EJ435" s="124"/>
      <c r="EK435" s="124"/>
      <c r="EL435" s="124"/>
      <c r="EM435" s="124"/>
      <c r="EN435" s="124"/>
      <c r="EO435" s="124"/>
      <c r="EP435" s="124"/>
      <c r="EQ435" s="124"/>
      <c r="ER435" s="124"/>
      <c r="ES435" s="124"/>
      <c r="ET435" s="124"/>
      <c r="EU435" s="124"/>
      <c r="EV435" s="124"/>
      <c r="EW435" s="124"/>
      <c r="EX435" s="124"/>
      <c r="EY435" s="124"/>
      <c r="EZ435" s="124"/>
      <c r="FA435" s="124"/>
      <c r="FB435" s="124"/>
      <c r="FC435" s="124"/>
      <c r="FD435" s="124"/>
      <c r="FE435" s="124"/>
      <c r="FF435" s="124"/>
      <c r="FG435" s="124"/>
      <c r="FH435" s="124"/>
      <c r="FI435" s="124"/>
      <c r="FJ435" s="124"/>
      <c r="FK435" s="124"/>
      <c r="FL435" s="124"/>
      <c r="FM435" s="124"/>
      <c r="FN435" s="124"/>
      <c r="FO435" s="124"/>
      <c r="FP435" s="124"/>
      <c r="FQ435" s="124"/>
      <c r="FR435" s="124"/>
      <c r="FS435" s="124"/>
      <c r="FT435" s="124"/>
      <c r="FU435" s="124"/>
      <c r="FV435" s="124"/>
      <c r="FW435" s="124"/>
      <c r="FX435" s="124"/>
      <c r="FY435" s="124"/>
      <c r="FZ435" s="124"/>
      <c r="GA435" s="124"/>
      <c r="GB435" s="124"/>
      <c r="GC435" s="124"/>
      <c r="GD435" s="124"/>
      <c r="GE435" s="124"/>
      <c r="GF435" s="124"/>
      <c r="GG435" s="124"/>
      <c r="GH435" s="124"/>
      <c r="GI435" s="124"/>
      <c r="GJ435" s="124"/>
      <c r="GK435" s="124"/>
      <c r="GL435" s="124"/>
      <c r="GM435" s="124"/>
      <c r="GN435" s="124"/>
      <c r="GO435" s="124"/>
      <c r="GP435" s="124"/>
      <c r="GQ435" s="124"/>
      <c r="GR435" s="124"/>
      <c r="GS435" s="124"/>
      <c r="GT435" s="124"/>
      <c r="GU435" s="124"/>
      <c r="GV435" s="124"/>
      <c r="GW435" s="124"/>
      <c r="GX435" s="124"/>
      <c r="GY435" s="124"/>
      <c r="GZ435" s="124"/>
      <c r="HA435" s="124"/>
      <c r="HB435" s="124"/>
      <c r="HC435" s="124"/>
      <c r="HD435" s="124"/>
      <c r="HE435" s="124"/>
      <c r="HF435" s="124"/>
      <c r="HG435" s="124"/>
      <c r="HH435" s="124"/>
      <c r="HI435" s="124"/>
      <c r="HJ435" s="124"/>
      <c r="HK435" s="124"/>
      <c r="HL435" s="124"/>
      <c r="HM435" s="124"/>
      <c r="HN435" s="124"/>
      <c r="HO435" s="124"/>
      <c r="HP435" s="124"/>
      <c r="HQ435" s="124"/>
    </row>
    <row r="436" spans="1:225" x14ac:dyDescent="0.2">
      <c r="A436" s="122"/>
      <c r="B436" s="123"/>
      <c r="C436" s="124"/>
      <c r="D436" s="123"/>
      <c r="E436" s="124"/>
      <c r="F436" s="123"/>
      <c r="G436" s="123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  <c r="AT436" s="124"/>
      <c r="AU436" s="124"/>
      <c r="AV436" s="124"/>
      <c r="AW436" s="124"/>
      <c r="AX436" s="124"/>
      <c r="AY436" s="124"/>
      <c r="AZ436" s="124"/>
      <c r="BA436" s="124"/>
      <c r="BB436" s="124"/>
      <c r="BC436" s="124"/>
      <c r="BD436" s="124"/>
      <c r="BE436" s="124"/>
      <c r="BF436" s="124"/>
      <c r="BG436" s="124"/>
      <c r="BH436" s="124"/>
      <c r="BI436" s="124"/>
      <c r="BJ436" s="124"/>
      <c r="BK436" s="124"/>
      <c r="BL436" s="124"/>
      <c r="BM436" s="124"/>
      <c r="BN436" s="124"/>
      <c r="BO436" s="124"/>
      <c r="BP436" s="124"/>
      <c r="BQ436" s="124"/>
      <c r="BR436" s="124"/>
      <c r="BS436" s="124"/>
      <c r="BT436" s="124"/>
      <c r="BU436" s="124"/>
      <c r="BV436" s="124"/>
      <c r="BW436" s="124"/>
      <c r="BX436" s="124"/>
      <c r="BY436" s="124"/>
      <c r="BZ436" s="124"/>
      <c r="CA436" s="124"/>
      <c r="CB436" s="124"/>
      <c r="CC436" s="124"/>
      <c r="CD436" s="124"/>
      <c r="CE436" s="124"/>
      <c r="CF436" s="124"/>
      <c r="CG436" s="124"/>
      <c r="CH436" s="124"/>
      <c r="CI436" s="124"/>
      <c r="CJ436" s="124"/>
      <c r="CK436" s="124"/>
      <c r="CL436" s="124"/>
      <c r="CM436" s="124"/>
      <c r="CN436" s="124"/>
      <c r="CO436" s="124"/>
      <c r="CP436" s="124"/>
      <c r="CQ436" s="124"/>
      <c r="CR436" s="124"/>
      <c r="CS436" s="124"/>
      <c r="CT436" s="124"/>
      <c r="CU436" s="124"/>
      <c r="CV436" s="124"/>
      <c r="CW436" s="124"/>
      <c r="CX436" s="124"/>
      <c r="CY436" s="124"/>
      <c r="CZ436" s="124"/>
      <c r="DA436" s="124"/>
      <c r="DB436" s="124"/>
      <c r="DC436" s="124"/>
      <c r="DD436" s="124"/>
      <c r="DE436" s="124"/>
      <c r="DF436" s="124"/>
      <c r="DG436" s="124"/>
      <c r="DH436" s="124"/>
      <c r="DI436" s="124"/>
      <c r="DJ436" s="124"/>
      <c r="DK436" s="124"/>
      <c r="DL436" s="124"/>
      <c r="DM436" s="124"/>
      <c r="DN436" s="124"/>
      <c r="DO436" s="124"/>
      <c r="DP436" s="124"/>
      <c r="DQ436" s="124"/>
      <c r="DR436" s="124"/>
      <c r="DS436" s="124"/>
      <c r="DT436" s="124"/>
      <c r="DU436" s="124"/>
      <c r="DV436" s="124"/>
      <c r="DW436" s="124"/>
      <c r="DX436" s="124"/>
      <c r="DY436" s="124"/>
      <c r="DZ436" s="124"/>
      <c r="EA436" s="124"/>
      <c r="EB436" s="124"/>
      <c r="EC436" s="124"/>
      <c r="ED436" s="124"/>
      <c r="EE436" s="124"/>
      <c r="EF436" s="124"/>
      <c r="EG436" s="124"/>
      <c r="EH436" s="124"/>
      <c r="EI436" s="124"/>
      <c r="EJ436" s="124"/>
      <c r="EK436" s="124"/>
      <c r="EL436" s="124"/>
      <c r="EM436" s="124"/>
      <c r="EN436" s="124"/>
      <c r="EO436" s="124"/>
      <c r="EP436" s="124"/>
      <c r="EQ436" s="124"/>
      <c r="ER436" s="124"/>
      <c r="ES436" s="124"/>
      <c r="ET436" s="124"/>
      <c r="EU436" s="124"/>
      <c r="EV436" s="124"/>
      <c r="EW436" s="124"/>
      <c r="EX436" s="124"/>
      <c r="EY436" s="124"/>
      <c r="EZ436" s="124"/>
      <c r="FA436" s="124"/>
      <c r="FB436" s="124"/>
      <c r="FC436" s="124"/>
      <c r="FD436" s="124"/>
      <c r="FE436" s="124"/>
      <c r="FF436" s="124"/>
      <c r="FG436" s="124"/>
      <c r="FH436" s="124"/>
      <c r="FI436" s="124"/>
      <c r="FJ436" s="124"/>
      <c r="FK436" s="124"/>
      <c r="FL436" s="124"/>
      <c r="FM436" s="124"/>
      <c r="FN436" s="124"/>
      <c r="FO436" s="124"/>
      <c r="FP436" s="124"/>
      <c r="FQ436" s="124"/>
      <c r="FR436" s="124"/>
      <c r="FS436" s="124"/>
      <c r="FT436" s="124"/>
      <c r="FU436" s="124"/>
      <c r="FV436" s="124"/>
      <c r="FW436" s="124"/>
      <c r="FX436" s="124"/>
      <c r="FY436" s="124"/>
      <c r="FZ436" s="124"/>
      <c r="GA436" s="124"/>
      <c r="GB436" s="124"/>
      <c r="GC436" s="124"/>
      <c r="GD436" s="124"/>
      <c r="GE436" s="124"/>
      <c r="GF436" s="124"/>
      <c r="GG436" s="124"/>
      <c r="GH436" s="124"/>
      <c r="GI436" s="124"/>
      <c r="GJ436" s="124"/>
      <c r="GK436" s="124"/>
      <c r="GL436" s="124"/>
      <c r="GM436" s="124"/>
      <c r="GN436" s="124"/>
      <c r="GO436" s="124"/>
      <c r="GP436" s="124"/>
      <c r="GQ436" s="124"/>
      <c r="GR436" s="124"/>
      <c r="GS436" s="124"/>
      <c r="GT436" s="124"/>
      <c r="GU436" s="124"/>
      <c r="GV436" s="124"/>
      <c r="GW436" s="124"/>
      <c r="GX436" s="124"/>
      <c r="GY436" s="124"/>
      <c r="GZ436" s="124"/>
      <c r="HA436" s="124"/>
      <c r="HB436" s="124"/>
      <c r="HC436" s="124"/>
      <c r="HD436" s="124"/>
      <c r="HE436" s="124"/>
      <c r="HF436" s="124"/>
      <c r="HG436" s="124"/>
      <c r="HH436" s="124"/>
      <c r="HI436" s="124"/>
      <c r="HJ436" s="124"/>
      <c r="HK436" s="124"/>
      <c r="HL436" s="124"/>
      <c r="HM436" s="124"/>
      <c r="HN436" s="124"/>
      <c r="HO436" s="124"/>
      <c r="HP436" s="124"/>
      <c r="HQ436" s="124"/>
    </row>
    <row r="437" spans="1:225" x14ac:dyDescent="0.2">
      <c r="A437" s="122"/>
      <c r="B437" s="123"/>
      <c r="C437" s="124"/>
      <c r="D437" s="123"/>
      <c r="E437" s="124"/>
      <c r="F437" s="123"/>
      <c r="G437" s="123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  <c r="AU437" s="124"/>
      <c r="AV437" s="124"/>
      <c r="AW437" s="124"/>
      <c r="AX437" s="124"/>
      <c r="AY437" s="124"/>
      <c r="AZ437" s="124"/>
      <c r="BA437" s="124"/>
      <c r="BB437" s="124"/>
      <c r="BC437" s="124"/>
      <c r="BD437" s="124"/>
      <c r="BE437" s="124"/>
      <c r="BF437" s="124"/>
      <c r="BG437" s="124"/>
      <c r="BH437" s="124"/>
      <c r="BI437" s="124"/>
      <c r="BJ437" s="124"/>
      <c r="BK437" s="124"/>
      <c r="BL437" s="124"/>
      <c r="BM437" s="124"/>
      <c r="BN437" s="124"/>
      <c r="BO437" s="124"/>
      <c r="BP437" s="124"/>
      <c r="BQ437" s="124"/>
      <c r="BR437" s="124"/>
      <c r="BS437" s="124"/>
      <c r="BT437" s="124"/>
      <c r="BU437" s="124"/>
      <c r="BV437" s="124"/>
      <c r="BW437" s="124"/>
      <c r="BX437" s="124"/>
      <c r="BY437" s="124"/>
      <c r="BZ437" s="124"/>
      <c r="CA437" s="124"/>
      <c r="CB437" s="124"/>
      <c r="CC437" s="124"/>
      <c r="CD437" s="124"/>
      <c r="CE437" s="124"/>
      <c r="CF437" s="124"/>
      <c r="CG437" s="124"/>
      <c r="CH437" s="124"/>
      <c r="CI437" s="124"/>
      <c r="CJ437" s="124"/>
      <c r="CK437" s="124"/>
      <c r="CL437" s="124"/>
      <c r="CM437" s="124"/>
      <c r="CN437" s="124"/>
      <c r="CO437" s="124"/>
      <c r="CP437" s="124"/>
      <c r="CQ437" s="124"/>
      <c r="CR437" s="124"/>
      <c r="CS437" s="124"/>
      <c r="CT437" s="124"/>
      <c r="CU437" s="124"/>
      <c r="CV437" s="124"/>
      <c r="CW437" s="124"/>
      <c r="CX437" s="124"/>
      <c r="CY437" s="124"/>
      <c r="CZ437" s="124"/>
      <c r="DA437" s="124"/>
      <c r="DB437" s="124"/>
      <c r="DC437" s="124"/>
      <c r="DD437" s="124"/>
      <c r="DE437" s="124"/>
      <c r="DF437" s="124"/>
      <c r="DG437" s="124"/>
      <c r="DH437" s="124"/>
      <c r="DI437" s="124"/>
      <c r="DJ437" s="124"/>
      <c r="DK437" s="124"/>
      <c r="DL437" s="124"/>
      <c r="DM437" s="124"/>
      <c r="DN437" s="124"/>
      <c r="DO437" s="124"/>
      <c r="DP437" s="124"/>
      <c r="DQ437" s="124"/>
      <c r="DR437" s="124"/>
      <c r="DS437" s="124"/>
      <c r="DT437" s="124"/>
      <c r="DU437" s="124"/>
      <c r="DV437" s="124"/>
      <c r="DW437" s="124"/>
      <c r="DX437" s="124"/>
      <c r="DY437" s="124"/>
      <c r="DZ437" s="124"/>
      <c r="EA437" s="124"/>
      <c r="EB437" s="124"/>
      <c r="EC437" s="124"/>
      <c r="ED437" s="124"/>
      <c r="EE437" s="124"/>
      <c r="EF437" s="124"/>
      <c r="EG437" s="124"/>
      <c r="EH437" s="124"/>
      <c r="EI437" s="124"/>
      <c r="EJ437" s="124"/>
      <c r="EK437" s="124"/>
      <c r="EL437" s="124"/>
      <c r="EM437" s="124"/>
      <c r="EN437" s="124"/>
      <c r="EO437" s="124"/>
      <c r="EP437" s="124"/>
      <c r="EQ437" s="124"/>
      <c r="ER437" s="124"/>
      <c r="ES437" s="124"/>
      <c r="ET437" s="124"/>
      <c r="EU437" s="124"/>
      <c r="EV437" s="124"/>
      <c r="EW437" s="124"/>
      <c r="EX437" s="124"/>
      <c r="EY437" s="124"/>
      <c r="EZ437" s="124"/>
      <c r="FA437" s="124"/>
      <c r="FB437" s="124"/>
      <c r="FC437" s="124"/>
      <c r="FD437" s="124"/>
      <c r="FE437" s="124"/>
      <c r="FF437" s="124"/>
      <c r="FG437" s="124"/>
      <c r="FH437" s="124"/>
      <c r="FI437" s="124"/>
      <c r="FJ437" s="124"/>
      <c r="FK437" s="124"/>
      <c r="FL437" s="124"/>
      <c r="FM437" s="124"/>
      <c r="FN437" s="124"/>
      <c r="FO437" s="124"/>
      <c r="FP437" s="124"/>
      <c r="FQ437" s="124"/>
      <c r="FR437" s="124"/>
      <c r="FS437" s="124"/>
      <c r="FT437" s="124"/>
      <c r="FU437" s="124"/>
      <c r="FV437" s="124"/>
      <c r="FW437" s="124"/>
      <c r="FX437" s="124"/>
      <c r="FY437" s="124"/>
      <c r="FZ437" s="124"/>
      <c r="GA437" s="124"/>
      <c r="GB437" s="124"/>
      <c r="GC437" s="124"/>
      <c r="GD437" s="124"/>
      <c r="GE437" s="124"/>
      <c r="GF437" s="124"/>
      <c r="GG437" s="124"/>
      <c r="GH437" s="124"/>
      <c r="GI437" s="124"/>
      <c r="GJ437" s="124"/>
      <c r="GK437" s="124"/>
      <c r="GL437" s="124"/>
      <c r="GM437" s="124"/>
      <c r="GN437" s="124"/>
      <c r="GO437" s="124"/>
      <c r="GP437" s="124"/>
      <c r="GQ437" s="124"/>
      <c r="GR437" s="124"/>
      <c r="GS437" s="124"/>
      <c r="GT437" s="124"/>
      <c r="GU437" s="124"/>
      <c r="GV437" s="124"/>
      <c r="GW437" s="124"/>
      <c r="GX437" s="124"/>
      <c r="GY437" s="124"/>
      <c r="GZ437" s="124"/>
      <c r="HA437" s="124"/>
      <c r="HB437" s="124"/>
      <c r="HC437" s="124"/>
      <c r="HD437" s="124"/>
      <c r="HE437" s="124"/>
      <c r="HF437" s="124"/>
      <c r="HG437" s="124"/>
      <c r="HH437" s="124"/>
      <c r="HI437" s="124"/>
      <c r="HJ437" s="124"/>
      <c r="HK437" s="124"/>
      <c r="HL437" s="124"/>
      <c r="HM437" s="124"/>
      <c r="HN437" s="124"/>
      <c r="HO437" s="124"/>
      <c r="HP437" s="124"/>
      <c r="HQ437" s="124"/>
    </row>
    <row r="438" spans="1:225" x14ac:dyDescent="0.2">
      <c r="A438" s="122"/>
      <c r="B438" s="123"/>
      <c r="C438" s="124"/>
      <c r="D438" s="123"/>
      <c r="E438" s="124"/>
      <c r="F438" s="123"/>
      <c r="G438" s="123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  <c r="BJ438" s="124"/>
      <c r="BK438" s="124"/>
      <c r="BL438" s="124"/>
      <c r="BM438" s="124"/>
      <c r="BN438" s="124"/>
      <c r="BO438" s="124"/>
      <c r="BP438" s="124"/>
      <c r="BQ438" s="124"/>
      <c r="BR438" s="124"/>
      <c r="BS438" s="124"/>
      <c r="BT438" s="124"/>
      <c r="BU438" s="124"/>
      <c r="BV438" s="124"/>
      <c r="BW438" s="124"/>
      <c r="BX438" s="124"/>
      <c r="BY438" s="124"/>
      <c r="BZ438" s="124"/>
      <c r="CA438" s="124"/>
      <c r="CB438" s="124"/>
      <c r="CC438" s="124"/>
      <c r="CD438" s="124"/>
      <c r="CE438" s="124"/>
      <c r="CF438" s="124"/>
      <c r="CG438" s="124"/>
      <c r="CH438" s="124"/>
      <c r="CI438" s="124"/>
      <c r="CJ438" s="124"/>
      <c r="CK438" s="124"/>
      <c r="CL438" s="124"/>
      <c r="CM438" s="124"/>
      <c r="CN438" s="124"/>
      <c r="CO438" s="124"/>
      <c r="CP438" s="124"/>
      <c r="CQ438" s="124"/>
      <c r="CR438" s="124"/>
      <c r="CS438" s="124"/>
      <c r="CT438" s="124"/>
      <c r="CU438" s="124"/>
      <c r="CV438" s="124"/>
      <c r="CW438" s="124"/>
      <c r="CX438" s="124"/>
      <c r="CY438" s="124"/>
      <c r="CZ438" s="124"/>
      <c r="DA438" s="124"/>
      <c r="DB438" s="124"/>
      <c r="DC438" s="124"/>
      <c r="DD438" s="124"/>
      <c r="DE438" s="124"/>
      <c r="DF438" s="124"/>
      <c r="DG438" s="124"/>
      <c r="DH438" s="124"/>
      <c r="DI438" s="124"/>
      <c r="DJ438" s="124"/>
      <c r="DK438" s="124"/>
      <c r="DL438" s="124"/>
      <c r="DM438" s="124"/>
      <c r="DN438" s="124"/>
      <c r="DO438" s="124"/>
      <c r="DP438" s="124"/>
      <c r="DQ438" s="124"/>
      <c r="DR438" s="124"/>
      <c r="DS438" s="124"/>
      <c r="DT438" s="124"/>
      <c r="DU438" s="124"/>
      <c r="DV438" s="124"/>
      <c r="DW438" s="124"/>
      <c r="DX438" s="124"/>
      <c r="DY438" s="124"/>
      <c r="DZ438" s="124"/>
      <c r="EA438" s="124"/>
      <c r="EB438" s="124"/>
      <c r="EC438" s="124"/>
      <c r="ED438" s="124"/>
      <c r="EE438" s="124"/>
      <c r="EF438" s="124"/>
      <c r="EG438" s="124"/>
      <c r="EH438" s="124"/>
      <c r="EI438" s="124"/>
      <c r="EJ438" s="124"/>
      <c r="EK438" s="124"/>
      <c r="EL438" s="124"/>
      <c r="EM438" s="124"/>
      <c r="EN438" s="124"/>
      <c r="EO438" s="124"/>
      <c r="EP438" s="124"/>
      <c r="EQ438" s="124"/>
      <c r="ER438" s="124"/>
      <c r="ES438" s="124"/>
      <c r="ET438" s="124"/>
      <c r="EU438" s="124"/>
      <c r="EV438" s="124"/>
      <c r="EW438" s="124"/>
      <c r="EX438" s="124"/>
      <c r="EY438" s="124"/>
      <c r="EZ438" s="124"/>
      <c r="FA438" s="124"/>
      <c r="FB438" s="124"/>
      <c r="FC438" s="124"/>
      <c r="FD438" s="124"/>
      <c r="FE438" s="124"/>
      <c r="FF438" s="124"/>
      <c r="FG438" s="124"/>
      <c r="FH438" s="124"/>
      <c r="FI438" s="124"/>
      <c r="FJ438" s="124"/>
      <c r="FK438" s="124"/>
      <c r="FL438" s="124"/>
      <c r="FM438" s="124"/>
      <c r="FN438" s="124"/>
      <c r="FO438" s="124"/>
      <c r="FP438" s="124"/>
      <c r="FQ438" s="124"/>
      <c r="FR438" s="124"/>
      <c r="FS438" s="124"/>
      <c r="FT438" s="124"/>
      <c r="FU438" s="124"/>
      <c r="FV438" s="124"/>
      <c r="FW438" s="124"/>
      <c r="FX438" s="124"/>
      <c r="FY438" s="124"/>
      <c r="FZ438" s="124"/>
      <c r="GA438" s="124"/>
      <c r="GB438" s="124"/>
      <c r="GC438" s="124"/>
      <c r="GD438" s="124"/>
      <c r="GE438" s="124"/>
      <c r="GF438" s="124"/>
      <c r="GG438" s="124"/>
      <c r="GH438" s="124"/>
      <c r="GI438" s="124"/>
      <c r="GJ438" s="124"/>
      <c r="GK438" s="124"/>
      <c r="GL438" s="124"/>
      <c r="GM438" s="124"/>
      <c r="GN438" s="124"/>
      <c r="GO438" s="124"/>
      <c r="GP438" s="124"/>
      <c r="GQ438" s="124"/>
      <c r="GR438" s="124"/>
      <c r="GS438" s="124"/>
      <c r="GT438" s="124"/>
      <c r="GU438" s="124"/>
      <c r="GV438" s="124"/>
      <c r="GW438" s="124"/>
      <c r="GX438" s="124"/>
      <c r="GY438" s="124"/>
      <c r="GZ438" s="124"/>
      <c r="HA438" s="124"/>
      <c r="HB438" s="124"/>
      <c r="HC438" s="124"/>
      <c r="HD438" s="124"/>
      <c r="HE438" s="124"/>
      <c r="HF438" s="124"/>
      <c r="HG438" s="124"/>
      <c r="HH438" s="124"/>
      <c r="HI438" s="124"/>
      <c r="HJ438" s="124"/>
      <c r="HK438" s="124"/>
      <c r="HL438" s="124"/>
      <c r="HM438" s="124"/>
      <c r="HN438" s="124"/>
      <c r="HO438" s="124"/>
      <c r="HP438" s="124"/>
      <c r="HQ438" s="124"/>
    </row>
    <row r="439" spans="1:225" x14ac:dyDescent="0.2">
      <c r="A439" s="122"/>
      <c r="B439" s="123"/>
      <c r="C439" s="124"/>
      <c r="D439" s="123"/>
      <c r="E439" s="124"/>
      <c r="F439" s="123"/>
      <c r="G439" s="123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  <c r="AU439" s="124"/>
      <c r="AV439" s="124"/>
      <c r="AW439" s="124"/>
      <c r="AX439" s="124"/>
      <c r="AY439" s="124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  <c r="BJ439" s="124"/>
      <c r="BK439" s="124"/>
      <c r="BL439" s="124"/>
      <c r="BM439" s="124"/>
      <c r="BN439" s="124"/>
      <c r="BO439" s="124"/>
      <c r="BP439" s="124"/>
      <c r="BQ439" s="124"/>
      <c r="BR439" s="124"/>
      <c r="BS439" s="124"/>
      <c r="BT439" s="124"/>
      <c r="BU439" s="124"/>
      <c r="BV439" s="124"/>
      <c r="BW439" s="124"/>
      <c r="BX439" s="124"/>
      <c r="BY439" s="124"/>
      <c r="BZ439" s="124"/>
      <c r="CA439" s="124"/>
      <c r="CB439" s="124"/>
      <c r="CC439" s="124"/>
      <c r="CD439" s="124"/>
      <c r="CE439" s="124"/>
      <c r="CF439" s="124"/>
      <c r="CG439" s="124"/>
      <c r="CH439" s="124"/>
      <c r="CI439" s="124"/>
      <c r="CJ439" s="124"/>
      <c r="CK439" s="124"/>
      <c r="CL439" s="124"/>
      <c r="CM439" s="124"/>
      <c r="CN439" s="124"/>
      <c r="CO439" s="124"/>
      <c r="CP439" s="124"/>
      <c r="CQ439" s="124"/>
      <c r="CR439" s="124"/>
      <c r="CS439" s="124"/>
      <c r="CT439" s="124"/>
      <c r="CU439" s="124"/>
      <c r="CV439" s="124"/>
      <c r="CW439" s="124"/>
      <c r="CX439" s="124"/>
      <c r="CY439" s="124"/>
      <c r="CZ439" s="124"/>
      <c r="DA439" s="124"/>
      <c r="DB439" s="124"/>
      <c r="DC439" s="124"/>
      <c r="DD439" s="124"/>
      <c r="DE439" s="124"/>
      <c r="DF439" s="124"/>
      <c r="DG439" s="124"/>
      <c r="DH439" s="124"/>
      <c r="DI439" s="124"/>
      <c r="DJ439" s="124"/>
      <c r="DK439" s="124"/>
      <c r="DL439" s="124"/>
      <c r="DM439" s="124"/>
      <c r="DN439" s="124"/>
      <c r="DO439" s="124"/>
      <c r="DP439" s="124"/>
      <c r="DQ439" s="124"/>
      <c r="DR439" s="124"/>
      <c r="DS439" s="124"/>
      <c r="DT439" s="124"/>
      <c r="DU439" s="124"/>
      <c r="DV439" s="124"/>
      <c r="DW439" s="124"/>
      <c r="DX439" s="124"/>
      <c r="DY439" s="124"/>
      <c r="DZ439" s="124"/>
      <c r="EA439" s="124"/>
      <c r="EB439" s="124"/>
      <c r="EC439" s="124"/>
      <c r="ED439" s="124"/>
      <c r="EE439" s="124"/>
      <c r="EF439" s="124"/>
      <c r="EG439" s="124"/>
      <c r="EH439" s="124"/>
      <c r="EI439" s="124"/>
      <c r="EJ439" s="124"/>
      <c r="EK439" s="124"/>
      <c r="EL439" s="124"/>
      <c r="EM439" s="124"/>
      <c r="EN439" s="124"/>
      <c r="EO439" s="124"/>
      <c r="EP439" s="124"/>
      <c r="EQ439" s="124"/>
      <c r="ER439" s="124"/>
      <c r="ES439" s="124"/>
      <c r="ET439" s="124"/>
      <c r="EU439" s="124"/>
      <c r="EV439" s="124"/>
      <c r="EW439" s="124"/>
      <c r="EX439" s="124"/>
      <c r="EY439" s="124"/>
      <c r="EZ439" s="124"/>
      <c r="FA439" s="124"/>
      <c r="FB439" s="124"/>
      <c r="FC439" s="124"/>
      <c r="FD439" s="124"/>
      <c r="FE439" s="124"/>
      <c r="FF439" s="124"/>
      <c r="FG439" s="124"/>
      <c r="FH439" s="124"/>
      <c r="FI439" s="124"/>
      <c r="FJ439" s="124"/>
      <c r="FK439" s="124"/>
      <c r="FL439" s="124"/>
      <c r="FM439" s="124"/>
      <c r="FN439" s="124"/>
      <c r="FO439" s="124"/>
      <c r="FP439" s="124"/>
      <c r="FQ439" s="124"/>
      <c r="FR439" s="124"/>
      <c r="FS439" s="124"/>
      <c r="FT439" s="124"/>
      <c r="FU439" s="124"/>
      <c r="FV439" s="124"/>
      <c r="FW439" s="124"/>
      <c r="FX439" s="124"/>
      <c r="FY439" s="124"/>
      <c r="FZ439" s="124"/>
      <c r="GA439" s="124"/>
      <c r="GB439" s="124"/>
      <c r="GC439" s="124"/>
      <c r="GD439" s="124"/>
      <c r="GE439" s="124"/>
      <c r="GF439" s="124"/>
      <c r="GG439" s="124"/>
      <c r="GH439" s="124"/>
      <c r="GI439" s="124"/>
      <c r="GJ439" s="124"/>
      <c r="GK439" s="124"/>
      <c r="GL439" s="124"/>
      <c r="GM439" s="124"/>
      <c r="GN439" s="124"/>
      <c r="GO439" s="124"/>
      <c r="GP439" s="124"/>
      <c r="GQ439" s="124"/>
      <c r="GR439" s="124"/>
      <c r="GS439" s="124"/>
      <c r="GT439" s="124"/>
      <c r="GU439" s="124"/>
      <c r="GV439" s="124"/>
      <c r="GW439" s="124"/>
      <c r="GX439" s="124"/>
      <c r="GY439" s="124"/>
      <c r="GZ439" s="124"/>
      <c r="HA439" s="124"/>
      <c r="HB439" s="124"/>
      <c r="HC439" s="124"/>
      <c r="HD439" s="124"/>
      <c r="HE439" s="124"/>
      <c r="HF439" s="124"/>
      <c r="HG439" s="124"/>
      <c r="HH439" s="124"/>
      <c r="HI439" s="124"/>
      <c r="HJ439" s="124"/>
      <c r="HK439" s="124"/>
      <c r="HL439" s="124"/>
      <c r="HM439" s="124"/>
      <c r="HN439" s="124"/>
      <c r="HO439" s="124"/>
      <c r="HP439" s="124"/>
      <c r="HQ439" s="124"/>
    </row>
    <row r="440" spans="1:225" x14ac:dyDescent="0.2">
      <c r="A440" s="122"/>
      <c r="B440" s="123"/>
      <c r="C440" s="124"/>
      <c r="D440" s="123"/>
      <c r="E440" s="124"/>
      <c r="F440" s="123"/>
      <c r="G440" s="123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  <c r="AU440" s="124"/>
      <c r="AV440" s="124"/>
      <c r="AW440" s="124"/>
      <c r="AX440" s="124"/>
      <c r="AY440" s="124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  <c r="BJ440" s="124"/>
      <c r="BK440" s="124"/>
      <c r="BL440" s="124"/>
      <c r="BM440" s="124"/>
      <c r="BN440" s="124"/>
      <c r="BO440" s="124"/>
      <c r="BP440" s="124"/>
      <c r="BQ440" s="124"/>
      <c r="BR440" s="124"/>
      <c r="BS440" s="124"/>
      <c r="BT440" s="124"/>
      <c r="BU440" s="124"/>
      <c r="BV440" s="124"/>
      <c r="BW440" s="124"/>
      <c r="BX440" s="124"/>
      <c r="BY440" s="124"/>
      <c r="BZ440" s="124"/>
      <c r="CA440" s="124"/>
      <c r="CB440" s="124"/>
      <c r="CC440" s="124"/>
      <c r="CD440" s="124"/>
      <c r="CE440" s="124"/>
      <c r="CF440" s="124"/>
      <c r="CG440" s="124"/>
      <c r="CH440" s="124"/>
      <c r="CI440" s="124"/>
      <c r="CJ440" s="124"/>
      <c r="CK440" s="124"/>
      <c r="CL440" s="124"/>
      <c r="CM440" s="124"/>
      <c r="CN440" s="124"/>
      <c r="CO440" s="124"/>
      <c r="CP440" s="124"/>
      <c r="CQ440" s="124"/>
      <c r="CR440" s="124"/>
      <c r="CS440" s="124"/>
      <c r="CT440" s="124"/>
      <c r="CU440" s="124"/>
      <c r="CV440" s="124"/>
      <c r="CW440" s="124"/>
      <c r="CX440" s="124"/>
      <c r="CY440" s="124"/>
      <c r="CZ440" s="124"/>
      <c r="DA440" s="124"/>
      <c r="DB440" s="124"/>
      <c r="DC440" s="124"/>
      <c r="DD440" s="124"/>
      <c r="DE440" s="124"/>
      <c r="DF440" s="124"/>
      <c r="DG440" s="124"/>
      <c r="DH440" s="124"/>
      <c r="DI440" s="124"/>
      <c r="DJ440" s="124"/>
      <c r="DK440" s="124"/>
      <c r="DL440" s="124"/>
      <c r="DM440" s="124"/>
      <c r="DN440" s="124"/>
      <c r="DO440" s="124"/>
      <c r="DP440" s="124"/>
      <c r="DQ440" s="124"/>
      <c r="DR440" s="124"/>
      <c r="DS440" s="124"/>
      <c r="DT440" s="124"/>
      <c r="DU440" s="124"/>
      <c r="DV440" s="124"/>
      <c r="DW440" s="124"/>
      <c r="DX440" s="124"/>
      <c r="DY440" s="124"/>
      <c r="DZ440" s="124"/>
      <c r="EA440" s="124"/>
      <c r="EB440" s="124"/>
      <c r="EC440" s="124"/>
      <c r="ED440" s="124"/>
      <c r="EE440" s="124"/>
      <c r="EF440" s="124"/>
      <c r="EG440" s="124"/>
      <c r="EH440" s="124"/>
      <c r="EI440" s="124"/>
      <c r="EJ440" s="124"/>
      <c r="EK440" s="124"/>
      <c r="EL440" s="124"/>
      <c r="EM440" s="124"/>
      <c r="EN440" s="124"/>
      <c r="EO440" s="124"/>
      <c r="EP440" s="124"/>
      <c r="EQ440" s="124"/>
      <c r="ER440" s="124"/>
      <c r="ES440" s="124"/>
      <c r="ET440" s="124"/>
      <c r="EU440" s="124"/>
      <c r="EV440" s="124"/>
      <c r="EW440" s="124"/>
      <c r="EX440" s="124"/>
      <c r="EY440" s="124"/>
      <c r="EZ440" s="124"/>
      <c r="FA440" s="124"/>
      <c r="FB440" s="124"/>
      <c r="FC440" s="124"/>
      <c r="FD440" s="124"/>
      <c r="FE440" s="124"/>
      <c r="FF440" s="124"/>
      <c r="FG440" s="124"/>
      <c r="FH440" s="124"/>
      <c r="FI440" s="124"/>
      <c r="FJ440" s="124"/>
      <c r="FK440" s="124"/>
      <c r="FL440" s="124"/>
      <c r="FM440" s="124"/>
      <c r="FN440" s="124"/>
      <c r="FO440" s="124"/>
      <c r="FP440" s="124"/>
      <c r="FQ440" s="124"/>
      <c r="FR440" s="124"/>
      <c r="FS440" s="124"/>
      <c r="FT440" s="124"/>
      <c r="FU440" s="124"/>
      <c r="FV440" s="124"/>
      <c r="FW440" s="124"/>
      <c r="FX440" s="124"/>
      <c r="FY440" s="124"/>
      <c r="FZ440" s="124"/>
      <c r="GA440" s="124"/>
      <c r="GB440" s="124"/>
      <c r="GC440" s="124"/>
      <c r="GD440" s="124"/>
      <c r="GE440" s="124"/>
      <c r="GF440" s="124"/>
      <c r="GG440" s="124"/>
      <c r="GH440" s="124"/>
      <c r="GI440" s="124"/>
      <c r="GJ440" s="124"/>
      <c r="GK440" s="124"/>
      <c r="GL440" s="124"/>
      <c r="GM440" s="124"/>
      <c r="GN440" s="124"/>
      <c r="GO440" s="124"/>
      <c r="GP440" s="124"/>
      <c r="GQ440" s="124"/>
      <c r="GR440" s="124"/>
      <c r="GS440" s="124"/>
      <c r="GT440" s="124"/>
      <c r="GU440" s="124"/>
      <c r="GV440" s="124"/>
      <c r="GW440" s="124"/>
      <c r="GX440" s="124"/>
      <c r="GY440" s="124"/>
      <c r="GZ440" s="124"/>
      <c r="HA440" s="124"/>
      <c r="HB440" s="124"/>
      <c r="HC440" s="124"/>
      <c r="HD440" s="124"/>
      <c r="HE440" s="124"/>
      <c r="HF440" s="124"/>
      <c r="HG440" s="124"/>
      <c r="HH440" s="124"/>
      <c r="HI440" s="124"/>
      <c r="HJ440" s="124"/>
      <c r="HK440" s="124"/>
      <c r="HL440" s="124"/>
      <c r="HM440" s="124"/>
      <c r="HN440" s="124"/>
      <c r="HO440" s="124"/>
      <c r="HP440" s="124"/>
      <c r="HQ440" s="124"/>
    </row>
    <row r="441" spans="1:225" x14ac:dyDescent="0.2">
      <c r="A441" s="122"/>
      <c r="B441" s="123"/>
      <c r="C441" s="124"/>
      <c r="D441" s="123"/>
      <c r="E441" s="124"/>
      <c r="F441" s="123"/>
      <c r="G441" s="123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  <c r="AU441" s="124"/>
      <c r="AV441" s="124"/>
      <c r="AW441" s="124"/>
      <c r="AX441" s="124"/>
      <c r="AY441" s="124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24"/>
      <c r="BK441" s="124"/>
      <c r="BL441" s="124"/>
      <c r="BM441" s="124"/>
      <c r="BN441" s="124"/>
      <c r="BO441" s="124"/>
      <c r="BP441" s="124"/>
      <c r="BQ441" s="124"/>
      <c r="BR441" s="124"/>
      <c r="BS441" s="124"/>
      <c r="BT441" s="124"/>
      <c r="BU441" s="124"/>
      <c r="BV441" s="124"/>
      <c r="BW441" s="124"/>
      <c r="BX441" s="124"/>
      <c r="BY441" s="124"/>
      <c r="BZ441" s="124"/>
      <c r="CA441" s="124"/>
      <c r="CB441" s="124"/>
      <c r="CC441" s="124"/>
      <c r="CD441" s="124"/>
      <c r="CE441" s="124"/>
      <c r="CF441" s="124"/>
      <c r="CG441" s="124"/>
      <c r="CH441" s="124"/>
      <c r="CI441" s="124"/>
      <c r="CJ441" s="124"/>
      <c r="CK441" s="124"/>
      <c r="CL441" s="124"/>
      <c r="CM441" s="124"/>
      <c r="CN441" s="124"/>
      <c r="CO441" s="124"/>
      <c r="CP441" s="124"/>
      <c r="CQ441" s="124"/>
      <c r="CR441" s="124"/>
      <c r="CS441" s="124"/>
      <c r="CT441" s="124"/>
      <c r="CU441" s="124"/>
      <c r="CV441" s="124"/>
      <c r="CW441" s="124"/>
      <c r="CX441" s="124"/>
      <c r="CY441" s="124"/>
      <c r="CZ441" s="124"/>
      <c r="DA441" s="124"/>
      <c r="DB441" s="124"/>
      <c r="DC441" s="124"/>
      <c r="DD441" s="124"/>
      <c r="DE441" s="124"/>
      <c r="DF441" s="124"/>
      <c r="DG441" s="124"/>
      <c r="DH441" s="124"/>
      <c r="DI441" s="124"/>
      <c r="DJ441" s="124"/>
      <c r="DK441" s="124"/>
      <c r="DL441" s="124"/>
      <c r="DM441" s="124"/>
      <c r="DN441" s="124"/>
      <c r="DO441" s="124"/>
      <c r="DP441" s="124"/>
      <c r="DQ441" s="124"/>
      <c r="DR441" s="124"/>
      <c r="DS441" s="124"/>
      <c r="DT441" s="124"/>
      <c r="DU441" s="124"/>
      <c r="DV441" s="124"/>
      <c r="DW441" s="124"/>
      <c r="DX441" s="124"/>
      <c r="DY441" s="124"/>
      <c r="DZ441" s="124"/>
      <c r="EA441" s="124"/>
      <c r="EB441" s="124"/>
      <c r="EC441" s="124"/>
      <c r="ED441" s="124"/>
      <c r="EE441" s="124"/>
      <c r="EF441" s="124"/>
      <c r="EG441" s="124"/>
      <c r="EH441" s="124"/>
      <c r="EI441" s="124"/>
      <c r="EJ441" s="124"/>
      <c r="EK441" s="124"/>
      <c r="EL441" s="124"/>
      <c r="EM441" s="124"/>
      <c r="EN441" s="124"/>
      <c r="EO441" s="124"/>
      <c r="EP441" s="124"/>
      <c r="EQ441" s="124"/>
      <c r="ER441" s="124"/>
      <c r="ES441" s="124"/>
      <c r="ET441" s="124"/>
      <c r="EU441" s="124"/>
      <c r="EV441" s="124"/>
      <c r="EW441" s="124"/>
      <c r="EX441" s="124"/>
      <c r="EY441" s="124"/>
      <c r="EZ441" s="124"/>
      <c r="FA441" s="124"/>
      <c r="FB441" s="124"/>
      <c r="FC441" s="124"/>
      <c r="FD441" s="124"/>
      <c r="FE441" s="124"/>
      <c r="FF441" s="124"/>
      <c r="FG441" s="124"/>
      <c r="FH441" s="124"/>
      <c r="FI441" s="124"/>
      <c r="FJ441" s="124"/>
      <c r="FK441" s="124"/>
      <c r="FL441" s="124"/>
      <c r="FM441" s="124"/>
      <c r="FN441" s="124"/>
      <c r="FO441" s="124"/>
      <c r="FP441" s="124"/>
      <c r="FQ441" s="124"/>
      <c r="FR441" s="124"/>
      <c r="FS441" s="124"/>
      <c r="FT441" s="124"/>
      <c r="FU441" s="124"/>
      <c r="FV441" s="124"/>
      <c r="FW441" s="124"/>
      <c r="FX441" s="124"/>
      <c r="FY441" s="124"/>
      <c r="FZ441" s="124"/>
      <c r="GA441" s="124"/>
      <c r="GB441" s="124"/>
      <c r="GC441" s="124"/>
      <c r="GD441" s="124"/>
      <c r="GE441" s="124"/>
      <c r="GF441" s="124"/>
      <c r="GG441" s="124"/>
      <c r="GH441" s="124"/>
      <c r="GI441" s="124"/>
      <c r="GJ441" s="124"/>
      <c r="GK441" s="124"/>
      <c r="GL441" s="124"/>
      <c r="GM441" s="124"/>
      <c r="GN441" s="124"/>
      <c r="GO441" s="124"/>
      <c r="GP441" s="124"/>
      <c r="GQ441" s="124"/>
      <c r="GR441" s="124"/>
      <c r="GS441" s="124"/>
      <c r="GT441" s="124"/>
      <c r="GU441" s="124"/>
      <c r="GV441" s="124"/>
      <c r="GW441" s="124"/>
      <c r="GX441" s="124"/>
      <c r="GY441" s="124"/>
      <c r="GZ441" s="124"/>
      <c r="HA441" s="124"/>
      <c r="HB441" s="124"/>
      <c r="HC441" s="124"/>
      <c r="HD441" s="124"/>
      <c r="HE441" s="124"/>
      <c r="HF441" s="124"/>
      <c r="HG441" s="124"/>
      <c r="HH441" s="124"/>
      <c r="HI441" s="124"/>
      <c r="HJ441" s="124"/>
      <c r="HK441" s="124"/>
      <c r="HL441" s="124"/>
      <c r="HM441" s="124"/>
      <c r="HN441" s="124"/>
      <c r="HO441" s="124"/>
      <c r="HP441" s="124"/>
      <c r="HQ441" s="124"/>
    </row>
    <row r="442" spans="1:225" x14ac:dyDescent="0.2">
      <c r="A442" s="122"/>
      <c r="B442" s="123"/>
      <c r="C442" s="124"/>
      <c r="D442" s="123"/>
      <c r="E442" s="124"/>
      <c r="F442" s="123"/>
      <c r="G442" s="123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/>
      <c r="BB442" s="124"/>
      <c r="BC442" s="124"/>
      <c r="BD442" s="124"/>
      <c r="BE442" s="124"/>
      <c r="BF442" s="124"/>
      <c r="BG442" s="124"/>
      <c r="BH442" s="124"/>
      <c r="BI442" s="124"/>
      <c r="BJ442" s="124"/>
      <c r="BK442" s="124"/>
      <c r="BL442" s="124"/>
      <c r="BM442" s="124"/>
      <c r="BN442" s="124"/>
      <c r="BO442" s="124"/>
      <c r="BP442" s="124"/>
      <c r="BQ442" s="124"/>
      <c r="BR442" s="124"/>
      <c r="BS442" s="124"/>
      <c r="BT442" s="124"/>
      <c r="BU442" s="124"/>
      <c r="BV442" s="124"/>
      <c r="BW442" s="124"/>
      <c r="BX442" s="124"/>
      <c r="BY442" s="124"/>
      <c r="BZ442" s="124"/>
      <c r="CA442" s="124"/>
      <c r="CB442" s="124"/>
      <c r="CC442" s="124"/>
      <c r="CD442" s="124"/>
      <c r="CE442" s="124"/>
      <c r="CF442" s="124"/>
      <c r="CG442" s="124"/>
      <c r="CH442" s="124"/>
      <c r="CI442" s="124"/>
      <c r="CJ442" s="124"/>
      <c r="CK442" s="124"/>
      <c r="CL442" s="124"/>
      <c r="CM442" s="124"/>
      <c r="CN442" s="124"/>
      <c r="CO442" s="124"/>
      <c r="CP442" s="124"/>
      <c r="CQ442" s="124"/>
      <c r="CR442" s="124"/>
      <c r="CS442" s="124"/>
      <c r="CT442" s="124"/>
      <c r="CU442" s="124"/>
      <c r="CV442" s="124"/>
      <c r="CW442" s="124"/>
      <c r="CX442" s="124"/>
      <c r="CY442" s="124"/>
      <c r="CZ442" s="124"/>
      <c r="DA442" s="124"/>
      <c r="DB442" s="124"/>
      <c r="DC442" s="124"/>
      <c r="DD442" s="124"/>
      <c r="DE442" s="124"/>
      <c r="DF442" s="124"/>
      <c r="DG442" s="124"/>
      <c r="DH442" s="124"/>
      <c r="DI442" s="124"/>
      <c r="DJ442" s="124"/>
      <c r="DK442" s="124"/>
      <c r="DL442" s="124"/>
      <c r="DM442" s="124"/>
      <c r="DN442" s="124"/>
      <c r="DO442" s="124"/>
      <c r="DP442" s="124"/>
      <c r="DQ442" s="124"/>
      <c r="DR442" s="124"/>
      <c r="DS442" s="124"/>
      <c r="DT442" s="124"/>
      <c r="DU442" s="124"/>
      <c r="DV442" s="124"/>
      <c r="DW442" s="124"/>
      <c r="DX442" s="124"/>
      <c r="DY442" s="124"/>
      <c r="DZ442" s="124"/>
      <c r="EA442" s="124"/>
      <c r="EB442" s="124"/>
      <c r="EC442" s="124"/>
      <c r="ED442" s="124"/>
      <c r="EE442" s="124"/>
      <c r="EF442" s="124"/>
      <c r="EG442" s="124"/>
      <c r="EH442" s="124"/>
      <c r="EI442" s="124"/>
      <c r="EJ442" s="124"/>
      <c r="EK442" s="124"/>
      <c r="EL442" s="124"/>
      <c r="EM442" s="124"/>
      <c r="EN442" s="124"/>
      <c r="EO442" s="124"/>
      <c r="EP442" s="124"/>
      <c r="EQ442" s="124"/>
      <c r="ER442" s="124"/>
      <c r="ES442" s="124"/>
      <c r="ET442" s="124"/>
      <c r="EU442" s="124"/>
      <c r="EV442" s="124"/>
      <c r="EW442" s="124"/>
      <c r="EX442" s="124"/>
      <c r="EY442" s="124"/>
      <c r="EZ442" s="124"/>
      <c r="FA442" s="124"/>
      <c r="FB442" s="124"/>
      <c r="FC442" s="124"/>
      <c r="FD442" s="124"/>
      <c r="FE442" s="124"/>
      <c r="FF442" s="124"/>
      <c r="FG442" s="124"/>
      <c r="FH442" s="124"/>
      <c r="FI442" s="124"/>
      <c r="FJ442" s="124"/>
      <c r="FK442" s="124"/>
      <c r="FL442" s="124"/>
      <c r="FM442" s="124"/>
      <c r="FN442" s="124"/>
      <c r="FO442" s="124"/>
      <c r="FP442" s="124"/>
      <c r="FQ442" s="124"/>
      <c r="FR442" s="124"/>
      <c r="FS442" s="124"/>
      <c r="FT442" s="124"/>
      <c r="FU442" s="124"/>
      <c r="FV442" s="124"/>
      <c r="FW442" s="124"/>
      <c r="FX442" s="124"/>
      <c r="FY442" s="124"/>
      <c r="FZ442" s="124"/>
      <c r="GA442" s="124"/>
      <c r="GB442" s="124"/>
      <c r="GC442" s="124"/>
      <c r="GD442" s="124"/>
      <c r="GE442" s="124"/>
      <c r="GF442" s="124"/>
      <c r="GG442" s="124"/>
      <c r="GH442" s="124"/>
      <c r="GI442" s="124"/>
      <c r="GJ442" s="124"/>
      <c r="GK442" s="124"/>
      <c r="GL442" s="124"/>
      <c r="GM442" s="124"/>
      <c r="GN442" s="124"/>
      <c r="GO442" s="124"/>
      <c r="GP442" s="124"/>
      <c r="GQ442" s="124"/>
      <c r="GR442" s="124"/>
      <c r="GS442" s="124"/>
      <c r="GT442" s="124"/>
      <c r="GU442" s="124"/>
      <c r="GV442" s="124"/>
      <c r="GW442" s="124"/>
      <c r="GX442" s="124"/>
      <c r="GY442" s="124"/>
      <c r="GZ442" s="124"/>
      <c r="HA442" s="124"/>
      <c r="HB442" s="124"/>
      <c r="HC442" s="124"/>
      <c r="HD442" s="124"/>
      <c r="HE442" s="124"/>
      <c r="HF442" s="124"/>
      <c r="HG442" s="124"/>
      <c r="HH442" s="124"/>
      <c r="HI442" s="124"/>
      <c r="HJ442" s="124"/>
      <c r="HK442" s="124"/>
      <c r="HL442" s="124"/>
      <c r="HM442" s="124"/>
      <c r="HN442" s="124"/>
      <c r="HO442" s="124"/>
      <c r="HP442" s="124"/>
      <c r="HQ442" s="124"/>
    </row>
    <row r="443" spans="1:225" x14ac:dyDescent="0.2">
      <c r="A443" s="122"/>
      <c r="B443" s="123"/>
      <c r="C443" s="124"/>
      <c r="D443" s="123"/>
      <c r="E443" s="124"/>
      <c r="F443" s="123"/>
      <c r="G443" s="123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  <c r="AT443" s="124"/>
      <c r="AU443" s="124"/>
      <c r="AV443" s="124"/>
      <c r="AW443" s="124"/>
      <c r="AX443" s="124"/>
      <c r="AY443" s="124"/>
      <c r="AZ443" s="124"/>
      <c r="BA443" s="124"/>
      <c r="BB443" s="124"/>
      <c r="BC443" s="124"/>
      <c r="BD443" s="124"/>
      <c r="BE443" s="124"/>
      <c r="BF443" s="124"/>
      <c r="BG443" s="124"/>
      <c r="BH443" s="124"/>
      <c r="BI443" s="124"/>
      <c r="BJ443" s="124"/>
      <c r="BK443" s="124"/>
      <c r="BL443" s="124"/>
      <c r="BM443" s="124"/>
      <c r="BN443" s="124"/>
      <c r="BO443" s="124"/>
      <c r="BP443" s="124"/>
      <c r="BQ443" s="124"/>
      <c r="BR443" s="124"/>
      <c r="BS443" s="124"/>
      <c r="BT443" s="124"/>
      <c r="BU443" s="124"/>
      <c r="BV443" s="124"/>
      <c r="BW443" s="124"/>
      <c r="BX443" s="124"/>
      <c r="BY443" s="124"/>
      <c r="BZ443" s="124"/>
      <c r="CA443" s="124"/>
      <c r="CB443" s="124"/>
      <c r="CC443" s="124"/>
      <c r="CD443" s="124"/>
      <c r="CE443" s="124"/>
      <c r="CF443" s="124"/>
      <c r="CG443" s="124"/>
      <c r="CH443" s="124"/>
      <c r="CI443" s="124"/>
      <c r="CJ443" s="124"/>
      <c r="CK443" s="124"/>
      <c r="CL443" s="124"/>
      <c r="CM443" s="124"/>
      <c r="CN443" s="124"/>
      <c r="CO443" s="124"/>
      <c r="CP443" s="124"/>
      <c r="CQ443" s="124"/>
      <c r="CR443" s="124"/>
      <c r="CS443" s="124"/>
      <c r="CT443" s="124"/>
      <c r="CU443" s="124"/>
      <c r="CV443" s="124"/>
      <c r="CW443" s="124"/>
      <c r="CX443" s="124"/>
      <c r="CY443" s="124"/>
      <c r="CZ443" s="124"/>
      <c r="DA443" s="124"/>
      <c r="DB443" s="124"/>
      <c r="DC443" s="124"/>
      <c r="DD443" s="124"/>
      <c r="DE443" s="124"/>
      <c r="DF443" s="124"/>
      <c r="DG443" s="124"/>
      <c r="DH443" s="124"/>
      <c r="DI443" s="124"/>
      <c r="DJ443" s="124"/>
      <c r="DK443" s="124"/>
      <c r="DL443" s="124"/>
      <c r="DM443" s="124"/>
      <c r="DN443" s="124"/>
      <c r="DO443" s="124"/>
      <c r="DP443" s="124"/>
      <c r="DQ443" s="124"/>
      <c r="DR443" s="124"/>
      <c r="DS443" s="124"/>
      <c r="DT443" s="124"/>
      <c r="DU443" s="124"/>
      <c r="DV443" s="124"/>
      <c r="DW443" s="124"/>
      <c r="DX443" s="124"/>
      <c r="DY443" s="124"/>
      <c r="DZ443" s="124"/>
      <c r="EA443" s="124"/>
      <c r="EB443" s="124"/>
      <c r="EC443" s="124"/>
      <c r="ED443" s="124"/>
      <c r="EE443" s="124"/>
      <c r="EF443" s="124"/>
      <c r="EG443" s="124"/>
      <c r="EH443" s="124"/>
      <c r="EI443" s="124"/>
      <c r="EJ443" s="124"/>
      <c r="EK443" s="124"/>
      <c r="EL443" s="124"/>
      <c r="EM443" s="124"/>
      <c r="EN443" s="124"/>
      <c r="EO443" s="124"/>
      <c r="EP443" s="124"/>
      <c r="EQ443" s="124"/>
      <c r="ER443" s="124"/>
      <c r="ES443" s="124"/>
      <c r="ET443" s="124"/>
      <c r="EU443" s="124"/>
      <c r="EV443" s="124"/>
      <c r="EW443" s="124"/>
      <c r="EX443" s="124"/>
      <c r="EY443" s="124"/>
      <c r="EZ443" s="124"/>
      <c r="FA443" s="124"/>
      <c r="FB443" s="124"/>
      <c r="FC443" s="124"/>
      <c r="FD443" s="124"/>
      <c r="FE443" s="124"/>
      <c r="FF443" s="124"/>
      <c r="FG443" s="124"/>
      <c r="FH443" s="124"/>
      <c r="FI443" s="124"/>
      <c r="FJ443" s="124"/>
      <c r="FK443" s="124"/>
      <c r="FL443" s="124"/>
      <c r="FM443" s="124"/>
      <c r="FN443" s="124"/>
      <c r="FO443" s="124"/>
      <c r="FP443" s="124"/>
      <c r="FQ443" s="124"/>
      <c r="FR443" s="124"/>
      <c r="FS443" s="124"/>
      <c r="FT443" s="124"/>
      <c r="FU443" s="124"/>
      <c r="FV443" s="124"/>
      <c r="FW443" s="124"/>
      <c r="FX443" s="124"/>
      <c r="FY443" s="124"/>
      <c r="FZ443" s="124"/>
      <c r="GA443" s="124"/>
      <c r="GB443" s="124"/>
      <c r="GC443" s="124"/>
      <c r="GD443" s="124"/>
      <c r="GE443" s="124"/>
      <c r="GF443" s="124"/>
      <c r="GG443" s="124"/>
      <c r="GH443" s="124"/>
      <c r="GI443" s="124"/>
      <c r="GJ443" s="124"/>
      <c r="GK443" s="124"/>
      <c r="GL443" s="124"/>
      <c r="GM443" s="124"/>
      <c r="GN443" s="124"/>
      <c r="GO443" s="124"/>
      <c r="GP443" s="124"/>
      <c r="GQ443" s="124"/>
      <c r="GR443" s="124"/>
      <c r="GS443" s="124"/>
      <c r="GT443" s="124"/>
      <c r="GU443" s="124"/>
      <c r="GV443" s="124"/>
      <c r="GW443" s="124"/>
      <c r="GX443" s="124"/>
      <c r="GY443" s="124"/>
      <c r="GZ443" s="124"/>
      <c r="HA443" s="124"/>
      <c r="HB443" s="124"/>
      <c r="HC443" s="124"/>
      <c r="HD443" s="124"/>
      <c r="HE443" s="124"/>
      <c r="HF443" s="124"/>
      <c r="HG443" s="124"/>
      <c r="HH443" s="124"/>
      <c r="HI443" s="124"/>
      <c r="HJ443" s="124"/>
      <c r="HK443" s="124"/>
      <c r="HL443" s="124"/>
      <c r="HM443" s="124"/>
      <c r="HN443" s="124"/>
      <c r="HO443" s="124"/>
      <c r="HP443" s="124"/>
      <c r="HQ443" s="124"/>
    </row>
    <row r="444" spans="1:225" x14ac:dyDescent="0.2">
      <c r="A444" s="122"/>
      <c r="B444" s="123"/>
      <c r="C444" s="124"/>
      <c r="D444" s="123"/>
      <c r="E444" s="124"/>
      <c r="F444" s="123"/>
      <c r="G444" s="123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  <c r="AT444" s="124"/>
      <c r="AU444" s="124"/>
      <c r="AV444" s="124"/>
      <c r="AW444" s="124"/>
      <c r="AX444" s="124"/>
      <c r="AY444" s="124"/>
      <c r="AZ444" s="124"/>
      <c r="BA444" s="124"/>
      <c r="BB444" s="124"/>
      <c r="BC444" s="124"/>
      <c r="BD444" s="124"/>
      <c r="BE444" s="124"/>
      <c r="BF444" s="124"/>
      <c r="BG444" s="124"/>
      <c r="BH444" s="124"/>
      <c r="BI444" s="124"/>
      <c r="BJ444" s="124"/>
      <c r="BK444" s="124"/>
      <c r="BL444" s="124"/>
      <c r="BM444" s="124"/>
      <c r="BN444" s="124"/>
      <c r="BO444" s="124"/>
      <c r="BP444" s="124"/>
      <c r="BQ444" s="124"/>
      <c r="BR444" s="124"/>
      <c r="BS444" s="124"/>
      <c r="BT444" s="124"/>
      <c r="BU444" s="124"/>
      <c r="BV444" s="124"/>
      <c r="BW444" s="124"/>
      <c r="BX444" s="124"/>
      <c r="BY444" s="124"/>
      <c r="BZ444" s="124"/>
      <c r="CA444" s="124"/>
      <c r="CB444" s="124"/>
      <c r="CC444" s="124"/>
      <c r="CD444" s="124"/>
      <c r="CE444" s="124"/>
      <c r="CF444" s="124"/>
      <c r="CG444" s="124"/>
      <c r="CH444" s="124"/>
      <c r="CI444" s="124"/>
      <c r="CJ444" s="124"/>
      <c r="CK444" s="124"/>
      <c r="CL444" s="124"/>
      <c r="CM444" s="124"/>
      <c r="CN444" s="124"/>
      <c r="CO444" s="124"/>
      <c r="CP444" s="124"/>
      <c r="CQ444" s="124"/>
      <c r="CR444" s="124"/>
      <c r="CS444" s="124"/>
      <c r="CT444" s="124"/>
      <c r="CU444" s="124"/>
      <c r="CV444" s="124"/>
      <c r="CW444" s="124"/>
      <c r="CX444" s="124"/>
      <c r="CY444" s="124"/>
      <c r="CZ444" s="124"/>
      <c r="DA444" s="124"/>
      <c r="DB444" s="124"/>
      <c r="DC444" s="124"/>
      <c r="DD444" s="124"/>
      <c r="DE444" s="124"/>
      <c r="DF444" s="124"/>
      <c r="DG444" s="124"/>
      <c r="DH444" s="124"/>
      <c r="DI444" s="124"/>
      <c r="DJ444" s="124"/>
      <c r="DK444" s="124"/>
      <c r="DL444" s="124"/>
      <c r="DM444" s="124"/>
      <c r="DN444" s="124"/>
      <c r="DO444" s="124"/>
      <c r="DP444" s="124"/>
      <c r="DQ444" s="124"/>
      <c r="DR444" s="124"/>
      <c r="DS444" s="124"/>
      <c r="DT444" s="124"/>
      <c r="DU444" s="124"/>
      <c r="DV444" s="124"/>
      <c r="DW444" s="124"/>
      <c r="DX444" s="124"/>
      <c r="DY444" s="124"/>
      <c r="DZ444" s="124"/>
      <c r="EA444" s="124"/>
      <c r="EB444" s="124"/>
      <c r="EC444" s="124"/>
      <c r="ED444" s="124"/>
      <c r="EE444" s="124"/>
      <c r="EF444" s="124"/>
      <c r="EG444" s="124"/>
      <c r="EH444" s="124"/>
      <c r="EI444" s="124"/>
      <c r="EJ444" s="124"/>
      <c r="EK444" s="124"/>
      <c r="EL444" s="124"/>
      <c r="EM444" s="124"/>
      <c r="EN444" s="124"/>
      <c r="EO444" s="124"/>
      <c r="EP444" s="124"/>
      <c r="EQ444" s="124"/>
      <c r="ER444" s="124"/>
      <c r="ES444" s="124"/>
      <c r="ET444" s="124"/>
      <c r="EU444" s="124"/>
      <c r="EV444" s="124"/>
      <c r="EW444" s="124"/>
      <c r="EX444" s="124"/>
      <c r="EY444" s="124"/>
      <c r="EZ444" s="124"/>
      <c r="FA444" s="124"/>
      <c r="FB444" s="124"/>
      <c r="FC444" s="124"/>
      <c r="FD444" s="124"/>
      <c r="FE444" s="124"/>
      <c r="FF444" s="124"/>
      <c r="FG444" s="124"/>
      <c r="FH444" s="124"/>
      <c r="FI444" s="124"/>
      <c r="FJ444" s="124"/>
      <c r="FK444" s="124"/>
      <c r="FL444" s="124"/>
      <c r="FM444" s="124"/>
      <c r="FN444" s="124"/>
      <c r="FO444" s="124"/>
      <c r="FP444" s="124"/>
      <c r="FQ444" s="124"/>
      <c r="FR444" s="124"/>
      <c r="FS444" s="124"/>
      <c r="FT444" s="124"/>
      <c r="FU444" s="124"/>
      <c r="FV444" s="124"/>
      <c r="FW444" s="124"/>
      <c r="FX444" s="124"/>
      <c r="FY444" s="124"/>
      <c r="FZ444" s="124"/>
      <c r="GA444" s="124"/>
      <c r="GB444" s="124"/>
      <c r="GC444" s="124"/>
      <c r="GD444" s="124"/>
      <c r="GE444" s="124"/>
      <c r="GF444" s="124"/>
      <c r="GG444" s="124"/>
      <c r="GH444" s="124"/>
      <c r="GI444" s="124"/>
      <c r="GJ444" s="124"/>
      <c r="GK444" s="124"/>
      <c r="GL444" s="124"/>
      <c r="GM444" s="124"/>
      <c r="GN444" s="124"/>
      <c r="GO444" s="124"/>
      <c r="GP444" s="124"/>
      <c r="GQ444" s="124"/>
      <c r="GR444" s="124"/>
      <c r="GS444" s="124"/>
      <c r="GT444" s="124"/>
      <c r="GU444" s="124"/>
      <c r="GV444" s="124"/>
      <c r="GW444" s="124"/>
      <c r="GX444" s="124"/>
      <c r="GY444" s="124"/>
      <c r="GZ444" s="124"/>
      <c r="HA444" s="124"/>
      <c r="HB444" s="124"/>
      <c r="HC444" s="124"/>
      <c r="HD444" s="124"/>
      <c r="HE444" s="124"/>
      <c r="HF444" s="124"/>
      <c r="HG444" s="124"/>
      <c r="HH444" s="124"/>
      <c r="HI444" s="124"/>
      <c r="HJ444" s="124"/>
      <c r="HK444" s="124"/>
      <c r="HL444" s="124"/>
      <c r="HM444" s="124"/>
      <c r="HN444" s="124"/>
      <c r="HO444" s="124"/>
      <c r="HP444" s="124"/>
      <c r="HQ444" s="124"/>
    </row>
    <row r="445" spans="1:225" x14ac:dyDescent="0.2">
      <c r="A445" s="122"/>
      <c r="B445" s="123"/>
      <c r="C445" s="124"/>
      <c r="D445" s="123"/>
      <c r="E445" s="124"/>
      <c r="F445" s="123"/>
      <c r="G445" s="123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4"/>
      <c r="BH445" s="124"/>
      <c r="BI445" s="124"/>
      <c r="BJ445" s="124"/>
      <c r="BK445" s="124"/>
      <c r="BL445" s="124"/>
      <c r="BM445" s="124"/>
      <c r="BN445" s="124"/>
      <c r="BO445" s="124"/>
      <c r="BP445" s="124"/>
      <c r="BQ445" s="124"/>
      <c r="BR445" s="124"/>
      <c r="BS445" s="124"/>
      <c r="BT445" s="124"/>
      <c r="BU445" s="124"/>
      <c r="BV445" s="124"/>
      <c r="BW445" s="124"/>
      <c r="BX445" s="124"/>
      <c r="BY445" s="124"/>
      <c r="BZ445" s="124"/>
      <c r="CA445" s="124"/>
      <c r="CB445" s="124"/>
      <c r="CC445" s="124"/>
      <c r="CD445" s="124"/>
      <c r="CE445" s="124"/>
      <c r="CF445" s="124"/>
      <c r="CG445" s="124"/>
      <c r="CH445" s="124"/>
      <c r="CI445" s="124"/>
      <c r="CJ445" s="124"/>
      <c r="CK445" s="124"/>
      <c r="CL445" s="124"/>
      <c r="CM445" s="124"/>
      <c r="CN445" s="124"/>
      <c r="CO445" s="124"/>
      <c r="CP445" s="124"/>
      <c r="CQ445" s="124"/>
      <c r="CR445" s="124"/>
      <c r="CS445" s="124"/>
      <c r="CT445" s="124"/>
      <c r="CU445" s="124"/>
      <c r="CV445" s="124"/>
      <c r="CW445" s="124"/>
      <c r="CX445" s="124"/>
      <c r="CY445" s="124"/>
      <c r="CZ445" s="124"/>
      <c r="DA445" s="124"/>
      <c r="DB445" s="124"/>
      <c r="DC445" s="124"/>
      <c r="DD445" s="124"/>
      <c r="DE445" s="124"/>
      <c r="DF445" s="124"/>
      <c r="DG445" s="124"/>
      <c r="DH445" s="124"/>
      <c r="DI445" s="124"/>
      <c r="DJ445" s="124"/>
      <c r="DK445" s="124"/>
      <c r="DL445" s="124"/>
      <c r="DM445" s="124"/>
      <c r="DN445" s="124"/>
      <c r="DO445" s="124"/>
      <c r="DP445" s="124"/>
      <c r="DQ445" s="124"/>
      <c r="DR445" s="124"/>
      <c r="DS445" s="124"/>
      <c r="DT445" s="124"/>
      <c r="DU445" s="124"/>
      <c r="DV445" s="124"/>
      <c r="DW445" s="124"/>
      <c r="DX445" s="124"/>
      <c r="DY445" s="124"/>
      <c r="DZ445" s="124"/>
      <c r="EA445" s="124"/>
      <c r="EB445" s="124"/>
      <c r="EC445" s="124"/>
      <c r="ED445" s="124"/>
      <c r="EE445" s="124"/>
      <c r="EF445" s="124"/>
      <c r="EG445" s="124"/>
      <c r="EH445" s="124"/>
      <c r="EI445" s="124"/>
      <c r="EJ445" s="124"/>
      <c r="EK445" s="124"/>
      <c r="EL445" s="124"/>
      <c r="EM445" s="124"/>
      <c r="EN445" s="124"/>
      <c r="EO445" s="124"/>
      <c r="EP445" s="124"/>
      <c r="EQ445" s="124"/>
      <c r="ER445" s="124"/>
      <c r="ES445" s="124"/>
      <c r="ET445" s="124"/>
      <c r="EU445" s="124"/>
      <c r="EV445" s="124"/>
      <c r="EW445" s="124"/>
      <c r="EX445" s="124"/>
      <c r="EY445" s="124"/>
      <c r="EZ445" s="124"/>
      <c r="FA445" s="124"/>
      <c r="FB445" s="124"/>
      <c r="FC445" s="124"/>
      <c r="FD445" s="124"/>
      <c r="FE445" s="124"/>
      <c r="FF445" s="124"/>
      <c r="FG445" s="124"/>
      <c r="FH445" s="124"/>
      <c r="FI445" s="124"/>
      <c r="FJ445" s="124"/>
      <c r="FK445" s="124"/>
      <c r="FL445" s="124"/>
      <c r="FM445" s="124"/>
      <c r="FN445" s="124"/>
      <c r="FO445" s="124"/>
      <c r="FP445" s="124"/>
      <c r="FQ445" s="124"/>
      <c r="FR445" s="124"/>
      <c r="FS445" s="124"/>
      <c r="FT445" s="124"/>
      <c r="FU445" s="124"/>
      <c r="FV445" s="124"/>
      <c r="FW445" s="124"/>
      <c r="FX445" s="124"/>
      <c r="FY445" s="124"/>
      <c r="FZ445" s="124"/>
      <c r="GA445" s="124"/>
      <c r="GB445" s="124"/>
      <c r="GC445" s="124"/>
      <c r="GD445" s="124"/>
      <c r="GE445" s="124"/>
      <c r="GF445" s="124"/>
      <c r="GG445" s="124"/>
      <c r="GH445" s="124"/>
      <c r="GI445" s="124"/>
      <c r="GJ445" s="124"/>
      <c r="GK445" s="124"/>
      <c r="GL445" s="124"/>
      <c r="GM445" s="124"/>
      <c r="GN445" s="124"/>
      <c r="GO445" s="124"/>
      <c r="GP445" s="124"/>
      <c r="GQ445" s="124"/>
      <c r="GR445" s="124"/>
      <c r="GS445" s="124"/>
      <c r="GT445" s="124"/>
      <c r="GU445" s="124"/>
      <c r="GV445" s="124"/>
      <c r="GW445" s="124"/>
      <c r="GX445" s="124"/>
      <c r="GY445" s="124"/>
      <c r="GZ445" s="124"/>
      <c r="HA445" s="124"/>
      <c r="HB445" s="124"/>
      <c r="HC445" s="124"/>
      <c r="HD445" s="124"/>
      <c r="HE445" s="124"/>
      <c r="HF445" s="124"/>
      <c r="HG445" s="124"/>
      <c r="HH445" s="124"/>
      <c r="HI445" s="124"/>
      <c r="HJ445" s="124"/>
      <c r="HK445" s="124"/>
      <c r="HL445" s="124"/>
      <c r="HM445" s="124"/>
      <c r="HN445" s="124"/>
      <c r="HO445" s="124"/>
      <c r="HP445" s="124"/>
      <c r="HQ445" s="124"/>
    </row>
    <row r="446" spans="1:225" x14ac:dyDescent="0.2">
      <c r="A446" s="122"/>
      <c r="B446" s="123"/>
      <c r="C446" s="124"/>
      <c r="D446" s="123"/>
      <c r="E446" s="124"/>
      <c r="F446" s="123"/>
      <c r="G446" s="123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  <c r="AU446" s="124"/>
      <c r="AV446" s="124"/>
      <c r="AW446" s="124"/>
      <c r="AX446" s="124"/>
      <c r="AY446" s="124"/>
      <c r="AZ446" s="124"/>
      <c r="BA446" s="124"/>
      <c r="BB446" s="124"/>
      <c r="BC446" s="124"/>
      <c r="BD446" s="124"/>
      <c r="BE446" s="124"/>
      <c r="BF446" s="124"/>
      <c r="BG446" s="124"/>
      <c r="BH446" s="124"/>
      <c r="BI446" s="124"/>
      <c r="BJ446" s="124"/>
      <c r="BK446" s="124"/>
      <c r="BL446" s="124"/>
      <c r="BM446" s="124"/>
      <c r="BN446" s="124"/>
      <c r="BO446" s="124"/>
      <c r="BP446" s="124"/>
      <c r="BQ446" s="124"/>
      <c r="BR446" s="124"/>
      <c r="BS446" s="124"/>
      <c r="BT446" s="124"/>
      <c r="BU446" s="124"/>
      <c r="BV446" s="124"/>
      <c r="BW446" s="124"/>
      <c r="BX446" s="124"/>
      <c r="BY446" s="124"/>
      <c r="BZ446" s="124"/>
      <c r="CA446" s="124"/>
      <c r="CB446" s="124"/>
      <c r="CC446" s="124"/>
      <c r="CD446" s="124"/>
      <c r="CE446" s="124"/>
      <c r="CF446" s="124"/>
      <c r="CG446" s="124"/>
      <c r="CH446" s="124"/>
      <c r="CI446" s="124"/>
      <c r="CJ446" s="124"/>
      <c r="CK446" s="124"/>
      <c r="CL446" s="124"/>
      <c r="CM446" s="124"/>
      <c r="CN446" s="124"/>
      <c r="CO446" s="124"/>
      <c r="CP446" s="124"/>
      <c r="CQ446" s="124"/>
      <c r="CR446" s="124"/>
      <c r="CS446" s="124"/>
      <c r="CT446" s="124"/>
      <c r="CU446" s="124"/>
      <c r="CV446" s="124"/>
      <c r="CW446" s="124"/>
      <c r="CX446" s="124"/>
      <c r="CY446" s="124"/>
      <c r="CZ446" s="124"/>
      <c r="DA446" s="124"/>
      <c r="DB446" s="124"/>
      <c r="DC446" s="124"/>
      <c r="DD446" s="124"/>
      <c r="DE446" s="124"/>
      <c r="DF446" s="124"/>
      <c r="DG446" s="124"/>
      <c r="DH446" s="124"/>
      <c r="DI446" s="124"/>
      <c r="DJ446" s="124"/>
      <c r="DK446" s="124"/>
      <c r="DL446" s="124"/>
      <c r="DM446" s="124"/>
      <c r="DN446" s="124"/>
      <c r="DO446" s="124"/>
      <c r="DP446" s="124"/>
      <c r="DQ446" s="124"/>
      <c r="DR446" s="124"/>
      <c r="DS446" s="124"/>
      <c r="DT446" s="124"/>
      <c r="DU446" s="124"/>
      <c r="DV446" s="124"/>
      <c r="DW446" s="124"/>
      <c r="DX446" s="124"/>
      <c r="DY446" s="124"/>
      <c r="DZ446" s="124"/>
      <c r="EA446" s="124"/>
      <c r="EB446" s="124"/>
      <c r="EC446" s="124"/>
      <c r="ED446" s="124"/>
      <c r="EE446" s="124"/>
      <c r="EF446" s="124"/>
      <c r="EG446" s="124"/>
      <c r="EH446" s="124"/>
      <c r="EI446" s="124"/>
      <c r="EJ446" s="124"/>
      <c r="EK446" s="124"/>
      <c r="EL446" s="124"/>
      <c r="EM446" s="124"/>
      <c r="EN446" s="124"/>
      <c r="EO446" s="124"/>
      <c r="EP446" s="124"/>
      <c r="EQ446" s="124"/>
      <c r="ER446" s="124"/>
      <c r="ES446" s="124"/>
      <c r="ET446" s="124"/>
      <c r="EU446" s="124"/>
      <c r="EV446" s="124"/>
      <c r="EW446" s="124"/>
      <c r="EX446" s="124"/>
      <c r="EY446" s="124"/>
      <c r="EZ446" s="124"/>
      <c r="FA446" s="124"/>
      <c r="FB446" s="124"/>
      <c r="FC446" s="124"/>
      <c r="FD446" s="124"/>
      <c r="FE446" s="124"/>
      <c r="FF446" s="124"/>
      <c r="FG446" s="124"/>
      <c r="FH446" s="124"/>
      <c r="FI446" s="124"/>
      <c r="FJ446" s="124"/>
      <c r="FK446" s="124"/>
      <c r="FL446" s="124"/>
      <c r="FM446" s="124"/>
      <c r="FN446" s="124"/>
      <c r="FO446" s="124"/>
      <c r="FP446" s="124"/>
      <c r="FQ446" s="124"/>
      <c r="FR446" s="124"/>
      <c r="FS446" s="124"/>
      <c r="FT446" s="124"/>
      <c r="FU446" s="124"/>
      <c r="FV446" s="124"/>
      <c r="FW446" s="124"/>
      <c r="FX446" s="124"/>
      <c r="FY446" s="124"/>
      <c r="FZ446" s="124"/>
      <c r="GA446" s="124"/>
      <c r="GB446" s="124"/>
      <c r="GC446" s="124"/>
      <c r="GD446" s="124"/>
      <c r="GE446" s="124"/>
      <c r="GF446" s="124"/>
      <c r="GG446" s="124"/>
      <c r="GH446" s="124"/>
      <c r="GI446" s="124"/>
      <c r="GJ446" s="124"/>
      <c r="GK446" s="124"/>
      <c r="GL446" s="124"/>
      <c r="GM446" s="124"/>
      <c r="GN446" s="124"/>
      <c r="GO446" s="124"/>
      <c r="GP446" s="124"/>
      <c r="GQ446" s="124"/>
      <c r="GR446" s="124"/>
      <c r="GS446" s="124"/>
      <c r="GT446" s="124"/>
      <c r="GU446" s="124"/>
      <c r="GV446" s="124"/>
      <c r="GW446" s="124"/>
      <c r="GX446" s="124"/>
      <c r="GY446" s="124"/>
      <c r="GZ446" s="124"/>
      <c r="HA446" s="124"/>
      <c r="HB446" s="124"/>
      <c r="HC446" s="124"/>
      <c r="HD446" s="124"/>
      <c r="HE446" s="124"/>
      <c r="HF446" s="124"/>
      <c r="HG446" s="124"/>
      <c r="HH446" s="124"/>
      <c r="HI446" s="124"/>
      <c r="HJ446" s="124"/>
      <c r="HK446" s="124"/>
      <c r="HL446" s="124"/>
      <c r="HM446" s="124"/>
      <c r="HN446" s="124"/>
      <c r="HO446" s="124"/>
      <c r="HP446" s="124"/>
      <c r="HQ446" s="124"/>
    </row>
    <row r="447" spans="1:225" x14ac:dyDescent="0.2">
      <c r="A447" s="122"/>
      <c r="B447" s="123"/>
      <c r="C447" s="124"/>
      <c r="D447" s="123"/>
      <c r="E447" s="124"/>
      <c r="F447" s="123"/>
      <c r="G447" s="123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  <c r="AU447" s="124"/>
      <c r="AV447" s="124"/>
      <c r="AW447" s="124"/>
      <c r="AX447" s="124"/>
      <c r="AY447" s="124"/>
      <c r="AZ447" s="124"/>
      <c r="BA447" s="124"/>
      <c r="BB447" s="124"/>
      <c r="BC447" s="124"/>
      <c r="BD447" s="124"/>
      <c r="BE447" s="124"/>
      <c r="BF447" s="124"/>
      <c r="BG447" s="124"/>
      <c r="BH447" s="124"/>
      <c r="BI447" s="124"/>
      <c r="BJ447" s="124"/>
      <c r="BK447" s="124"/>
      <c r="BL447" s="124"/>
      <c r="BM447" s="124"/>
      <c r="BN447" s="124"/>
      <c r="BO447" s="124"/>
      <c r="BP447" s="124"/>
      <c r="BQ447" s="124"/>
      <c r="BR447" s="124"/>
      <c r="BS447" s="124"/>
      <c r="BT447" s="124"/>
      <c r="BU447" s="124"/>
      <c r="BV447" s="124"/>
      <c r="BW447" s="124"/>
      <c r="BX447" s="124"/>
      <c r="BY447" s="124"/>
      <c r="BZ447" s="124"/>
      <c r="CA447" s="124"/>
      <c r="CB447" s="124"/>
      <c r="CC447" s="124"/>
      <c r="CD447" s="124"/>
      <c r="CE447" s="124"/>
      <c r="CF447" s="124"/>
      <c r="CG447" s="124"/>
      <c r="CH447" s="124"/>
      <c r="CI447" s="124"/>
      <c r="CJ447" s="124"/>
      <c r="CK447" s="124"/>
      <c r="CL447" s="124"/>
      <c r="CM447" s="124"/>
      <c r="CN447" s="124"/>
      <c r="CO447" s="124"/>
      <c r="CP447" s="124"/>
      <c r="CQ447" s="124"/>
      <c r="CR447" s="124"/>
      <c r="CS447" s="124"/>
      <c r="CT447" s="124"/>
      <c r="CU447" s="124"/>
      <c r="CV447" s="124"/>
      <c r="CW447" s="124"/>
      <c r="CX447" s="124"/>
      <c r="CY447" s="124"/>
      <c r="CZ447" s="124"/>
      <c r="DA447" s="124"/>
      <c r="DB447" s="124"/>
      <c r="DC447" s="124"/>
      <c r="DD447" s="124"/>
      <c r="DE447" s="124"/>
      <c r="DF447" s="124"/>
      <c r="DG447" s="124"/>
      <c r="DH447" s="124"/>
      <c r="DI447" s="124"/>
      <c r="DJ447" s="124"/>
      <c r="DK447" s="124"/>
      <c r="DL447" s="124"/>
      <c r="DM447" s="124"/>
      <c r="DN447" s="124"/>
      <c r="DO447" s="124"/>
      <c r="DP447" s="124"/>
      <c r="DQ447" s="124"/>
      <c r="DR447" s="124"/>
      <c r="DS447" s="124"/>
      <c r="DT447" s="124"/>
      <c r="DU447" s="124"/>
      <c r="DV447" s="124"/>
      <c r="DW447" s="124"/>
      <c r="DX447" s="124"/>
      <c r="DY447" s="124"/>
      <c r="DZ447" s="124"/>
      <c r="EA447" s="124"/>
      <c r="EB447" s="124"/>
      <c r="EC447" s="124"/>
      <c r="ED447" s="124"/>
      <c r="EE447" s="124"/>
      <c r="EF447" s="124"/>
      <c r="EG447" s="124"/>
      <c r="EH447" s="124"/>
      <c r="EI447" s="124"/>
      <c r="EJ447" s="124"/>
      <c r="EK447" s="124"/>
      <c r="EL447" s="124"/>
      <c r="EM447" s="124"/>
      <c r="EN447" s="124"/>
      <c r="EO447" s="124"/>
      <c r="EP447" s="124"/>
      <c r="EQ447" s="124"/>
      <c r="ER447" s="124"/>
      <c r="ES447" s="124"/>
      <c r="ET447" s="124"/>
      <c r="EU447" s="124"/>
      <c r="EV447" s="124"/>
      <c r="EW447" s="124"/>
      <c r="EX447" s="124"/>
      <c r="EY447" s="124"/>
      <c r="EZ447" s="124"/>
      <c r="FA447" s="124"/>
      <c r="FB447" s="124"/>
      <c r="FC447" s="124"/>
      <c r="FD447" s="124"/>
      <c r="FE447" s="124"/>
      <c r="FF447" s="124"/>
      <c r="FG447" s="124"/>
      <c r="FH447" s="124"/>
      <c r="FI447" s="124"/>
      <c r="FJ447" s="124"/>
      <c r="FK447" s="124"/>
      <c r="FL447" s="124"/>
      <c r="FM447" s="124"/>
      <c r="FN447" s="124"/>
      <c r="FO447" s="124"/>
      <c r="FP447" s="124"/>
      <c r="FQ447" s="124"/>
      <c r="FR447" s="124"/>
      <c r="FS447" s="124"/>
      <c r="FT447" s="124"/>
      <c r="FU447" s="124"/>
      <c r="FV447" s="124"/>
      <c r="FW447" s="124"/>
      <c r="FX447" s="124"/>
      <c r="FY447" s="124"/>
      <c r="FZ447" s="124"/>
      <c r="GA447" s="124"/>
      <c r="GB447" s="124"/>
      <c r="GC447" s="124"/>
      <c r="GD447" s="124"/>
      <c r="GE447" s="124"/>
      <c r="GF447" s="124"/>
      <c r="GG447" s="124"/>
      <c r="GH447" s="124"/>
      <c r="GI447" s="124"/>
      <c r="GJ447" s="124"/>
      <c r="GK447" s="124"/>
      <c r="GL447" s="124"/>
      <c r="GM447" s="124"/>
      <c r="GN447" s="124"/>
      <c r="GO447" s="124"/>
      <c r="GP447" s="124"/>
      <c r="GQ447" s="124"/>
      <c r="GR447" s="124"/>
      <c r="GS447" s="124"/>
      <c r="GT447" s="124"/>
      <c r="GU447" s="124"/>
      <c r="GV447" s="124"/>
      <c r="GW447" s="124"/>
      <c r="GX447" s="124"/>
      <c r="GY447" s="124"/>
      <c r="GZ447" s="124"/>
      <c r="HA447" s="124"/>
      <c r="HB447" s="124"/>
      <c r="HC447" s="124"/>
      <c r="HD447" s="124"/>
      <c r="HE447" s="124"/>
      <c r="HF447" s="124"/>
      <c r="HG447" s="124"/>
      <c r="HH447" s="124"/>
      <c r="HI447" s="124"/>
      <c r="HJ447" s="124"/>
      <c r="HK447" s="124"/>
      <c r="HL447" s="124"/>
      <c r="HM447" s="124"/>
      <c r="HN447" s="124"/>
      <c r="HO447" s="124"/>
      <c r="HP447" s="124"/>
      <c r="HQ447" s="124"/>
    </row>
    <row r="448" spans="1:225" x14ac:dyDescent="0.2">
      <c r="A448" s="122"/>
      <c r="B448" s="123"/>
      <c r="C448" s="124"/>
      <c r="D448" s="123"/>
      <c r="E448" s="124"/>
      <c r="F448" s="123"/>
      <c r="G448" s="123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  <c r="AU448" s="124"/>
      <c r="AV448" s="124"/>
      <c r="AW448" s="124"/>
      <c r="AX448" s="124"/>
      <c r="AY448" s="124"/>
      <c r="AZ448" s="124"/>
      <c r="BA448" s="124"/>
      <c r="BB448" s="124"/>
      <c r="BC448" s="124"/>
      <c r="BD448" s="124"/>
      <c r="BE448" s="124"/>
      <c r="BF448" s="124"/>
      <c r="BG448" s="124"/>
      <c r="BH448" s="124"/>
      <c r="BI448" s="124"/>
      <c r="BJ448" s="124"/>
      <c r="BK448" s="124"/>
      <c r="BL448" s="124"/>
      <c r="BM448" s="124"/>
      <c r="BN448" s="124"/>
      <c r="BO448" s="124"/>
      <c r="BP448" s="124"/>
      <c r="BQ448" s="124"/>
      <c r="BR448" s="124"/>
      <c r="BS448" s="124"/>
      <c r="BT448" s="124"/>
      <c r="BU448" s="124"/>
      <c r="BV448" s="124"/>
      <c r="BW448" s="124"/>
      <c r="BX448" s="124"/>
      <c r="BY448" s="124"/>
      <c r="BZ448" s="124"/>
      <c r="CA448" s="124"/>
      <c r="CB448" s="124"/>
      <c r="CC448" s="124"/>
      <c r="CD448" s="124"/>
      <c r="CE448" s="124"/>
      <c r="CF448" s="124"/>
      <c r="CG448" s="124"/>
      <c r="CH448" s="124"/>
      <c r="CI448" s="124"/>
      <c r="CJ448" s="124"/>
      <c r="CK448" s="124"/>
      <c r="CL448" s="124"/>
      <c r="CM448" s="124"/>
      <c r="CN448" s="124"/>
      <c r="CO448" s="124"/>
      <c r="CP448" s="124"/>
      <c r="CQ448" s="124"/>
      <c r="CR448" s="124"/>
      <c r="CS448" s="124"/>
      <c r="CT448" s="124"/>
      <c r="CU448" s="124"/>
      <c r="CV448" s="124"/>
      <c r="CW448" s="124"/>
      <c r="CX448" s="124"/>
      <c r="CY448" s="124"/>
      <c r="CZ448" s="124"/>
      <c r="DA448" s="124"/>
      <c r="DB448" s="124"/>
      <c r="DC448" s="124"/>
      <c r="DD448" s="124"/>
      <c r="DE448" s="124"/>
      <c r="DF448" s="124"/>
      <c r="DG448" s="124"/>
      <c r="DH448" s="124"/>
      <c r="DI448" s="124"/>
      <c r="DJ448" s="124"/>
      <c r="DK448" s="124"/>
      <c r="DL448" s="124"/>
      <c r="DM448" s="124"/>
      <c r="DN448" s="124"/>
      <c r="DO448" s="124"/>
      <c r="DP448" s="124"/>
      <c r="DQ448" s="124"/>
      <c r="DR448" s="124"/>
      <c r="DS448" s="124"/>
      <c r="DT448" s="124"/>
      <c r="DU448" s="124"/>
      <c r="DV448" s="124"/>
      <c r="DW448" s="124"/>
      <c r="DX448" s="124"/>
      <c r="DY448" s="124"/>
      <c r="DZ448" s="124"/>
      <c r="EA448" s="124"/>
      <c r="EB448" s="124"/>
      <c r="EC448" s="124"/>
      <c r="ED448" s="124"/>
      <c r="EE448" s="124"/>
      <c r="EF448" s="124"/>
      <c r="EG448" s="124"/>
      <c r="EH448" s="124"/>
      <c r="EI448" s="124"/>
      <c r="EJ448" s="124"/>
      <c r="EK448" s="124"/>
      <c r="EL448" s="124"/>
      <c r="EM448" s="124"/>
      <c r="EN448" s="124"/>
      <c r="EO448" s="124"/>
      <c r="EP448" s="124"/>
      <c r="EQ448" s="124"/>
      <c r="ER448" s="124"/>
      <c r="ES448" s="124"/>
      <c r="ET448" s="124"/>
      <c r="EU448" s="124"/>
      <c r="EV448" s="124"/>
      <c r="EW448" s="124"/>
      <c r="EX448" s="124"/>
      <c r="EY448" s="124"/>
      <c r="EZ448" s="124"/>
      <c r="FA448" s="124"/>
      <c r="FB448" s="124"/>
      <c r="FC448" s="124"/>
      <c r="FD448" s="124"/>
      <c r="FE448" s="124"/>
      <c r="FF448" s="124"/>
      <c r="FG448" s="124"/>
      <c r="FH448" s="124"/>
      <c r="FI448" s="124"/>
      <c r="FJ448" s="124"/>
      <c r="FK448" s="124"/>
      <c r="FL448" s="124"/>
      <c r="FM448" s="124"/>
      <c r="FN448" s="124"/>
      <c r="FO448" s="124"/>
      <c r="FP448" s="124"/>
      <c r="FQ448" s="124"/>
      <c r="FR448" s="124"/>
      <c r="FS448" s="124"/>
      <c r="FT448" s="124"/>
      <c r="FU448" s="124"/>
      <c r="FV448" s="124"/>
      <c r="FW448" s="124"/>
      <c r="FX448" s="124"/>
      <c r="FY448" s="124"/>
      <c r="FZ448" s="124"/>
      <c r="GA448" s="124"/>
      <c r="GB448" s="124"/>
      <c r="GC448" s="124"/>
      <c r="GD448" s="124"/>
      <c r="GE448" s="124"/>
      <c r="GF448" s="124"/>
      <c r="GG448" s="124"/>
      <c r="GH448" s="124"/>
      <c r="GI448" s="124"/>
      <c r="GJ448" s="124"/>
      <c r="GK448" s="124"/>
      <c r="GL448" s="124"/>
      <c r="GM448" s="124"/>
      <c r="GN448" s="124"/>
      <c r="GO448" s="124"/>
      <c r="GP448" s="124"/>
      <c r="GQ448" s="124"/>
      <c r="GR448" s="124"/>
      <c r="GS448" s="124"/>
      <c r="GT448" s="124"/>
      <c r="GU448" s="124"/>
      <c r="GV448" s="124"/>
      <c r="GW448" s="124"/>
      <c r="GX448" s="124"/>
      <c r="GY448" s="124"/>
      <c r="GZ448" s="124"/>
      <c r="HA448" s="124"/>
      <c r="HB448" s="124"/>
      <c r="HC448" s="124"/>
      <c r="HD448" s="124"/>
      <c r="HE448" s="124"/>
      <c r="HF448" s="124"/>
      <c r="HG448" s="124"/>
      <c r="HH448" s="124"/>
      <c r="HI448" s="124"/>
      <c r="HJ448" s="124"/>
      <c r="HK448" s="124"/>
      <c r="HL448" s="124"/>
      <c r="HM448" s="124"/>
      <c r="HN448" s="124"/>
      <c r="HO448" s="124"/>
      <c r="HP448" s="124"/>
      <c r="HQ448" s="124"/>
    </row>
    <row r="449" spans="1:225" x14ac:dyDescent="0.2">
      <c r="A449" s="122"/>
      <c r="B449" s="123"/>
      <c r="C449" s="124"/>
      <c r="D449" s="123"/>
      <c r="E449" s="124"/>
      <c r="F449" s="123"/>
      <c r="G449" s="123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  <c r="AU449" s="124"/>
      <c r="AV449" s="124"/>
      <c r="AW449" s="124"/>
      <c r="AX449" s="124"/>
      <c r="AY449" s="124"/>
      <c r="AZ449" s="124"/>
      <c r="BA449" s="124"/>
      <c r="BB449" s="124"/>
      <c r="BC449" s="124"/>
      <c r="BD449" s="124"/>
      <c r="BE449" s="124"/>
      <c r="BF449" s="124"/>
      <c r="BG449" s="124"/>
      <c r="BH449" s="124"/>
      <c r="BI449" s="124"/>
      <c r="BJ449" s="124"/>
      <c r="BK449" s="124"/>
      <c r="BL449" s="124"/>
      <c r="BM449" s="124"/>
      <c r="BN449" s="124"/>
      <c r="BO449" s="124"/>
      <c r="BP449" s="124"/>
      <c r="BQ449" s="124"/>
      <c r="BR449" s="124"/>
      <c r="BS449" s="124"/>
      <c r="BT449" s="124"/>
      <c r="BU449" s="124"/>
      <c r="BV449" s="124"/>
      <c r="BW449" s="124"/>
      <c r="BX449" s="124"/>
      <c r="BY449" s="124"/>
      <c r="BZ449" s="124"/>
      <c r="CA449" s="124"/>
      <c r="CB449" s="124"/>
      <c r="CC449" s="124"/>
      <c r="CD449" s="124"/>
      <c r="CE449" s="124"/>
      <c r="CF449" s="124"/>
      <c r="CG449" s="124"/>
      <c r="CH449" s="124"/>
      <c r="CI449" s="124"/>
      <c r="CJ449" s="124"/>
      <c r="CK449" s="124"/>
      <c r="CL449" s="124"/>
      <c r="CM449" s="124"/>
      <c r="CN449" s="124"/>
      <c r="CO449" s="124"/>
      <c r="CP449" s="124"/>
      <c r="CQ449" s="124"/>
      <c r="CR449" s="124"/>
      <c r="CS449" s="124"/>
      <c r="CT449" s="124"/>
      <c r="CU449" s="124"/>
      <c r="CV449" s="124"/>
      <c r="CW449" s="124"/>
      <c r="CX449" s="124"/>
      <c r="CY449" s="124"/>
      <c r="CZ449" s="124"/>
      <c r="DA449" s="124"/>
      <c r="DB449" s="124"/>
      <c r="DC449" s="124"/>
      <c r="DD449" s="124"/>
      <c r="DE449" s="124"/>
      <c r="DF449" s="124"/>
      <c r="DG449" s="124"/>
      <c r="DH449" s="124"/>
      <c r="DI449" s="124"/>
      <c r="DJ449" s="124"/>
      <c r="DK449" s="124"/>
      <c r="DL449" s="124"/>
      <c r="DM449" s="124"/>
      <c r="DN449" s="124"/>
      <c r="DO449" s="124"/>
      <c r="DP449" s="124"/>
      <c r="DQ449" s="124"/>
      <c r="DR449" s="124"/>
      <c r="DS449" s="124"/>
      <c r="DT449" s="124"/>
      <c r="DU449" s="124"/>
      <c r="DV449" s="124"/>
      <c r="DW449" s="124"/>
      <c r="DX449" s="124"/>
      <c r="DY449" s="124"/>
      <c r="DZ449" s="124"/>
      <c r="EA449" s="124"/>
      <c r="EB449" s="124"/>
      <c r="EC449" s="124"/>
      <c r="ED449" s="124"/>
      <c r="EE449" s="124"/>
      <c r="EF449" s="124"/>
      <c r="EG449" s="124"/>
      <c r="EH449" s="124"/>
      <c r="EI449" s="124"/>
      <c r="EJ449" s="124"/>
      <c r="EK449" s="124"/>
      <c r="EL449" s="124"/>
      <c r="EM449" s="124"/>
      <c r="EN449" s="124"/>
      <c r="EO449" s="124"/>
      <c r="EP449" s="124"/>
      <c r="EQ449" s="124"/>
      <c r="ER449" s="124"/>
      <c r="ES449" s="124"/>
      <c r="ET449" s="124"/>
      <c r="EU449" s="124"/>
      <c r="EV449" s="124"/>
      <c r="EW449" s="124"/>
      <c r="EX449" s="124"/>
      <c r="EY449" s="124"/>
      <c r="EZ449" s="124"/>
      <c r="FA449" s="124"/>
      <c r="FB449" s="124"/>
      <c r="FC449" s="124"/>
      <c r="FD449" s="124"/>
      <c r="FE449" s="124"/>
      <c r="FF449" s="124"/>
      <c r="FG449" s="124"/>
      <c r="FH449" s="124"/>
      <c r="FI449" s="124"/>
      <c r="FJ449" s="124"/>
      <c r="FK449" s="124"/>
      <c r="FL449" s="124"/>
      <c r="FM449" s="124"/>
      <c r="FN449" s="124"/>
      <c r="FO449" s="124"/>
      <c r="FP449" s="124"/>
      <c r="FQ449" s="124"/>
      <c r="FR449" s="124"/>
      <c r="FS449" s="124"/>
      <c r="FT449" s="124"/>
      <c r="FU449" s="124"/>
      <c r="FV449" s="124"/>
      <c r="FW449" s="124"/>
      <c r="FX449" s="124"/>
      <c r="FY449" s="124"/>
      <c r="FZ449" s="124"/>
      <c r="GA449" s="124"/>
      <c r="GB449" s="124"/>
      <c r="GC449" s="124"/>
      <c r="GD449" s="124"/>
      <c r="GE449" s="124"/>
      <c r="GF449" s="124"/>
      <c r="GG449" s="124"/>
      <c r="GH449" s="124"/>
      <c r="GI449" s="124"/>
      <c r="GJ449" s="124"/>
      <c r="GK449" s="124"/>
      <c r="GL449" s="124"/>
      <c r="GM449" s="124"/>
      <c r="GN449" s="124"/>
      <c r="GO449" s="124"/>
      <c r="GP449" s="124"/>
      <c r="GQ449" s="124"/>
      <c r="GR449" s="124"/>
      <c r="GS449" s="124"/>
      <c r="GT449" s="124"/>
      <c r="GU449" s="124"/>
      <c r="GV449" s="124"/>
      <c r="GW449" s="124"/>
      <c r="GX449" s="124"/>
      <c r="GY449" s="124"/>
      <c r="GZ449" s="124"/>
      <c r="HA449" s="124"/>
      <c r="HB449" s="124"/>
      <c r="HC449" s="124"/>
      <c r="HD449" s="124"/>
      <c r="HE449" s="124"/>
      <c r="HF449" s="124"/>
      <c r="HG449" s="124"/>
      <c r="HH449" s="124"/>
      <c r="HI449" s="124"/>
      <c r="HJ449" s="124"/>
      <c r="HK449" s="124"/>
      <c r="HL449" s="124"/>
      <c r="HM449" s="124"/>
      <c r="HN449" s="124"/>
      <c r="HO449" s="124"/>
      <c r="HP449" s="124"/>
      <c r="HQ449" s="124"/>
    </row>
    <row r="450" spans="1:225" x14ac:dyDescent="0.2">
      <c r="A450" s="122"/>
      <c r="B450" s="123"/>
      <c r="C450" s="124"/>
      <c r="D450" s="123"/>
      <c r="E450" s="124"/>
      <c r="F450" s="123"/>
      <c r="G450" s="123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  <c r="AU450" s="124"/>
      <c r="AV450" s="124"/>
      <c r="AW450" s="124"/>
      <c r="AX450" s="124"/>
      <c r="AY450" s="124"/>
      <c r="AZ450" s="124"/>
      <c r="BA450" s="124"/>
      <c r="BB450" s="124"/>
      <c r="BC450" s="124"/>
      <c r="BD450" s="124"/>
      <c r="BE450" s="124"/>
      <c r="BF450" s="124"/>
      <c r="BG450" s="124"/>
      <c r="BH450" s="124"/>
      <c r="BI450" s="124"/>
      <c r="BJ450" s="124"/>
      <c r="BK450" s="124"/>
      <c r="BL450" s="124"/>
      <c r="BM450" s="124"/>
      <c r="BN450" s="124"/>
      <c r="BO450" s="124"/>
      <c r="BP450" s="124"/>
      <c r="BQ450" s="124"/>
      <c r="BR450" s="124"/>
      <c r="BS450" s="124"/>
      <c r="BT450" s="124"/>
      <c r="BU450" s="124"/>
      <c r="BV450" s="124"/>
      <c r="BW450" s="124"/>
      <c r="BX450" s="124"/>
      <c r="BY450" s="124"/>
      <c r="BZ450" s="124"/>
      <c r="CA450" s="124"/>
      <c r="CB450" s="124"/>
      <c r="CC450" s="124"/>
      <c r="CD450" s="124"/>
      <c r="CE450" s="124"/>
      <c r="CF450" s="124"/>
      <c r="CG450" s="124"/>
      <c r="CH450" s="124"/>
      <c r="CI450" s="124"/>
      <c r="CJ450" s="124"/>
      <c r="CK450" s="124"/>
      <c r="CL450" s="124"/>
      <c r="CM450" s="124"/>
      <c r="CN450" s="124"/>
      <c r="CO450" s="124"/>
      <c r="CP450" s="124"/>
      <c r="CQ450" s="124"/>
      <c r="CR450" s="124"/>
      <c r="CS450" s="124"/>
      <c r="CT450" s="124"/>
      <c r="CU450" s="124"/>
      <c r="CV450" s="124"/>
      <c r="CW450" s="124"/>
      <c r="CX450" s="124"/>
      <c r="CY450" s="124"/>
      <c r="CZ450" s="124"/>
      <c r="DA450" s="124"/>
      <c r="DB450" s="124"/>
      <c r="DC450" s="124"/>
      <c r="DD450" s="124"/>
      <c r="DE450" s="124"/>
      <c r="DF450" s="124"/>
      <c r="DG450" s="124"/>
      <c r="DH450" s="124"/>
      <c r="DI450" s="124"/>
      <c r="DJ450" s="124"/>
      <c r="DK450" s="124"/>
      <c r="DL450" s="124"/>
      <c r="DM450" s="124"/>
      <c r="DN450" s="124"/>
      <c r="DO450" s="124"/>
      <c r="DP450" s="124"/>
      <c r="DQ450" s="124"/>
      <c r="DR450" s="124"/>
      <c r="DS450" s="124"/>
      <c r="DT450" s="124"/>
      <c r="DU450" s="124"/>
      <c r="DV450" s="124"/>
      <c r="DW450" s="124"/>
      <c r="DX450" s="124"/>
      <c r="DY450" s="124"/>
      <c r="DZ450" s="124"/>
      <c r="EA450" s="124"/>
      <c r="EB450" s="124"/>
      <c r="EC450" s="124"/>
      <c r="ED450" s="124"/>
      <c r="EE450" s="124"/>
      <c r="EF450" s="124"/>
      <c r="EG450" s="124"/>
      <c r="EH450" s="124"/>
      <c r="EI450" s="124"/>
      <c r="EJ450" s="124"/>
      <c r="EK450" s="124"/>
      <c r="EL450" s="124"/>
      <c r="EM450" s="124"/>
      <c r="EN450" s="124"/>
      <c r="EO450" s="124"/>
      <c r="EP450" s="124"/>
      <c r="EQ450" s="124"/>
      <c r="ER450" s="124"/>
      <c r="ES450" s="124"/>
      <c r="ET450" s="124"/>
      <c r="EU450" s="124"/>
      <c r="EV450" s="124"/>
      <c r="EW450" s="124"/>
      <c r="EX450" s="124"/>
      <c r="EY450" s="124"/>
      <c r="EZ450" s="124"/>
      <c r="FA450" s="124"/>
      <c r="FB450" s="124"/>
      <c r="FC450" s="124"/>
      <c r="FD450" s="124"/>
      <c r="FE450" s="124"/>
      <c r="FF450" s="124"/>
      <c r="FG450" s="124"/>
      <c r="FH450" s="124"/>
      <c r="FI450" s="124"/>
      <c r="FJ450" s="124"/>
      <c r="FK450" s="124"/>
      <c r="FL450" s="124"/>
      <c r="FM450" s="124"/>
      <c r="FN450" s="124"/>
      <c r="FO450" s="124"/>
      <c r="FP450" s="124"/>
      <c r="FQ450" s="124"/>
      <c r="FR450" s="124"/>
      <c r="FS450" s="124"/>
      <c r="FT450" s="124"/>
      <c r="FU450" s="124"/>
      <c r="FV450" s="124"/>
      <c r="FW450" s="124"/>
      <c r="FX450" s="124"/>
      <c r="FY450" s="124"/>
      <c r="FZ450" s="124"/>
      <c r="GA450" s="124"/>
      <c r="GB450" s="124"/>
      <c r="GC450" s="124"/>
      <c r="GD450" s="124"/>
      <c r="GE450" s="124"/>
      <c r="GF450" s="124"/>
      <c r="GG450" s="124"/>
      <c r="GH450" s="124"/>
      <c r="GI450" s="124"/>
      <c r="GJ450" s="124"/>
      <c r="GK450" s="124"/>
      <c r="GL450" s="124"/>
      <c r="GM450" s="124"/>
      <c r="GN450" s="124"/>
      <c r="GO450" s="124"/>
      <c r="GP450" s="124"/>
      <c r="GQ450" s="124"/>
      <c r="GR450" s="124"/>
      <c r="GS450" s="124"/>
      <c r="GT450" s="124"/>
      <c r="GU450" s="124"/>
      <c r="GV450" s="124"/>
      <c r="GW450" s="124"/>
      <c r="GX450" s="124"/>
      <c r="GY450" s="124"/>
      <c r="GZ450" s="124"/>
      <c r="HA450" s="124"/>
      <c r="HB450" s="124"/>
      <c r="HC450" s="124"/>
      <c r="HD450" s="124"/>
      <c r="HE450" s="124"/>
      <c r="HF450" s="124"/>
      <c r="HG450" s="124"/>
      <c r="HH450" s="124"/>
      <c r="HI450" s="124"/>
      <c r="HJ450" s="124"/>
      <c r="HK450" s="124"/>
      <c r="HL450" s="124"/>
      <c r="HM450" s="124"/>
      <c r="HN450" s="124"/>
      <c r="HO450" s="124"/>
      <c r="HP450" s="124"/>
      <c r="HQ450" s="124"/>
    </row>
    <row r="451" spans="1:225" x14ac:dyDescent="0.2">
      <c r="A451" s="122"/>
      <c r="B451" s="123"/>
      <c r="C451" s="124"/>
      <c r="D451" s="123"/>
      <c r="E451" s="124"/>
      <c r="F451" s="123"/>
      <c r="G451" s="123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  <c r="AU451" s="124"/>
      <c r="AV451" s="124"/>
      <c r="AW451" s="124"/>
      <c r="AX451" s="124"/>
      <c r="AY451" s="124"/>
      <c r="AZ451" s="124"/>
      <c r="BA451" s="124"/>
      <c r="BB451" s="124"/>
      <c r="BC451" s="124"/>
      <c r="BD451" s="124"/>
      <c r="BE451" s="124"/>
      <c r="BF451" s="124"/>
      <c r="BG451" s="124"/>
      <c r="BH451" s="124"/>
      <c r="BI451" s="124"/>
      <c r="BJ451" s="124"/>
      <c r="BK451" s="124"/>
      <c r="BL451" s="124"/>
      <c r="BM451" s="124"/>
      <c r="BN451" s="124"/>
      <c r="BO451" s="124"/>
      <c r="BP451" s="124"/>
      <c r="BQ451" s="124"/>
      <c r="BR451" s="124"/>
      <c r="BS451" s="124"/>
      <c r="BT451" s="124"/>
      <c r="BU451" s="124"/>
      <c r="BV451" s="124"/>
      <c r="BW451" s="124"/>
      <c r="BX451" s="124"/>
      <c r="BY451" s="124"/>
      <c r="BZ451" s="124"/>
      <c r="CA451" s="124"/>
      <c r="CB451" s="124"/>
      <c r="CC451" s="124"/>
      <c r="CD451" s="124"/>
      <c r="CE451" s="124"/>
      <c r="CF451" s="124"/>
      <c r="CG451" s="124"/>
      <c r="CH451" s="124"/>
      <c r="CI451" s="124"/>
      <c r="CJ451" s="124"/>
      <c r="CK451" s="124"/>
      <c r="CL451" s="124"/>
      <c r="CM451" s="124"/>
      <c r="CN451" s="124"/>
      <c r="CO451" s="124"/>
      <c r="CP451" s="124"/>
      <c r="CQ451" s="124"/>
      <c r="CR451" s="124"/>
      <c r="CS451" s="124"/>
      <c r="CT451" s="124"/>
      <c r="CU451" s="124"/>
      <c r="CV451" s="124"/>
      <c r="CW451" s="124"/>
      <c r="CX451" s="124"/>
      <c r="CY451" s="124"/>
      <c r="CZ451" s="124"/>
      <c r="DA451" s="124"/>
      <c r="DB451" s="124"/>
      <c r="DC451" s="124"/>
      <c r="DD451" s="124"/>
      <c r="DE451" s="124"/>
      <c r="DF451" s="124"/>
      <c r="DG451" s="124"/>
      <c r="DH451" s="124"/>
      <c r="DI451" s="124"/>
      <c r="DJ451" s="124"/>
      <c r="DK451" s="124"/>
      <c r="DL451" s="124"/>
      <c r="DM451" s="124"/>
      <c r="DN451" s="124"/>
      <c r="DO451" s="124"/>
      <c r="DP451" s="124"/>
      <c r="DQ451" s="124"/>
      <c r="DR451" s="124"/>
      <c r="DS451" s="124"/>
      <c r="DT451" s="124"/>
      <c r="DU451" s="124"/>
      <c r="DV451" s="124"/>
      <c r="DW451" s="124"/>
      <c r="DX451" s="124"/>
      <c r="DY451" s="124"/>
      <c r="DZ451" s="124"/>
      <c r="EA451" s="124"/>
      <c r="EB451" s="124"/>
      <c r="EC451" s="124"/>
      <c r="ED451" s="124"/>
      <c r="EE451" s="124"/>
      <c r="EF451" s="124"/>
      <c r="EG451" s="124"/>
      <c r="EH451" s="124"/>
      <c r="EI451" s="124"/>
      <c r="EJ451" s="124"/>
      <c r="EK451" s="124"/>
      <c r="EL451" s="124"/>
      <c r="EM451" s="124"/>
      <c r="EN451" s="124"/>
      <c r="EO451" s="124"/>
      <c r="EP451" s="124"/>
      <c r="EQ451" s="124"/>
      <c r="ER451" s="124"/>
      <c r="ES451" s="124"/>
      <c r="ET451" s="124"/>
      <c r="EU451" s="124"/>
      <c r="EV451" s="124"/>
      <c r="EW451" s="124"/>
      <c r="EX451" s="124"/>
      <c r="EY451" s="124"/>
      <c r="EZ451" s="124"/>
      <c r="FA451" s="124"/>
      <c r="FB451" s="124"/>
      <c r="FC451" s="124"/>
      <c r="FD451" s="124"/>
      <c r="FE451" s="124"/>
      <c r="FF451" s="124"/>
      <c r="FG451" s="124"/>
      <c r="FH451" s="124"/>
      <c r="FI451" s="124"/>
      <c r="FJ451" s="124"/>
      <c r="FK451" s="124"/>
      <c r="FL451" s="124"/>
      <c r="FM451" s="124"/>
      <c r="FN451" s="124"/>
      <c r="FO451" s="124"/>
      <c r="FP451" s="124"/>
      <c r="FQ451" s="124"/>
      <c r="FR451" s="124"/>
      <c r="FS451" s="124"/>
      <c r="FT451" s="124"/>
      <c r="FU451" s="124"/>
      <c r="FV451" s="124"/>
      <c r="FW451" s="124"/>
      <c r="FX451" s="124"/>
      <c r="FY451" s="124"/>
      <c r="FZ451" s="124"/>
      <c r="GA451" s="124"/>
      <c r="GB451" s="124"/>
      <c r="GC451" s="124"/>
      <c r="GD451" s="124"/>
      <c r="GE451" s="124"/>
      <c r="GF451" s="124"/>
      <c r="GG451" s="124"/>
      <c r="GH451" s="124"/>
      <c r="GI451" s="124"/>
      <c r="GJ451" s="124"/>
      <c r="GK451" s="124"/>
      <c r="GL451" s="124"/>
      <c r="GM451" s="124"/>
      <c r="GN451" s="124"/>
      <c r="GO451" s="124"/>
      <c r="GP451" s="124"/>
      <c r="GQ451" s="124"/>
      <c r="GR451" s="124"/>
      <c r="GS451" s="124"/>
      <c r="GT451" s="124"/>
      <c r="GU451" s="124"/>
      <c r="GV451" s="124"/>
      <c r="GW451" s="124"/>
      <c r="GX451" s="124"/>
      <c r="GY451" s="124"/>
      <c r="GZ451" s="124"/>
      <c r="HA451" s="124"/>
      <c r="HB451" s="124"/>
      <c r="HC451" s="124"/>
      <c r="HD451" s="124"/>
      <c r="HE451" s="124"/>
      <c r="HF451" s="124"/>
      <c r="HG451" s="124"/>
      <c r="HH451" s="124"/>
      <c r="HI451" s="124"/>
      <c r="HJ451" s="124"/>
      <c r="HK451" s="124"/>
      <c r="HL451" s="124"/>
      <c r="HM451" s="124"/>
      <c r="HN451" s="124"/>
      <c r="HO451" s="124"/>
      <c r="HP451" s="124"/>
      <c r="HQ451" s="124"/>
    </row>
    <row r="452" spans="1:225" x14ac:dyDescent="0.2">
      <c r="A452" s="122"/>
      <c r="B452" s="123"/>
      <c r="C452" s="124"/>
      <c r="D452" s="123"/>
      <c r="E452" s="124"/>
      <c r="F452" s="123"/>
      <c r="G452" s="123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124"/>
      <c r="AW452" s="124"/>
      <c r="AX452" s="124"/>
      <c r="AY452" s="124"/>
      <c r="AZ452" s="124"/>
      <c r="BA452" s="124"/>
      <c r="BB452" s="124"/>
      <c r="BC452" s="124"/>
      <c r="BD452" s="124"/>
      <c r="BE452" s="124"/>
      <c r="BF452" s="124"/>
      <c r="BG452" s="124"/>
      <c r="BH452" s="124"/>
      <c r="BI452" s="124"/>
      <c r="BJ452" s="124"/>
      <c r="BK452" s="124"/>
      <c r="BL452" s="124"/>
      <c r="BM452" s="124"/>
      <c r="BN452" s="124"/>
      <c r="BO452" s="124"/>
      <c r="BP452" s="124"/>
      <c r="BQ452" s="124"/>
      <c r="BR452" s="124"/>
      <c r="BS452" s="124"/>
      <c r="BT452" s="124"/>
      <c r="BU452" s="124"/>
      <c r="BV452" s="124"/>
      <c r="BW452" s="124"/>
      <c r="BX452" s="124"/>
      <c r="BY452" s="124"/>
      <c r="BZ452" s="124"/>
      <c r="CA452" s="124"/>
      <c r="CB452" s="124"/>
      <c r="CC452" s="124"/>
      <c r="CD452" s="124"/>
      <c r="CE452" s="124"/>
      <c r="CF452" s="124"/>
      <c r="CG452" s="124"/>
      <c r="CH452" s="124"/>
      <c r="CI452" s="124"/>
      <c r="CJ452" s="124"/>
      <c r="CK452" s="124"/>
      <c r="CL452" s="124"/>
      <c r="CM452" s="124"/>
      <c r="CN452" s="124"/>
      <c r="CO452" s="124"/>
      <c r="CP452" s="124"/>
      <c r="CQ452" s="124"/>
      <c r="CR452" s="124"/>
      <c r="CS452" s="124"/>
      <c r="CT452" s="124"/>
      <c r="CU452" s="124"/>
      <c r="CV452" s="124"/>
      <c r="CW452" s="124"/>
      <c r="CX452" s="124"/>
      <c r="CY452" s="124"/>
      <c r="CZ452" s="124"/>
      <c r="DA452" s="124"/>
      <c r="DB452" s="124"/>
      <c r="DC452" s="124"/>
      <c r="DD452" s="124"/>
      <c r="DE452" s="124"/>
      <c r="DF452" s="124"/>
      <c r="DG452" s="124"/>
      <c r="DH452" s="124"/>
      <c r="DI452" s="124"/>
      <c r="DJ452" s="124"/>
      <c r="DK452" s="124"/>
      <c r="DL452" s="124"/>
      <c r="DM452" s="124"/>
      <c r="DN452" s="124"/>
      <c r="DO452" s="124"/>
      <c r="DP452" s="124"/>
      <c r="DQ452" s="124"/>
      <c r="DR452" s="124"/>
      <c r="DS452" s="124"/>
      <c r="DT452" s="124"/>
      <c r="DU452" s="124"/>
      <c r="DV452" s="124"/>
      <c r="DW452" s="124"/>
      <c r="DX452" s="124"/>
      <c r="DY452" s="124"/>
      <c r="DZ452" s="124"/>
      <c r="EA452" s="124"/>
      <c r="EB452" s="124"/>
      <c r="EC452" s="124"/>
      <c r="ED452" s="124"/>
      <c r="EE452" s="124"/>
      <c r="EF452" s="124"/>
      <c r="EG452" s="124"/>
      <c r="EH452" s="124"/>
      <c r="EI452" s="124"/>
      <c r="EJ452" s="124"/>
      <c r="EK452" s="124"/>
      <c r="EL452" s="124"/>
      <c r="EM452" s="124"/>
      <c r="EN452" s="124"/>
      <c r="EO452" s="124"/>
      <c r="EP452" s="124"/>
      <c r="EQ452" s="124"/>
      <c r="ER452" s="124"/>
      <c r="ES452" s="124"/>
      <c r="ET452" s="124"/>
      <c r="EU452" s="124"/>
      <c r="EV452" s="124"/>
      <c r="EW452" s="124"/>
      <c r="EX452" s="124"/>
      <c r="EY452" s="124"/>
      <c r="EZ452" s="124"/>
      <c r="FA452" s="124"/>
      <c r="FB452" s="124"/>
      <c r="FC452" s="124"/>
      <c r="FD452" s="124"/>
      <c r="FE452" s="124"/>
      <c r="FF452" s="124"/>
      <c r="FG452" s="124"/>
      <c r="FH452" s="124"/>
      <c r="FI452" s="124"/>
      <c r="FJ452" s="124"/>
      <c r="FK452" s="124"/>
      <c r="FL452" s="124"/>
      <c r="FM452" s="124"/>
      <c r="FN452" s="124"/>
      <c r="FO452" s="124"/>
      <c r="FP452" s="124"/>
      <c r="FQ452" s="124"/>
      <c r="FR452" s="124"/>
      <c r="FS452" s="124"/>
      <c r="FT452" s="124"/>
      <c r="FU452" s="124"/>
      <c r="FV452" s="124"/>
      <c r="FW452" s="124"/>
      <c r="FX452" s="124"/>
      <c r="FY452" s="124"/>
      <c r="FZ452" s="124"/>
      <c r="GA452" s="124"/>
      <c r="GB452" s="124"/>
      <c r="GC452" s="124"/>
      <c r="GD452" s="124"/>
      <c r="GE452" s="124"/>
      <c r="GF452" s="124"/>
      <c r="GG452" s="124"/>
      <c r="GH452" s="124"/>
      <c r="GI452" s="124"/>
      <c r="GJ452" s="124"/>
      <c r="GK452" s="124"/>
      <c r="GL452" s="124"/>
      <c r="GM452" s="124"/>
      <c r="GN452" s="124"/>
      <c r="GO452" s="124"/>
      <c r="GP452" s="124"/>
      <c r="GQ452" s="124"/>
      <c r="GR452" s="124"/>
      <c r="GS452" s="124"/>
      <c r="GT452" s="124"/>
      <c r="GU452" s="124"/>
      <c r="GV452" s="124"/>
      <c r="GW452" s="124"/>
      <c r="GX452" s="124"/>
      <c r="GY452" s="124"/>
      <c r="GZ452" s="124"/>
      <c r="HA452" s="124"/>
      <c r="HB452" s="124"/>
      <c r="HC452" s="124"/>
      <c r="HD452" s="124"/>
      <c r="HE452" s="124"/>
      <c r="HF452" s="124"/>
      <c r="HG452" s="124"/>
      <c r="HH452" s="124"/>
      <c r="HI452" s="124"/>
      <c r="HJ452" s="124"/>
      <c r="HK452" s="124"/>
      <c r="HL452" s="124"/>
      <c r="HM452" s="124"/>
      <c r="HN452" s="124"/>
      <c r="HO452" s="124"/>
      <c r="HP452" s="124"/>
      <c r="HQ452" s="124"/>
    </row>
    <row r="453" spans="1:225" x14ac:dyDescent="0.2">
      <c r="A453" s="122"/>
      <c r="B453" s="123"/>
      <c r="C453" s="124"/>
      <c r="D453" s="123"/>
      <c r="E453" s="124"/>
      <c r="F453" s="123"/>
      <c r="G453" s="123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  <c r="AT453" s="124"/>
      <c r="AU453" s="124"/>
      <c r="AV453" s="124"/>
      <c r="AW453" s="124"/>
      <c r="AX453" s="124"/>
      <c r="AY453" s="124"/>
      <c r="AZ453" s="124"/>
      <c r="BA453" s="124"/>
      <c r="BB453" s="124"/>
      <c r="BC453" s="124"/>
      <c r="BD453" s="124"/>
      <c r="BE453" s="124"/>
      <c r="BF453" s="124"/>
      <c r="BG453" s="124"/>
      <c r="BH453" s="124"/>
      <c r="BI453" s="124"/>
      <c r="BJ453" s="124"/>
      <c r="BK453" s="124"/>
      <c r="BL453" s="124"/>
      <c r="BM453" s="124"/>
      <c r="BN453" s="124"/>
      <c r="BO453" s="124"/>
      <c r="BP453" s="124"/>
      <c r="BQ453" s="124"/>
      <c r="BR453" s="124"/>
      <c r="BS453" s="124"/>
      <c r="BT453" s="124"/>
      <c r="BU453" s="124"/>
      <c r="BV453" s="124"/>
      <c r="BW453" s="124"/>
      <c r="BX453" s="124"/>
      <c r="BY453" s="124"/>
      <c r="BZ453" s="124"/>
      <c r="CA453" s="124"/>
      <c r="CB453" s="124"/>
      <c r="CC453" s="124"/>
      <c r="CD453" s="124"/>
      <c r="CE453" s="124"/>
      <c r="CF453" s="124"/>
      <c r="CG453" s="124"/>
      <c r="CH453" s="124"/>
      <c r="CI453" s="124"/>
      <c r="CJ453" s="124"/>
      <c r="CK453" s="124"/>
      <c r="CL453" s="124"/>
      <c r="CM453" s="124"/>
      <c r="CN453" s="124"/>
      <c r="CO453" s="124"/>
      <c r="CP453" s="124"/>
      <c r="CQ453" s="124"/>
      <c r="CR453" s="124"/>
      <c r="CS453" s="124"/>
      <c r="CT453" s="124"/>
      <c r="CU453" s="124"/>
      <c r="CV453" s="124"/>
      <c r="CW453" s="124"/>
      <c r="CX453" s="124"/>
      <c r="CY453" s="124"/>
      <c r="CZ453" s="124"/>
      <c r="DA453" s="124"/>
      <c r="DB453" s="124"/>
      <c r="DC453" s="124"/>
      <c r="DD453" s="124"/>
      <c r="DE453" s="124"/>
      <c r="DF453" s="124"/>
      <c r="DG453" s="124"/>
      <c r="DH453" s="124"/>
      <c r="DI453" s="124"/>
      <c r="DJ453" s="124"/>
      <c r="DK453" s="124"/>
      <c r="DL453" s="124"/>
      <c r="DM453" s="124"/>
      <c r="DN453" s="124"/>
      <c r="DO453" s="124"/>
      <c r="DP453" s="124"/>
      <c r="DQ453" s="124"/>
      <c r="DR453" s="124"/>
      <c r="DS453" s="124"/>
      <c r="DT453" s="124"/>
      <c r="DU453" s="124"/>
      <c r="DV453" s="124"/>
      <c r="DW453" s="124"/>
      <c r="DX453" s="124"/>
      <c r="DY453" s="124"/>
      <c r="DZ453" s="124"/>
      <c r="EA453" s="124"/>
      <c r="EB453" s="124"/>
      <c r="EC453" s="124"/>
      <c r="ED453" s="124"/>
      <c r="EE453" s="124"/>
      <c r="EF453" s="124"/>
      <c r="EG453" s="124"/>
      <c r="EH453" s="124"/>
      <c r="EI453" s="124"/>
      <c r="EJ453" s="124"/>
      <c r="EK453" s="124"/>
      <c r="EL453" s="124"/>
      <c r="EM453" s="124"/>
      <c r="EN453" s="124"/>
      <c r="EO453" s="124"/>
      <c r="EP453" s="124"/>
      <c r="EQ453" s="124"/>
      <c r="ER453" s="124"/>
      <c r="ES453" s="124"/>
      <c r="ET453" s="124"/>
      <c r="EU453" s="124"/>
      <c r="EV453" s="124"/>
      <c r="EW453" s="124"/>
      <c r="EX453" s="124"/>
      <c r="EY453" s="124"/>
      <c r="EZ453" s="124"/>
      <c r="FA453" s="124"/>
      <c r="FB453" s="124"/>
      <c r="FC453" s="124"/>
      <c r="FD453" s="124"/>
      <c r="FE453" s="124"/>
      <c r="FF453" s="124"/>
      <c r="FG453" s="124"/>
      <c r="FH453" s="124"/>
      <c r="FI453" s="124"/>
      <c r="FJ453" s="124"/>
      <c r="FK453" s="124"/>
      <c r="FL453" s="124"/>
      <c r="FM453" s="124"/>
      <c r="FN453" s="124"/>
      <c r="FO453" s="124"/>
      <c r="FP453" s="124"/>
      <c r="FQ453" s="124"/>
      <c r="FR453" s="124"/>
      <c r="FS453" s="124"/>
      <c r="FT453" s="124"/>
      <c r="FU453" s="124"/>
      <c r="FV453" s="124"/>
      <c r="FW453" s="124"/>
      <c r="FX453" s="124"/>
      <c r="FY453" s="124"/>
      <c r="FZ453" s="124"/>
      <c r="GA453" s="124"/>
      <c r="GB453" s="124"/>
      <c r="GC453" s="124"/>
      <c r="GD453" s="124"/>
      <c r="GE453" s="124"/>
      <c r="GF453" s="124"/>
      <c r="GG453" s="124"/>
      <c r="GH453" s="124"/>
      <c r="GI453" s="124"/>
      <c r="GJ453" s="124"/>
      <c r="GK453" s="124"/>
      <c r="GL453" s="124"/>
      <c r="GM453" s="124"/>
      <c r="GN453" s="124"/>
      <c r="GO453" s="124"/>
      <c r="GP453" s="124"/>
      <c r="GQ453" s="124"/>
      <c r="GR453" s="124"/>
      <c r="GS453" s="124"/>
      <c r="GT453" s="124"/>
      <c r="GU453" s="124"/>
      <c r="GV453" s="124"/>
      <c r="GW453" s="124"/>
      <c r="GX453" s="124"/>
      <c r="GY453" s="124"/>
      <c r="GZ453" s="124"/>
      <c r="HA453" s="124"/>
      <c r="HB453" s="124"/>
      <c r="HC453" s="124"/>
      <c r="HD453" s="124"/>
      <c r="HE453" s="124"/>
      <c r="HF453" s="124"/>
      <c r="HG453" s="124"/>
      <c r="HH453" s="124"/>
      <c r="HI453" s="124"/>
      <c r="HJ453" s="124"/>
      <c r="HK453" s="124"/>
      <c r="HL453" s="124"/>
      <c r="HM453" s="124"/>
      <c r="HN453" s="124"/>
      <c r="HO453" s="124"/>
      <c r="HP453" s="124"/>
      <c r="HQ453" s="124"/>
    </row>
    <row r="454" spans="1:225" x14ac:dyDescent="0.2">
      <c r="A454" s="122"/>
      <c r="B454" s="123"/>
      <c r="C454" s="124"/>
      <c r="D454" s="123"/>
      <c r="E454" s="124"/>
      <c r="F454" s="123"/>
      <c r="G454" s="123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/>
      <c r="BB454" s="124"/>
      <c r="BC454" s="124"/>
      <c r="BD454" s="124"/>
      <c r="BE454" s="124"/>
      <c r="BF454" s="124"/>
      <c r="BG454" s="124"/>
      <c r="BH454" s="124"/>
      <c r="BI454" s="124"/>
      <c r="BJ454" s="124"/>
      <c r="BK454" s="124"/>
      <c r="BL454" s="124"/>
      <c r="BM454" s="124"/>
      <c r="BN454" s="124"/>
      <c r="BO454" s="124"/>
      <c r="BP454" s="124"/>
      <c r="BQ454" s="124"/>
      <c r="BR454" s="124"/>
      <c r="BS454" s="124"/>
      <c r="BT454" s="124"/>
      <c r="BU454" s="124"/>
      <c r="BV454" s="124"/>
      <c r="BW454" s="124"/>
      <c r="BX454" s="124"/>
      <c r="BY454" s="124"/>
      <c r="BZ454" s="124"/>
      <c r="CA454" s="124"/>
      <c r="CB454" s="124"/>
      <c r="CC454" s="124"/>
      <c r="CD454" s="124"/>
      <c r="CE454" s="124"/>
      <c r="CF454" s="124"/>
      <c r="CG454" s="124"/>
      <c r="CH454" s="124"/>
      <c r="CI454" s="124"/>
      <c r="CJ454" s="124"/>
      <c r="CK454" s="124"/>
      <c r="CL454" s="124"/>
      <c r="CM454" s="124"/>
      <c r="CN454" s="124"/>
      <c r="CO454" s="124"/>
      <c r="CP454" s="124"/>
      <c r="CQ454" s="124"/>
      <c r="CR454" s="124"/>
      <c r="CS454" s="124"/>
      <c r="CT454" s="124"/>
      <c r="CU454" s="124"/>
      <c r="CV454" s="124"/>
      <c r="CW454" s="124"/>
      <c r="CX454" s="124"/>
      <c r="CY454" s="124"/>
      <c r="CZ454" s="124"/>
      <c r="DA454" s="124"/>
      <c r="DB454" s="124"/>
      <c r="DC454" s="124"/>
      <c r="DD454" s="124"/>
      <c r="DE454" s="124"/>
      <c r="DF454" s="124"/>
      <c r="DG454" s="124"/>
      <c r="DH454" s="124"/>
      <c r="DI454" s="124"/>
      <c r="DJ454" s="124"/>
      <c r="DK454" s="124"/>
      <c r="DL454" s="124"/>
      <c r="DM454" s="124"/>
      <c r="DN454" s="124"/>
      <c r="DO454" s="124"/>
      <c r="DP454" s="124"/>
      <c r="DQ454" s="124"/>
      <c r="DR454" s="124"/>
      <c r="DS454" s="124"/>
      <c r="DT454" s="124"/>
      <c r="DU454" s="124"/>
      <c r="DV454" s="124"/>
      <c r="DW454" s="124"/>
      <c r="DX454" s="124"/>
      <c r="DY454" s="124"/>
      <c r="DZ454" s="124"/>
      <c r="EA454" s="124"/>
      <c r="EB454" s="124"/>
      <c r="EC454" s="124"/>
      <c r="ED454" s="124"/>
      <c r="EE454" s="124"/>
      <c r="EF454" s="124"/>
      <c r="EG454" s="124"/>
      <c r="EH454" s="124"/>
      <c r="EI454" s="124"/>
      <c r="EJ454" s="124"/>
      <c r="EK454" s="124"/>
      <c r="EL454" s="124"/>
      <c r="EM454" s="124"/>
      <c r="EN454" s="124"/>
      <c r="EO454" s="124"/>
      <c r="EP454" s="124"/>
      <c r="EQ454" s="124"/>
      <c r="ER454" s="124"/>
      <c r="ES454" s="124"/>
      <c r="ET454" s="124"/>
      <c r="EU454" s="124"/>
      <c r="EV454" s="124"/>
      <c r="EW454" s="124"/>
      <c r="EX454" s="124"/>
      <c r="EY454" s="124"/>
      <c r="EZ454" s="124"/>
      <c r="FA454" s="124"/>
      <c r="FB454" s="124"/>
      <c r="FC454" s="124"/>
      <c r="FD454" s="124"/>
      <c r="FE454" s="124"/>
      <c r="FF454" s="124"/>
      <c r="FG454" s="124"/>
      <c r="FH454" s="124"/>
      <c r="FI454" s="124"/>
      <c r="FJ454" s="124"/>
      <c r="FK454" s="124"/>
      <c r="FL454" s="124"/>
      <c r="FM454" s="124"/>
      <c r="FN454" s="124"/>
      <c r="FO454" s="124"/>
      <c r="FP454" s="124"/>
      <c r="FQ454" s="124"/>
      <c r="FR454" s="124"/>
      <c r="FS454" s="124"/>
      <c r="FT454" s="124"/>
      <c r="FU454" s="124"/>
      <c r="FV454" s="124"/>
      <c r="FW454" s="124"/>
      <c r="FX454" s="124"/>
      <c r="FY454" s="124"/>
      <c r="FZ454" s="124"/>
      <c r="GA454" s="124"/>
      <c r="GB454" s="124"/>
      <c r="GC454" s="124"/>
      <c r="GD454" s="124"/>
      <c r="GE454" s="124"/>
      <c r="GF454" s="124"/>
      <c r="GG454" s="124"/>
      <c r="GH454" s="124"/>
      <c r="GI454" s="124"/>
      <c r="GJ454" s="124"/>
      <c r="GK454" s="124"/>
      <c r="GL454" s="124"/>
      <c r="GM454" s="124"/>
      <c r="GN454" s="124"/>
      <c r="GO454" s="124"/>
      <c r="GP454" s="124"/>
      <c r="GQ454" s="124"/>
      <c r="GR454" s="124"/>
      <c r="GS454" s="124"/>
      <c r="GT454" s="124"/>
      <c r="GU454" s="124"/>
      <c r="GV454" s="124"/>
      <c r="GW454" s="124"/>
      <c r="GX454" s="124"/>
      <c r="GY454" s="124"/>
      <c r="GZ454" s="124"/>
      <c r="HA454" s="124"/>
      <c r="HB454" s="124"/>
      <c r="HC454" s="124"/>
      <c r="HD454" s="124"/>
      <c r="HE454" s="124"/>
      <c r="HF454" s="124"/>
      <c r="HG454" s="124"/>
      <c r="HH454" s="124"/>
      <c r="HI454" s="124"/>
      <c r="HJ454" s="124"/>
      <c r="HK454" s="124"/>
      <c r="HL454" s="124"/>
      <c r="HM454" s="124"/>
      <c r="HN454" s="124"/>
      <c r="HO454" s="124"/>
      <c r="HP454" s="124"/>
      <c r="HQ454" s="124"/>
    </row>
    <row r="455" spans="1:225" x14ac:dyDescent="0.2">
      <c r="A455" s="122"/>
      <c r="B455" s="123"/>
      <c r="C455" s="124"/>
      <c r="D455" s="123"/>
      <c r="E455" s="124"/>
      <c r="F455" s="123"/>
      <c r="G455" s="123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  <c r="AU455" s="124"/>
      <c r="AV455" s="124"/>
      <c r="AW455" s="124"/>
      <c r="AX455" s="124"/>
      <c r="AY455" s="124"/>
      <c r="AZ455" s="124"/>
      <c r="BA455" s="124"/>
      <c r="BB455" s="124"/>
      <c r="BC455" s="124"/>
      <c r="BD455" s="124"/>
      <c r="BE455" s="124"/>
      <c r="BF455" s="124"/>
      <c r="BG455" s="124"/>
      <c r="BH455" s="124"/>
      <c r="BI455" s="124"/>
      <c r="BJ455" s="124"/>
      <c r="BK455" s="124"/>
      <c r="BL455" s="124"/>
      <c r="BM455" s="124"/>
      <c r="BN455" s="124"/>
      <c r="BO455" s="124"/>
      <c r="BP455" s="124"/>
      <c r="BQ455" s="124"/>
      <c r="BR455" s="124"/>
      <c r="BS455" s="124"/>
      <c r="BT455" s="124"/>
      <c r="BU455" s="124"/>
      <c r="BV455" s="124"/>
      <c r="BW455" s="124"/>
      <c r="BX455" s="124"/>
      <c r="BY455" s="124"/>
      <c r="BZ455" s="124"/>
      <c r="CA455" s="124"/>
      <c r="CB455" s="124"/>
      <c r="CC455" s="124"/>
      <c r="CD455" s="124"/>
      <c r="CE455" s="124"/>
      <c r="CF455" s="124"/>
      <c r="CG455" s="124"/>
      <c r="CH455" s="124"/>
      <c r="CI455" s="124"/>
      <c r="CJ455" s="124"/>
      <c r="CK455" s="124"/>
      <c r="CL455" s="124"/>
      <c r="CM455" s="124"/>
      <c r="CN455" s="124"/>
      <c r="CO455" s="124"/>
      <c r="CP455" s="124"/>
      <c r="CQ455" s="124"/>
      <c r="CR455" s="124"/>
      <c r="CS455" s="124"/>
      <c r="CT455" s="124"/>
      <c r="CU455" s="124"/>
      <c r="CV455" s="124"/>
      <c r="CW455" s="124"/>
      <c r="CX455" s="124"/>
      <c r="CY455" s="124"/>
      <c r="CZ455" s="124"/>
      <c r="DA455" s="124"/>
      <c r="DB455" s="124"/>
      <c r="DC455" s="124"/>
      <c r="DD455" s="124"/>
      <c r="DE455" s="124"/>
      <c r="DF455" s="124"/>
      <c r="DG455" s="124"/>
      <c r="DH455" s="124"/>
      <c r="DI455" s="124"/>
      <c r="DJ455" s="124"/>
      <c r="DK455" s="124"/>
      <c r="DL455" s="124"/>
      <c r="DM455" s="124"/>
      <c r="DN455" s="124"/>
      <c r="DO455" s="124"/>
      <c r="DP455" s="124"/>
      <c r="DQ455" s="124"/>
      <c r="DR455" s="124"/>
      <c r="DS455" s="124"/>
      <c r="DT455" s="124"/>
      <c r="DU455" s="124"/>
      <c r="DV455" s="124"/>
      <c r="DW455" s="124"/>
      <c r="DX455" s="124"/>
      <c r="DY455" s="124"/>
      <c r="DZ455" s="124"/>
      <c r="EA455" s="124"/>
      <c r="EB455" s="124"/>
      <c r="EC455" s="124"/>
      <c r="ED455" s="124"/>
      <c r="EE455" s="124"/>
      <c r="EF455" s="124"/>
      <c r="EG455" s="124"/>
      <c r="EH455" s="124"/>
      <c r="EI455" s="124"/>
      <c r="EJ455" s="124"/>
      <c r="EK455" s="124"/>
      <c r="EL455" s="124"/>
      <c r="EM455" s="124"/>
      <c r="EN455" s="124"/>
      <c r="EO455" s="124"/>
      <c r="EP455" s="124"/>
      <c r="EQ455" s="124"/>
      <c r="ER455" s="124"/>
      <c r="ES455" s="124"/>
      <c r="ET455" s="124"/>
      <c r="EU455" s="124"/>
      <c r="EV455" s="124"/>
      <c r="EW455" s="124"/>
      <c r="EX455" s="124"/>
      <c r="EY455" s="124"/>
      <c r="EZ455" s="124"/>
      <c r="FA455" s="124"/>
      <c r="FB455" s="124"/>
      <c r="FC455" s="124"/>
      <c r="FD455" s="124"/>
      <c r="FE455" s="124"/>
      <c r="FF455" s="124"/>
      <c r="FG455" s="124"/>
      <c r="FH455" s="124"/>
      <c r="FI455" s="124"/>
      <c r="FJ455" s="124"/>
      <c r="FK455" s="124"/>
      <c r="FL455" s="124"/>
      <c r="FM455" s="124"/>
      <c r="FN455" s="124"/>
      <c r="FO455" s="124"/>
      <c r="FP455" s="124"/>
      <c r="FQ455" s="124"/>
      <c r="FR455" s="124"/>
      <c r="FS455" s="124"/>
      <c r="FT455" s="124"/>
      <c r="FU455" s="124"/>
      <c r="FV455" s="124"/>
      <c r="FW455" s="124"/>
      <c r="FX455" s="124"/>
      <c r="FY455" s="124"/>
      <c r="FZ455" s="124"/>
      <c r="GA455" s="124"/>
      <c r="GB455" s="124"/>
      <c r="GC455" s="124"/>
      <c r="GD455" s="124"/>
      <c r="GE455" s="124"/>
      <c r="GF455" s="124"/>
      <c r="GG455" s="124"/>
      <c r="GH455" s="124"/>
      <c r="GI455" s="124"/>
      <c r="GJ455" s="124"/>
      <c r="GK455" s="124"/>
      <c r="GL455" s="124"/>
      <c r="GM455" s="124"/>
      <c r="GN455" s="124"/>
      <c r="GO455" s="124"/>
      <c r="GP455" s="124"/>
      <c r="GQ455" s="124"/>
      <c r="GR455" s="124"/>
      <c r="GS455" s="124"/>
      <c r="GT455" s="124"/>
      <c r="GU455" s="124"/>
      <c r="GV455" s="124"/>
      <c r="GW455" s="124"/>
      <c r="GX455" s="124"/>
      <c r="GY455" s="124"/>
      <c r="GZ455" s="124"/>
      <c r="HA455" s="124"/>
      <c r="HB455" s="124"/>
      <c r="HC455" s="124"/>
      <c r="HD455" s="124"/>
      <c r="HE455" s="124"/>
      <c r="HF455" s="124"/>
      <c r="HG455" s="124"/>
      <c r="HH455" s="124"/>
      <c r="HI455" s="124"/>
      <c r="HJ455" s="124"/>
      <c r="HK455" s="124"/>
      <c r="HL455" s="124"/>
      <c r="HM455" s="124"/>
      <c r="HN455" s="124"/>
      <c r="HO455" s="124"/>
      <c r="HP455" s="124"/>
      <c r="HQ455" s="124"/>
    </row>
    <row r="456" spans="1:225" x14ac:dyDescent="0.2">
      <c r="A456" s="122"/>
      <c r="B456" s="123"/>
      <c r="C456" s="124"/>
      <c r="D456" s="123"/>
      <c r="E456" s="124"/>
      <c r="F456" s="123"/>
      <c r="G456" s="123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4"/>
      <c r="BH456" s="124"/>
      <c r="BI456" s="124"/>
      <c r="BJ456" s="124"/>
      <c r="BK456" s="124"/>
      <c r="BL456" s="124"/>
      <c r="BM456" s="124"/>
      <c r="BN456" s="124"/>
      <c r="BO456" s="124"/>
      <c r="BP456" s="124"/>
      <c r="BQ456" s="124"/>
      <c r="BR456" s="124"/>
      <c r="BS456" s="124"/>
      <c r="BT456" s="124"/>
      <c r="BU456" s="124"/>
      <c r="BV456" s="124"/>
      <c r="BW456" s="124"/>
      <c r="BX456" s="124"/>
      <c r="BY456" s="124"/>
      <c r="BZ456" s="124"/>
      <c r="CA456" s="124"/>
      <c r="CB456" s="124"/>
      <c r="CC456" s="124"/>
      <c r="CD456" s="124"/>
      <c r="CE456" s="124"/>
      <c r="CF456" s="124"/>
      <c r="CG456" s="124"/>
      <c r="CH456" s="124"/>
      <c r="CI456" s="124"/>
      <c r="CJ456" s="124"/>
      <c r="CK456" s="124"/>
      <c r="CL456" s="124"/>
      <c r="CM456" s="124"/>
      <c r="CN456" s="124"/>
      <c r="CO456" s="124"/>
      <c r="CP456" s="124"/>
      <c r="CQ456" s="124"/>
      <c r="CR456" s="124"/>
      <c r="CS456" s="124"/>
      <c r="CT456" s="124"/>
      <c r="CU456" s="124"/>
      <c r="CV456" s="124"/>
      <c r="CW456" s="124"/>
      <c r="CX456" s="124"/>
      <c r="CY456" s="124"/>
      <c r="CZ456" s="124"/>
      <c r="DA456" s="124"/>
      <c r="DB456" s="124"/>
      <c r="DC456" s="124"/>
      <c r="DD456" s="124"/>
      <c r="DE456" s="124"/>
      <c r="DF456" s="124"/>
      <c r="DG456" s="124"/>
      <c r="DH456" s="124"/>
      <c r="DI456" s="124"/>
      <c r="DJ456" s="124"/>
      <c r="DK456" s="124"/>
      <c r="DL456" s="124"/>
      <c r="DM456" s="124"/>
      <c r="DN456" s="124"/>
      <c r="DO456" s="124"/>
      <c r="DP456" s="124"/>
      <c r="DQ456" s="124"/>
      <c r="DR456" s="124"/>
      <c r="DS456" s="124"/>
      <c r="DT456" s="124"/>
      <c r="DU456" s="124"/>
      <c r="DV456" s="124"/>
      <c r="DW456" s="124"/>
      <c r="DX456" s="124"/>
      <c r="DY456" s="124"/>
      <c r="DZ456" s="124"/>
      <c r="EA456" s="124"/>
      <c r="EB456" s="124"/>
      <c r="EC456" s="124"/>
      <c r="ED456" s="124"/>
      <c r="EE456" s="124"/>
      <c r="EF456" s="124"/>
      <c r="EG456" s="124"/>
      <c r="EH456" s="124"/>
      <c r="EI456" s="124"/>
      <c r="EJ456" s="124"/>
      <c r="EK456" s="124"/>
      <c r="EL456" s="124"/>
      <c r="EM456" s="124"/>
      <c r="EN456" s="124"/>
      <c r="EO456" s="124"/>
      <c r="EP456" s="124"/>
      <c r="EQ456" s="124"/>
      <c r="ER456" s="124"/>
      <c r="ES456" s="124"/>
      <c r="ET456" s="124"/>
      <c r="EU456" s="124"/>
      <c r="EV456" s="124"/>
      <c r="EW456" s="124"/>
      <c r="EX456" s="124"/>
      <c r="EY456" s="124"/>
      <c r="EZ456" s="124"/>
      <c r="FA456" s="124"/>
      <c r="FB456" s="124"/>
      <c r="FC456" s="124"/>
      <c r="FD456" s="124"/>
      <c r="FE456" s="124"/>
      <c r="FF456" s="124"/>
      <c r="FG456" s="124"/>
      <c r="FH456" s="124"/>
      <c r="FI456" s="124"/>
      <c r="FJ456" s="124"/>
      <c r="FK456" s="124"/>
      <c r="FL456" s="124"/>
      <c r="FM456" s="124"/>
      <c r="FN456" s="124"/>
      <c r="FO456" s="124"/>
      <c r="FP456" s="124"/>
      <c r="FQ456" s="124"/>
      <c r="FR456" s="124"/>
      <c r="FS456" s="124"/>
      <c r="FT456" s="124"/>
      <c r="FU456" s="124"/>
      <c r="FV456" s="124"/>
      <c r="FW456" s="124"/>
      <c r="FX456" s="124"/>
      <c r="FY456" s="124"/>
      <c r="FZ456" s="124"/>
      <c r="GA456" s="124"/>
      <c r="GB456" s="124"/>
      <c r="GC456" s="124"/>
      <c r="GD456" s="124"/>
      <c r="GE456" s="124"/>
      <c r="GF456" s="124"/>
      <c r="GG456" s="124"/>
      <c r="GH456" s="124"/>
      <c r="GI456" s="124"/>
      <c r="GJ456" s="124"/>
      <c r="GK456" s="124"/>
      <c r="GL456" s="124"/>
      <c r="GM456" s="124"/>
      <c r="GN456" s="124"/>
      <c r="GO456" s="124"/>
      <c r="GP456" s="124"/>
      <c r="GQ456" s="124"/>
      <c r="GR456" s="124"/>
      <c r="GS456" s="124"/>
      <c r="GT456" s="124"/>
      <c r="GU456" s="124"/>
      <c r="GV456" s="124"/>
      <c r="GW456" s="124"/>
      <c r="GX456" s="124"/>
      <c r="GY456" s="124"/>
      <c r="GZ456" s="124"/>
      <c r="HA456" s="124"/>
      <c r="HB456" s="124"/>
      <c r="HC456" s="124"/>
      <c r="HD456" s="124"/>
      <c r="HE456" s="124"/>
      <c r="HF456" s="124"/>
      <c r="HG456" s="124"/>
      <c r="HH456" s="124"/>
      <c r="HI456" s="124"/>
      <c r="HJ456" s="124"/>
      <c r="HK456" s="124"/>
      <c r="HL456" s="124"/>
      <c r="HM456" s="124"/>
      <c r="HN456" s="124"/>
      <c r="HO456" s="124"/>
      <c r="HP456" s="124"/>
      <c r="HQ456" s="124"/>
    </row>
    <row r="457" spans="1:225" x14ac:dyDescent="0.2">
      <c r="A457" s="122"/>
      <c r="B457" s="123"/>
      <c r="C457" s="124"/>
      <c r="D457" s="123"/>
      <c r="E457" s="124"/>
      <c r="F457" s="123"/>
      <c r="G457" s="123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/>
      <c r="BB457" s="124"/>
      <c r="BC457" s="124"/>
      <c r="BD457" s="124"/>
      <c r="BE457" s="124"/>
      <c r="BF457" s="124"/>
      <c r="BG457" s="124"/>
      <c r="BH457" s="124"/>
      <c r="BI457" s="124"/>
      <c r="BJ457" s="124"/>
      <c r="BK457" s="124"/>
      <c r="BL457" s="124"/>
      <c r="BM457" s="124"/>
      <c r="BN457" s="124"/>
      <c r="BO457" s="124"/>
      <c r="BP457" s="124"/>
      <c r="BQ457" s="124"/>
      <c r="BR457" s="124"/>
      <c r="BS457" s="124"/>
      <c r="BT457" s="124"/>
      <c r="BU457" s="124"/>
      <c r="BV457" s="124"/>
      <c r="BW457" s="124"/>
      <c r="BX457" s="124"/>
      <c r="BY457" s="124"/>
      <c r="BZ457" s="124"/>
      <c r="CA457" s="124"/>
      <c r="CB457" s="124"/>
      <c r="CC457" s="124"/>
      <c r="CD457" s="124"/>
      <c r="CE457" s="124"/>
      <c r="CF457" s="124"/>
      <c r="CG457" s="124"/>
      <c r="CH457" s="124"/>
      <c r="CI457" s="124"/>
      <c r="CJ457" s="124"/>
      <c r="CK457" s="124"/>
      <c r="CL457" s="124"/>
      <c r="CM457" s="124"/>
      <c r="CN457" s="124"/>
      <c r="CO457" s="124"/>
      <c r="CP457" s="124"/>
      <c r="CQ457" s="124"/>
      <c r="CR457" s="124"/>
      <c r="CS457" s="124"/>
      <c r="CT457" s="124"/>
      <c r="CU457" s="124"/>
      <c r="CV457" s="124"/>
      <c r="CW457" s="124"/>
      <c r="CX457" s="124"/>
      <c r="CY457" s="124"/>
      <c r="CZ457" s="124"/>
      <c r="DA457" s="124"/>
      <c r="DB457" s="124"/>
      <c r="DC457" s="124"/>
      <c r="DD457" s="124"/>
      <c r="DE457" s="124"/>
      <c r="DF457" s="124"/>
      <c r="DG457" s="124"/>
      <c r="DH457" s="124"/>
      <c r="DI457" s="124"/>
      <c r="DJ457" s="124"/>
      <c r="DK457" s="124"/>
      <c r="DL457" s="124"/>
      <c r="DM457" s="124"/>
      <c r="DN457" s="124"/>
      <c r="DO457" s="124"/>
      <c r="DP457" s="124"/>
      <c r="DQ457" s="124"/>
      <c r="DR457" s="124"/>
      <c r="DS457" s="124"/>
      <c r="DT457" s="124"/>
      <c r="DU457" s="124"/>
      <c r="DV457" s="124"/>
      <c r="DW457" s="124"/>
      <c r="DX457" s="124"/>
      <c r="DY457" s="124"/>
      <c r="DZ457" s="124"/>
      <c r="EA457" s="124"/>
      <c r="EB457" s="124"/>
      <c r="EC457" s="124"/>
      <c r="ED457" s="124"/>
      <c r="EE457" s="124"/>
      <c r="EF457" s="124"/>
      <c r="EG457" s="124"/>
      <c r="EH457" s="124"/>
      <c r="EI457" s="124"/>
      <c r="EJ457" s="124"/>
      <c r="EK457" s="124"/>
      <c r="EL457" s="124"/>
      <c r="EM457" s="124"/>
      <c r="EN457" s="124"/>
      <c r="EO457" s="124"/>
      <c r="EP457" s="124"/>
      <c r="EQ457" s="124"/>
      <c r="ER457" s="124"/>
      <c r="ES457" s="124"/>
      <c r="ET457" s="124"/>
      <c r="EU457" s="124"/>
      <c r="EV457" s="124"/>
      <c r="EW457" s="124"/>
      <c r="EX457" s="124"/>
      <c r="EY457" s="124"/>
      <c r="EZ457" s="124"/>
      <c r="FA457" s="124"/>
      <c r="FB457" s="124"/>
      <c r="FC457" s="124"/>
      <c r="FD457" s="124"/>
      <c r="FE457" s="124"/>
      <c r="FF457" s="124"/>
      <c r="FG457" s="124"/>
      <c r="FH457" s="124"/>
      <c r="FI457" s="124"/>
      <c r="FJ457" s="124"/>
      <c r="FK457" s="124"/>
      <c r="FL457" s="124"/>
      <c r="FM457" s="124"/>
      <c r="FN457" s="124"/>
      <c r="FO457" s="124"/>
      <c r="FP457" s="124"/>
      <c r="FQ457" s="124"/>
      <c r="FR457" s="124"/>
      <c r="FS457" s="124"/>
      <c r="FT457" s="124"/>
      <c r="FU457" s="124"/>
      <c r="FV457" s="124"/>
      <c r="FW457" s="124"/>
      <c r="FX457" s="124"/>
      <c r="FY457" s="124"/>
      <c r="FZ457" s="124"/>
      <c r="GA457" s="124"/>
      <c r="GB457" s="124"/>
      <c r="GC457" s="124"/>
      <c r="GD457" s="124"/>
      <c r="GE457" s="124"/>
      <c r="GF457" s="124"/>
      <c r="GG457" s="124"/>
      <c r="GH457" s="124"/>
      <c r="GI457" s="124"/>
      <c r="GJ457" s="124"/>
      <c r="GK457" s="124"/>
      <c r="GL457" s="124"/>
      <c r="GM457" s="124"/>
      <c r="GN457" s="124"/>
      <c r="GO457" s="124"/>
      <c r="GP457" s="124"/>
      <c r="GQ457" s="124"/>
      <c r="GR457" s="124"/>
      <c r="GS457" s="124"/>
      <c r="GT457" s="124"/>
      <c r="GU457" s="124"/>
      <c r="GV457" s="124"/>
      <c r="GW457" s="124"/>
      <c r="GX457" s="124"/>
      <c r="GY457" s="124"/>
      <c r="GZ457" s="124"/>
      <c r="HA457" s="124"/>
      <c r="HB457" s="124"/>
      <c r="HC457" s="124"/>
      <c r="HD457" s="124"/>
      <c r="HE457" s="124"/>
      <c r="HF457" s="124"/>
      <c r="HG457" s="124"/>
      <c r="HH457" s="124"/>
      <c r="HI457" s="124"/>
      <c r="HJ457" s="124"/>
      <c r="HK457" s="124"/>
      <c r="HL457" s="124"/>
      <c r="HM457" s="124"/>
      <c r="HN457" s="124"/>
      <c r="HO457" s="124"/>
      <c r="HP457" s="124"/>
      <c r="HQ457" s="124"/>
    </row>
    <row r="458" spans="1:225" x14ac:dyDescent="0.2">
      <c r="A458" s="122"/>
      <c r="B458" s="123"/>
      <c r="C458" s="124"/>
      <c r="D458" s="123"/>
      <c r="E458" s="124"/>
      <c r="F458" s="123"/>
      <c r="G458" s="123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  <c r="AT458" s="124"/>
      <c r="AU458" s="124"/>
      <c r="AV458" s="124"/>
      <c r="AW458" s="124"/>
      <c r="AX458" s="124"/>
      <c r="AY458" s="124"/>
      <c r="AZ458" s="124"/>
      <c r="BA458" s="124"/>
      <c r="BB458" s="124"/>
      <c r="BC458" s="124"/>
      <c r="BD458" s="124"/>
      <c r="BE458" s="124"/>
      <c r="BF458" s="124"/>
      <c r="BG458" s="124"/>
      <c r="BH458" s="124"/>
      <c r="BI458" s="124"/>
      <c r="BJ458" s="124"/>
      <c r="BK458" s="124"/>
      <c r="BL458" s="124"/>
      <c r="BM458" s="124"/>
      <c r="BN458" s="124"/>
      <c r="BO458" s="124"/>
      <c r="BP458" s="124"/>
      <c r="BQ458" s="124"/>
      <c r="BR458" s="124"/>
      <c r="BS458" s="124"/>
      <c r="BT458" s="124"/>
      <c r="BU458" s="124"/>
      <c r="BV458" s="124"/>
      <c r="BW458" s="124"/>
      <c r="BX458" s="124"/>
      <c r="BY458" s="124"/>
      <c r="BZ458" s="124"/>
      <c r="CA458" s="124"/>
      <c r="CB458" s="124"/>
      <c r="CC458" s="124"/>
      <c r="CD458" s="124"/>
      <c r="CE458" s="124"/>
      <c r="CF458" s="124"/>
      <c r="CG458" s="124"/>
      <c r="CH458" s="124"/>
      <c r="CI458" s="124"/>
      <c r="CJ458" s="124"/>
      <c r="CK458" s="124"/>
      <c r="CL458" s="124"/>
      <c r="CM458" s="124"/>
      <c r="CN458" s="124"/>
      <c r="CO458" s="124"/>
      <c r="CP458" s="124"/>
      <c r="CQ458" s="124"/>
      <c r="CR458" s="124"/>
      <c r="CS458" s="124"/>
      <c r="CT458" s="124"/>
      <c r="CU458" s="124"/>
      <c r="CV458" s="124"/>
      <c r="CW458" s="124"/>
      <c r="CX458" s="124"/>
      <c r="CY458" s="124"/>
      <c r="CZ458" s="124"/>
      <c r="DA458" s="124"/>
      <c r="DB458" s="124"/>
      <c r="DC458" s="124"/>
      <c r="DD458" s="124"/>
      <c r="DE458" s="124"/>
      <c r="DF458" s="124"/>
      <c r="DG458" s="124"/>
      <c r="DH458" s="124"/>
      <c r="DI458" s="124"/>
      <c r="DJ458" s="124"/>
      <c r="DK458" s="124"/>
      <c r="DL458" s="124"/>
      <c r="DM458" s="124"/>
      <c r="DN458" s="124"/>
      <c r="DO458" s="124"/>
      <c r="DP458" s="124"/>
      <c r="DQ458" s="124"/>
      <c r="DR458" s="124"/>
      <c r="DS458" s="124"/>
      <c r="DT458" s="124"/>
      <c r="DU458" s="124"/>
      <c r="DV458" s="124"/>
      <c r="DW458" s="124"/>
      <c r="DX458" s="124"/>
      <c r="DY458" s="124"/>
      <c r="DZ458" s="124"/>
      <c r="EA458" s="124"/>
      <c r="EB458" s="124"/>
      <c r="EC458" s="124"/>
      <c r="ED458" s="124"/>
      <c r="EE458" s="124"/>
      <c r="EF458" s="124"/>
      <c r="EG458" s="124"/>
      <c r="EH458" s="124"/>
      <c r="EI458" s="124"/>
      <c r="EJ458" s="124"/>
      <c r="EK458" s="124"/>
      <c r="EL458" s="124"/>
      <c r="EM458" s="124"/>
      <c r="EN458" s="124"/>
      <c r="EO458" s="124"/>
      <c r="EP458" s="124"/>
      <c r="EQ458" s="124"/>
      <c r="ER458" s="124"/>
      <c r="ES458" s="124"/>
      <c r="ET458" s="124"/>
      <c r="EU458" s="124"/>
      <c r="EV458" s="124"/>
      <c r="EW458" s="124"/>
      <c r="EX458" s="124"/>
      <c r="EY458" s="124"/>
      <c r="EZ458" s="124"/>
      <c r="FA458" s="124"/>
      <c r="FB458" s="124"/>
      <c r="FC458" s="124"/>
      <c r="FD458" s="124"/>
      <c r="FE458" s="124"/>
      <c r="FF458" s="124"/>
      <c r="FG458" s="124"/>
      <c r="FH458" s="124"/>
      <c r="FI458" s="124"/>
      <c r="FJ458" s="124"/>
      <c r="FK458" s="124"/>
      <c r="FL458" s="124"/>
      <c r="FM458" s="124"/>
      <c r="FN458" s="124"/>
      <c r="FO458" s="124"/>
      <c r="FP458" s="124"/>
      <c r="FQ458" s="124"/>
      <c r="FR458" s="124"/>
      <c r="FS458" s="124"/>
      <c r="FT458" s="124"/>
      <c r="FU458" s="124"/>
      <c r="FV458" s="124"/>
      <c r="FW458" s="124"/>
      <c r="FX458" s="124"/>
      <c r="FY458" s="124"/>
      <c r="FZ458" s="124"/>
      <c r="GA458" s="124"/>
      <c r="GB458" s="124"/>
      <c r="GC458" s="124"/>
      <c r="GD458" s="124"/>
      <c r="GE458" s="124"/>
      <c r="GF458" s="124"/>
      <c r="GG458" s="124"/>
      <c r="GH458" s="124"/>
      <c r="GI458" s="124"/>
      <c r="GJ458" s="124"/>
      <c r="GK458" s="124"/>
      <c r="GL458" s="124"/>
      <c r="GM458" s="124"/>
      <c r="GN458" s="124"/>
      <c r="GO458" s="124"/>
      <c r="GP458" s="124"/>
      <c r="GQ458" s="124"/>
      <c r="GR458" s="124"/>
      <c r="GS458" s="124"/>
      <c r="GT458" s="124"/>
      <c r="GU458" s="124"/>
      <c r="GV458" s="124"/>
      <c r="GW458" s="124"/>
      <c r="GX458" s="124"/>
      <c r="GY458" s="124"/>
      <c r="GZ458" s="124"/>
      <c r="HA458" s="124"/>
      <c r="HB458" s="124"/>
      <c r="HC458" s="124"/>
      <c r="HD458" s="124"/>
      <c r="HE458" s="124"/>
      <c r="HF458" s="124"/>
      <c r="HG458" s="124"/>
      <c r="HH458" s="124"/>
      <c r="HI458" s="124"/>
      <c r="HJ458" s="124"/>
      <c r="HK458" s="124"/>
      <c r="HL458" s="124"/>
      <c r="HM458" s="124"/>
      <c r="HN458" s="124"/>
      <c r="HO458" s="124"/>
      <c r="HP458" s="124"/>
      <c r="HQ458" s="124"/>
    </row>
    <row r="459" spans="1:225" x14ac:dyDescent="0.2">
      <c r="A459" s="122"/>
      <c r="B459" s="123"/>
      <c r="C459" s="124"/>
      <c r="D459" s="123"/>
      <c r="E459" s="124"/>
      <c r="F459" s="123"/>
      <c r="G459" s="123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  <c r="AT459" s="124"/>
      <c r="AU459" s="124"/>
      <c r="AV459" s="124"/>
      <c r="AW459" s="124"/>
      <c r="AX459" s="124"/>
      <c r="AY459" s="124"/>
      <c r="AZ459" s="124"/>
      <c r="BA459" s="124"/>
      <c r="BB459" s="124"/>
      <c r="BC459" s="124"/>
      <c r="BD459" s="124"/>
      <c r="BE459" s="124"/>
      <c r="BF459" s="124"/>
      <c r="BG459" s="124"/>
      <c r="BH459" s="124"/>
      <c r="BI459" s="124"/>
      <c r="BJ459" s="124"/>
      <c r="BK459" s="124"/>
      <c r="BL459" s="124"/>
      <c r="BM459" s="124"/>
      <c r="BN459" s="124"/>
      <c r="BO459" s="124"/>
      <c r="BP459" s="124"/>
      <c r="BQ459" s="124"/>
      <c r="BR459" s="124"/>
      <c r="BS459" s="124"/>
      <c r="BT459" s="124"/>
      <c r="BU459" s="124"/>
      <c r="BV459" s="124"/>
      <c r="BW459" s="124"/>
      <c r="BX459" s="124"/>
      <c r="BY459" s="124"/>
      <c r="BZ459" s="124"/>
      <c r="CA459" s="124"/>
      <c r="CB459" s="124"/>
      <c r="CC459" s="124"/>
      <c r="CD459" s="124"/>
      <c r="CE459" s="124"/>
      <c r="CF459" s="124"/>
      <c r="CG459" s="124"/>
      <c r="CH459" s="124"/>
      <c r="CI459" s="124"/>
      <c r="CJ459" s="124"/>
      <c r="CK459" s="124"/>
      <c r="CL459" s="124"/>
      <c r="CM459" s="124"/>
      <c r="CN459" s="124"/>
      <c r="CO459" s="124"/>
      <c r="CP459" s="124"/>
      <c r="CQ459" s="124"/>
      <c r="CR459" s="124"/>
      <c r="CS459" s="124"/>
      <c r="CT459" s="124"/>
      <c r="CU459" s="124"/>
      <c r="CV459" s="124"/>
      <c r="CW459" s="124"/>
      <c r="CX459" s="124"/>
      <c r="CY459" s="124"/>
      <c r="CZ459" s="124"/>
      <c r="DA459" s="124"/>
      <c r="DB459" s="124"/>
      <c r="DC459" s="124"/>
      <c r="DD459" s="124"/>
      <c r="DE459" s="124"/>
      <c r="DF459" s="124"/>
      <c r="DG459" s="124"/>
      <c r="DH459" s="124"/>
      <c r="DI459" s="124"/>
      <c r="DJ459" s="124"/>
      <c r="DK459" s="124"/>
      <c r="DL459" s="124"/>
      <c r="DM459" s="124"/>
      <c r="DN459" s="124"/>
      <c r="DO459" s="124"/>
      <c r="DP459" s="124"/>
      <c r="DQ459" s="124"/>
      <c r="DR459" s="124"/>
      <c r="DS459" s="124"/>
      <c r="DT459" s="124"/>
      <c r="DU459" s="124"/>
      <c r="DV459" s="124"/>
      <c r="DW459" s="124"/>
      <c r="DX459" s="124"/>
      <c r="DY459" s="124"/>
      <c r="DZ459" s="124"/>
      <c r="EA459" s="124"/>
      <c r="EB459" s="124"/>
      <c r="EC459" s="124"/>
      <c r="ED459" s="124"/>
      <c r="EE459" s="124"/>
      <c r="EF459" s="124"/>
      <c r="EG459" s="124"/>
      <c r="EH459" s="124"/>
      <c r="EI459" s="124"/>
      <c r="EJ459" s="124"/>
      <c r="EK459" s="124"/>
      <c r="EL459" s="124"/>
      <c r="EM459" s="124"/>
      <c r="EN459" s="124"/>
      <c r="EO459" s="124"/>
      <c r="EP459" s="124"/>
      <c r="EQ459" s="124"/>
      <c r="ER459" s="124"/>
      <c r="ES459" s="124"/>
      <c r="ET459" s="124"/>
      <c r="EU459" s="124"/>
      <c r="EV459" s="124"/>
      <c r="EW459" s="124"/>
      <c r="EX459" s="124"/>
      <c r="EY459" s="124"/>
      <c r="EZ459" s="124"/>
      <c r="FA459" s="124"/>
      <c r="FB459" s="124"/>
      <c r="FC459" s="124"/>
      <c r="FD459" s="124"/>
      <c r="FE459" s="124"/>
      <c r="FF459" s="124"/>
      <c r="FG459" s="124"/>
      <c r="FH459" s="124"/>
      <c r="FI459" s="124"/>
      <c r="FJ459" s="124"/>
      <c r="FK459" s="124"/>
      <c r="FL459" s="124"/>
      <c r="FM459" s="124"/>
      <c r="FN459" s="124"/>
      <c r="FO459" s="124"/>
      <c r="FP459" s="124"/>
      <c r="FQ459" s="124"/>
      <c r="FR459" s="124"/>
      <c r="FS459" s="124"/>
      <c r="FT459" s="124"/>
      <c r="FU459" s="124"/>
      <c r="FV459" s="124"/>
      <c r="FW459" s="124"/>
      <c r="FX459" s="124"/>
      <c r="FY459" s="124"/>
      <c r="FZ459" s="124"/>
      <c r="GA459" s="124"/>
      <c r="GB459" s="124"/>
      <c r="GC459" s="124"/>
      <c r="GD459" s="124"/>
      <c r="GE459" s="124"/>
      <c r="GF459" s="124"/>
      <c r="GG459" s="124"/>
      <c r="GH459" s="124"/>
      <c r="GI459" s="124"/>
      <c r="GJ459" s="124"/>
      <c r="GK459" s="124"/>
      <c r="GL459" s="124"/>
      <c r="GM459" s="124"/>
      <c r="GN459" s="124"/>
      <c r="GO459" s="124"/>
      <c r="GP459" s="124"/>
      <c r="GQ459" s="124"/>
      <c r="GR459" s="124"/>
      <c r="GS459" s="124"/>
      <c r="GT459" s="124"/>
      <c r="GU459" s="124"/>
      <c r="GV459" s="124"/>
      <c r="GW459" s="124"/>
      <c r="GX459" s="124"/>
      <c r="GY459" s="124"/>
      <c r="GZ459" s="124"/>
      <c r="HA459" s="124"/>
      <c r="HB459" s="124"/>
      <c r="HC459" s="124"/>
      <c r="HD459" s="124"/>
      <c r="HE459" s="124"/>
      <c r="HF459" s="124"/>
      <c r="HG459" s="124"/>
      <c r="HH459" s="124"/>
      <c r="HI459" s="124"/>
      <c r="HJ459" s="124"/>
      <c r="HK459" s="124"/>
      <c r="HL459" s="124"/>
      <c r="HM459" s="124"/>
      <c r="HN459" s="124"/>
      <c r="HO459" s="124"/>
      <c r="HP459" s="124"/>
      <c r="HQ459" s="124"/>
    </row>
    <row r="460" spans="1:225" x14ac:dyDescent="0.2">
      <c r="A460" s="122"/>
      <c r="B460" s="123"/>
      <c r="C460" s="124"/>
      <c r="D460" s="123"/>
      <c r="E460" s="124"/>
      <c r="F460" s="123"/>
      <c r="G460" s="123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4"/>
      <c r="BH460" s="124"/>
      <c r="BI460" s="124"/>
      <c r="BJ460" s="124"/>
      <c r="BK460" s="124"/>
      <c r="BL460" s="124"/>
      <c r="BM460" s="124"/>
      <c r="BN460" s="124"/>
      <c r="BO460" s="124"/>
      <c r="BP460" s="124"/>
      <c r="BQ460" s="124"/>
      <c r="BR460" s="124"/>
      <c r="BS460" s="124"/>
      <c r="BT460" s="124"/>
      <c r="BU460" s="124"/>
      <c r="BV460" s="124"/>
      <c r="BW460" s="124"/>
      <c r="BX460" s="124"/>
      <c r="BY460" s="124"/>
      <c r="BZ460" s="124"/>
      <c r="CA460" s="124"/>
      <c r="CB460" s="124"/>
      <c r="CC460" s="124"/>
      <c r="CD460" s="124"/>
      <c r="CE460" s="124"/>
      <c r="CF460" s="124"/>
      <c r="CG460" s="124"/>
      <c r="CH460" s="124"/>
      <c r="CI460" s="124"/>
      <c r="CJ460" s="124"/>
      <c r="CK460" s="124"/>
      <c r="CL460" s="124"/>
      <c r="CM460" s="124"/>
      <c r="CN460" s="124"/>
      <c r="CO460" s="124"/>
      <c r="CP460" s="124"/>
      <c r="CQ460" s="124"/>
      <c r="CR460" s="124"/>
      <c r="CS460" s="124"/>
      <c r="CT460" s="124"/>
      <c r="CU460" s="124"/>
      <c r="CV460" s="124"/>
      <c r="CW460" s="124"/>
      <c r="CX460" s="124"/>
      <c r="CY460" s="124"/>
      <c r="CZ460" s="124"/>
      <c r="DA460" s="124"/>
      <c r="DB460" s="124"/>
      <c r="DC460" s="124"/>
      <c r="DD460" s="124"/>
      <c r="DE460" s="124"/>
      <c r="DF460" s="124"/>
      <c r="DG460" s="124"/>
      <c r="DH460" s="124"/>
      <c r="DI460" s="124"/>
      <c r="DJ460" s="124"/>
      <c r="DK460" s="124"/>
      <c r="DL460" s="124"/>
      <c r="DM460" s="124"/>
      <c r="DN460" s="124"/>
      <c r="DO460" s="124"/>
      <c r="DP460" s="124"/>
      <c r="DQ460" s="124"/>
      <c r="DR460" s="124"/>
      <c r="DS460" s="124"/>
      <c r="DT460" s="124"/>
      <c r="DU460" s="124"/>
      <c r="DV460" s="124"/>
      <c r="DW460" s="124"/>
      <c r="DX460" s="124"/>
      <c r="DY460" s="124"/>
      <c r="DZ460" s="124"/>
      <c r="EA460" s="124"/>
      <c r="EB460" s="124"/>
      <c r="EC460" s="124"/>
      <c r="ED460" s="124"/>
      <c r="EE460" s="124"/>
      <c r="EF460" s="124"/>
      <c r="EG460" s="124"/>
      <c r="EH460" s="124"/>
      <c r="EI460" s="124"/>
      <c r="EJ460" s="124"/>
      <c r="EK460" s="124"/>
      <c r="EL460" s="124"/>
      <c r="EM460" s="124"/>
      <c r="EN460" s="124"/>
      <c r="EO460" s="124"/>
      <c r="EP460" s="124"/>
      <c r="EQ460" s="124"/>
      <c r="ER460" s="124"/>
      <c r="ES460" s="124"/>
      <c r="ET460" s="124"/>
      <c r="EU460" s="124"/>
      <c r="EV460" s="124"/>
      <c r="EW460" s="124"/>
      <c r="EX460" s="124"/>
      <c r="EY460" s="124"/>
      <c r="EZ460" s="124"/>
      <c r="FA460" s="124"/>
      <c r="FB460" s="124"/>
      <c r="FC460" s="124"/>
      <c r="FD460" s="124"/>
      <c r="FE460" s="124"/>
      <c r="FF460" s="124"/>
      <c r="FG460" s="124"/>
      <c r="FH460" s="124"/>
      <c r="FI460" s="124"/>
      <c r="FJ460" s="124"/>
      <c r="FK460" s="124"/>
      <c r="FL460" s="124"/>
      <c r="FM460" s="124"/>
      <c r="FN460" s="124"/>
      <c r="FO460" s="124"/>
      <c r="FP460" s="124"/>
      <c r="FQ460" s="124"/>
      <c r="FR460" s="124"/>
      <c r="FS460" s="124"/>
      <c r="FT460" s="124"/>
      <c r="FU460" s="124"/>
      <c r="FV460" s="124"/>
      <c r="FW460" s="124"/>
      <c r="FX460" s="124"/>
      <c r="FY460" s="124"/>
      <c r="FZ460" s="124"/>
      <c r="GA460" s="124"/>
      <c r="GB460" s="124"/>
      <c r="GC460" s="124"/>
      <c r="GD460" s="124"/>
      <c r="GE460" s="124"/>
      <c r="GF460" s="124"/>
      <c r="GG460" s="124"/>
      <c r="GH460" s="124"/>
      <c r="GI460" s="124"/>
      <c r="GJ460" s="124"/>
      <c r="GK460" s="124"/>
      <c r="GL460" s="124"/>
      <c r="GM460" s="124"/>
      <c r="GN460" s="124"/>
      <c r="GO460" s="124"/>
      <c r="GP460" s="124"/>
      <c r="GQ460" s="124"/>
      <c r="GR460" s="124"/>
      <c r="GS460" s="124"/>
      <c r="GT460" s="124"/>
      <c r="GU460" s="124"/>
      <c r="GV460" s="124"/>
      <c r="GW460" s="124"/>
      <c r="GX460" s="124"/>
      <c r="GY460" s="124"/>
      <c r="GZ460" s="124"/>
      <c r="HA460" s="124"/>
      <c r="HB460" s="124"/>
      <c r="HC460" s="124"/>
      <c r="HD460" s="124"/>
      <c r="HE460" s="124"/>
      <c r="HF460" s="124"/>
      <c r="HG460" s="124"/>
      <c r="HH460" s="124"/>
      <c r="HI460" s="124"/>
      <c r="HJ460" s="124"/>
      <c r="HK460" s="124"/>
      <c r="HL460" s="124"/>
      <c r="HM460" s="124"/>
      <c r="HN460" s="124"/>
      <c r="HO460" s="124"/>
      <c r="HP460" s="124"/>
      <c r="HQ460" s="124"/>
    </row>
    <row r="461" spans="1:225" x14ac:dyDescent="0.2">
      <c r="A461" s="122"/>
      <c r="B461" s="123"/>
      <c r="C461" s="124"/>
      <c r="D461" s="123"/>
      <c r="E461" s="124"/>
      <c r="F461" s="123"/>
      <c r="G461" s="123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4"/>
      <c r="BH461" s="124"/>
      <c r="BI461" s="124"/>
      <c r="BJ461" s="124"/>
      <c r="BK461" s="124"/>
      <c r="BL461" s="124"/>
      <c r="BM461" s="124"/>
      <c r="BN461" s="124"/>
      <c r="BO461" s="124"/>
      <c r="BP461" s="124"/>
      <c r="BQ461" s="124"/>
      <c r="BR461" s="124"/>
      <c r="BS461" s="124"/>
      <c r="BT461" s="124"/>
      <c r="BU461" s="124"/>
      <c r="BV461" s="124"/>
      <c r="BW461" s="124"/>
      <c r="BX461" s="124"/>
      <c r="BY461" s="124"/>
      <c r="BZ461" s="124"/>
      <c r="CA461" s="124"/>
      <c r="CB461" s="124"/>
      <c r="CC461" s="124"/>
      <c r="CD461" s="124"/>
      <c r="CE461" s="124"/>
      <c r="CF461" s="124"/>
      <c r="CG461" s="124"/>
      <c r="CH461" s="124"/>
      <c r="CI461" s="124"/>
      <c r="CJ461" s="124"/>
      <c r="CK461" s="124"/>
      <c r="CL461" s="124"/>
      <c r="CM461" s="124"/>
      <c r="CN461" s="124"/>
      <c r="CO461" s="124"/>
      <c r="CP461" s="124"/>
      <c r="CQ461" s="124"/>
      <c r="CR461" s="124"/>
      <c r="CS461" s="124"/>
      <c r="CT461" s="124"/>
      <c r="CU461" s="124"/>
      <c r="CV461" s="124"/>
      <c r="CW461" s="124"/>
      <c r="CX461" s="124"/>
      <c r="CY461" s="124"/>
      <c r="CZ461" s="124"/>
      <c r="DA461" s="124"/>
      <c r="DB461" s="124"/>
      <c r="DC461" s="124"/>
      <c r="DD461" s="124"/>
      <c r="DE461" s="124"/>
      <c r="DF461" s="124"/>
      <c r="DG461" s="124"/>
      <c r="DH461" s="124"/>
      <c r="DI461" s="124"/>
      <c r="DJ461" s="124"/>
      <c r="DK461" s="124"/>
      <c r="DL461" s="124"/>
      <c r="DM461" s="124"/>
      <c r="DN461" s="124"/>
      <c r="DO461" s="124"/>
      <c r="DP461" s="124"/>
      <c r="DQ461" s="124"/>
      <c r="DR461" s="124"/>
      <c r="DS461" s="124"/>
      <c r="DT461" s="124"/>
      <c r="DU461" s="124"/>
      <c r="DV461" s="124"/>
      <c r="DW461" s="124"/>
      <c r="DX461" s="124"/>
      <c r="DY461" s="124"/>
      <c r="DZ461" s="124"/>
      <c r="EA461" s="124"/>
      <c r="EB461" s="124"/>
      <c r="EC461" s="124"/>
      <c r="ED461" s="124"/>
      <c r="EE461" s="124"/>
      <c r="EF461" s="124"/>
      <c r="EG461" s="124"/>
      <c r="EH461" s="124"/>
      <c r="EI461" s="124"/>
      <c r="EJ461" s="124"/>
      <c r="EK461" s="124"/>
      <c r="EL461" s="124"/>
      <c r="EM461" s="124"/>
      <c r="EN461" s="124"/>
      <c r="EO461" s="124"/>
      <c r="EP461" s="124"/>
      <c r="EQ461" s="124"/>
      <c r="ER461" s="124"/>
      <c r="ES461" s="124"/>
      <c r="ET461" s="124"/>
      <c r="EU461" s="124"/>
      <c r="EV461" s="124"/>
      <c r="EW461" s="124"/>
      <c r="EX461" s="124"/>
      <c r="EY461" s="124"/>
      <c r="EZ461" s="124"/>
      <c r="FA461" s="124"/>
      <c r="FB461" s="124"/>
      <c r="FC461" s="124"/>
      <c r="FD461" s="124"/>
      <c r="FE461" s="124"/>
      <c r="FF461" s="124"/>
      <c r="FG461" s="124"/>
      <c r="FH461" s="124"/>
      <c r="FI461" s="124"/>
      <c r="FJ461" s="124"/>
      <c r="FK461" s="124"/>
      <c r="FL461" s="124"/>
      <c r="FM461" s="124"/>
      <c r="FN461" s="124"/>
      <c r="FO461" s="124"/>
      <c r="FP461" s="124"/>
      <c r="FQ461" s="124"/>
      <c r="FR461" s="124"/>
      <c r="FS461" s="124"/>
      <c r="FT461" s="124"/>
      <c r="FU461" s="124"/>
      <c r="FV461" s="124"/>
      <c r="FW461" s="124"/>
      <c r="FX461" s="124"/>
      <c r="FY461" s="124"/>
      <c r="FZ461" s="124"/>
      <c r="GA461" s="124"/>
      <c r="GB461" s="124"/>
      <c r="GC461" s="124"/>
      <c r="GD461" s="124"/>
      <c r="GE461" s="124"/>
      <c r="GF461" s="124"/>
      <c r="GG461" s="124"/>
      <c r="GH461" s="124"/>
      <c r="GI461" s="124"/>
      <c r="GJ461" s="124"/>
      <c r="GK461" s="124"/>
      <c r="GL461" s="124"/>
      <c r="GM461" s="124"/>
      <c r="GN461" s="124"/>
      <c r="GO461" s="124"/>
      <c r="GP461" s="124"/>
      <c r="GQ461" s="124"/>
      <c r="GR461" s="124"/>
      <c r="GS461" s="124"/>
      <c r="GT461" s="124"/>
      <c r="GU461" s="124"/>
      <c r="GV461" s="124"/>
      <c r="GW461" s="124"/>
      <c r="GX461" s="124"/>
      <c r="GY461" s="124"/>
      <c r="GZ461" s="124"/>
      <c r="HA461" s="124"/>
      <c r="HB461" s="124"/>
      <c r="HC461" s="124"/>
      <c r="HD461" s="124"/>
      <c r="HE461" s="124"/>
      <c r="HF461" s="124"/>
      <c r="HG461" s="124"/>
      <c r="HH461" s="124"/>
      <c r="HI461" s="124"/>
      <c r="HJ461" s="124"/>
      <c r="HK461" s="124"/>
      <c r="HL461" s="124"/>
      <c r="HM461" s="124"/>
      <c r="HN461" s="124"/>
      <c r="HO461" s="124"/>
      <c r="HP461" s="124"/>
      <c r="HQ461" s="124"/>
    </row>
    <row r="462" spans="1:225" x14ac:dyDescent="0.2">
      <c r="A462" s="122"/>
      <c r="B462" s="123"/>
      <c r="C462" s="124"/>
      <c r="D462" s="123"/>
      <c r="E462" s="124"/>
      <c r="F462" s="123"/>
      <c r="G462" s="123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124"/>
      <c r="AV462" s="124"/>
      <c r="AW462" s="124"/>
      <c r="AX462" s="124"/>
      <c r="AY462" s="124"/>
      <c r="AZ462" s="124"/>
      <c r="BA462" s="124"/>
      <c r="BB462" s="124"/>
      <c r="BC462" s="124"/>
      <c r="BD462" s="124"/>
      <c r="BE462" s="124"/>
      <c r="BF462" s="124"/>
      <c r="BG462" s="124"/>
      <c r="BH462" s="124"/>
      <c r="BI462" s="124"/>
      <c r="BJ462" s="124"/>
      <c r="BK462" s="124"/>
      <c r="BL462" s="124"/>
      <c r="BM462" s="124"/>
      <c r="BN462" s="124"/>
      <c r="BO462" s="124"/>
      <c r="BP462" s="124"/>
      <c r="BQ462" s="124"/>
      <c r="BR462" s="124"/>
      <c r="BS462" s="124"/>
      <c r="BT462" s="124"/>
      <c r="BU462" s="124"/>
      <c r="BV462" s="124"/>
      <c r="BW462" s="124"/>
      <c r="BX462" s="124"/>
      <c r="BY462" s="124"/>
      <c r="BZ462" s="124"/>
      <c r="CA462" s="124"/>
      <c r="CB462" s="124"/>
      <c r="CC462" s="124"/>
      <c r="CD462" s="124"/>
      <c r="CE462" s="124"/>
      <c r="CF462" s="124"/>
      <c r="CG462" s="124"/>
      <c r="CH462" s="124"/>
      <c r="CI462" s="124"/>
      <c r="CJ462" s="124"/>
      <c r="CK462" s="124"/>
      <c r="CL462" s="124"/>
      <c r="CM462" s="124"/>
      <c r="CN462" s="124"/>
      <c r="CO462" s="124"/>
      <c r="CP462" s="124"/>
      <c r="CQ462" s="124"/>
      <c r="CR462" s="124"/>
      <c r="CS462" s="124"/>
      <c r="CT462" s="124"/>
      <c r="CU462" s="124"/>
      <c r="CV462" s="124"/>
      <c r="CW462" s="124"/>
      <c r="CX462" s="124"/>
      <c r="CY462" s="124"/>
      <c r="CZ462" s="124"/>
      <c r="DA462" s="124"/>
      <c r="DB462" s="124"/>
      <c r="DC462" s="124"/>
      <c r="DD462" s="124"/>
      <c r="DE462" s="124"/>
      <c r="DF462" s="124"/>
      <c r="DG462" s="124"/>
      <c r="DH462" s="124"/>
      <c r="DI462" s="124"/>
      <c r="DJ462" s="124"/>
      <c r="DK462" s="124"/>
      <c r="DL462" s="124"/>
      <c r="DM462" s="124"/>
      <c r="DN462" s="124"/>
      <c r="DO462" s="124"/>
      <c r="DP462" s="124"/>
      <c r="DQ462" s="124"/>
      <c r="DR462" s="124"/>
      <c r="DS462" s="124"/>
      <c r="DT462" s="124"/>
      <c r="DU462" s="124"/>
      <c r="DV462" s="124"/>
      <c r="DW462" s="124"/>
      <c r="DX462" s="124"/>
      <c r="DY462" s="124"/>
      <c r="DZ462" s="124"/>
      <c r="EA462" s="124"/>
      <c r="EB462" s="124"/>
      <c r="EC462" s="124"/>
      <c r="ED462" s="124"/>
      <c r="EE462" s="124"/>
      <c r="EF462" s="124"/>
      <c r="EG462" s="124"/>
      <c r="EH462" s="124"/>
      <c r="EI462" s="124"/>
      <c r="EJ462" s="124"/>
      <c r="EK462" s="124"/>
      <c r="EL462" s="124"/>
      <c r="EM462" s="124"/>
      <c r="EN462" s="124"/>
      <c r="EO462" s="124"/>
      <c r="EP462" s="124"/>
      <c r="EQ462" s="124"/>
      <c r="ER462" s="124"/>
      <c r="ES462" s="124"/>
      <c r="ET462" s="124"/>
      <c r="EU462" s="124"/>
      <c r="EV462" s="124"/>
      <c r="EW462" s="124"/>
      <c r="EX462" s="124"/>
      <c r="EY462" s="124"/>
      <c r="EZ462" s="124"/>
      <c r="FA462" s="124"/>
      <c r="FB462" s="124"/>
      <c r="FC462" s="124"/>
      <c r="FD462" s="124"/>
      <c r="FE462" s="124"/>
      <c r="FF462" s="124"/>
      <c r="FG462" s="124"/>
      <c r="FH462" s="124"/>
      <c r="FI462" s="124"/>
      <c r="FJ462" s="124"/>
      <c r="FK462" s="124"/>
      <c r="FL462" s="124"/>
      <c r="FM462" s="124"/>
      <c r="FN462" s="124"/>
      <c r="FO462" s="124"/>
      <c r="FP462" s="124"/>
      <c r="FQ462" s="124"/>
      <c r="FR462" s="124"/>
      <c r="FS462" s="124"/>
      <c r="FT462" s="124"/>
      <c r="FU462" s="124"/>
      <c r="FV462" s="124"/>
      <c r="FW462" s="124"/>
      <c r="FX462" s="124"/>
      <c r="FY462" s="124"/>
      <c r="FZ462" s="124"/>
      <c r="GA462" s="124"/>
      <c r="GB462" s="124"/>
      <c r="GC462" s="124"/>
      <c r="GD462" s="124"/>
      <c r="GE462" s="124"/>
      <c r="GF462" s="124"/>
      <c r="GG462" s="124"/>
      <c r="GH462" s="124"/>
      <c r="GI462" s="124"/>
      <c r="GJ462" s="124"/>
      <c r="GK462" s="124"/>
      <c r="GL462" s="124"/>
      <c r="GM462" s="124"/>
      <c r="GN462" s="124"/>
      <c r="GO462" s="124"/>
      <c r="GP462" s="124"/>
      <c r="GQ462" s="124"/>
      <c r="GR462" s="124"/>
      <c r="GS462" s="124"/>
      <c r="GT462" s="124"/>
      <c r="GU462" s="124"/>
      <c r="GV462" s="124"/>
      <c r="GW462" s="124"/>
      <c r="GX462" s="124"/>
      <c r="GY462" s="124"/>
      <c r="GZ462" s="124"/>
      <c r="HA462" s="124"/>
      <c r="HB462" s="124"/>
      <c r="HC462" s="124"/>
      <c r="HD462" s="124"/>
      <c r="HE462" s="124"/>
      <c r="HF462" s="124"/>
      <c r="HG462" s="124"/>
      <c r="HH462" s="124"/>
      <c r="HI462" s="124"/>
      <c r="HJ462" s="124"/>
      <c r="HK462" s="124"/>
      <c r="HL462" s="124"/>
      <c r="HM462" s="124"/>
      <c r="HN462" s="124"/>
      <c r="HO462" s="124"/>
      <c r="HP462" s="124"/>
      <c r="HQ462" s="124"/>
    </row>
    <row r="463" spans="1:225" x14ac:dyDescent="0.2">
      <c r="A463" s="122"/>
      <c r="B463" s="123"/>
      <c r="C463" s="124"/>
      <c r="D463" s="123"/>
      <c r="E463" s="124"/>
      <c r="F463" s="123"/>
      <c r="G463" s="123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124"/>
      <c r="AV463" s="124"/>
      <c r="AW463" s="124"/>
      <c r="AX463" s="124"/>
      <c r="AY463" s="124"/>
      <c r="AZ463" s="124"/>
      <c r="BA463" s="124"/>
      <c r="BB463" s="124"/>
      <c r="BC463" s="124"/>
      <c r="BD463" s="124"/>
      <c r="BE463" s="124"/>
      <c r="BF463" s="124"/>
      <c r="BG463" s="124"/>
      <c r="BH463" s="124"/>
      <c r="BI463" s="124"/>
      <c r="BJ463" s="124"/>
      <c r="BK463" s="124"/>
      <c r="BL463" s="124"/>
      <c r="BM463" s="124"/>
      <c r="BN463" s="124"/>
      <c r="BO463" s="124"/>
      <c r="BP463" s="124"/>
      <c r="BQ463" s="124"/>
      <c r="BR463" s="124"/>
      <c r="BS463" s="124"/>
      <c r="BT463" s="124"/>
      <c r="BU463" s="124"/>
      <c r="BV463" s="124"/>
      <c r="BW463" s="124"/>
      <c r="BX463" s="124"/>
      <c r="BY463" s="124"/>
      <c r="BZ463" s="124"/>
      <c r="CA463" s="124"/>
      <c r="CB463" s="124"/>
      <c r="CC463" s="124"/>
      <c r="CD463" s="124"/>
      <c r="CE463" s="124"/>
      <c r="CF463" s="124"/>
      <c r="CG463" s="124"/>
      <c r="CH463" s="124"/>
      <c r="CI463" s="124"/>
      <c r="CJ463" s="124"/>
      <c r="CK463" s="124"/>
      <c r="CL463" s="124"/>
      <c r="CM463" s="124"/>
      <c r="CN463" s="124"/>
      <c r="CO463" s="124"/>
      <c r="CP463" s="124"/>
      <c r="CQ463" s="124"/>
      <c r="CR463" s="124"/>
      <c r="CS463" s="124"/>
      <c r="CT463" s="124"/>
      <c r="CU463" s="124"/>
      <c r="CV463" s="124"/>
      <c r="CW463" s="124"/>
      <c r="CX463" s="124"/>
      <c r="CY463" s="124"/>
      <c r="CZ463" s="124"/>
      <c r="DA463" s="124"/>
      <c r="DB463" s="124"/>
      <c r="DC463" s="124"/>
      <c r="DD463" s="124"/>
      <c r="DE463" s="124"/>
      <c r="DF463" s="124"/>
      <c r="DG463" s="124"/>
      <c r="DH463" s="124"/>
      <c r="DI463" s="124"/>
      <c r="DJ463" s="124"/>
      <c r="DK463" s="124"/>
      <c r="DL463" s="124"/>
      <c r="DM463" s="124"/>
      <c r="DN463" s="124"/>
      <c r="DO463" s="124"/>
      <c r="DP463" s="124"/>
      <c r="DQ463" s="124"/>
      <c r="DR463" s="124"/>
      <c r="DS463" s="124"/>
      <c r="DT463" s="124"/>
      <c r="DU463" s="124"/>
      <c r="DV463" s="124"/>
      <c r="DW463" s="124"/>
      <c r="DX463" s="124"/>
      <c r="DY463" s="124"/>
      <c r="DZ463" s="124"/>
      <c r="EA463" s="124"/>
      <c r="EB463" s="124"/>
      <c r="EC463" s="124"/>
      <c r="ED463" s="124"/>
      <c r="EE463" s="124"/>
      <c r="EF463" s="124"/>
      <c r="EG463" s="124"/>
      <c r="EH463" s="124"/>
      <c r="EI463" s="124"/>
      <c r="EJ463" s="124"/>
      <c r="EK463" s="124"/>
      <c r="EL463" s="124"/>
      <c r="EM463" s="124"/>
      <c r="EN463" s="124"/>
      <c r="EO463" s="124"/>
      <c r="EP463" s="124"/>
      <c r="EQ463" s="124"/>
      <c r="ER463" s="124"/>
      <c r="ES463" s="124"/>
      <c r="ET463" s="124"/>
      <c r="EU463" s="124"/>
      <c r="EV463" s="124"/>
      <c r="EW463" s="124"/>
      <c r="EX463" s="124"/>
      <c r="EY463" s="124"/>
      <c r="EZ463" s="124"/>
      <c r="FA463" s="124"/>
      <c r="FB463" s="124"/>
      <c r="FC463" s="124"/>
      <c r="FD463" s="124"/>
      <c r="FE463" s="124"/>
      <c r="FF463" s="124"/>
      <c r="FG463" s="124"/>
      <c r="FH463" s="124"/>
      <c r="FI463" s="124"/>
      <c r="FJ463" s="124"/>
      <c r="FK463" s="124"/>
      <c r="FL463" s="124"/>
      <c r="FM463" s="124"/>
      <c r="FN463" s="124"/>
      <c r="FO463" s="124"/>
      <c r="FP463" s="124"/>
      <c r="FQ463" s="124"/>
      <c r="FR463" s="124"/>
      <c r="FS463" s="124"/>
      <c r="FT463" s="124"/>
      <c r="FU463" s="124"/>
      <c r="FV463" s="124"/>
      <c r="FW463" s="124"/>
      <c r="FX463" s="124"/>
      <c r="FY463" s="124"/>
      <c r="FZ463" s="124"/>
      <c r="GA463" s="124"/>
      <c r="GB463" s="124"/>
      <c r="GC463" s="124"/>
      <c r="GD463" s="124"/>
      <c r="GE463" s="124"/>
      <c r="GF463" s="124"/>
      <c r="GG463" s="124"/>
      <c r="GH463" s="124"/>
      <c r="GI463" s="124"/>
      <c r="GJ463" s="124"/>
      <c r="GK463" s="124"/>
      <c r="GL463" s="124"/>
      <c r="GM463" s="124"/>
      <c r="GN463" s="124"/>
      <c r="GO463" s="124"/>
      <c r="GP463" s="124"/>
      <c r="GQ463" s="124"/>
      <c r="GR463" s="124"/>
      <c r="GS463" s="124"/>
      <c r="GT463" s="124"/>
      <c r="GU463" s="124"/>
      <c r="GV463" s="124"/>
      <c r="GW463" s="124"/>
      <c r="GX463" s="124"/>
      <c r="GY463" s="124"/>
      <c r="GZ463" s="124"/>
      <c r="HA463" s="124"/>
      <c r="HB463" s="124"/>
      <c r="HC463" s="124"/>
      <c r="HD463" s="124"/>
      <c r="HE463" s="124"/>
      <c r="HF463" s="124"/>
      <c r="HG463" s="124"/>
      <c r="HH463" s="124"/>
      <c r="HI463" s="124"/>
      <c r="HJ463" s="124"/>
      <c r="HK463" s="124"/>
      <c r="HL463" s="124"/>
      <c r="HM463" s="124"/>
      <c r="HN463" s="124"/>
      <c r="HO463" s="124"/>
      <c r="HP463" s="124"/>
      <c r="HQ463" s="124"/>
    </row>
    <row r="464" spans="1:225" x14ac:dyDescent="0.2">
      <c r="A464" s="122"/>
      <c r="B464" s="123"/>
      <c r="C464" s="124"/>
      <c r="D464" s="123"/>
      <c r="E464" s="124"/>
      <c r="F464" s="123"/>
      <c r="G464" s="123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124"/>
      <c r="AV464" s="124"/>
      <c r="AW464" s="124"/>
      <c r="AX464" s="124"/>
      <c r="AY464" s="124"/>
      <c r="AZ464" s="124"/>
      <c r="BA464" s="124"/>
      <c r="BB464" s="124"/>
      <c r="BC464" s="124"/>
      <c r="BD464" s="124"/>
      <c r="BE464" s="124"/>
      <c r="BF464" s="124"/>
      <c r="BG464" s="124"/>
      <c r="BH464" s="124"/>
      <c r="BI464" s="124"/>
      <c r="BJ464" s="124"/>
      <c r="BK464" s="124"/>
      <c r="BL464" s="124"/>
      <c r="BM464" s="124"/>
      <c r="BN464" s="124"/>
      <c r="BO464" s="124"/>
      <c r="BP464" s="124"/>
      <c r="BQ464" s="124"/>
      <c r="BR464" s="124"/>
      <c r="BS464" s="124"/>
      <c r="BT464" s="124"/>
      <c r="BU464" s="124"/>
      <c r="BV464" s="124"/>
      <c r="BW464" s="124"/>
      <c r="BX464" s="124"/>
      <c r="BY464" s="124"/>
      <c r="BZ464" s="124"/>
      <c r="CA464" s="124"/>
      <c r="CB464" s="124"/>
      <c r="CC464" s="124"/>
      <c r="CD464" s="124"/>
      <c r="CE464" s="124"/>
      <c r="CF464" s="124"/>
      <c r="CG464" s="124"/>
      <c r="CH464" s="124"/>
      <c r="CI464" s="124"/>
      <c r="CJ464" s="124"/>
      <c r="CK464" s="124"/>
      <c r="CL464" s="124"/>
      <c r="CM464" s="124"/>
      <c r="CN464" s="124"/>
      <c r="CO464" s="124"/>
      <c r="CP464" s="124"/>
      <c r="CQ464" s="124"/>
      <c r="CR464" s="124"/>
      <c r="CS464" s="124"/>
      <c r="CT464" s="124"/>
      <c r="CU464" s="124"/>
      <c r="CV464" s="124"/>
      <c r="CW464" s="124"/>
      <c r="CX464" s="124"/>
      <c r="CY464" s="124"/>
      <c r="CZ464" s="124"/>
      <c r="DA464" s="124"/>
      <c r="DB464" s="124"/>
      <c r="DC464" s="124"/>
      <c r="DD464" s="124"/>
      <c r="DE464" s="124"/>
      <c r="DF464" s="124"/>
      <c r="DG464" s="124"/>
      <c r="DH464" s="124"/>
      <c r="DI464" s="124"/>
      <c r="DJ464" s="124"/>
      <c r="DK464" s="124"/>
      <c r="DL464" s="124"/>
      <c r="DM464" s="124"/>
      <c r="DN464" s="124"/>
      <c r="DO464" s="124"/>
      <c r="DP464" s="124"/>
      <c r="DQ464" s="124"/>
      <c r="DR464" s="124"/>
      <c r="DS464" s="124"/>
      <c r="DT464" s="124"/>
      <c r="DU464" s="124"/>
      <c r="DV464" s="124"/>
      <c r="DW464" s="124"/>
      <c r="DX464" s="124"/>
      <c r="DY464" s="124"/>
      <c r="DZ464" s="124"/>
      <c r="EA464" s="124"/>
      <c r="EB464" s="124"/>
      <c r="EC464" s="124"/>
      <c r="ED464" s="124"/>
      <c r="EE464" s="124"/>
      <c r="EF464" s="124"/>
      <c r="EG464" s="124"/>
      <c r="EH464" s="124"/>
      <c r="EI464" s="124"/>
      <c r="EJ464" s="124"/>
      <c r="EK464" s="124"/>
      <c r="EL464" s="124"/>
      <c r="EM464" s="124"/>
      <c r="EN464" s="124"/>
      <c r="EO464" s="124"/>
      <c r="EP464" s="124"/>
      <c r="EQ464" s="124"/>
      <c r="ER464" s="124"/>
      <c r="ES464" s="124"/>
      <c r="ET464" s="124"/>
      <c r="EU464" s="124"/>
      <c r="EV464" s="124"/>
      <c r="EW464" s="124"/>
      <c r="EX464" s="124"/>
      <c r="EY464" s="124"/>
      <c r="EZ464" s="124"/>
      <c r="FA464" s="124"/>
      <c r="FB464" s="124"/>
      <c r="FC464" s="124"/>
      <c r="FD464" s="124"/>
      <c r="FE464" s="124"/>
      <c r="FF464" s="124"/>
      <c r="FG464" s="124"/>
      <c r="FH464" s="124"/>
      <c r="FI464" s="124"/>
      <c r="FJ464" s="124"/>
      <c r="FK464" s="124"/>
      <c r="FL464" s="124"/>
      <c r="FM464" s="124"/>
      <c r="FN464" s="124"/>
      <c r="FO464" s="124"/>
      <c r="FP464" s="124"/>
      <c r="FQ464" s="124"/>
      <c r="FR464" s="124"/>
      <c r="FS464" s="124"/>
      <c r="FT464" s="124"/>
      <c r="FU464" s="124"/>
      <c r="FV464" s="124"/>
      <c r="FW464" s="124"/>
      <c r="FX464" s="124"/>
      <c r="FY464" s="124"/>
      <c r="FZ464" s="124"/>
      <c r="GA464" s="124"/>
      <c r="GB464" s="124"/>
      <c r="GC464" s="124"/>
      <c r="GD464" s="124"/>
      <c r="GE464" s="124"/>
      <c r="GF464" s="124"/>
      <c r="GG464" s="124"/>
      <c r="GH464" s="124"/>
      <c r="GI464" s="124"/>
      <c r="GJ464" s="124"/>
      <c r="GK464" s="124"/>
      <c r="GL464" s="124"/>
      <c r="GM464" s="124"/>
      <c r="GN464" s="124"/>
      <c r="GO464" s="124"/>
      <c r="GP464" s="124"/>
      <c r="GQ464" s="124"/>
      <c r="GR464" s="124"/>
      <c r="GS464" s="124"/>
      <c r="GT464" s="124"/>
      <c r="GU464" s="124"/>
      <c r="GV464" s="124"/>
      <c r="GW464" s="124"/>
      <c r="GX464" s="124"/>
      <c r="GY464" s="124"/>
      <c r="GZ464" s="124"/>
      <c r="HA464" s="124"/>
      <c r="HB464" s="124"/>
      <c r="HC464" s="124"/>
      <c r="HD464" s="124"/>
      <c r="HE464" s="124"/>
      <c r="HF464" s="124"/>
      <c r="HG464" s="124"/>
      <c r="HH464" s="124"/>
      <c r="HI464" s="124"/>
      <c r="HJ464" s="124"/>
      <c r="HK464" s="124"/>
      <c r="HL464" s="124"/>
      <c r="HM464" s="124"/>
      <c r="HN464" s="124"/>
      <c r="HO464" s="124"/>
      <c r="HP464" s="124"/>
      <c r="HQ464" s="124"/>
    </row>
    <row r="465" spans="1:225" x14ac:dyDescent="0.2">
      <c r="A465" s="122"/>
      <c r="B465" s="123"/>
      <c r="C465" s="124"/>
      <c r="D465" s="123"/>
      <c r="E465" s="124"/>
      <c r="F465" s="123"/>
      <c r="G465" s="123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124"/>
      <c r="AV465" s="124"/>
      <c r="AW465" s="124"/>
      <c r="AX465" s="124"/>
      <c r="AY465" s="124"/>
      <c r="AZ465" s="124"/>
      <c r="BA465" s="124"/>
      <c r="BB465" s="124"/>
      <c r="BC465" s="124"/>
      <c r="BD465" s="124"/>
      <c r="BE465" s="124"/>
      <c r="BF465" s="124"/>
      <c r="BG465" s="124"/>
      <c r="BH465" s="124"/>
      <c r="BI465" s="124"/>
      <c r="BJ465" s="124"/>
      <c r="BK465" s="124"/>
      <c r="BL465" s="124"/>
      <c r="BM465" s="124"/>
      <c r="BN465" s="124"/>
      <c r="BO465" s="124"/>
      <c r="BP465" s="124"/>
      <c r="BQ465" s="124"/>
      <c r="BR465" s="124"/>
      <c r="BS465" s="124"/>
      <c r="BT465" s="124"/>
      <c r="BU465" s="124"/>
      <c r="BV465" s="124"/>
      <c r="BW465" s="124"/>
      <c r="BX465" s="124"/>
      <c r="BY465" s="124"/>
      <c r="BZ465" s="124"/>
      <c r="CA465" s="124"/>
      <c r="CB465" s="124"/>
      <c r="CC465" s="124"/>
      <c r="CD465" s="124"/>
      <c r="CE465" s="124"/>
      <c r="CF465" s="124"/>
      <c r="CG465" s="124"/>
      <c r="CH465" s="124"/>
      <c r="CI465" s="124"/>
      <c r="CJ465" s="124"/>
      <c r="CK465" s="124"/>
      <c r="CL465" s="124"/>
      <c r="CM465" s="124"/>
      <c r="CN465" s="124"/>
      <c r="CO465" s="124"/>
      <c r="CP465" s="124"/>
      <c r="CQ465" s="124"/>
      <c r="CR465" s="124"/>
      <c r="CS465" s="124"/>
      <c r="CT465" s="124"/>
      <c r="CU465" s="124"/>
      <c r="CV465" s="124"/>
      <c r="CW465" s="124"/>
      <c r="CX465" s="124"/>
      <c r="CY465" s="124"/>
      <c r="CZ465" s="124"/>
      <c r="DA465" s="124"/>
      <c r="DB465" s="124"/>
      <c r="DC465" s="124"/>
      <c r="DD465" s="124"/>
      <c r="DE465" s="124"/>
      <c r="DF465" s="124"/>
      <c r="DG465" s="124"/>
      <c r="DH465" s="124"/>
      <c r="DI465" s="124"/>
      <c r="DJ465" s="124"/>
      <c r="DK465" s="124"/>
      <c r="DL465" s="124"/>
      <c r="DM465" s="124"/>
      <c r="DN465" s="124"/>
      <c r="DO465" s="124"/>
      <c r="DP465" s="124"/>
      <c r="DQ465" s="124"/>
      <c r="DR465" s="124"/>
      <c r="DS465" s="124"/>
      <c r="DT465" s="124"/>
      <c r="DU465" s="124"/>
      <c r="DV465" s="124"/>
      <c r="DW465" s="124"/>
      <c r="DX465" s="124"/>
      <c r="DY465" s="124"/>
      <c r="DZ465" s="124"/>
      <c r="EA465" s="124"/>
      <c r="EB465" s="124"/>
      <c r="EC465" s="124"/>
      <c r="ED465" s="124"/>
      <c r="EE465" s="124"/>
      <c r="EF465" s="124"/>
      <c r="EG465" s="124"/>
      <c r="EH465" s="124"/>
      <c r="EI465" s="124"/>
      <c r="EJ465" s="124"/>
      <c r="EK465" s="124"/>
      <c r="EL465" s="124"/>
      <c r="EM465" s="124"/>
      <c r="EN465" s="124"/>
      <c r="EO465" s="124"/>
      <c r="EP465" s="124"/>
      <c r="EQ465" s="124"/>
      <c r="ER465" s="124"/>
      <c r="ES465" s="124"/>
      <c r="ET465" s="124"/>
      <c r="EU465" s="124"/>
      <c r="EV465" s="124"/>
      <c r="EW465" s="124"/>
      <c r="EX465" s="124"/>
      <c r="EY465" s="124"/>
      <c r="EZ465" s="124"/>
      <c r="FA465" s="124"/>
      <c r="FB465" s="124"/>
      <c r="FC465" s="124"/>
      <c r="FD465" s="124"/>
      <c r="FE465" s="124"/>
      <c r="FF465" s="124"/>
      <c r="FG465" s="124"/>
      <c r="FH465" s="124"/>
      <c r="FI465" s="124"/>
      <c r="FJ465" s="124"/>
      <c r="FK465" s="124"/>
      <c r="FL465" s="124"/>
      <c r="FM465" s="124"/>
      <c r="FN465" s="124"/>
      <c r="FO465" s="124"/>
      <c r="FP465" s="124"/>
      <c r="FQ465" s="124"/>
      <c r="FR465" s="124"/>
      <c r="FS465" s="124"/>
      <c r="FT465" s="124"/>
      <c r="FU465" s="124"/>
      <c r="FV465" s="124"/>
      <c r="FW465" s="124"/>
      <c r="FX465" s="124"/>
      <c r="FY465" s="124"/>
      <c r="FZ465" s="124"/>
      <c r="GA465" s="124"/>
      <c r="GB465" s="124"/>
      <c r="GC465" s="124"/>
      <c r="GD465" s="124"/>
      <c r="GE465" s="124"/>
      <c r="GF465" s="124"/>
      <c r="GG465" s="124"/>
      <c r="GH465" s="124"/>
      <c r="GI465" s="124"/>
      <c r="GJ465" s="124"/>
      <c r="GK465" s="124"/>
      <c r="GL465" s="124"/>
      <c r="GM465" s="124"/>
      <c r="GN465" s="124"/>
      <c r="GO465" s="124"/>
      <c r="GP465" s="124"/>
      <c r="GQ465" s="124"/>
      <c r="GR465" s="124"/>
      <c r="GS465" s="124"/>
      <c r="GT465" s="124"/>
      <c r="GU465" s="124"/>
      <c r="GV465" s="124"/>
      <c r="GW465" s="124"/>
      <c r="GX465" s="124"/>
      <c r="GY465" s="124"/>
      <c r="GZ465" s="124"/>
      <c r="HA465" s="124"/>
      <c r="HB465" s="124"/>
      <c r="HC465" s="124"/>
      <c r="HD465" s="124"/>
      <c r="HE465" s="124"/>
      <c r="HF465" s="124"/>
      <c r="HG465" s="124"/>
      <c r="HH465" s="124"/>
      <c r="HI465" s="124"/>
      <c r="HJ465" s="124"/>
      <c r="HK465" s="124"/>
      <c r="HL465" s="124"/>
      <c r="HM465" s="124"/>
      <c r="HN465" s="124"/>
      <c r="HO465" s="124"/>
      <c r="HP465" s="124"/>
      <c r="HQ465" s="124"/>
    </row>
    <row r="466" spans="1:225" x14ac:dyDescent="0.2">
      <c r="A466" s="122"/>
      <c r="B466" s="123"/>
      <c r="C466" s="124"/>
      <c r="D466" s="123"/>
      <c r="E466" s="124"/>
      <c r="F466" s="123"/>
      <c r="G466" s="123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/>
      <c r="BB466" s="124"/>
      <c r="BC466" s="124"/>
      <c r="BD466" s="124"/>
      <c r="BE466" s="124"/>
      <c r="BF466" s="124"/>
      <c r="BG466" s="124"/>
      <c r="BH466" s="124"/>
      <c r="BI466" s="124"/>
      <c r="BJ466" s="124"/>
      <c r="BK466" s="124"/>
      <c r="BL466" s="124"/>
      <c r="BM466" s="124"/>
      <c r="BN466" s="124"/>
      <c r="BO466" s="124"/>
      <c r="BP466" s="124"/>
      <c r="BQ466" s="124"/>
      <c r="BR466" s="124"/>
      <c r="BS466" s="124"/>
      <c r="BT466" s="124"/>
      <c r="BU466" s="124"/>
      <c r="BV466" s="124"/>
      <c r="BW466" s="124"/>
      <c r="BX466" s="124"/>
      <c r="BY466" s="124"/>
      <c r="BZ466" s="124"/>
      <c r="CA466" s="124"/>
      <c r="CB466" s="124"/>
      <c r="CC466" s="124"/>
      <c r="CD466" s="124"/>
      <c r="CE466" s="124"/>
      <c r="CF466" s="124"/>
      <c r="CG466" s="124"/>
      <c r="CH466" s="124"/>
      <c r="CI466" s="124"/>
      <c r="CJ466" s="124"/>
      <c r="CK466" s="124"/>
      <c r="CL466" s="124"/>
      <c r="CM466" s="124"/>
      <c r="CN466" s="124"/>
      <c r="CO466" s="124"/>
      <c r="CP466" s="124"/>
      <c r="CQ466" s="124"/>
      <c r="CR466" s="124"/>
      <c r="CS466" s="124"/>
      <c r="CT466" s="124"/>
      <c r="CU466" s="124"/>
      <c r="CV466" s="124"/>
      <c r="CW466" s="124"/>
      <c r="CX466" s="124"/>
      <c r="CY466" s="124"/>
      <c r="CZ466" s="124"/>
      <c r="DA466" s="124"/>
      <c r="DB466" s="124"/>
      <c r="DC466" s="124"/>
      <c r="DD466" s="124"/>
      <c r="DE466" s="124"/>
      <c r="DF466" s="124"/>
      <c r="DG466" s="124"/>
      <c r="DH466" s="124"/>
      <c r="DI466" s="124"/>
      <c r="DJ466" s="124"/>
      <c r="DK466" s="124"/>
      <c r="DL466" s="124"/>
      <c r="DM466" s="124"/>
      <c r="DN466" s="124"/>
      <c r="DO466" s="124"/>
      <c r="DP466" s="124"/>
      <c r="DQ466" s="124"/>
      <c r="DR466" s="124"/>
      <c r="DS466" s="124"/>
      <c r="DT466" s="124"/>
      <c r="DU466" s="124"/>
      <c r="DV466" s="124"/>
      <c r="DW466" s="124"/>
      <c r="DX466" s="124"/>
      <c r="DY466" s="124"/>
      <c r="DZ466" s="124"/>
      <c r="EA466" s="124"/>
      <c r="EB466" s="124"/>
      <c r="EC466" s="124"/>
      <c r="ED466" s="124"/>
      <c r="EE466" s="124"/>
      <c r="EF466" s="124"/>
      <c r="EG466" s="124"/>
      <c r="EH466" s="124"/>
      <c r="EI466" s="124"/>
      <c r="EJ466" s="124"/>
      <c r="EK466" s="124"/>
      <c r="EL466" s="124"/>
      <c r="EM466" s="124"/>
      <c r="EN466" s="124"/>
      <c r="EO466" s="124"/>
      <c r="EP466" s="124"/>
      <c r="EQ466" s="124"/>
      <c r="ER466" s="124"/>
      <c r="ES466" s="124"/>
      <c r="ET466" s="124"/>
      <c r="EU466" s="124"/>
      <c r="EV466" s="124"/>
      <c r="EW466" s="124"/>
      <c r="EX466" s="124"/>
      <c r="EY466" s="124"/>
      <c r="EZ466" s="124"/>
      <c r="FA466" s="124"/>
      <c r="FB466" s="124"/>
      <c r="FC466" s="124"/>
      <c r="FD466" s="124"/>
      <c r="FE466" s="124"/>
      <c r="FF466" s="124"/>
      <c r="FG466" s="124"/>
      <c r="FH466" s="124"/>
      <c r="FI466" s="124"/>
      <c r="FJ466" s="124"/>
      <c r="FK466" s="124"/>
      <c r="FL466" s="124"/>
      <c r="FM466" s="124"/>
      <c r="FN466" s="124"/>
      <c r="FO466" s="124"/>
      <c r="FP466" s="124"/>
      <c r="FQ466" s="124"/>
      <c r="FR466" s="124"/>
      <c r="FS466" s="124"/>
      <c r="FT466" s="124"/>
      <c r="FU466" s="124"/>
      <c r="FV466" s="124"/>
      <c r="FW466" s="124"/>
      <c r="FX466" s="124"/>
      <c r="FY466" s="124"/>
      <c r="FZ466" s="124"/>
      <c r="GA466" s="124"/>
      <c r="GB466" s="124"/>
      <c r="GC466" s="124"/>
      <c r="GD466" s="124"/>
      <c r="GE466" s="124"/>
      <c r="GF466" s="124"/>
      <c r="GG466" s="124"/>
      <c r="GH466" s="124"/>
      <c r="GI466" s="124"/>
      <c r="GJ466" s="124"/>
      <c r="GK466" s="124"/>
      <c r="GL466" s="124"/>
      <c r="GM466" s="124"/>
      <c r="GN466" s="124"/>
      <c r="GO466" s="124"/>
      <c r="GP466" s="124"/>
      <c r="GQ466" s="124"/>
      <c r="GR466" s="124"/>
      <c r="GS466" s="124"/>
      <c r="GT466" s="124"/>
      <c r="GU466" s="124"/>
      <c r="GV466" s="124"/>
      <c r="GW466" s="124"/>
      <c r="GX466" s="124"/>
      <c r="GY466" s="124"/>
      <c r="GZ466" s="124"/>
      <c r="HA466" s="124"/>
      <c r="HB466" s="124"/>
      <c r="HC466" s="124"/>
      <c r="HD466" s="124"/>
      <c r="HE466" s="124"/>
      <c r="HF466" s="124"/>
      <c r="HG466" s="124"/>
      <c r="HH466" s="124"/>
      <c r="HI466" s="124"/>
      <c r="HJ466" s="124"/>
      <c r="HK466" s="124"/>
      <c r="HL466" s="124"/>
      <c r="HM466" s="124"/>
      <c r="HN466" s="124"/>
      <c r="HO466" s="124"/>
      <c r="HP466" s="124"/>
      <c r="HQ466" s="124"/>
    </row>
    <row r="467" spans="1:225" x14ac:dyDescent="0.2">
      <c r="A467" s="122"/>
      <c r="B467" s="123"/>
      <c r="C467" s="124"/>
      <c r="D467" s="123"/>
      <c r="E467" s="124"/>
      <c r="F467" s="123"/>
      <c r="G467" s="123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  <c r="AU467" s="124"/>
      <c r="AV467" s="124"/>
      <c r="AW467" s="124"/>
      <c r="AX467" s="124"/>
      <c r="AY467" s="124"/>
      <c r="AZ467" s="124"/>
      <c r="BA467" s="124"/>
      <c r="BB467" s="124"/>
      <c r="BC467" s="124"/>
      <c r="BD467" s="124"/>
      <c r="BE467" s="124"/>
      <c r="BF467" s="124"/>
      <c r="BG467" s="124"/>
      <c r="BH467" s="124"/>
      <c r="BI467" s="124"/>
      <c r="BJ467" s="124"/>
      <c r="BK467" s="124"/>
      <c r="BL467" s="124"/>
      <c r="BM467" s="124"/>
      <c r="BN467" s="124"/>
      <c r="BO467" s="124"/>
      <c r="BP467" s="124"/>
      <c r="BQ467" s="124"/>
      <c r="BR467" s="124"/>
      <c r="BS467" s="124"/>
      <c r="BT467" s="124"/>
      <c r="BU467" s="124"/>
      <c r="BV467" s="124"/>
      <c r="BW467" s="124"/>
      <c r="BX467" s="124"/>
      <c r="BY467" s="124"/>
      <c r="BZ467" s="124"/>
      <c r="CA467" s="124"/>
      <c r="CB467" s="124"/>
      <c r="CC467" s="124"/>
      <c r="CD467" s="124"/>
      <c r="CE467" s="124"/>
      <c r="CF467" s="124"/>
      <c r="CG467" s="124"/>
      <c r="CH467" s="124"/>
      <c r="CI467" s="124"/>
      <c r="CJ467" s="124"/>
      <c r="CK467" s="124"/>
      <c r="CL467" s="124"/>
      <c r="CM467" s="124"/>
      <c r="CN467" s="124"/>
      <c r="CO467" s="124"/>
      <c r="CP467" s="124"/>
      <c r="CQ467" s="124"/>
      <c r="CR467" s="124"/>
      <c r="CS467" s="124"/>
      <c r="CT467" s="124"/>
      <c r="CU467" s="124"/>
      <c r="CV467" s="124"/>
      <c r="CW467" s="124"/>
      <c r="CX467" s="124"/>
      <c r="CY467" s="124"/>
      <c r="CZ467" s="124"/>
      <c r="DA467" s="124"/>
      <c r="DB467" s="124"/>
      <c r="DC467" s="124"/>
      <c r="DD467" s="124"/>
      <c r="DE467" s="124"/>
      <c r="DF467" s="124"/>
      <c r="DG467" s="124"/>
      <c r="DH467" s="124"/>
      <c r="DI467" s="124"/>
      <c r="DJ467" s="124"/>
      <c r="DK467" s="124"/>
      <c r="DL467" s="124"/>
      <c r="DM467" s="124"/>
      <c r="DN467" s="124"/>
      <c r="DO467" s="124"/>
      <c r="DP467" s="124"/>
      <c r="DQ467" s="124"/>
      <c r="DR467" s="124"/>
      <c r="DS467" s="124"/>
      <c r="DT467" s="124"/>
      <c r="DU467" s="124"/>
      <c r="DV467" s="124"/>
      <c r="DW467" s="124"/>
      <c r="DX467" s="124"/>
      <c r="DY467" s="124"/>
      <c r="DZ467" s="124"/>
      <c r="EA467" s="124"/>
      <c r="EB467" s="124"/>
      <c r="EC467" s="124"/>
      <c r="ED467" s="124"/>
      <c r="EE467" s="124"/>
      <c r="EF467" s="124"/>
      <c r="EG467" s="124"/>
      <c r="EH467" s="124"/>
      <c r="EI467" s="124"/>
      <c r="EJ467" s="124"/>
      <c r="EK467" s="124"/>
      <c r="EL467" s="124"/>
      <c r="EM467" s="124"/>
      <c r="EN467" s="124"/>
      <c r="EO467" s="124"/>
      <c r="EP467" s="124"/>
      <c r="EQ467" s="124"/>
      <c r="ER467" s="124"/>
      <c r="ES467" s="124"/>
      <c r="ET467" s="124"/>
      <c r="EU467" s="124"/>
      <c r="EV467" s="124"/>
      <c r="EW467" s="124"/>
      <c r="EX467" s="124"/>
      <c r="EY467" s="124"/>
      <c r="EZ467" s="124"/>
      <c r="FA467" s="124"/>
      <c r="FB467" s="124"/>
      <c r="FC467" s="124"/>
      <c r="FD467" s="124"/>
      <c r="FE467" s="124"/>
      <c r="FF467" s="124"/>
      <c r="FG467" s="124"/>
      <c r="FH467" s="124"/>
      <c r="FI467" s="124"/>
      <c r="FJ467" s="124"/>
      <c r="FK467" s="124"/>
      <c r="FL467" s="124"/>
      <c r="FM467" s="124"/>
      <c r="FN467" s="124"/>
      <c r="FO467" s="124"/>
      <c r="FP467" s="124"/>
      <c r="FQ467" s="124"/>
      <c r="FR467" s="124"/>
      <c r="FS467" s="124"/>
      <c r="FT467" s="124"/>
      <c r="FU467" s="124"/>
      <c r="FV467" s="124"/>
      <c r="FW467" s="124"/>
      <c r="FX467" s="124"/>
      <c r="FY467" s="124"/>
      <c r="FZ467" s="124"/>
      <c r="GA467" s="124"/>
      <c r="GB467" s="124"/>
      <c r="GC467" s="124"/>
      <c r="GD467" s="124"/>
      <c r="GE467" s="124"/>
      <c r="GF467" s="124"/>
      <c r="GG467" s="124"/>
      <c r="GH467" s="124"/>
      <c r="GI467" s="124"/>
      <c r="GJ467" s="124"/>
      <c r="GK467" s="124"/>
      <c r="GL467" s="124"/>
      <c r="GM467" s="124"/>
      <c r="GN467" s="124"/>
      <c r="GO467" s="124"/>
      <c r="GP467" s="124"/>
      <c r="GQ467" s="124"/>
      <c r="GR467" s="124"/>
      <c r="GS467" s="124"/>
      <c r="GT467" s="124"/>
      <c r="GU467" s="124"/>
      <c r="GV467" s="124"/>
      <c r="GW467" s="124"/>
      <c r="GX467" s="124"/>
      <c r="GY467" s="124"/>
      <c r="GZ467" s="124"/>
      <c r="HA467" s="124"/>
      <c r="HB467" s="124"/>
      <c r="HC467" s="124"/>
      <c r="HD467" s="124"/>
      <c r="HE467" s="124"/>
      <c r="HF467" s="124"/>
      <c r="HG467" s="124"/>
      <c r="HH467" s="124"/>
      <c r="HI467" s="124"/>
      <c r="HJ467" s="124"/>
      <c r="HK467" s="124"/>
      <c r="HL467" s="124"/>
      <c r="HM467" s="124"/>
      <c r="HN467" s="124"/>
      <c r="HO467" s="124"/>
      <c r="HP467" s="124"/>
      <c r="HQ467" s="124"/>
    </row>
    <row r="468" spans="1:225" x14ac:dyDescent="0.2">
      <c r="A468" s="122"/>
      <c r="B468" s="123"/>
      <c r="C468" s="124"/>
      <c r="D468" s="123"/>
      <c r="E468" s="124"/>
      <c r="F468" s="123"/>
      <c r="G468" s="123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  <c r="AT468" s="124"/>
      <c r="AU468" s="124"/>
      <c r="AV468" s="124"/>
      <c r="AW468" s="124"/>
      <c r="AX468" s="124"/>
      <c r="AY468" s="124"/>
      <c r="AZ468" s="124"/>
      <c r="BA468" s="124"/>
      <c r="BB468" s="124"/>
      <c r="BC468" s="124"/>
      <c r="BD468" s="124"/>
      <c r="BE468" s="124"/>
      <c r="BF468" s="124"/>
      <c r="BG468" s="124"/>
      <c r="BH468" s="124"/>
      <c r="BI468" s="124"/>
      <c r="BJ468" s="124"/>
      <c r="BK468" s="124"/>
      <c r="BL468" s="124"/>
      <c r="BM468" s="124"/>
      <c r="BN468" s="124"/>
      <c r="BO468" s="124"/>
      <c r="BP468" s="124"/>
      <c r="BQ468" s="124"/>
      <c r="BR468" s="124"/>
      <c r="BS468" s="124"/>
      <c r="BT468" s="124"/>
      <c r="BU468" s="124"/>
      <c r="BV468" s="124"/>
      <c r="BW468" s="124"/>
      <c r="BX468" s="124"/>
      <c r="BY468" s="124"/>
      <c r="BZ468" s="124"/>
      <c r="CA468" s="124"/>
      <c r="CB468" s="124"/>
      <c r="CC468" s="124"/>
      <c r="CD468" s="124"/>
      <c r="CE468" s="124"/>
      <c r="CF468" s="124"/>
      <c r="CG468" s="124"/>
      <c r="CH468" s="124"/>
      <c r="CI468" s="124"/>
      <c r="CJ468" s="124"/>
      <c r="CK468" s="124"/>
      <c r="CL468" s="124"/>
      <c r="CM468" s="124"/>
      <c r="CN468" s="124"/>
      <c r="CO468" s="124"/>
      <c r="CP468" s="124"/>
      <c r="CQ468" s="124"/>
      <c r="CR468" s="124"/>
      <c r="CS468" s="124"/>
      <c r="CT468" s="124"/>
      <c r="CU468" s="124"/>
      <c r="CV468" s="124"/>
      <c r="CW468" s="124"/>
      <c r="CX468" s="124"/>
      <c r="CY468" s="124"/>
      <c r="CZ468" s="124"/>
      <c r="DA468" s="124"/>
      <c r="DB468" s="124"/>
      <c r="DC468" s="124"/>
      <c r="DD468" s="124"/>
      <c r="DE468" s="124"/>
      <c r="DF468" s="124"/>
      <c r="DG468" s="124"/>
      <c r="DH468" s="124"/>
      <c r="DI468" s="124"/>
      <c r="DJ468" s="124"/>
      <c r="DK468" s="124"/>
      <c r="DL468" s="124"/>
      <c r="DM468" s="124"/>
      <c r="DN468" s="124"/>
      <c r="DO468" s="124"/>
      <c r="DP468" s="124"/>
      <c r="DQ468" s="124"/>
      <c r="DR468" s="124"/>
      <c r="DS468" s="124"/>
      <c r="DT468" s="124"/>
      <c r="DU468" s="124"/>
      <c r="DV468" s="124"/>
      <c r="DW468" s="124"/>
      <c r="DX468" s="124"/>
      <c r="DY468" s="124"/>
      <c r="DZ468" s="124"/>
      <c r="EA468" s="124"/>
      <c r="EB468" s="124"/>
      <c r="EC468" s="124"/>
      <c r="ED468" s="124"/>
      <c r="EE468" s="124"/>
      <c r="EF468" s="124"/>
      <c r="EG468" s="124"/>
      <c r="EH468" s="124"/>
      <c r="EI468" s="124"/>
      <c r="EJ468" s="124"/>
      <c r="EK468" s="124"/>
      <c r="EL468" s="124"/>
      <c r="EM468" s="124"/>
      <c r="EN468" s="124"/>
      <c r="EO468" s="124"/>
      <c r="EP468" s="124"/>
      <c r="EQ468" s="124"/>
      <c r="ER468" s="124"/>
      <c r="ES468" s="124"/>
      <c r="ET468" s="124"/>
      <c r="EU468" s="124"/>
      <c r="EV468" s="124"/>
      <c r="EW468" s="124"/>
      <c r="EX468" s="124"/>
      <c r="EY468" s="124"/>
      <c r="EZ468" s="124"/>
      <c r="FA468" s="124"/>
      <c r="FB468" s="124"/>
      <c r="FC468" s="124"/>
      <c r="FD468" s="124"/>
      <c r="FE468" s="124"/>
      <c r="FF468" s="124"/>
      <c r="FG468" s="124"/>
      <c r="FH468" s="124"/>
      <c r="FI468" s="124"/>
      <c r="FJ468" s="124"/>
      <c r="FK468" s="124"/>
      <c r="FL468" s="124"/>
      <c r="FM468" s="124"/>
      <c r="FN468" s="124"/>
      <c r="FO468" s="124"/>
      <c r="FP468" s="124"/>
      <c r="FQ468" s="124"/>
      <c r="FR468" s="124"/>
      <c r="FS468" s="124"/>
      <c r="FT468" s="124"/>
      <c r="FU468" s="124"/>
      <c r="FV468" s="124"/>
      <c r="FW468" s="124"/>
      <c r="FX468" s="124"/>
      <c r="FY468" s="124"/>
      <c r="FZ468" s="124"/>
      <c r="GA468" s="124"/>
      <c r="GB468" s="124"/>
      <c r="GC468" s="124"/>
      <c r="GD468" s="124"/>
      <c r="GE468" s="124"/>
      <c r="GF468" s="124"/>
      <c r="GG468" s="124"/>
      <c r="GH468" s="124"/>
      <c r="GI468" s="124"/>
      <c r="GJ468" s="124"/>
      <c r="GK468" s="124"/>
      <c r="GL468" s="124"/>
      <c r="GM468" s="124"/>
      <c r="GN468" s="124"/>
      <c r="GO468" s="124"/>
      <c r="GP468" s="124"/>
      <c r="GQ468" s="124"/>
      <c r="GR468" s="124"/>
      <c r="GS468" s="124"/>
      <c r="GT468" s="124"/>
      <c r="GU468" s="124"/>
      <c r="GV468" s="124"/>
      <c r="GW468" s="124"/>
      <c r="GX468" s="124"/>
      <c r="GY468" s="124"/>
      <c r="GZ468" s="124"/>
      <c r="HA468" s="124"/>
      <c r="HB468" s="124"/>
      <c r="HC468" s="124"/>
      <c r="HD468" s="124"/>
      <c r="HE468" s="124"/>
      <c r="HF468" s="124"/>
      <c r="HG468" s="124"/>
      <c r="HH468" s="124"/>
      <c r="HI468" s="124"/>
      <c r="HJ468" s="124"/>
      <c r="HK468" s="124"/>
      <c r="HL468" s="124"/>
      <c r="HM468" s="124"/>
      <c r="HN468" s="124"/>
      <c r="HO468" s="124"/>
      <c r="HP468" s="124"/>
      <c r="HQ468" s="124"/>
    </row>
    <row r="469" spans="1:225" x14ac:dyDescent="0.2">
      <c r="A469" s="122"/>
      <c r="B469" s="123"/>
      <c r="C469" s="124"/>
      <c r="D469" s="123"/>
      <c r="E469" s="124"/>
      <c r="F469" s="123"/>
      <c r="G469" s="123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/>
      <c r="BB469" s="124"/>
      <c r="BC469" s="124"/>
      <c r="BD469" s="124"/>
      <c r="BE469" s="124"/>
      <c r="BF469" s="124"/>
      <c r="BG469" s="124"/>
      <c r="BH469" s="124"/>
      <c r="BI469" s="124"/>
      <c r="BJ469" s="124"/>
      <c r="BK469" s="124"/>
      <c r="BL469" s="124"/>
      <c r="BM469" s="124"/>
      <c r="BN469" s="124"/>
      <c r="BO469" s="124"/>
      <c r="BP469" s="124"/>
      <c r="BQ469" s="124"/>
      <c r="BR469" s="124"/>
      <c r="BS469" s="124"/>
      <c r="BT469" s="124"/>
      <c r="BU469" s="124"/>
      <c r="BV469" s="124"/>
      <c r="BW469" s="124"/>
      <c r="BX469" s="124"/>
      <c r="BY469" s="124"/>
      <c r="BZ469" s="124"/>
      <c r="CA469" s="124"/>
      <c r="CB469" s="124"/>
      <c r="CC469" s="124"/>
      <c r="CD469" s="124"/>
      <c r="CE469" s="124"/>
      <c r="CF469" s="124"/>
      <c r="CG469" s="124"/>
      <c r="CH469" s="124"/>
      <c r="CI469" s="124"/>
      <c r="CJ469" s="124"/>
      <c r="CK469" s="124"/>
      <c r="CL469" s="124"/>
      <c r="CM469" s="124"/>
      <c r="CN469" s="124"/>
      <c r="CO469" s="124"/>
      <c r="CP469" s="124"/>
      <c r="CQ469" s="124"/>
      <c r="CR469" s="124"/>
      <c r="CS469" s="124"/>
      <c r="CT469" s="124"/>
      <c r="CU469" s="124"/>
      <c r="CV469" s="124"/>
      <c r="CW469" s="124"/>
      <c r="CX469" s="124"/>
      <c r="CY469" s="124"/>
      <c r="CZ469" s="124"/>
      <c r="DA469" s="124"/>
      <c r="DB469" s="124"/>
      <c r="DC469" s="124"/>
      <c r="DD469" s="124"/>
      <c r="DE469" s="124"/>
      <c r="DF469" s="124"/>
      <c r="DG469" s="124"/>
      <c r="DH469" s="124"/>
      <c r="DI469" s="124"/>
      <c r="DJ469" s="124"/>
      <c r="DK469" s="124"/>
      <c r="DL469" s="124"/>
      <c r="DM469" s="124"/>
      <c r="DN469" s="124"/>
      <c r="DO469" s="124"/>
      <c r="DP469" s="124"/>
      <c r="DQ469" s="124"/>
      <c r="DR469" s="124"/>
      <c r="DS469" s="124"/>
      <c r="DT469" s="124"/>
      <c r="DU469" s="124"/>
      <c r="DV469" s="124"/>
      <c r="DW469" s="124"/>
      <c r="DX469" s="124"/>
      <c r="DY469" s="124"/>
      <c r="DZ469" s="124"/>
      <c r="EA469" s="124"/>
      <c r="EB469" s="124"/>
      <c r="EC469" s="124"/>
      <c r="ED469" s="124"/>
      <c r="EE469" s="124"/>
      <c r="EF469" s="124"/>
      <c r="EG469" s="124"/>
      <c r="EH469" s="124"/>
      <c r="EI469" s="124"/>
      <c r="EJ469" s="124"/>
      <c r="EK469" s="124"/>
      <c r="EL469" s="124"/>
      <c r="EM469" s="124"/>
      <c r="EN469" s="124"/>
      <c r="EO469" s="124"/>
      <c r="EP469" s="124"/>
      <c r="EQ469" s="124"/>
      <c r="ER469" s="124"/>
      <c r="ES469" s="124"/>
      <c r="ET469" s="124"/>
      <c r="EU469" s="124"/>
      <c r="EV469" s="124"/>
      <c r="EW469" s="124"/>
      <c r="EX469" s="124"/>
      <c r="EY469" s="124"/>
      <c r="EZ469" s="124"/>
      <c r="FA469" s="124"/>
      <c r="FB469" s="124"/>
      <c r="FC469" s="124"/>
      <c r="FD469" s="124"/>
      <c r="FE469" s="124"/>
      <c r="FF469" s="124"/>
      <c r="FG469" s="124"/>
      <c r="FH469" s="124"/>
      <c r="FI469" s="124"/>
      <c r="FJ469" s="124"/>
      <c r="FK469" s="124"/>
      <c r="FL469" s="124"/>
      <c r="FM469" s="124"/>
      <c r="FN469" s="124"/>
      <c r="FO469" s="124"/>
      <c r="FP469" s="124"/>
      <c r="FQ469" s="124"/>
      <c r="FR469" s="124"/>
      <c r="FS469" s="124"/>
      <c r="FT469" s="124"/>
      <c r="FU469" s="124"/>
      <c r="FV469" s="124"/>
      <c r="FW469" s="124"/>
      <c r="FX469" s="124"/>
      <c r="FY469" s="124"/>
      <c r="FZ469" s="124"/>
      <c r="GA469" s="124"/>
      <c r="GB469" s="124"/>
      <c r="GC469" s="124"/>
      <c r="GD469" s="124"/>
      <c r="GE469" s="124"/>
      <c r="GF469" s="124"/>
      <c r="GG469" s="124"/>
      <c r="GH469" s="124"/>
      <c r="GI469" s="124"/>
      <c r="GJ469" s="124"/>
      <c r="GK469" s="124"/>
      <c r="GL469" s="124"/>
      <c r="GM469" s="124"/>
      <c r="GN469" s="124"/>
      <c r="GO469" s="124"/>
      <c r="GP469" s="124"/>
      <c r="GQ469" s="124"/>
      <c r="GR469" s="124"/>
      <c r="GS469" s="124"/>
      <c r="GT469" s="124"/>
      <c r="GU469" s="124"/>
      <c r="GV469" s="124"/>
      <c r="GW469" s="124"/>
      <c r="GX469" s="124"/>
      <c r="GY469" s="124"/>
      <c r="GZ469" s="124"/>
      <c r="HA469" s="124"/>
      <c r="HB469" s="124"/>
      <c r="HC469" s="124"/>
      <c r="HD469" s="124"/>
      <c r="HE469" s="124"/>
      <c r="HF469" s="124"/>
      <c r="HG469" s="124"/>
      <c r="HH469" s="124"/>
      <c r="HI469" s="124"/>
      <c r="HJ469" s="124"/>
      <c r="HK469" s="124"/>
      <c r="HL469" s="124"/>
      <c r="HM469" s="124"/>
      <c r="HN469" s="124"/>
      <c r="HO469" s="124"/>
      <c r="HP469" s="124"/>
      <c r="HQ469" s="124"/>
    </row>
    <row r="470" spans="1:225" x14ac:dyDescent="0.2">
      <c r="A470" s="122"/>
      <c r="B470" s="123"/>
      <c r="C470" s="124"/>
      <c r="D470" s="123"/>
      <c r="E470" s="124"/>
      <c r="F470" s="123"/>
      <c r="G470" s="123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  <c r="AU470" s="124"/>
      <c r="AV470" s="124"/>
      <c r="AW470" s="124"/>
      <c r="AX470" s="124"/>
      <c r="AY470" s="124"/>
      <c r="AZ470" s="124"/>
      <c r="BA470" s="124"/>
      <c r="BB470" s="124"/>
      <c r="BC470" s="124"/>
      <c r="BD470" s="124"/>
      <c r="BE470" s="124"/>
      <c r="BF470" s="124"/>
      <c r="BG470" s="124"/>
      <c r="BH470" s="124"/>
      <c r="BI470" s="124"/>
      <c r="BJ470" s="124"/>
      <c r="BK470" s="124"/>
      <c r="BL470" s="124"/>
      <c r="BM470" s="124"/>
      <c r="BN470" s="124"/>
      <c r="BO470" s="124"/>
      <c r="BP470" s="124"/>
      <c r="BQ470" s="124"/>
      <c r="BR470" s="124"/>
      <c r="BS470" s="124"/>
      <c r="BT470" s="124"/>
      <c r="BU470" s="124"/>
      <c r="BV470" s="124"/>
      <c r="BW470" s="124"/>
      <c r="BX470" s="124"/>
      <c r="BY470" s="124"/>
      <c r="BZ470" s="124"/>
      <c r="CA470" s="124"/>
      <c r="CB470" s="124"/>
      <c r="CC470" s="124"/>
      <c r="CD470" s="124"/>
      <c r="CE470" s="124"/>
      <c r="CF470" s="124"/>
      <c r="CG470" s="124"/>
      <c r="CH470" s="124"/>
      <c r="CI470" s="124"/>
      <c r="CJ470" s="124"/>
      <c r="CK470" s="124"/>
      <c r="CL470" s="124"/>
      <c r="CM470" s="124"/>
      <c r="CN470" s="124"/>
      <c r="CO470" s="124"/>
      <c r="CP470" s="124"/>
      <c r="CQ470" s="124"/>
      <c r="CR470" s="124"/>
      <c r="CS470" s="124"/>
      <c r="CT470" s="124"/>
      <c r="CU470" s="124"/>
      <c r="CV470" s="124"/>
      <c r="CW470" s="124"/>
      <c r="CX470" s="124"/>
      <c r="CY470" s="124"/>
      <c r="CZ470" s="124"/>
      <c r="DA470" s="124"/>
      <c r="DB470" s="124"/>
      <c r="DC470" s="124"/>
      <c r="DD470" s="124"/>
      <c r="DE470" s="124"/>
      <c r="DF470" s="124"/>
      <c r="DG470" s="124"/>
      <c r="DH470" s="124"/>
      <c r="DI470" s="124"/>
      <c r="DJ470" s="124"/>
      <c r="DK470" s="124"/>
      <c r="DL470" s="124"/>
      <c r="DM470" s="124"/>
      <c r="DN470" s="124"/>
      <c r="DO470" s="124"/>
      <c r="DP470" s="124"/>
      <c r="DQ470" s="124"/>
      <c r="DR470" s="124"/>
      <c r="DS470" s="124"/>
      <c r="DT470" s="124"/>
      <c r="DU470" s="124"/>
      <c r="DV470" s="124"/>
      <c r="DW470" s="124"/>
      <c r="DX470" s="124"/>
      <c r="DY470" s="124"/>
      <c r="DZ470" s="124"/>
      <c r="EA470" s="124"/>
      <c r="EB470" s="124"/>
      <c r="EC470" s="124"/>
      <c r="ED470" s="124"/>
      <c r="EE470" s="124"/>
      <c r="EF470" s="124"/>
      <c r="EG470" s="124"/>
      <c r="EH470" s="124"/>
      <c r="EI470" s="124"/>
      <c r="EJ470" s="124"/>
      <c r="EK470" s="124"/>
      <c r="EL470" s="124"/>
      <c r="EM470" s="124"/>
      <c r="EN470" s="124"/>
      <c r="EO470" s="124"/>
      <c r="EP470" s="124"/>
      <c r="EQ470" s="124"/>
      <c r="ER470" s="124"/>
      <c r="ES470" s="124"/>
      <c r="ET470" s="124"/>
      <c r="EU470" s="124"/>
      <c r="EV470" s="124"/>
      <c r="EW470" s="124"/>
      <c r="EX470" s="124"/>
      <c r="EY470" s="124"/>
      <c r="EZ470" s="124"/>
      <c r="FA470" s="124"/>
      <c r="FB470" s="124"/>
      <c r="FC470" s="124"/>
      <c r="FD470" s="124"/>
      <c r="FE470" s="124"/>
      <c r="FF470" s="124"/>
      <c r="FG470" s="124"/>
      <c r="FH470" s="124"/>
      <c r="FI470" s="124"/>
      <c r="FJ470" s="124"/>
      <c r="FK470" s="124"/>
      <c r="FL470" s="124"/>
      <c r="FM470" s="124"/>
      <c r="FN470" s="124"/>
      <c r="FO470" s="124"/>
      <c r="FP470" s="124"/>
      <c r="FQ470" s="124"/>
      <c r="FR470" s="124"/>
      <c r="FS470" s="124"/>
      <c r="FT470" s="124"/>
      <c r="FU470" s="124"/>
      <c r="FV470" s="124"/>
      <c r="FW470" s="124"/>
      <c r="FX470" s="124"/>
      <c r="FY470" s="124"/>
      <c r="FZ470" s="124"/>
      <c r="GA470" s="124"/>
      <c r="GB470" s="124"/>
      <c r="GC470" s="124"/>
      <c r="GD470" s="124"/>
      <c r="GE470" s="124"/>
      <c r="GF470" s="124"/>
      <c r="GG470" s="124"/>
      <c r="GH470" s="124"/>
      <c r="GI470" s="124"/>
      <c r="GJ470" s="124"/>
      <c r="GK470" s="124"/>
      <c r="GL470" s="124"/>
      <c r="GM470" s="124"/>
      <c r="GN470" s="124"/>
      <c r="GO470" s="124"/>
      <c r="GP470" s="124"/>
      <c r="GQ470" s="124"/>
      <c r="GR470" s="124"/>
      <c r="GS470" s="124"/>
      <c r="GT470" s="124"/>
      <c r="GU470" s="124"/>
      <c r="GV470" s="124"/>
      <c r="GW470" s="124"/>
      <c r="GX470" s="124"/>
      <c r="GY470" s="124"/>
      <c r="GZ470" s="124"/>
      <c r="HA470" s="124"/>
      <c r="HB470" s="124"/>
      <c r="HC470" s="124"/>
      <c r="HD470" s="124"/>
      <c r="HE470" s="124"/>
      <c r="HF470" s="124"/>
      <c r="HG470" s="124"/>
      <c r="HH470" s="124"/>
      <c r="HI470" s="124"/>
      <c r="HJ470" s="124"/>
      <c r="HK470" s="124"/>
      <c r="HL470" s="124"/>
      <c r="HM470" s="124"/>
      <c r="HN470" s="124"/>
      <c r="HO470" s="124"/>
      <c r="HP470" s="124"/>
      <c r="HQ470" s="124"/>
    </row>
    <row r="471" spans="1:225" x14ac:dyDescent="0.2">
      <c r="A471" s="122"/>
      <c r="B471" s="123"/>
      <c r="C471" s="124"/>
      <c r="D471" s="123"/>
      <c r="E471" s="124"/>
      <c r="F471" s="123"/>
      <c r="G471" s="123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  <c r="AT471" s="124"/>
      <c r="AU471" s="124"/>
      <c r="AV471" s="124"/>
      <c r="AW471" s="124"/>
      <c r="AX471" s="124"/>
      <c r="AY471" s="124"/>
      <c r="AZ471" s="124"/>
      <c r="BA471" s="124"/>
      <c r="BB471" s="124"/>
      <c r="BC471" s="124"/>
      <c r="BD471" s="124"/>
      <c r="BE471" s="124"/>
      <c r="BF471" s="124"/>
      <c r="BG471" s="124"/>
      <c r="BH471" s="124"/>
      <c r="BI471" s="124"/>
      <c r="BJ471" s="124"/>
      <c r="BK471" s="124"/>
      <c r="BL471" s="124"/>
      <c r="BM471" s="124"/>
      <c r="BN471" s="124"/>
      <c r="BO471" s="124"/>
      <c r="BP471" s="124"/>
      <c r="BQ471" s="124"/>
      <c r="BR471" s="124"/>
      <c r="BS471" s="124"/>
      <c r="BT471" s="124"/>
      <c r="BU471" s="124"/>
      <c r="BV471" s="124"/>
      <c r="BW471" s="124"/>
      <c r="BX471" s="124"/>
      <c r="BY471" s="124"/>
      <c r="BZ471" s="124"/>
      <c r="CA471" s="124"/>
      <c r="CB471" s="124"/>
      <c r="CC471" s="124"/>
      <c r="CD471" s="124"/>
      <c r="CE471" s="124"/>
      <c r="CF471" s="124"/>
      <c r="CG471" s="124"/>
      <c r="CH471" s="124"/>
      <c r="CI471" s="124"/>
      <c r="CJ471" s="124"/>
      <c r="CK471" s="124"/>
      <c r="CL471" s="124"/>
      <c r="CM471" s="124"/>
      <c r="CN471" s="124"/>
      <c r="CO471" s="124"/>
      <c r="CP471" s="124"/>
      <c r="CQ471" s="124"/>
      <c r="CR471" s="124"/>
      <c r="CS471" s="124"/>
      <c r="CT471" s="124"/>
      <c r="CU471" s="124"/>
      <c r="CV471" s="124"/>
      <c r="CW471" s="124"/>
      <c r="CX471" s="124"/>
      <c r="CY471" s="124"/>
      <c r="CZ471" s="124"/>
      <c r="DA471" s="124"/>
      <c r="DB471" s="124"/>
      <c r="DC471" s="124"/>
      <c r="DD471" s="124"/>
      <c r="DE471" s="124"/>
      <c r="DF471" s="124"/>
      <c r="DG471" s="124"/>
      <c r="DH471" s="124"/>
      <c r="DI471" s="124"/>
      <c r="DJ471" s="124"/>
      <c r="DK471" s="124"/>
      <c r="DL471" s="124"/>
      <c r="DM471" s="124"/>
      <c r="DN471" s="124"/>
      <c r="DO471" s="124"/>
      <c r="DP471" s="124"/>
      <c r="DQ471" s="124"/>
      <c r="DR471" s="124"/>
      <c r="DS471" s="124"/>
      <c r="DT471" s="124"/>
      <c r="DU471" s="124"/>
      <c r="DV471" s="124"/>
      <c r="DW471" s="124"/>
      <c r="DX471" s="124"/>
      <c r="DY471" s="124"/>
      <c r="DZ471" s="124"/>
      <c r="EA471" s="124"/>
      <c r="EB471" s="124"/>
      <c r="EC471" s="124"/>
      <c r="ED471" s="124"/>
      <c r="EE471" s="124"/>
      <c r="EF471" s="124"/>
      <c r="EG471" s="124"/>
      <c r="EH471" s="124"/>
      <c r="EI471" s="124"/>
      <c r="EJ471" s="124"/>
      <c r="EK471" s="124"/>
      <c r="EL471" s="124"/>
      <c r="EM471" s="124"/>
      <c r="EN471" s="124"/>
      <c r="EO471" s="124"/>
      <c r="EP471" s="124"/>
      <c r="EQ471" s="124"/>
      <c r="ER471" s="124"/>
      <c r="ES471" s="124"/>
      <c r="ET471" s="124"/>
      <c r="EU471" s="124"/>
      <c r="EV471" s="124"/>
      <c r="EW471" s="124"/>
      <c r="EX471" s="124"/>
      <c r="EY471" s="124"/>
      <c r="EZ471" s="124"/>
      <c r="FA471" s="124"/>
      <c r="FB471" s="124"/>
      <c r="FC471" s="124"/>
      <c r="FD471" s="124"/>
      <c r="FE471" s="124"/>
      <c r="FF471" s="124"/>
      <c r="FG471" s="124"/>
      <c r="FH471" s="124"/>
      <c r="FI471" s="124"/>
      <c r="FJ471" s="124"/>
      <c r="FK471" s="124"/>
      <c r="FL471" s="124"/>
      <c r="FM471" s="124"/>
      <c r="FN471" s="124"/>
      <c r="FO471" s="124"/>
      <c r="FP471" s="124"/>
      <c r="FQ471" s="124"/>
      <c r="FR471" s="124"/>
      <c r="FS471" s="124"/>
      <c r="FT471" s="124"/>
      <c r="FU471" s="124"/>
      <c r="FV471" s="124"/>
      <c r="FW471" s="124"/>
      <c r="FX471" s="124"/>
      <c r="FY471" s="124"/>
      <c r="FZ471" s="124"/>
      <c r="GA471" s="124"/>
      <c r="GB471" s="124"/>
      <c r="GC471" s="124"/>
      <c r="GD471" s="124"/>
      <c r="GE471" s="124"/>
      <c r="GF471" s="124"/>
      <c r="GG471" s="124"/>
      <c r="GH471" s="124"/>
      <c r="GI471" s="124"/>
      <c r="GJ471" s="124"/>
      <c r="GK471" s="124"/>
      <c r="GL471" s="124"/>
      <c r="GM471" s="124"/>
      <c r="GN471" s="124"/>
      <c r="GO471" s="124"/>
      <c r="GP471" s="124"/>
      <c r="GQ471" s="124"/>
      <c r="GR471" s="124"/>
      <c r="GS471" s="124"/>
      <c r="GT471" s="124"/>
      <c r="GU471" s="124"/>
      <c r="GV471" s="124"/>
      <c r="GW471" s="124"/>
      <c r="GX471" s="124"/>
      <c r="GY471" s="124"/>
      <c r="GZ471" s="124"/>
      <c r="HA471" s="124"/>
      <c r="HB471" s="124"/>
      <c r="HC471" s="124"/>
      <c r="HD471" s="124"/>
      <c r="HE471" s="124"/>
      <c r="HF471" s="124"/>
      <c r="HG471" s="124"/>
      <c r="HH471" s="124"/>
      <c r="HI471" s="124"/>
      <c r="HJ471" s="124"/>
      <c r="HK471" s="124"/>
      <c r="HL471" s="124"/>
      <c r="HM471" s="124"/>
      <c r="HN471" s="124"/>
      <c r="HO471" s="124"/>
      <c r="HP471" s="124"/>
      <c r="HQ471" s="124"/>
    </row>
    <row r="472" spans="1:225" x14ac:dyDescent="0.2">
      <c r="A472" s="122"/>
      <c r="B472" s="123"/>
      <c r="C472" s="124"/>
      <c r="D472" s="123"/>
      <c r="E472" s="124"/>
      <c r="F472" s="123"/>
      <c r="G472" s="123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  <c r="AU472" s="124"/>
      <c r="AV472" s="124"/>
      <c r="AW472" s="124"/>
      <c r="AX472" s="124"/>
      <c r="AY472" s="124"/>
      <c r="AZ472" s="124"/>
      <c r="BA472" s="124"/>
      <c r="BB472" s="124"/>
      <c r="BC472" s="124"/>
      <c r="BD472" s="124"/>
      <c r="BE472" s="124"/>
      <c r="BF472" s="124"/>
      <c r="BG472" s="124"/>
      <c r="BH472" s="124"/>
      <c r="BI472" s="124"/>
      <c r="BJ472" s="124"/>
      <c r="BK472" s="124"/>
      <c r="BL472" s="124"/>
      <c r="BM472" s="124"/>
      <c r="BN472" s="124"/>
      <c r="BO472" s="124"/>
      <c r="BP472" s="124"/>
      <c r="BQ472" s="124"/>
      <c r="BR472" s="124"/>
      <c r="BS472" s="124"/>
      <c r="BT472" s="124"/>
      <c r="BU472" s="124"/>
      <c r="BV472" s="124"/>
      <c r="BW472" s="124"/>
      <c r="BX472" s="124"/>
      <c r="BY472" s="124"/>
      <c r="BZ472" s="124"/>
      <c r="CA472" s="124"/>
      <c r="CB472" s="124"/>
      <c r="CC472" s="124"/>
      <c r="CD472" s="124"/>
      <c r="CE472" s="124"/>
      <c r="CF472" s="124"/>
      <c r="CG472" s="124"/>
      <c r="CH472" s="124"/>
      <c r="CI472" s="124"/>
      <c r="CJ472" s="124"/>
      <c r="CK472" s="124"/>
      <c r="CL472" s="124"/>
      <c r="CM472" s="124"/>
      <c r="CN472" s="124"/>
      <c r="CO472" s="124"/>
      <c r="CP472" s="124"/>
      <c r="CQ472" s="124"/>
      <c r="CR472" s="124"/>
      <c r="CS472" s="124"/>
      <c r="CT472" s="124"/>
      <c r="CU472" s="124"/>
      <c r="CV472" s="124"/>
      <c r="CW472" s="124"/>
      <c r="CX472" s="124"/>
      <c r="CY472" s="124"/>
      <c r="CZ472" s="124"/>
      <c r="DA472" s="124"/>
      <c r="DB472" s="124"/>
      <c r="DC472" s="124"/>
      <c r="DD472" s="124"/>
      <c r="DE472" s="124"/>
      <c r="DF472" s="124"/>
      <c r="DG472" s="124"/>
      <c r="DH472" s="124"/>
      <c r="DI472" s="124"/>
      <c r="DJ472" s="124"/>
      <c r="DK472" s="124"/>
      <c r="DL472" s="124"/>
      <c r="DM472" s="124"/>
      <c r="DN472" s="124"/>
      <c r="DO472" s="124"/>
      <c r="DP472" s="124"/>
      <c r="DQ472" s="124"/>
      <c r="DR472" s="124"/>
      <c r="DS472" s="124"/>
      <c r="DT472" s="124"/>
      <c r="DU472" s="124"/>
      <c r="DV472" s="124"/>
      <c r="DW472" s="124"/>
      <c r="DX472" s="124"/>
      <c r="DY472" s="124"/>
      <c r="DZ472" s="124"/>
      <c r="EA472" s="124"/>
      <c r="EB472" s="124"/>
      <c r="EC472" s="124"/>
      <c r="ED472" s="124"/>
      <c r="EE472" s="124"/>
      <c r="EF472" s="124"/>
      <c r="EG472" s="124"/>
      <c r="EH472" s="124"/>
      <c r="EI472" s="124"/>
      <c r="EJ472" s="124"/>
      <c r="EK472" s="124"/>
      <c r="EL472" s="124"/>
      <c r="EM472" s="124"/>
      <c r="EN472" s="124"/>
      <c r="EO472" s="124"/>
      <c r="EP472" s="124"/>
      <c r="EQ472" s="124"/>
      <c r="ER472" s="124"/>
      <c r="ES472" s="124"/>
      <c r="ET472" s="124"/>
      <c r="EU472" s="124"/>
      <c r="EV472" s="124"/>
      <c r="EW472" s="124"/>
      <c r="EX472" s="124"/>
      <c r="EY472" s="124"/>
      <c r="EZ472" s="124"/>
      <c r="FA472" s="124"/>
      <c r="FB472" s="124"/>
      <c r="FC472" s="124"/>
      <c r="FD472" s="124"/>
      <c r="FE472" s="124"/>
      <c r="FF472" s="124"/>
      <c r="FG472" s="124"/>
      <c r="FH472" s="124"/>
      <c r="FI472" s="124"/>
      <c r="FJ472" s="124"/>
      <c r="FK472" s="124"/>
      <c r="FL472" s="124"/>
      <c r="FM472" s="124"/>
      <c r="FN472" s="124"/>
      <c r="FO472" s="124"/>
      <c r="FP472" s="124"/>
      <c r="FQ472" s="124"/>
      <c r="FR472" s="124"/>
      <c r="FS472" s="124"/>
      <c r="FT472" s="124"/>
      <c r="FU472" s="124"/>
      <c r="FV472" s="124"/>
      <c r="FW472" s="124"/>
      <c r="FX472" s="124"/>
      <c r="FY472" s="124"/>
      <c r="FZ472" s="124"/>
      <c r="GA472" s="124"/>
      <c r="GB472" s="124"/>
      <c r="GC472" s="124"/>
      <c r="GD472" s="124"/>
      <c r="GE472" s="124"/>
      <c r="GF472" s="124"/>
      <c r="GG472" s="124"/>
      <c r="GH472" s="124"/>
      <c r="GI472" s="124"/>
      <c r="GJ472" s="124"/>
      <c r="GK472" s="124"/>
      <c r="GL472" s="124"/>
      <c r="GM472" s="124"/>
      <c r="GN472" s="124"/>
      <c r="GO472" s="124"/>
      <c r="GP472" s="124"/>
      <c r="GQ472" s="124"/>
      <c r="GR472" s="124"/>
      <c r="GS472" s="124"/>
      <c r="GT472" s="124"/>
      <c r="GU472" s="124"/>
      <c r="GV472" s="124"/>
      <c r="GW472" s="124"/>
      <c r="GX472" s="124"/>
      <c r="GY472" s="124"/>
      <c r="GZ472" s="124"/>
      <c r="HA472" s="124"/>
      <c r="HB472" s="124"/>
      <c r="HC472" s="124"/>
      <c r="HD472" s="124"/>
      <c r="HE472" s="124"/>
      <c r="HF472" s="124"/>
      <c r="HG472" s="124"/>
      <c r="HH472" s="124"/>
      <c r="HI472" s="124"/>
      <c r="HJ472" s="124"/>
      <c r="HK472" s="124"/>
      <c r="HL472" s="124"/>
      <c r="HM472" s="124"/>
      <c r="HN472" s="124"/>
      <c r="HO472" s="124"/>
      <c r="HP472" s="124"/>
      <c r="HQ472" s="124"/>
    </row>
    <row r="473" spans="1:225" x14ac:dyDescent="0.2">
      <c r="A473" s="122"/>
      <c r="B473" s="123"/>
      <c r="C473" s="124"/>
      <c r="D473" s="123"/>
      <c r="E473" s="124"/>
      <c r="F473" s="123"/>
      <c r="G473" s="123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4"/>
      <c r="BH473" s="124"/>
      <c r="BI473" s="124"/>
      <c r="BJ473" s="124"/>
      <c r="BK473" s="124"/>
      <c r="BL473" s="124"/>
      <c r="BM473" s="124"/>
      <c r="BN473" s="124"/>
      <c r="BO473" s="124"/>
      <c r="BP473" s="124"/>
      <c r="BQ473" s="124"/>
      <c r="BR473" s="124"/>
      <c r="BS473" s="124"/>
      <c r="BT473" s="124"/>
      <c r="BU473" s="124"/>
      <c r="BV473" s="124"/>
      <c r="BW473" s="124"/>
      <c r="BX473" s="124"/>
      <c r="BY473" s="124"/>
      <c r="BZ473" s="124"/>
      <c r="CA473" s="124"/>
      <c r="CB473" s="124"/>
      <c r="CC473" s="124"/>
      <c r="CD473" s="124"/>
      <c r="CE473" s="124"/>
      <c r="CF473" s="124"/>
      <c r="CG473" s="124"/>
      <c r="CH473" s="124"/>
      <c r="CI473" s="124"/>
      <c r="CJ473" s="124"/>
      <c r="CK473" s="124"/>
      <c r="CL473" s="124"/>
      <c r="CM473" s="124"/>
      <c r="CN473" s="124"/>
      <c r="CO473" s="124"/>
      <c r="CP473" s="124"/>
      <c r="CQ473" s="124"/>
      <c r="CR473" s="124"/>
      <c r="CS473" s="124"/>
      <c r="CT473" s="124"/>
      <c r="CU473" s="124"/>
      <c r="CV473" s="124"/>
      <c r="CW473" s="124"/>
      <c r="CX473" s="124"/>
      <c r="CY473" s="124"/>
      <c r="CZ473" s="124"/>
      <c r="DA473" s="124"/>
      <c r="DB473" s="124"/>
      <c r="DC473" s="124"/>
      <c r="DD473" s="124"/>
      <c r="DE473" s="124"/>
      <c r="DF473" s="124"/>
      <c r="DG473" s="124"/>
      <c r="DH473" s="124"/>
      <c r="DI473" s="124"/>
      <c r="DJ473" s="124"/>
      <c r="DK473" s="124"/>
      <c r="DL473" s="124"/>
      <c r="DM473" s="124"/>
      <c r="DN473" s="124"/>
      <c r="DO473" s="124"/>
      <c r="DP473" s="124"/>
      <c r="DQ473" s="124"/>
      <c r="DR473" s="124"/>
      <c r="DS473" s="124"/>
      <c r="DT473" s="124"/>
      <c r="DU473" s="124"/>
      <c r="DV473" s="124"/>
      <c r="DW473" s="124"/>
      <c r="DX473" s="124"/>
      <c r="DY473" s="124"/>
      <c r="DZ473" s="124"/>
      <c r="EA473" s="124"/>
      <c r="EB473" s="124"/>
      <c r="EC473" s="124"/>
      <c r="ED473" s="124"/>
      <c r="EE473" s="124"/>
      <c r="EF473" s="124"/>
      <c r="EG473" s="124"/>
      <c r="EH473" s="124"/>
      <c r="EI473" s="124"/>
      <c r="EJ473" s="124"/>
      <c r="EK473" s="124"/>
      <c r="EL473" s="124"/>
      <c r="EM473" s="124"/>
      <c r="EN473" s="124"/>
      <c r="EO473" s="124"/>
      <c r="EP473" s="124"/>
      <c r="EQ473" s="124"/>
      <c r="ER473" s="124"/>
      <c r="ES473" s="124"/>
      <c r="ET473" s="124"/>
      <c r="EU473" s="124"/>
      <c r="EV473" s="124"/>
      <c r="EW473" s="124"/>
      <c r="EX473" s="124"/>
      <c r="EY473" s="124"/>
      <c r="EZ473" s="124"/>
      <c r="FA473" s="124"/>
      <c r="FB473" s="124"/>
      <c r="FC473" s="124"/>
      <c r="FD473" s="124"/>
      <c r="FE473" s="124"/>
      <c r="FF473" s="124"/>
      <c r="FG473" s="124"/>
      <c r="FH473" s="124"/>
      <c r="FI473" s="124"/>
      <c r="FJ473" s="124"/>
      <c r="FK473" s="124"/>
      <c r="FL473" s="124"/>
      <c r="FM473" s="124"/>
      <c r="FN473" s="124"/>
      <c r="FO473" s="124"/>
      <c r="FP473" s="124"/>
      <c r="FQ473" s="124"/>
      <c r="FR473" s="124"/>
      <c r="FS473" s="124"/>
      <c r="FT473" s="124"/>
      <c r="FU473" s="124"/>
      <c r="FV473" s="124"/>
      <c r="FW473" s="124"/>
      <c r="FX473" s="124"/>
      <c r="FY473" s="124"/>
      <c r="FZ473" s="124"/>
      <c r="GA473" s="124"/>
      <c r="GB473" s="124"/>
      <c r="GC473" s="124"/>
      <c r="GD473" s="124"/>
      <c r="GE473" s="124"/>
      <c r="GF473" s="124"/>
      <c r="GG473" s="124"/>
      <c r="GH473" s="124"/>
      <c r="GI473" s="124"/>
      <c r="GJ473" s="124"/>
      <c r="GK473" s="124"/>
      <c r="GL473" s="124"/>
      <c r="GM473" s="124"/>
      <c r="GN473" s="124"/>
      <c r="GO473" s="124"/>
      <c r="GP473" s="124"/>
      <c r="GQ473" s="124"/>
      <c r="GR473" s="124"/>
      <c r="GS473" s="124"/>
      <c r="GT473" s="124"/>
      <c r="GU473" s="124"/>
      <c r="GV473" s="124"/>
      <c r="GW473" s="124"/>
      <c r="GX473" s="124"/>
      <c r="GY473" s="124"/>
      <c r="GZ473" s="124"/>
      <c r="HA473" s="124"/>
      <c r="HB473" s="124"/>
      <c r="HC473" s="124"/>
      <c r="HD473" s="124"/>
      <c r="HE473" s="124"/>
      <c r="HF473" s="124"/>
      <c r="HG473" s="124"/>
      <c r="HH473" s="124"/>
      <c r="HI473" s="124"/>
      <c r="HJ473" s="124"/>
      <c r="HK473" s="124"/>
      <c r="HL473" s="124"/>
      <c r="HM473" s="124"/>
      <c r="HN473" s="124"/>
      <c r="HO473" s="124"/>
      <c r="HP473" s="124"/>
      <c r="HQ473" s="124"/>
    </row>
    <row r="474" spans="1:225" x14ac:dyDescent="0.2">
      <c r="A474" s="122"/>
      <c r="B474" s="123"/>
      <c r="C474" s="124"/>
      <c r="D474" s="123"/>
      <c r="E474" s="124"/>
      <c r="F474" s="123"/>
      <c r="G474" s="123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  <c r="AT474" s="124"/>
      <c r="AU474" s="124"/>
      <c r="AV474" s="124"/>
      <c r="AW474" s="124"/>
      <c r="AX474" s="124"/>
      <c r="AY474" s="124"/>
      <c r="AZ474" s="124"/>
      <c r="BA474" s="124"/>
      <c r="BB474" s="124"/>
      <c r="BC474" s="124"/>
      <c r="BD474" s="124"/>
      <c r="BE474" s="124"/>
      <c r="BF474" s="124"/>
      <c r="BG474" s="124"/>
      <c r="BH474" s="124"/>
      <c r="BI474" s="124"/>
      <c r="BJ474" s="124"/>
      <c r="BK474" s="124"/>
      <c r="BL474" s="124"/>
      <c r="BM474" s="124"/>
      <c r="BN474" s="124"/>
      <c r="BO474" s="124"/>
      <c r="BP474" s="124"/>
      <c r="BQ474" s="124"/>
      <c r="BR474" s="124"/>
      <c r="BS474" s="124"/>
      <c r="BT474" s="124"/>
      <c r="BU474" s="124"/>
      <c r="BV474" s="124"/>
      <c r="BW474" s="124"/>
      <c r="BX474" s="124"/>
      <c r="BY474" s="124"/>
      <c r="BZ474" s="124"/>
      <c r="CA474" s="124"/>
      <c r="CB474" s="124"/>
      <c r="CC474" s="124"/>
      <c r="CD474" s="124"/>
      <c r="CE474" s="124"/>
      <c r="CF474" s="124"/>
      <c r="CG474" s="124"/>
      <c r="CH474" s="124"/>
      <c r="CI474" s="124"/>
      <c r="CJ474" s="124"/>
      <c r="CK474" s="124"/>
      <c r="CL474" s="124"/>
      <c r="CM474" s="124"/>
      <c r="CN474" s="124"/>
      <c r="CO474" s="124"/>
      <c r="CP474" s="124"/>
      <c r="CQ474" s="124"/>
      <c r="CR474" s="124"/>
      <c r="CS474" s="124"/>
      <c r="CT474" s="124"/>
      <c r="CU474" s="124"/>
      <c r="CV474" s="124"/>
      <c r="CW474" s="124"/>
      <c r="CX474" s="124"/>
      <c r="CY474" s="124"/>
      <c r="CZ474" s="124"/>
      <c r="DA474" s="124"/>
      <c r="DB474" s="124"/>
      <c r="DC474" s="124"/>
      <c r="DD474" s="124"/>
      <c r="DE474" s="124"/>
      <c r="DF474" s="124"/>
      <c r="DG474" s="124"/>
      <c r="DH474" s="124"/>
      <c r="DI474" s="124"/>
      <c r="DJ474" s="124"/>
      <c r="DK474" s="124"/>
      <c r="DL474" s="124"/>
      <c r="DM474" s="124"/>
      <c r="DN474" s="124"/>
      <c r="DO474" s="124"/>
      <c r="DP474" s="124"/>
      <c r="DQ474" s="124"/>
      <c r="DR474" s="124"/>
      <c r="DS474" s="124"/>
      <c r="DT474" s="124"/>
      <c r="DU474" s="124"/>
      <c r="DV474" s="124"/>
      <c r="DW474" s="124"/>
      <c r="DX474" s="124"/>
      <c r="DY474" s="124"/>
      <c r="DZ474" s="124"/>
      <c r="EA474" s="124"/>
      <c r="EB474" s="124"/>
      <c r="EC474" s="124"/>
      <c r="ED474" s="124"/>
      <c r="EE474" s="124"/>
      <c r="EF474" s="124"/>
      <c r="EG474" s="124"/>
      <c r="EH474" s="124"/>
      <c r="EI474" s="124"/>
      <c r="EJ474" s="124"/>
      <c r="EK474" s="124"/>
      <c r="EL474" s="124"/>
      <c r="EM474" s="124"/>
      <c r="EN474" s="124"/>
      <c r="EO474" s="124"/>
      <c r="EP474" s="124"/>
      <c r="EQ474" s="124"/>
      <c r="ER474" s="124"/>
      <c r="ES474" s="124"/>
      <c r="ET474" s="124"/>
      <c r="EU474" s="124"/>
      <c r="EV474" s="124"/>
      <c r="EW474" s="124"/>
      <c r="EX474" s="124"/>
      <c r="EY474" s="124"/>
      <c r="EZ474" s="124"/>
      <c r="FA474" s="124"/>
      <c r="FB474" s="124"/>
      <c r="FC474" s="124"/>
      <c r="FD474" s="124"/>
      <c r="FE474" s="124"/>
      <c r="FF474" s="124"/>
      <c r="FG474" s="124"/>
      <c r="FH474" s="124"/>
      <c r="FI474" s="124"/>
      <c r="FJ474" s="124"/>
      <c r="FK474" s="124"/>
      <c r="FL474" s="124"/>
      <c r="FM474" s="124"/>
      <c r="FN474" s="124"/>
      <c r="FO474" s="124"/>
      <c r="FP474" s="124"/>
      <c r="FQ474" s="124"/>
      <c r="FR474" s="124"/>
      <c r="FS474" s="124"/>
      <c r="FT474" s="124"/>
      <c r="FU474" s="124"/>
      <c r="FV474" s="124"/>
      <c r="FW474" s="124"/>
      <c r="FX474" s="124"/>
      <c r="FY474" s="124"/>
      <c r="FZ474" s="124"/>
      <c r="GA474" s="124"/>
      <c r="GB474" s="124"/>
      <c r="GC474" s="124"/>
      <c r="GD474" s="124"/>
      <c r="GE474" s="124"/>
      <c r="GF474" s="124"/>
      <c r="GG474" s="124"/>
      <c r="GH474" s="124"/>
      <c r="GI474" s="124"/>
      <c r="GJ474" s="124"/>
      <c r="GK474" s="124"/>
      <c r="GL474" s="124"/>
      <c r="GM474" s="124"/>
      <c r="GN474" s="124"/>
      <c r="GO474" s="124"/>
      <c r="GP474" s="124"/>
      <c r="GQ474" s="124"/>
      <c r="GR474" s="124"/>
      <c r="GS474" s="124"/>
      <c r="GT474" s="124"/>
      <c r="GU474" s="124"/>
      <c r="GV474" s="124"/>
      <c r="GW474" s="124"/>
      <c r="GX474" s="124"/>
      <c r="GY474" s="124"/>
      <c r="GZ474" s="124"/>
      <c r="HA474" s="124"/>
      <c r="HB474" s="124"/>
      <c r="HC474" s="124"/>
      <c r="HD474" s="124"/>
      <c r="HE474" s="124"/>
      <c r="HF474" s="124"/>
      <c r="HG474" s="124"/>
      <c r="HH474" s="124"/>
      <c r="HI474" s="124"/>
      <c r="HJ474" s="124"/>
      <c r="HK474" s="124"/>
      <c r="HL474" s="124"/>
      <c r="HM474" s="124"/>
      <c r="HN474" s="124"/>
      <c r="HO474" s="124"/>
      <c r="HP474" s="124"/>
      <c r="HQ474" s="124"/>
    </row>
    <row r="475" spans="1:225" x14ac:dyDescent="0.2">
      <c r="A475" s="122"/>
      <c r="B475" s="123"/>
      <c r="C475" s="124"/>
      <c r="D475" s="123"/>
      <c r="E475" s="124"/>
      <c r="F475" s="123"/>
      <c r="G475" s="123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  <c r="AT475" s="124"/>
      <c r="AU475" s="124"/>
      <c r="AV475" s="124"/>
      <c r="AW475" s="124"/>
      <c r="AX475" s="124"/>
      <c r="AY475" s="124"/>
      <c r="AZ475" s="124"/>
      <c r="BA475" s="124"/>
      <c r="BB475" s="124"/>
      <c r="BC475" s="124"/>
      <c r="BD475" s="124"/>
      <c r="BE475" s="124"/>
      <c r="BF475" s="124"/>
      <c r="BG475" s="124"/>
      <c r="BH475" s="124"/>
      <c r="BI475" s="124"/>
      <c r="BJ475" s="124"/>
      <c r="BK475" s="124"/>
      <c r="BL475" s="124"/>
      <c r="BM475" s="124"/>
      <c r="BN475" s="124"/>
      <c r="BO475" s="124"/>
      <c r="BP475" s="124"/>
      <c r="BQ475" s="124"/>
      <c r="BR475" s="124"/>
      <c r="BS475" s="124"/>
      <c r="BT475" s="124"/>
      <c r="BU475" s="124"/>
      <c r="BV475" s="124"/>
      <c r="BW475" s="124"/>
      <c r="BX475" s="124"/>
      <c r="BY475" s="124"/>
      <c r="BZ475" s="124"/>
      <c r="CA475" s="124"/>
      <c r="CB475" s="124"/>
      <c r="CC475" s="124"/>
      <c r="CD475" s="124"/>
      <c r="CE475" s="124"/>
      <c r="CF475" s="124"/>
      <c r="CG475" s="124"/>
      <c r="CH475" s="124"/>
      <c r="CI475" s="124"/>
      <c r="CJ475" s="124"/>
      <c r="CK475" s="124"/>
      <c r="CL475" s="124"/>
      <c r="CM475" s="124"/>
      <c r="CN475" s="124"/>
      <c r="CO475" s="124"/>
      <c r="CP475" s="124"/>
      <c r="CQ475" s="124"/>
      <c r="CR475" s="124"/>
      <c r="CS475" s="124"/>
      <c r="CT475" s="124"/>
      <c r="CU475" s="124"/>
      <c r="CV475" s="124"/>
      <c r="CW475" s="124"/>
      <c r="CX475" s="124"/>
      <c r="CY475" s="124"/>
      <c r="CZ475" s="124"/>
      <c r="DA475" s="124"/>
      <c r="DB475" s="124"/>
      <c r="DC475" s="124"/>
      <c r="DD475" s="124"/>
      <c r="DE475" s="124"/>
      <c r="DF475" s="124"/>
      <c r="DG475" s="124"/>
      <c r="DH475" s="124"/>
      <c r="DI475" s="124"/>
      <c r="DJ475" s="124"/>
      <c r="DK475" s="124"/>
      <c r="DL475" s="124"/>
      <c r="DM475" s="124"/>
      <c r="DN475" s="124"/>
      <c r="DO475" s="124"/>
      <c r="DP475" s="124"/>
      <c r="DQ475" s="124"/>
      <c r="DR475" s="124"/>
      <c r="DS475" s="124"/>
      <c r="DT475" s="124"/>
      <c r="DU475" s="124"/>
      <c r="DV475" s="124"/>
      <c r="DW475" s="124"/>
      <c r="DX475" s="124"/>
      <c r="DY475" s="124"/>
      <c r="DZ475" s="124"/>
      <c r="EA475" s="124"/>
      <c r="EB475" s="124"/>
      <c r="EC475" s="124"/>
      <c r="ED475" s="124"/>
      <c r="EE475" s="124"/>
      <c r="EF475" s="124"/>
      <c r="EG475" s="124"/>
      <c r="EH475" s="124"/>
      <c r="EI475" s="124"/>
      <c r="EJ475" s="124"/>
      <c r="EK475" s="124"/>
      <c r="EL475" s="124"/>
      <c r="EM475" s="124"/>
      <c r="EN475" s="124"/>
      <c r="EO475" s="124"/>
      <c r="EP475" s="124"/>
      <c r="EQ475" s="124"/>
      <c r="ER475" s="124"/>
      <c r="ES475" s="124"/>
      <c r="ET475" s="124"/>
      <c r="EU475" s="124"/>
      <c r="EV475" s="124"/>
      <c r="EW475" s="124"/>
      <c r="EX475" s="124"/>
      <c r="EY475" s="124"/>
      <c r="EZ475" s="124"/>
      <c r="FA475" s="124"/>
      <c r="FB475" s="124"/>
      <c r="FC475" s="124"/>
      <c r="FD475" s="124"/>
      <c r="FE475" s="124"/>
      <c r="FF475" s="124"/>
      <c r="FG475" s="124"/>
      <c r="FH475" s="124"/>
      <c r="FI475" s="124"/>
      <c r="FJ475" s="124"/>
      <c r="FK475" s="124"/>
      <c r="FL475" s="124"/>
      <c r="FM475" s="124"/>
      <c r="FN475" s="124"/>
      <c r="FO475" s="124"/>
      <c r="FP475" s="124"/>
      <c r="FQ475" s="124"/>
      <c r="FR475" s="124"/>
      <c r="FS475" s="124"/>
      <c r="FT475" s="124"/>
      <c r="FU475" s="124"/>
      <c r="FV475" s="124"/>
      <c r="FW475" s="124"/>
      <c r="FX475" s="124"/>
      <c r="FY475" s="124"/>
      <c r="FZ475" s="124"/>
      <c r="GA475" s="124"/>
      <c r="GB475" s="124"/>
      <c r="GC475" s="124"/>
      <c r="GD475" s="124"/>
      <c r="GE475" s="124"/>
      <c r="GF475" s="124"/>
      <c r="GG475" s="124"/>
      <c r="GH475" s="124"/>
      <c r="GI475" s="124"/>
      <c r="GJ475" s="124"/>
      <c r="GK475" s="124"/>
      <c r="GL475" s="124"/>
      <c r="GM475" s="124"/>
      <c r="GN475" s="124"/>
      <c r="GO475" s="124"/>
      <c r="GP475" s="124"/>
      <c r="GQ475" s="124"/>
      <c r="GR475" s="124"/>
      <c r="GS475" s="124"/>
      <c r="GT475" s="124"/>
      <c r="GU475" s="124"/>
      <c r="GV475" s="124"/>
      <c r="GW475" s="124"/>
      <c r="GX475" s="124"/>
      <c r="GY475" s="124"/>
      <c r="GZ475" s="124"/>
      <c r="HA475" s="124"/>
      <c r="HB475" s="124"/>
      <c r="HC475" s="124"/>
      <c r="HD475" s="124"/>
      <c r="HE475" s="124"/>
      <c r="HF475" s="124"/>
      <c r="HG475" s="124"/>
      <c r="HH475" s="124"/>
      <c r="HI475" s="124"/>
      <c r="HJ475" s="124"/>
      <c r="HK475" s="124"/>
      <c r="HL475" s="124"/>
      <c r="HM475" s="124"/>
      <c r="HN475" s="124"/>
      <c r="HO475" s="124"/>
      <c r="HP475" s="124"/>
      <c r="HQ475" s="124"/>
    </row>
    <row r="476" spans="1:225" x14ac:dyDescent="0.2">
      <c r="A476" s="122"/>
      <c r="B476" s="123"/>
      <c r="C476" s="124"/>
      <c r="D476" s="123"/>
      <c r="E476" s="124"/>
      <c r="F476" s="123"/>
      <c r="G476" s="123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  <c r="AT476" s="124"/>
      <c r="AU476" s="124"/>
      <c r="AV476" s="124"/>
      <c r="AW476" s="124"/>
      <c r="AX476" s="124"/>
      <c r="AY476" s="124"/>
      <c r="AZ476" s="124"/>
      <c r="BA476" s="124"/>
      <c r="BB476" s="124"/>
      <c r="BC476" s="124"/>
      <c r="BD476" s="124"/>
      <c r="BE476" s="124"/>
      <c r="BF476" s="124"/>
      <c r="BG476" s="124"/>
      <c r="BH476" s="124"/>
      <c r="BI476" s="124"/>
      <c r="BJ476" s="124"/>
      <c r="BK476" s="124"/>
      <c r="BL476" s="124"/>
      <c r="BM476" s="124"/>
      <c r="BN476" s="124"/>
      <c r="BO476" s="124"/>
      <c r="BP476" s="124"/>
      <c r="BQ476" s="124"/>
      <c r="BR476" s="124"/>
      <c r="BS476" s="124"/>
      <c r="BT476" s="124"/>
      <c r="BU476" s="124"/>
      <c r="BV476" s="124"/>
      <c r="BW476" s="124"/>
      <c r="BX476" s="124"/>
      <c r="BY476" s="124"/>
      <c r="BZ476" s="124"/>
      <c r="CA476" s="124"/>
      <c r="CB476" s="124"/>
      <c r="CC476" s="124"/>
      <c r="CD476" s="124"/>
      <c r="CE476" s="124"/>
      <c r="CF476" s="124"/>
      <c r="CG476" s="124"/>
      <c r="CH476" s="124"/>
      <c r="CI476" s="124"/>
      <c r="CJ476" s="124"/>
      <c r="CK476" s="124"/>
      <c r="CL476" s="124"/>
      <c r="CM476" s="124"/>
      <c r="CN476" s="124"/>
      <c r="CO476" s="124"/>
      <c r="CP476" s="124"/>
      <c r="CQ476" s="124"/>
      <c r="CR476" s="124"/>
      <c r="CS476" s="124"/>
      <c r="CT476" s="124"/>
      <c r="CU476" s="124"/>
      <c r="CV476" s="124"/>
      <c r="CW476" s="124"/>
      <c r="CX476" s="124"/>
      <c r="CY476" s="124"/>
      <c r="CZ476" s="124"/>
      <c r="DA476" s="124"/>
      <c r="DB476" s="124"/>
      <c r="DC476" s="124"/>
      <c r="DD476" s="124"/>
      <c r="DE476" s="124"/>
      <c r="DF476" s="124"/>
      <c r="DG476" s="124"/>
      <c r="DH476" s="124"/>
      <c r="DI476" s="124"/>
      <c r="DJ476" s="124"/>
      <c r="DK476" s="124"/>
      <c r="DL476" s="124"/>
      <c r="DM476" s="124"/>
      <c r="DN476" s="124"/>
      <c r="DO476" s="124"/>
      <c r="DP476" s="124"/>
      <c r="DQ476" s="124"/>
      <c r="DR476" s="124"/>
      <c r="DS476" s="124"/>
      <c r="DT476" s="124"/>
      <c r="DU476" s="124"/>
      <c r="DV476" s="124"/>
      <c r="DW476" s="124"/>
      <c r="DX476" s="124"/>
      <c r="DY476" s="124"/>
      <c r="DZ476" s="124"/>
      <c r="EA476" s="124"/>
      <c r="EB476" s="124"/>
      <c r="EC476" s="124"/>
      <c r="ED476" s="124"/>
      <c r="EE476" s="124"/>
      <c r="EF476" s="124"/>
      <c r="EG476" s="124"/>
      <c r="EH476" s="124"/>
      <c r="EI476" s="124"/>
      <c r="EJ476" s="124"/>
      <c r="EK476" s="124"/>
      <c r="EL476" s="124"/>
      <c r="EM476" s="124"/>
      <c r="EN476" s="124"/>
      <c r="EO476" s="124"/>
      <c r="EP476" s="124"/>
      <c r="EQ476" s="124"/>
      <c r="ER476" s="124"/>
      <c r="ES476" s="124"/>
      <c r="ET476" s="124"/>
      <c r="EU476" s="124"/>
      <c r="EV476" s="124"/>
      <c r="EW476" s="124"/>
      <c r="EX476" s="124"/>
      <c r="EY476" s="124"/>
      <c r="EZ476" s="124"/>
      <c r="FA476" s="124"/>
      <c r="FB476" s="124"/>
      <c r="FC476" s="124"/>
      <c r="FD476" s="124"/>
      <c r="FE476" s="124"/>
      <c r="FF476" s="124"/>
      <c r="FG476" s="124"/>
      <c r="FH476" s="124"/>
      <c r="FI476" s="124"/>
      <c r="FJ476" s="124"/>
      <c r="FK476" s="124"/>
      <c r="FL476" s="124"/>
      <c r="FM476" s="124"/>
      <c r="FN476" s="124"/>
      <c r="FO476" s="124"/>
      <c r="FP476" s="124"/>
      <c r="FQ476" s="124"/>
      <c r="FR476" s="124"/>
      <c r="FS476" s="124"/>
      <c r="FT476" s="124"/>
      <c r="FU476" s="124"/>
      <c r="FV476" s="124"/>
      <c r="FW476" s="124"/>
      <c r="FX476" s="124"/>
      <c r="FY476" s="124"/>
      <c r="FZ476" s="124"/>
      <c r="GA476" s="124"/>
      <c r="GB476" s="124"/>
      <c r="GC476" s="124"/>
      <c r="GD476" s="124"/>
      <c r="GE476" s="124"/>
      <c r="GF476" s="124"/>
      <c r="GG476" s="124"/>
      <c r="GH476" s="124"/>
      <c r="GI476" s="124"/>
      <c r="GJ476" s="124"/>
      <c r="GK476" s="124"/>
      <c r="GL476" s="124"/>
      <c r="GM476" s="124"/>
      <c r="GN476" s="124"/>
      <c r="GO476" s="124"/>
      <c r="GP476" s="124"/>
      <c r="GQ476" s="124"/>
      <c r="GR476" s="124"/>
      <c r="GS476" s="124"/>
      <c r="GT476" s="124"/>
      <c r="GU476" s="124"/>
      <c r="GV476" s="124"/>
      <c r="GW476" s="124"/>
      <c r="GX476" s="124"/>
      <c r="GY476" s="124"/>
      <c r="GZ476" s="124"/>
      <c r="HA476" s="124"/>
      <c r="HB476" s="124"/>
      <c r="HC476" s="124"/>
      <c r="HD476" s="124"/>
      <c r="HE476" s="124"/>
      <c r="HF476" s="124"/>
      <c r="HG476" s="124"/>
      <c r="HH476" s="124"/>
      <c r="HI476" s="124"/>
      <c r="HJ476" s="124"/>
      <c r="HK476" s="124"/>
      <c r="HL476" s="124"/>
      <c r="HM476" s="124"/>
      <c r="HN476" s="124"/>
      <c r="HO476" s="124"/>
      <c r="HP476" s="124"/>
      <c r="HQ476" s="124"/>
    </row>
    <row r="477" spans="1:225" x14ac:dyDescent="0.2">
      <c r="A477" s="122"/>
      <c r="B477" s="123"/>
      <c r="C477" s="124"/>
      <c r="D477" s="123"/>
      <c r="E477" s="124"/>
      <c r="F477" s="123"/>
      <c r="G477" s="123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  <c r="AU477" s="124"/>
      <c r="AV477" s="124"/>
      <c r="AW477" s="124"/>
      <c r="AX477" s="124"/>
      <c r="AY477" s="124"/>
      <c r="AZ477" s="124"/>
      <c r="BA477" s="124"/>
      <c r="BB477" s="124"/>
      <c r="BC477" s="124"/>
      <c r="BD477" s="124"/>
      <c r="BE477" s="124"/>
      <c r="BF477" s="124"/>
      <c r="BG477" s="124"/>
      <c r="BH477" s="124"/>
      <c r="BI477" s="124"/>
      <c r="BJ477" s="124"/>
      <c r="BK477" s="124"/>
      <c r="BL477" s="124"/>
      <c r="BM477" s="124"/>
      <c r="BN477" s="124"/>
      <c r="BO477" s="124"/>
      <c r="BP477" s="124"/>
      <c r="BQ477" s="124"/>
      <c r="BR477" s="124"/>
      <c r="BS477" s="124"/>
      <c r="BT477" s="124"/>
      <c r="BU477" s="124"/>
      <c r="BV477" s="124"/>
      <c r="BW477" s="124"/>
      <c r="BX477" s="124"/>
      <c r="BY477" s="124"/>
      <c r="BZ477" s="124"/>
      <c r="CA477" s="124"/>
      <c r="CB477" s="124"/>
      <c r="CC477" s="124"/>
      <c r="CD477" s="124"/>
      <c r="CE477" s="124"/>
      <c r="CF477" s="124"/>
      <c r="CG477" s="124"/>
      <c r="CH477" s="124"/>
      <c r="CI477" s="124"/>
      <c r="CJ477" s="124"/>
      <c r="CK477" s="124"/>
      <c r="CL477" s="124"/>
      <c r="CM477" s="124"/>
      <c r="CN477" s="124"/>
      <c r="CO477" s="124"/>
      <c r="CP477" s="124"/>
      <c r="CQ477" s="124"/>
      <c r="CR477" s="124"/>
      <c r="CS477" s="124"/>
      <c r="CT477" s="124"/>
      <c r="CU477" s="124"/>
      <c r="CV477" s="124"/>
      <c r="CW477" s="124"/>
      <c r="CX477" s="124"/>
      <c r="CY477" s="124"/>
      <c r="CZ477" s="124"/>
      <c r="DA477" s="124"/>
      <c r="DB477" s="124"/>
      <c r="DC477" s="124"/>
      <c r="DD477" s="124"/>
      <c r="DE477" s="124"/>
      <c r="DF477" s="124"/>
      <c r="DG477" s="124"/>
      <c r="DH477" s="124"/>
      <c r="DI477" s="124"/>
      <c r="DJ477" s="124"/>
      <c r="DK477" s="124"/>
      <c r="DL477" s="124"/>
      <c r="DM477" s="124"/>
      <c r="DN477" s="124"/>
      <c r="DO477" s="124"/>
      <c r="DP477" s="124"/>
      <c r="DQ477" s="124"/>
      <c r="DR477" s="124"/>
      <c r="DS477" s="124"/>
      <c r="DT477" s="124"/>
      <c r="DU477" s="124"/>
      <c r="DV477" s="124"/>
      <c r="DW477" s="124"/>
      <c r="DX477" s="124"/>
      <c r="DY477" s="124"/>
      <c r="DZ477" s="124"/>
      <c r="EA477" s="124"/>
      <c r="EB477" s="124"/>
      <c r="EC477" s="124"/>
      <c r="ED477" s="124"/>
      <c r="EE477" s="124"/>
      <c r="EF477" s="124"/>
      <c r="EG477" s="124"/>
      <c r="EH477" s="124"/>
      <c r="EI477" s="124"/>
      <c r="EJ477" s="124"/>
      <c r="EK477" s="124"/>
      <c r="EL477" s="124"/>
      <c r="EM477" s="124"/>
      <c r="EN477" s="124"/>
      <c r="EO477" s="124"/>
      <c r="EP477" s="124"/>
      <c r="EQ477" s="124"/>
      <c r="ER477" s="124"/>
      <c r="ES477" s="124"/>
      <c r="ET477" s="124"/>
      <c r="EU477" s="124"/>
      <c r="EV477" s="124"/>
      <c r="EW477" s="124"/>
      <c r="EX477" s="124"/>
      <c r="EY477" s="124"/>
      <c r="EZ477" s="124"/>
      <c r="FA477" s="124"/>
      <c r="FB477" s="124"/>
      <c r="FC477" s="124"/>
      <c r="FD477" s="124"/>
      <c r="FE477" s="124"/>
      <c r="FF477" s="124"/>
      <c r="FG477" s="124"/>
      <c r="FH477" s="124"/>
      <c r="FI477" s="124"/>
      <c r="FJ477" s="124"/>
      <c r="FK477" s="124"/>
      <c r="FL477" s="124"/>
      <c r="FM477" s="124"/>
      <c r="FN477" s="124"/>
      <c r="FO477" s="124"/>
      <c r="FP477" s="124"/>
      <c r="FQ477" s="124"/>
      <c r="FR477" s="124"/>
      <c r="FS477" s="124"/>
      <c r="FT477" s="124"/>
      <c r="FU477" s="124"/>
      <c r="FV477" s="124"/>
      <c r="FW477" s="124"/>
      <c r="FX477" s="124"/>
      <c r="FY477" s="124"/>
      <c r="FZ477" s="124"/>
      <c r="GA477" s="124"/>
      <c r="GB477" s="124"/>
      <c r="GC477" s="124"/>
      <c r="GD477" s="124"/>
      <c r="GE477" s="124"/>
      <c r="GF477" s="124"/>
      <c r="GG477" s="124"/>
      <c r="GH477" s="124"/>
      <c r="GI477" s="124"/>
      <c r="GJ477" s="124"/>
      <c r="GK477" s="124"/>
      <c r="GL477" s="124"/>
      <c r="GM477" s="124"/>
      <c r="GN477" s="124"/>
      <c r="GO477" s="124"/>
      <c r="GP477" s="124"/>
      <c r="GQ477" s="124"/>
      <c r="GR477" s="124"/>
      <c r="GS477" s="124"/>
      <c r="GT477" s="124"/>
      <c r="GU477" s="124"/>
      <c r="GV477" s="124"/>
      <c r="GW477" s="124"/>
      <c r="GX477" s="124"/>
      <c r="GY477" s="124"/>
      <c r="GZ477" s="124"/>
      <c r="HA477" s="124"/>
      <c r="HB477" s="124"/>
      <c r="HC477" s="124"/>
      <c r="HD477" s="124"/>
      <c r="HE477" s="124"/>
      <c r="HF477" s="124"/>
      <c r="HG477" s="124"/>
      <c r="HH477" s="124"/>
      <c r="HI477" s="124"/>
      <c r="HJ477" s="124"/>
      <c r="HK477" s="124"/>
      <c r="HL477" s="124"/>
      <c r="HM477" s="124"/>
      <c r="HN477" s="124"/>
      <c r="HO477" s="124"/>
      <c r="HP477" s="124"/>
      <c r="HQ477" s="124"/>
    </row>
    <row r="478" spans="1:225" x14ac:dyDescent="0.2">
      <c r="A478" s="122"/>
      <c r="B478" s="123"/>
      <c r="C478" s="124"/>
      <c r="D478" s="123"/>
      <c r="E478" s="124"/>
      <c r="F478" s="123"/>
      <c r="G478" s="123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/>
      <c r="BB478" s="124"/>
      <c r="BC478" s="124"/>
      <c r="BD478" s="124"/>
      <c r="BE478" s="124"/>
      <c r="BF478" s="124"/>
      <c r="BG478" s="124"/>
      <c r="BH478" s="124"/>
      <c r="BI478" s="124"/>
      <c r="BJ478" s="124"/>
      <c r="BK478" s="124"/>
      <c r="BL478" s="124"/>
      <c r="BM478" s="124"/>
      <c r="BN478" s="124"/>
      <c r="BO478" s="124"/>
      <c r="BP478" s="124"/>
      <c r="BQ478" s="124"/>
      <c r="BR478" s="124"/>
      <c r="BS478" s="124"/>
      <c r="BT478" s="124"/>
      <c r="BU478" s="124"/>
      <c r="BV478" s="124"/>
      <c r="BW478" s="124"/>
      <c r="BX478" s="124"/>
      <c r="BY478" s="124"/>
      <c r="BZ478" s="124"/>
      <c r="CA478" s="124"/>
      <c r="CB478" s="124"/>
      <c r="CC478" s="124"/>
      <c r="CD478" s="124"/>
      <c r="CE478" s="124"/>
      <c r="CF478" s="124"/>
      <c r="CG478" s="124"/>
      <c r="CH478" s="124"/>
      <c r="CI478" s="124"/>
      <c r="CJ478" s="124"/>
      <c r="CK478" s="124"/>
      <c r="CL478" s="124"/>
      <c r="CM478" s="124"/>
      <c r="CN478" s="124"/>
      <c r="CO478" s="124"/>
      <c r="CP478" s="124"/>
      <c r="CQ478" s="124"/>
      <c r="CR478" s="124"/>
      <c r="CS478" s="124"/>
      <c r="CT478" s="124"/>
      <c r="CU478" s="124"/>
      <c r="CV478" s="124"/>
      <c r="CW478" s="124"/>
      <c r="CX478" s="124"/>
      <c r="CY478" s="124"/>
      <c r="CZ478" s="124"/>
      <c r="DA478" s="124"/>
      <c r="DB478" s="124"/>
      <c r="DC478" s="124"/>
      <c r="DD478" s="124"/>
      <c r="DE478" s="124"/>
      <c r="DF478" s="124"/>
      <c r="DG478" s="124"/>
      <c r="DH478" s="124"/>
      <c r="DI478" s="124"/>
      <c r="DJ478" s="124"/>
      <c r="DK478" s="124"/>
      <c r="DL478" s="124"/>
      <c r="DM478" s="124"/>
      <c r="DN478" s="124"/>
      <c r="DO478" s="124"/>
      <c r="DP478" s="124"/>
      <c r="DQ478" s="124"/>
      <c r="DR478" s="124"/>
      <c r="DS478" s="124"/>
      <c r="DT478" s="124"/>
      <c r="DU478" s="124"/>
      <c r="DV478" s="124"/>
      <c r="DW478" s="124"/>
      <c r="DX478" s="124"/>
      <c r="DY478" s="124"/>
      <c r="DZ478" s="124"/>
      <c r="EA478" s="124"/>
      <c r="EB478" s="124"/>
      <c r="EC478" s="124"/>
      <c r="ED478" s="124"/>
      <c r="EE478" s="124"/>
      <c r="EF478" s="124"/>
      <c r="EG478" s="124"/>
      <c r="EH478" s="124"/>
      <c r="EI478" s="124"/>
      <c r="EJ478" s="124"/>
      <c r="EK478" s="124"/>
      <c r="EL478" s="124"/>
      <c r="EM478" s="124"/>
      <c r="EN478" s="124"/>
      <c r="EO478" s="124"/>
      <c r="EP478" s="124"/>
      <c r="EQ478" s="124"/>
      <c r="ER478" s="124"/>
      <c r="ES478" s="124"/>
      <c r="ET478" s="124"/>
      <c r="EU478" s="124"/>
      <c r="EV478" s="124"/>
      <c r="EW478" s="124"/>
      <c r="EX478" s="124"/>
      <c r="EY478" s="124"/>
      <c r="EZ478" s="124"/>
      <c r="FA478" s="124"/>
      <c r="FB478" s="124"/>
      <c r="FC478" s="124"/>
      <c r="FD478" s="124"/>
      <c r="FE478" s="124"/>
      <c r="FF478" s="124"/>
      <c r="FG478" s="124"/>
      <c r="FH478" s="124"/>
      <c r="FI478" s="124"/>
      <c r="FJ478" s="124"/>
      <c r="FK478" s="124"/>
      <c r="FL478" s="124"/>
      <c r="FM478" s="124"/>
      <c r="FN478" s="124"/>
      <c r="FO478" s="124"/>
      <c r="FP478" s="124"/>
      <c r="FQ478" s="124"/>
      <c r="FR478" s="124"/>
      <c r="FS478" s="124"/>
      <c r="FT478" s="124"/>
      <c r="FU478" s="124"/>
      <c r="FV478" s="124"/>
      <c r="FW478" s="124"/>
      <c r="FX478" s="124"/>
      <c r="FY478" s="124"/>
      <c r="FZ478" s="124"/>
      <c r="GA478" s="124"/>
      <c r="GB478" s="124"/>
      <c r="GC478" s="124"/>
      <c r="GD478" s="124"/>
      <c r="GE478" s="124"/>
      <c r="GF478" s="124"/>
      <c r="GG478" s="124"/>
      <c r="GH478" s="124"/>
      <c r="GI478" s="124"/>
      <c r="GJ478" s="124"/>
      <c r="GK478" s="124"/>
      <c r="GL478" s="124"/>
      <c r="GM478" s="124"/>
      <c r="GN478" s="124"/>
      <c r="GO478" s="124"/>
      <c r="GP478" s="124"/>
      <c r="GQ478" s="124"/>
      <c r="GR478" s="124"/>
      <c r="GS478" s="124"/>
      <c r="GT478" s="124"/>
      <c r="GU478" s="124"/>
      <c r="GV478" s="124"/>
      <c r="GW478" s="124"/>
      <c r="GX478" s="124"/>
      <c r="GY478" s="124"/>
      <c r="GZ478" s="124"/>
      <c r="HA478" s="124"/>
      <c r="HB478" s="124"/>
      <c r="HC478" s="124"/>
      <c r="HD478" s="124"/>
      <c r="HE478" s="124"/>
      <c r="HF478" s="124"/>
      <c r="HG478" s="124"/>
      <c r="HH478" s="124"/>
      <c r="HI478" s="124"/>
      <c r="HJ478" s="124"/>
      <c r="HK478" s="124"/>
      <c r="HL478" s="124"/>
      <c r="HM478" s="124"/>
      <c r="HN478" s="124"/>
      <c r="HO478" s="124"/>
      <c r="HP478" s="124"/>
      <c r="HQ478" s="124"/>
    </row>
    <row r="479" spans="1:225" x14ac:dyDescent="0.2">
      <c r="A479" s="122"/>
      <c r="B479" s="123"/>
      <c r="C479" s="124"/>
      <c r="D479" s="123"/>
      <c r="E479" s="124"/>
      <c r="F479" s="123"/>
      <c r="G479" s="123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  <c r="AU479" s="124"/>
      <c r="AV479" s="124"/>
      <c r="AW479" s="124"/>
      <c r="AX479" s="124"/>
      <c r="AY479" s="124"/>
      <c r="AZ479" s="124"/>
      <c r="BA479" s="124"/>
      <c r="BB479" s="124"/>
      <c r="BC479" s="124"/>
      <c r="BD479" s="124"/>
      <c r="BE479" s="124"/>
      <c r="BF479" s="124"/>
      <c r="BG479" s="124"/>
      <c r="BH479" s="124"/>
      <c r="BI479" s="124"/>
      <c r="BJ479" s="124"/>
      <c r="BK479" s="124"/>
      <c r="BL479" s="124"/>
      <c r="BM479" s="124"/>
      <c r="BN479" s="124"/>
      <c r="BO479" s="124"/>
      <c r="BP479" s="124"/>
      <c r="BQ479" s="124"/>
      <c r="BR479" s="124"/>
      <c r="BS479" s="124"/>
      <c r="BT479" s="124"/>
      <c r="BU479" s="124"/>
      <c r="BV479" s="124"/>
      <c r="BW479" s="124"/>
      <c r="BX479" s="124"/>
      <c r="BY479" s="124"/>
      <c r="BZ479" s="124"/>
      <c r="CA479" s="124"/>
      <c r="CB479" s="124"/>
      <c r="CC479" s="124"/>
      <c r="CD479" s="124"/>
      <c r="CE479" s="124"/>
      <c r="CF479" s="124"/>
      <c r="CG479" s="124"/>
      <c r="CH479" s="124"/>
      <c r="CI479" s="124"/>
      <c r="CJ479" s="124"/>
      <c r="CK479" s="124"/>
      <c r="CL479" s="124"/>
      <c r="CM479" s="124"/>
      <c r="CN479" s="124"/>
      <c r="CO479" s="124"/>
      <c r="CP479" s="124"/>
      <c r="CQ479" s="124"/>
      <c r="CR479" s="124"/>
      <c r="CS479" s="124"/>
      <c r="CT479" s="124"/>
      <c r="CU479" s="124"/>
      <c r="CV479" s="124"/>
      <c r="CW479" s="124"/>
      <c r="CX479" s="124"/>
      <c r="CY479" s="124"/>
      <c r="CZ479" s="124"/>
      <c r="DA479" s="124"/>
      <c r="DB479" s="124"/>
      <c r="DC479" s="124"/>
      <c r="DD479" s="124"/>
      <c r="DE479" s="124"/>
      <c r="DF479" s="124"/>
      <c r="DG479" s="124"/>
      <c r="DH479" s="124"/>
      <c r="DI479" s="124"/>
      <c r="DJ479" s="124"/>
      <c r="DK479" s="124"/>
      <c r="DL479" s="124"/>
      <c r="DM479" s="124"/>
      <c r="DN479" s="124"/>
      <c r="DO479" s="124"/>
      <c r="DP479" s="124"/>
      <c r="DQ479" s="124"/>
      <c r="DR479" s="124"/>
      <c r="DS479" s="124"/>
      <c r="DT479" s="124"/>
      <c r="DU479" s="124"/>
      <c r="DV479" s="124"/>
      <c r="DW479" s="124"/>
      <c r="DX479" s="124"/>
      <c r="DY479" s="124"/>
      <c r="DZ479" s="124"/>
      <c r="EA479" s="124"/>
      <c r="EB479" s="124"/>
      <c r="EC479" s="124"/>
      <c r="ED479" s="124"/>
      <c r="EE479" s="124"/>
      <c r="EF479" s="124"/>
      <c r="EG479" s="124"/>
      <c r="EH479" s="124"/>
      <c r="EI479" s="124"/>
      <c r="EJ479" s="124"/>
      <c r="EK479" s="124"/>
      <c r="EL479" s="124"/>
      <c r="EM479" s="124"/>
      <c r="EN479" s="124"/>
      <c r="EO479" s="124"/>
      <c r="EP479" s="124"/>
      <c r="EQ479" s="124"/>
      <c r="ER479" s="124"/>
      <c r="ES479" s="124"/>
      <c r="ET479" s="124"/>
      <c r="EU479" s="124"/>
      <c r="EV479" s="124"/>
      <c r="EW479" s="124"/>
      <c r="EX479" s="124"/>
      <c r="EY479" s="124"/>
      <c r="EZ479" s="124"/>
      <c r="FA479" s="124"/>
      <c r="FB479" s="124"/>
      <c r="FC479" s="124"/>
      <c r="FD479" s="124"/>
      <c r="FE479" s="124"/>
      <c r="FF479" s="124"/>
      <c r="FG479" s="124"/>
      <c r="FH479" s="124"/>
      <c r="FI479" s="124"/>
      <c r="FJ479" s="124"/>
      <c r="FK479" s="124"/>
      <c r="FL479" s="124"/>
      <c r="FM479" s="124"/>
      <c r="FN479" s="124"/>
      <c r="FO479" s="124"/>
      <c r="FP479" s="124"/>
      <c r="FQ479" s="124"/>
      <c r="FR479" s="124"/>
      <c r="FS479" s="124"/>
      <c r="FT479" s="124"/>
      <c r="FU479" s="124"/>
      <c r="FV479" s="124"/>
      <c r="FW479" s="124"/>
      <c r="FX479" s="124"/>
      <c r="FY479" s="124"/>
      <c r="FZ479" s="124"/>
      <c r="GA479" s="124"/>
      <c r="GB479" s="124"/>
      <c r="GC479" s="124"/>
      <c r="GD479" s="124"/>
      <c r="GE479" s="124"/>
      <c r="GF479" s="124"/>
      <c r="GG479" s="124"/>
      <c r="GH479" s="124"/>
      <c r="GI479" s="124"/>
      <c r="GJ479" s="124"/>
      <c r="GK479" s="124"/>
      <c r="GL479" s="124"/>
      <c r="GM479" s="124"/>
      <c r="GN479" s="124"/>
      <c r="GO479" s="124"/>
      <c r="GP479" s="124"/>
      <c r="GQ479" s="124"/>
      <c r="GR479" s="124"/>
      <c r="GS479" s="124"/>
      <c r="GT479" s="124"/>
      <c r="GU479" s="124"/>
      <c r="GV479" s="124"/>
      <c r="GW479" s="124"/>
      <c r="GX479" s="124"/>
      <c r="GY479" s="124"/>
      <c r="GZ479" s="124"/>
      <c r="HA479" s="124"/>
      <c r="HB479" s="124"/>
      <c r="HC479" s="124"/>
      <c r="HD479" s="124"/>
      <c r="HE479" s="124"/>
      <c r="HF479" s="124"/>
      <c r="HG479" s="124"/>
      <c r="HH479" s="124"/>
      <c r="HI479" s="124"/>
      <c r="HJ479" s="124"/>
      <c r="HK479" s="124"/>
      <c r="HL479" s="124"/>
      <c r="HM479" s="124"/>
      <c r="HN479" s="124"/>
      <c r="HO479" s="124"/>
      <c r="HP479" s="124"/>
      <c r="HQ479" s="124"/>
    </row>
    <row r="480" spans="1:225" x14ac:dyDescent="0.2">
      <c r="A480" s="122"/>
      <c r="B480" s="123"/>
      <c r="C480" s="124"/>
      <c r="D480" s="123"/>
      <c r="E480" s="124"/>
      <c r="F480" s="123"/>
      <c r="G480" s="123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  <c r="AT480" s="124"/>
      <c r="AU480" s="124"/>
      <c r="AV480" s="124"/>
      <c r="AW480" s="124"/>
      <c r="AX480" s="124"/>
      <c r="AY480" s="124"/>
      <c r="AZ480" s="124"/>
      <c r="BA480" s="124"/>
      <c r="BB480" s="124"/>
      <c r="BC480" s="124"/>
      <c r="BD480" s="124"/>
      <c r="BE480" s="124"/>
      <c r="BF480" s="124"/>
      <c r="BG480" s="124"/>
      <c r="BH480" s="124"/>
      <c r="BI480" s="124"/>
      <c r="BJ480" s="124"/>
      <c r="BK480" s="124"/>
      <c r="BL480" s="124"/>
      <c r="BM480" s="124"/>
      <c r="BN480" s="124"/>
      <c r="BO480" s="124"/>
      <c r="BP480" s="124"/>
      <c r="BQ480" s="124"/>
      <c r="BR480" s="124"/>
      <c r="BS480" s="124"/>
      <c r="BT480" s="124"/>
      <c r="BU480" s="124"/>
      <c r="BV480" s="124"/>
      <c r="BW480" s="124"/>
      <c r="BX480" s="124"/>
      <c r="BY480" s="124"/>
      <c r="BZ480" s="124"/>
      <c r="CA480" s="124"/>
      <c r="CB480" s="124"/>
      <c r="CC480" s="124"/>
      <c r="CD480" s="124"/>
      <c r="CE480" s="124"/>
      <c r="CF480" s="124"/>
      <c r="CG480" s="124"/>
      <c r="CH480" s="124"/>
      <c r="CI480" s="124"/>
      <c r="CJ480" s="124"/>
      <c r="CK480" s="124"/>
      <c r="CL480" s="124"/>
      <c r="CM480" s="124"/>
      <c r="CN480" s="124"/>
      <c r="CO480" s="124"/>
      <c r="CP480" s="124"/>
      <c r="CQ480" s="124"/>
      <c r="CR480" s="124"/>
      <c r="CS480" s="124"/>
      <c r="CT480" s="124"/>
      <c r="CU480" s="124"/>
      <c r="CV480" s="124"/>
      <c r="CW480" s="124"/>
      <c r="CX480" s="124"/>
      <c r="CY480" s="124"/>
      <c r="CZ480" s="124"/>
      <c r="DA480" s="124"/>
      <c r="DB480" s="124"/>
      <c r="DC480" s="124"/>
      <c r="DD480" s="124"/>
      <c r="DE480" s="124"/>
      <c r="DF480" s="124"/>
      <c r="DG480" s="124"/>
      <c r="DH480" s="124"/>
      <c r="DI480" s="124"/>
      <c r="DJ480" s="124"/>
      <c r="DK480" s="124"/>
      <c r="DL480" s="124"/>
      <c r="DM480" s="124"/>
      <c r="DN480" s="124"/>
      <c r="DO480" s="124"/>
      <c r="DP480" s="124"/>
      <c r="DQ480" s="124"/>
      <c r="DR480" s="124"/>
      <c r="DS480" s="124"/>
      <c r="DT480" s="124"/>
      <c r="DU480" s="124"/>
      <c r="DV480" s="124"/>
      <c r="DW480" s="124"/>
      <c r="DX480" s="124"/>
      <c r="DY480" s="124"/>
      <c r="DZ480" s="124"/>
      <c r="EA480" s="124"/>
      <c r="EB480" s="124"/>
      <c r="EC480" s="124"/>
      <c r="ED480" s="124"/>
      <c r="EE480" s="124"/>
      <c r="EF480" s="124"/>
      <c r="EG480" s="124"/>
      <c r="EH480" s="124"/>
      <c r="EI480" s="124"/>
      <c r="EJ480" s="124"/>
      <c r="EK480" s="124"/>
      <c r="EL480" s="124"/>
      <c r="EM480" s="124"/>
      <c r="EN480" s="124"/>
      <c r="EO480" s="124"/>
      <c r="EP480" s="124"/>
      <c r="EQ480" s="124"/>
      <c r="ER480" s="124"/>
      <c r="ES480" s="124"/>
      <c r="ET480" s="124"/>
      <c r="EU480" s="124"/>
      <c r="EV480" s="124"/>
      <c r="EW480" s="124"/>
      <c r="EX480" s="124"/>
      <c r="EY480" s="124"/>
      <c r="EZ480" s="124"/>
      <c r="FA480" s="124"/>
      <c r="FB480" s="124"/>
      <c r="FC480" s="124"/>
      <c r="FD480" s="124"/>
      <c r="FE480" s="124"/>
      <c r="FF480" s="124"/>
      <c r="FG480" s="124"/>
      <c r="FH480" s="124"/>
      <c r="FI480" s="124"/>
      <c r="FJ480" s="124"/>
      <c r="FK480" s="124"/>
      <c r="FL480" s="124"/>
      <c r="FM480" s="124"/>
      <c r="FN480" s="124"/>
      <c r="FO480" s="124"/>
      <c r="FP480" s="124"/>
      <c r="FQ480" s="124"/>
      <c r="FR480" s="124"/>
      <c r="FS480" s="124"/>
      <c r="FT480" s="124"/>
      <c r="FU480" s="124"/>
      <c r="FV480" s="124"/>
      <c r="FW480" s="124"/>
      <c r="FX480" s="124"/>
      <c r="FY480" s="124"/>
      <c r="FZ480" s="124"/>
      <c r="GA480" s="124"/>
      <c r="GB480" s="124"/>
      <c r="GC480" s="124"/>
      <c r="GD480" s="124"/>
      <c r="GE480" s="124"/>
      <c r="GF480" s="124"/>
      <c r="GG480" s="124"/>
      <c r="GH480" s="124"/>
      <c r="GI480" s="124"/>
      <c r="GJ480" s="124"/>
      <c r="GK480" s="124"/>
      <c r="GL480" s="124"/>
      <c r="GM480" s="124"/>
      <c r="GN480" s="124"/>
      <c r="GO480" s="124"/>
      <c r="GP480" s="124"/>
      <c r="GQ480" s="124"/>
      <c r="GR480" s="124"/>
      <c r="GS480" s="124"/>
      <c r="GT480" s="124"/>
      <c r="GU480" s="124"/>
      <c r="GV480" s="124"/>
      <c r="GW480" s="124"/>
      <c r="GX480" s="124"/>
      <c r="GY480" s="124"/>
      <c r="GZ480" s="124"/>
      <c r="HA480" s="124"/>
      <c r="HB480" s="124"/>
      <c r="HC480" s="124"/>
      <c r="HD480" s="124"/>
      <c r="HE480" s="124"/>
      <c r="HF480" s="124"/>
      <c r="HG480" s="124"/>
      <c r="HH480" s="124"/>
      <c r="HI480" s="124"/>
      <c r="HJ480" s="124"/>
      <c r="HK480" s="124"/>
      <c r="HL480" s="124"/>
      <c r="HM480" s="124"/>
      <c r="HN480" s="124"/>
      <c r="HO480" s="124"/>
      <c r="HP480" s="124"/>
      <c r="HQ480" s="124"/>
    </row>
    <row r="481" spans="1:225" x14ac:dyDescent="0.2">
      <c r="A481" s="122"/>
      <c r="B481" s="123"/>
      <c r="C481" s="124"/>
      <c r="D481" s="123"/>
      <c r="E481" s="124"/>
      <c r="F481" s="123"/>
      <c r="G481" s="123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/>
      <c r="BB481" s="124"/>
      <c r="BC481" s="124"/>
      <c r="BD481" s="124"/>
      <c r="BE481" s="124"/>
      <c r="BF481" s="124"/>
      <c r="BG481" s="124"/>
      <c r="BH481" s="124"/>
      <c r="BI481" s="124"/>
      <c r="BJ481" s="124"/>
      <c r="BK481" s="124"/>
      <c r="BL481" s="124"/>
      <c r="BM481" s="124"/>
      <c r="BN481" s="124"/>
      <c r="BO481" s="124"/>
      <c r="BP481" s="124"/>
      <c r="BQ481" s="124"/>
      <c r="BR481" s="124"/>
      <c r="BS481" s="124"/>
      <c r="BT481" s="124"/>
      <c r="BU481" s="124"/>
      <c r="BV481" s="124"/>
      <c r="BW481" s="124"/>
      <c r="BX481" s="124"/>
      <c r="BY481" s="124"/>
      <c r="BZ481" s="124"/>
      <c r="CA481" s="124"/>
      <c r="CB481" s="124"/>
      <c r="CC481" s="124"/>
      <c r="CD481" s="124"/>
      <c r="CE481" s="124"/>
      <c r="CF481" s="124"/>
      <c r="CG481" s="124"/>
      <c r="CH481" s="124"/>
      <c r="CI481" s="124"/>
      <c r="CJ481" s="124"/>
      <c r="CK481" s="124"/>
      <c r="CL481" s="124"/>
      <c r="CM481" s="124"/>
      <c r="CN481" s="124"/>
      <c r="CO481" s="124"/>
      <c r="CP481" s="124"/>
      <c r="CQ481" s="124"/>
      <c r="CR481" s="124"/>
      <c r="CS481" s="124"/>
      <c r="CT481" s="124"/>
      <c r="CU481" s="124"/>
      <c r="CV481" s="124"/>
      <c r="CW481" s="124"/>
      <c r="CX481" s="124"/>
      <c r="CY481" s="124"/>
      <c r="CZ481" s="124"/>
      <c r="DA481" s="124"/>
      <c r="DB481" s="124"/>
      <c r="DC481" s="124"/>
      <c r="DD481" s="124"/>
      <c r="DE481" s="124"/>
      <c r="DF481" s="124"/>
      <c r="DG481" s="124"/>
      <c r="DH481" s="124"/>
      <c r="DI481" s="124"/>
      <c r="DJ481" s="124"/>
      <c r="DK481" s="124"/>
      <c r="DL481" s="124"/>
      <c r="DM481" s="124"/>
      <c r="DN481" s="124"/>
      <c r="DO481" s="124"/>
      <c r="DP481" s="124"/>
      <c r="DQ481" s="124"/>
      <c r="DR481" s="124"/>
      <c r="DS481" s="124"/>
      <c r="DT481" s="124"/>
      <c r="DU481" s="124"/>
      <c r="DV481" s="124"/>
      <c r="DW481" s="124"/>
      <c r="DX481" s="124"/>
      <c r="DY481" s="124"/>
      <c r="DZ481" s="124"/>
      <c r="EA481" s="124"/>
      <c r="EB481" s="124"/>
      <c r="EC481" s="124"/>
      <c r="ED481" s="124"/>
      <c r="EE481" s="124"/>
      <c r="EF481" s="124"/>
      <c r="EG481" s="124"/>
      <c r="EH481" s="124"/>
      <c r="EI481" s="124"/>
      <c r="EJ481" s="124"/>
      <c r="EK481" s="124"/>
      <c r="EL481" s="124"/>
      <c r="EM481" s="124"/>
      <c r="EN481" s="124"/>
      <c r="EO481" s="124"/>
      <c r="EP481" s="124"/>
      <c r="EQ481" s="124"/>
      <c r="ER481" s="124"/>
      <c r="ES481" s="124"/>
      <c r="ET481" s="124"/>
      <c r="EU481" s="124"/>
      <c r="EV481" s="124"/>
      <c r="EW481" s="124"/>
      <c r="EX481" s="124"/>
      <c r="EY481" s="124"/>
      <c r="EZ481" s="124"/>
      <c r="FA481" s="124"/>
      <c r="FB481" s="124"/>
      <c r="FC481" s="124"/>
      <c r="FD481" s="124"/>
      <c r="FE481" s="124"/>
      <c r="FF481" s="124"/>
      <c r="FG481" s="124"/>
      <c r="FH481" s="124"/>
      <c r="FI481" s="124"/>
      <c r="FJ481" s="124"/>
      <c r="FK481" s="124"/>
      <c r="FL481" s="124"/>
      <c r="FM481" s="124"/>
      <c r="FN481" s="124"/>
      <c r="FO481" s="124"/>
      <c r="FP481" s="124"/>
      <c r="FQ481" s="124"/>
      <c r="FR481" s="124"/>
      <c r="FS481" s="124"/>
      <c r="FT481" s="124"/>
      <c r="FU481" s="124"/>
      <c r="FV481" s="124"/>
      <c r="FW481" s="124"/>
      <c r="FX481" s="124"/>
      <c r="FY481" s="124"/>
      <c r="FZ481" s="124"/>
      <c r="GA481" s="124"/>
      <c r="GB481" s="124"/>
      <c r="GC481" s="124"/>
      <c r="GD481" s="124"/>
      <c r="GE481" s="124"/>
      <c r="GF481" s="124"/>
      <c r="GG481" s="124"/>
      <c r="GH481" s="124"/>
      <c r="GI481" s="124"/>
      <c r="GJ481" s="124"/>
      <c r="GK481" s="124"/>
      <c r="GL481" s="124"/>
      <c r="GM481" s="124"/>
      <c r="GN481" s="124"/>
      <c r="GO481" s="124"/>
      <c r="GP481" s="124"/>
      <c r="GQ481" s="124"/>
      <c r="GR481" s="124"/>
      <c r="GS481" s="124"/>
      <c r="GT481" s="124"/>
      <c r="GU481" s="124"/>
      <c r="GV481" s="124"/>
      <c r="GW481" s="124"/>
      <c r="GX481" s="124"/>
      <c r="GY481" s="124"/>
      <c r="GZ481" s="124"/>
      <c r="HA481" s="124"/>
      <c r="HB481" s="124"/>
      <c r="HC481" s="124"/>
      <c r="HD481" s="124"/>
      <c r="HE481" s="124"/>
      <c r="HF481" s="124"/>
      <c r="HG481" s="124"/>
      <c r="HH481" s="124"/>
      <c r="HI481" s="124"/>
      <c r="HJ481" s="124"/>
      <c r="HK481" s="124"/>
      <c r="HL481" s="124"/>
      <c r="HM481" s="124"/>
      <c r="HN481" s="124"/>
      <c r="HO481" s="124"/>
      <c r="HP481" s="124"/>
      <c r="HQ481" s="124"/>
    </row>
    <row r="482" spans="1:225" x14ac:dyDescent="0.2">
      <c r="A482" s="122"/>
      <c r="B482" s="123"/>
      <c r="C482" s="124"/>
      <c r="D482" s="123"/>
      <c r="E482" s="124"/>
      <c r="F482" s="123"/>
      <c r="G482" s="123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  <c r="AT482" s="124"/>
      <c r="AU482" s="124"/>
      <c r="AV482" s="124"/>
      <c r="AW482" s="124"/>
      <c r="AX482" s="124"/>
      <c r="AY482" s="124"/>
      <c r="AZ482" s="124"/>
      <c r="BA482" s="124"/>
      <c r="BB482" s="124"/>
      <c r="BC482" s="124"/>
      <c r="BD482" s="124"/>
      <c r="BE482" s="124"/>
      <c r="BF482" s="124"/>
      <c r="BG482" s="124"/>
      <c r="BH482" s="124"/>
      <c r="BI482" s="124"/>
      <c r="BJ482" s="124"/>
      <c r="BK482" s="124"/>
      <c r="BL482" s="124"/>
      <c r="BM482" s="124"/>
      <c r="BN482" s="124"/>
      <c r="BO482" s="124"/>
      <c r="BP482" s="124"/>
      <c r="BQ482" s="124"/>
      <c r="BR482" s="124"/>
      <c r="BS482" s="124"/>
      <c r="BT482" s="124"/>
      <c r="BU482" s="124"/>
      <c r="BV482" s="124"/>
      <c r="BW482" s="124"/>
      <c r="BX482" s="124"/>
      <c r="BY482" s="124"/>
      <c r="BZ482" s="124"/>
      <c r="CA482" s="124"/>
      <c r="CB482" s="124"/>
      <c r="CC482" s="124"/>
      <c r="CD482" s="124"/>
      <c r="CE482" s="124"/>
      <c r="CF482" s="124"/>
      <c r="CG482" s="124"/>
      <c r="CH482" s="124"/>
      <c r="CI482" s="124"/>
      <c r="CJ482" s="124"/>
      <c r="CK482" s="124"/>
      <c r="CL482" s="124"/>
      <c r="CM482" s="124"/>
      <c r="CN482" s="124"/>
      <c r="CO482" s="124"/>
      <c r="CP482" s="124"/>
      <c r="CQ482" s="124"/>
      <c r="CR482" s="124"/>
      <c r="CS482" s="124"/>
      <c r="CT482" s="124"/>
      <c r="CU482" s="124"/>
      <c r="CV482" s="124"/>
      <c r="CW482" s="124"/>
      <c r="CX482" s="124"/>
      <c r="CY482" s="124"/>
      <c r="CZ482" s="124"/>
      <c r="DA482" s="124"/>
      <c r="DB482" s="124"/>
      <c r="DC482" s="124"/>
      <c r="DD482" s="124"/>
      <c r="DE482" s="124"/>
      <c r="DF482" s="124"/>
      <c r="DG482" s="124"/>
      <c r="DH482" s="124"/>
      <c r="DI482" s="124"/>
      <c r="DJ482" s="124"/>
      <c r="DK482" s="124"/>
      <c r="DL482" s="124"/>
      <c r="DM482" s="124"/>
      <c r="DN482" s="124"/>
      <c r="DO482" s="124"/>
      <c r="DP482" s="124"/>
      <c r="DQ482" s="124"/>
      <c r="DR482" s="124"/>
      <c r="DS482" s="124"/>
      <c r="DT482" s="124"/>
      <c r="DU482" s="124"/>
      <c r="DV482" s="124"/>
      <c r="DW482" s="124"/>
      <c r="DX482" s="124"/>
      <c r="DY482" s="124"/>
      <c r="DZ482" s="124"/>
      <c r="EA482" s="124"/>
      <c r="EB482" s="124"/>
      <c r="EC482" s="124"/>
      <c r="ED482" s="124"/>
      <c r="EE482" s="124"/>
      <c r="EF482" s="124"/>
      <c r="EG482" s="124"/>
      <c r="EH482" s="124"/>
      <c r="EI482" s="124"/>
      <c r="EJ482" s="124"/>
      <c r="EK482" s="124"/>
      <c r="EL482" s="124"/>
      <c r="EM482" s="124"/>
      <c r="EN482" s="124"/>
      <c r="EO482" s="124"/>
      <c r="EP482" s="124"/>
      <c r="EQ482" s="124"/>
      <c r="ER482" s="124"/>
      <c r="ES482" s="124"/>
      <c r="ET482" s="124"/>
      <c r="EU482" s="124"/>
      <c r="EV482" s="124"/>
      <c r="EW482" s="124"/>
      <c r="EX482" s="124"/>
      <c r="EY482" s="124"/>
      <c r="EZ482" s="124"/>
      <c r="FA482" s="124"/>
      <c r="FB482" s="124"/>
      <c r="FC482" s="124"/>
      <c r="FD482" s="124"/>
      <c r="FE482" s="124"/>
      <c r="FF482" s="124"/>
      <c r="FG482" s="124"/>
      <c r="FH482" s="124"/>
      <c r="FI482" s="124"/>
      <c r="FJ482" s="124"/>
      <c r="FK482" s="124"/>
      <c r="FL482" s="124"/>
      <c r="FM482" s="124"/>
      <c r="FN482" s="124"/>
      <c r="FO482" s="124"/>
      <c r="FP482" s="124"/>
      <c r="FQ482" s="124"/>
      <c r="FR482" s="124"/>
      <c r="FS482" s="124"/>
      <c r="FT482" s="124"/>
      <c r="FU482" s="124"/>
      <c r="FV482" s="124"/>
      <c r="FW482" s="124"/>
      <c r="FX482" s="124"/>
      <c r="FY482" s="124"/>
      <c r="FZ482" s="124"/>
      <c r="GA482" s="124"/>
      <c r="GB482" s="124"/>
      <c r="GC482" s="124"/>
      <c r="GD482" s="124"/>
      <c r="GE482" s="124"/>
      <c r="GF482" s="124"/>
      <c r="GG482" s="124"/>
      <c r="GH482" s="124"/>
      <c r="GI482" s="124"/>
      <c r="GJ482" s="124"/>
      <c r="GK482" s="124"/>
      <c r="GL482" s="124"/>
      <c r="GM482" s="124"/>
      <c r="GN482" s="124"/>
      <c r="GO482" s="124"/>
      <c r="GP482" s="124"/>
      <c r="GQ482" s="124"/>
      <c r="GR482" s="124"/>
      <c r="GS482" s="124"/>
      <c r="GT482" s="124"/>
      <c r="GU482" s="124"/>
      <c r="GV482" s="124"/>
      <c r="GW482" s="124"/>
      <c r="GX482" s="124"/>
      <c r="GY482" s="124"/>
      <c r="GZ482" s="124"/>
      <c r="HA482" s="124"/>
      <c r="HB482" s="124"/>
      <c r="HC482" s="124"/>
      <c r="HD482" s="124"/>
      <c r="HE482" s="124"/>
      <c r="HF482" s="124"/>
      <c r="HG482" s="124"/>
      <c r="HH482" s="124"/>
      <c r="HI482" s="124"/>
      <c r="HJ482" s="124"/>
      <c r="HK482" s="124"/>
      <c r="HL482" s="124"/>
      <c r="HM482" s="124"/>
      <c r="HN482" s="124"/>
      <c r="HO482" s="124"/>
      <c r="HP482" s="124"/>
      <c r="HQ482" s="124"/>
    </row>
    <row r="483" spans="1:225" x14ac:dyDescent="0.2">
      <c r="A483" s="122"/>
      <c r="B483" s="123"/>
      <c r="C483" s="124"/>
      <c r="D483" s="123"/>
      <c r="E483" s="124"/>
      <c r="F483" s="123"/>
      <c r="G483" s="123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  <c r="AT483" s="124"/>
      <c r="AU483" s="124"/>
      <c r="AV483" s="124"/>
      <c r="AW483" s="124"/>
      <c r="AX483" s="124"/>
      <c r="AY483" s="124"/>
      <c r="AZ483" s="124"/>
      <c r="BA483" s="124"/>
      <c r="BB483" s="124"/>
      <c r="BC483" s="124"/>
      <c r="BD483" s="124"/>
      <c r="BE483" s="124"/>
      <c r="BF483" s="124"/>
      <c r="BG483" s="124"/>
      <c r="BH483" s="124"/>
      <c r="BI483" s="124"/>
      <c r="BJ483" s="124"/>
      <c r="BK483" s="124"/>
      <c r="BL483" s="124"/>
      <c r="BM483" s="124"/>
      <c r="BN483" s="124"/>
      <c r="BO483" s="124"/>
      <c r="BP483" s="124"/>
      <c r="BQ483" s="124"/>
      <c r="BR483" s="124"/>
      <c r="BS483" s="124"/>
      <c r="BT483" s="124"/>
      <c r="BU483" s="124"/>
      <c r="BV483" s="124"/>
      <c r="BW483" s="124"/>
      <c r="BX483" s="124"/>
      <c r="BY483" s="124"/>
      <c r="BZ483" s="124"/>
      <c r="CA483" s="124"/>
      <c r="CB483" s="124"/>
      <c r="CC483" s="124"/>
      <c r="CD483" s="124"/>
      <c r="CE483" s="124"/>
      <c r="CF483" s="124"/>
      <c r="CG483" s="124"/>
      <c r="CH483" s="124"/>
      <c r="CI483" s="124"/>
      <c r="CJ483" s="124"/>
      <c r="CK483" s="124"/>
      <c r="CL483" s="124"/>
      <c r="CM483" s="124"/>
      <c r="CN483" s="124"/>
      <c r="CO483" s="124"/>
      <c r="CP483" s="124"/>
      <c r="CQ483" s="124"/>
      <c r="CR483" s="124"/>
      <c r="CS483" s="124"/>
      <c r="CT483" s="124"/>
      <c r="CU483" s="124"/>
      <c r="CV483" s="124"/>
      <c r="CW483" s="124"/>
      <c r="CX483" s="124"/>
      <c r="CY483" s="124"/>
      <c r="CZ483" s="124"/>
      <c r="DA483" s="124"/>
      <c r="DB483" s="124"/>
      <c r="DC483" s="124"/>
      <c r="DD483" s="124"/>
      <c r="DE483" s="124"/>
      <c r="DF483" s="124"/>
      <c r="DG483" s="124"/>
      <c r="DH483" s="124"/>
      <c r="DI483" s="124"/>
      <c r="DJ483" s="124"/>
      <c r="DK483" s="124"/>
      <c r="DL483" s="124"/>
      <c r="DM483" s="124"/>
      <c r="DN483" s="124"/>
      <c r="DO483" s="124"/>
      <c r="DP483" s="124"/>
      <c r="DQ483" s="124"/>
      <c r="DR483" s="124"/>
      <c r="DS483" s="124"/>
      <c r="DT483" s="124"/>
      <c r="DU483" s="124"/>
      <c r="DV483" s="124"/>
      <c r="DW483" s="124"/>
      <c r="DX483" s="124"/>
      <c r="DY483" s="124"/>
      <c r="DZ483" s="124"/>
      <c r="EA483" s="124"/>
      <c r="EB483" s="124"/>
      <c r="EC483" s="124"/>
      <c r="ED483" s="124"/>
      <c r="EE483" s="124"/>
      <c r="EF483" s="124"/>
      <c r="EG483" s="124"/>
      <c r="EH483" s="124"/>
      <c r="EI483" s="124"/>
      <c r="EJ483" s="124"/>
      <c r="EK483" s="124"/>
      <c r="EL483" s="124"/>
      <c r="EM483" s="124"/>
      <c r="EN483" s="124"/>
      <c r="EO483" s="124"/>
      <c r="EP483" s="124"/>
      <c r="EQ483" s="124"/>
      <c r="ER483" s="124"/>
      <c r="ES483" s="124"/>
      <c r="ET483" s="124"/>
      <c r="EU483" s="124"/>
      <c r="EV483" s="124"/>
      <c r="EW483" s="124"/>
      <c r="EX483" s="124"/>
      <c r="EY483" s="124"/>
      <c r="EZ483" s="124"/>
      <c r="FA483" s="124"/>
      <c r="FB483" s="124"/>
      <c r="FC483" s="124"/>
      <c r="FD483" s="124"/>
      <c r="FE483" s="124"/>
      <c r="FF483" s="124"/>
      <c r="FG483" s="124"/>
      <c r="FH483" s="124"/>
      <c r="FI483" s="124"/>
      <c r="FJ483" s="124"/>
      <c r="FK483" s="124"/>
      <c r="FL483" s="124"/>
      <c r="FM483" s="124"/>
      <c r="FN483" s="124"/>
      <c r="FO483" s="124"/>
      <c r="FP483" s="124"/>
      <c r="FQ483" s="124"/>
      <c r="FR483" s="124"/>
      <c r="FS483" s="124"/>
      <c r="FT483" s="124"/>
      <c r="FU483" s="124"/>
      <c r="FV483" s="124"/>
      <c r="FW483" s="124"/>
      <c r="FX483" s="124"/>
      <c r="FY483" s="124"/>
      <c r="FZ483" s="124"/>
      <c r="GA483" s="124"/>
      <c r="GB483" s="124"/>
      <c r="GC483" s="124"/>
      <c r="GD483" s="124"/>
      <c r="GE483" s="124"/>
      <c r="GF483" s="124"/>
      <c r="GG483" s="124"/>
      <c r="GH483" s="124"/>
      <c r="GI483" s="124"/>
      <c r="GJ483" s="124"/>
      <c r="GK483" s="124"/>
      <c r="GL483" s="124"/>
      <c r="GM483" s="124"/>
      <c r="GN483" s="124"/>
      <c r="GO483" s="124"/>
      <c r="GP483" s="124"/>
      <c r="GQ483" s="124"/>
      <c r="GR483" s="124"/>
      <c r="GS483" s="124"/>
      <c r="GT483" s="124"/>
      <c r="GU483" s="124"/>
      <c r="GV483" s="124"/>
      <c r="GW483" s="124"/>
      <c r="GX483" s="124"/>
      <c r="GY483" s="124"/>
      <c r="GZ483" s="124"/>
      <c r="HA483" s="124"/>
      <c r="HB483" s="124"/>
      <c r="HC483" s="124"/>
      <c r="HD483" s="124"/>
      <c r="HE483" s="124"/>
      <c r="HF483" s="124"/>
      <c r="HG483" s="124"/>
      <c r="HH483" s="124"/>
      <c r="HI483" s="124"/>
      <c r="HJ483" s="124"/>
      <c r="HK483" s="124"/>
      <c r="HL483" s="124"/>
      <c r="HM483" s="124"/>
      <c r="HN483" s="124"/>
      <c r="HO483" s="124"/>
      <c r="HP483" s="124"/>
      <c r="HQ483" s="124"/>
    </row>
    <row r="484" spans="1:225" x14ac:dyDescent="0.2">
      <c r="A484" s="122"/>
      <c r="B484" s="123"/>
      <c r="C484" s="124"/>
      <c r="D484" s="123"/>
      <c r="E484" s="124"/>
      <c r="F484" s="123"/>
      <c r="G484" s="123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  <c r="AU484" s="124"/>
      <c r="AV484" s="124"/>
      <c r="AW484" s="124"/>
      <c r="AX484" s="124"/>
      <c r="AY484" s="124"/>
      <c r="AZ484" s="124"/>
      <c r="BA484" s="124"/>
      <c r="BB484" s="124"/>
      <c r="BC484" s="124"/>
      <c r="BD484" s="124"/>
      <c r="BE484" s="124"/>
      <c r="BF484" s="124"/>
      <c r="BG484" s="124"/>
      <c r="BH484" s="124"/>
      <c r="BI484" s="124"/>
      <c r="BJ484" s="124"/>
      <c r="BK484" s="124"/>
      <c r="BL484" s="124"/>
      <c r="BM484" s="124"/>
      <c r="BN484" s="124"/>
      <c r="BO484" s="124"/>
      <c r="BP484" s="124"/>
      <c r="BQ484" s="124"/>
      <c r="BR484" s="124"/>
      <c r="BS484" s="124"/>
      <c r="BT484" s="124"/>
      <c r="BU484" s="124"/>
      <c r="BV484" s="124"/>
      <c r="BW484" s="124"/>
      <c r="BX484" s="124"/>
      <c r="BY484" s="124"/>
      <c r="BZ484" s="124"/>
      <c r="CA484" s="124"/>
      <c r="CB484" s="124"/>
      <c r="CC484" s="124"/>
      <c r="CD484" s="124"/>
      <c r="CE484" s="124"/>
      <c r="CF484" s="124"/>
      <c r="CG484" s="124"/>
      <c r="CH484" s="124"/>
      <c r="CI484" s="124"/>
      <c r="CJ484" s="124"/>
      <c r="CK484" s="124"/>
      <c r="CL484" s="124"/>
      <c r="CM484" s="124"/>
      <c r="CN484" s="124"/>
      <c r="CO484" s="124"/>
      <c r="CP484" s="124"/>
      <c r="CQ484" s="124"/>
      <c r="CR484" s="124"/>
      <c r="CS484" s="124"/>
      <c r="CT484" s="124"/>
      <c r="CU484" s="124"/>
      <c r="CV484" s="124"/>
      <c r="CW484" s="124"/>
      <c r="CX484" s="124"/>
      <c r="CY484" s="124"/>
      <c r="CZ484" s="124"/>
      <c r="DA484" s="124"/>
      <c r="DB484" s="124"/>
      <c r="DC484" s="124"/>
      <c r="DD484" s="124"/>
      <c r="DE484" s="124"/>
      <c r="DF484" s="124"/>
      <c r="DG484" s="124"/>
      <c r="DH484" s="124"/>
      <c r="DI484" s="124"/>
      <c r="DJ484" s="124"/>
      <c r="DK484" s="124"/>
      <c r="DL484" s="124"/>
      <c r="DM484" s="124"/>
      <c r="DN484" s="124"/>
      <c r="DO484" s="124"/>
      <c r="DP484" s="124"/>
      <c r="DQ484" s="124"/>
      <c r="DR484" s="124"/>
      <c r="DS484" s="124"/>
      <c r="DT484" s="124"/>
      <c r="DU484" s="124"/>
      <c r="DV484" s="124"/>
      <c r="DW484" s="124"/>
      <c r="DX484" s="124"/>
      <c r="DY484" s="124"/>
      <c r="DZ484" s="124"/>
      <c r="EA484" s="124"/>
      <c r="EB484" s="124"/>
      <c r="EC484" s="124"/>
      <c r="ED484" s="124"/>
      <c r="EE484" s="124"/>
      <c r="EF484" s="124"/>
      <c r="EG484" s="124"/>
      <c r="EH484" s="124"/>
      <c r="EI484" s="124"/>
      <c r="EJ484" s="124"/>
      <c r="EK484" s="124"/>
      <c r="EL484" s="124"/>
      <c r="EM484" s="124"/>
      <c r="EN484" s="124"/>
      <c r="EO484" s="124"/>
      <c r="EP484" s="124"/>
      <c r="EQ484" s="124"/>
      <c r="ER484" s="124"/>
      <c r="ES484" s="124"/>
      <c r="ET484" s="124"/>
      <c r="EU484" s="124"/>
      <c r="EV484" s="124"/>
      <c r="EW484" s="124"/>
      <c r="EX484" s="124"/>
      <c r="EY484" s="124"/>
      <c r="EZ484" s="124"/>
      <c r="FA484" s="124"/>
      <c r="FB484" s="124"/>
      <c r="FC484" s="124"/>
      <c r="FD484" s="124"/>
      <c r="FE484" s="124"/>
      <c r="FF484" s="124"/>
      <c r="FG484" s="124"/>
      <c r="FH484" s="124"/>
      <c r="FI484" s="124"/>
      <c r="FJ484" s="124"/>
      <c r="FK484" s="124"/>
      <c r="FL484" s="124"/>
      <c r="FM484" s="124"/>
      <c r="FN484" s="124"/>
      <c r="FO484" s="124"/>
      <c r="FP484" s="124"/>
      <c r="FQ484" s="124"/>
      <c r="FR484" s="124"/>
      <c r="FS484" s="124"/>
      <c r="FT484" s="124"/>
      <c r="FU484" s="124"/>
      <c r="FV484" s="124"/>
      <c r="FW484" s="124"/>
      <c r="FX484" s="124"/>
      <c r="FY484" s="124"/>
      <c r="FZ484" s="124"/>
      <c r="GA484" s="124"/>
      <c r="GB484" s="124"/>
      <c r="GC484" s="124"/>
      <c r="GD484" s="124"/>
      <c r="GE484" s="124"/>
      <c r="GF484" s="124"/>
      <c r="GG484" s="124"/>
      <c r="GH484" s="124"/>
      <c r="GI484" s="124"/>
      <c r="GJ484" s="124"/>
      <c r="GK484" s="124"/>
      <c r="GL484" s="124"/>
      <c r="GM484" s="124"/>
      <c r="GN484" s="124"/>
      <c r="GO484" s="124"/>
      <c r="GP484" s="124"/>
      <c r="GQ484" s="124"/>
      <c r="GR484" s="124"/>
      <c r="GS484" s="124"/>
      <c r="GT484" s="124"/>
      <c r="GU484" s="124"/>
      <c r="GV484" s="124"/>
      <c r="GW484" s="124"/>
      <c r="GX484" s="124"/>
      <c r="GY484" s="124"/>
      <c r="GZ484" s="124"/>
      <c r="HA484" s="124"/>
      <c r="HB484" s="124"/>
      <c r="HC484" s="124"/>
      <c r="HD484" s="124"/>
      <c r="HE484" s="124"/>
      <c r="HF484" s="124"/>
      <c r="HG484" s="124"/>
      <c r="HH484" s="124"/>
      <c r="HI484" s="124"/>
      <c r="HJ484" s="124"/>
      <c r="HK484" s="124"/>
      <c r="HL484" s="124"/>
      <c r="HM484" s="124"/>
      <c r="HN484" s="124"/>
      <c r="HO484" s="124"/>
      <c r="HP484" s="124"/>
      <c r="HQ484" s="124"/>
    </row>
    <row r="485" spans="1:225" x14ac:dyDescent="0.2">
      <c r="A485" s="122"/>
      <c r="B485" s="123"/>
      <c r="C485" s="124"/>
      <c r="D485" s="123"/>
      <c r="E485" s="124"/>
      <c r="F485" s="123"/>
      <c r="G485" s="123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4"/>
      <c r="BH485" s="124"/>
      <c r="BI485" s="124"/>
      <c r="BJ485" s="124"/>
      <c r="BK485" s="124"/>
      <c r="BL485" s="124"/>
      <c r="BM485" s="124"/>
      <c r="BN485" s="124"/>
      <c r="BO485" s="124"/>
      <c r="BP485" s="124"/>
      <c r="BQ485" s="124"/>
      <c r="BR485" s="124"/>
      <c r="BS485" s="124"/>
      <c r="BT485" s="124"/>
      <c r="BU485" s="124"/>
      <c r="BV485" s="124"/>
      <c r="BW485" s="124"/>
      <c r="BX485" s="124"/>
      <c r="BY485" s="124"/>
      <c r="BZ485" s="124"/>
      <c r="CA485" s="124"/>
      <c r="CB485" s="124"/>
      <c r="CC485" s="124"/>
      <c r="CD485" s="124"/>
      <c r="CE485" s="124"/>
      <c r="CF485" s="124"/>
      <c r="CG485" s="124"/>
      <c r="CH485" s="124"/>
      <c r="CI485" s="124"/>
      <c r="CJ485" s="124"/>
      <c r="CK485" s="124"/>
      <c r="CL485" s="124"/>
      <c r="CM485" s="124"/>
      <c r="CN485" s="124"/>
      <c r="CO485" s="124"/>
      <c r="CP485" s="124"/>
      <c r="CQ485" s="124"/>
      <c r="CR485" s="124"/>
      <c r="CS485" s="124"/>
      <c r="CT485" s="124"/>
      <c r="CU485" s="124"/>
      <c r="CV485" s="124"/>
      <c r="CW485" s="124"/>
      <c r="CX485" s="124"/>
      <c r="CY485" s="124"/>
      <c r="CZ485" s="124"/>
      <c r="DA485" s="124"/>
      <c r="DB485" s="124"/>
      <c r="DC485" s="124"/>
      <c r="DD485" s="124"/>
      <c r="DE485" s="124"/>
      <c r="DF485" s="124"/>
      <c r="DG485" s="124"/>
      <c r="DH485" s="124"/>
      <c r="DI485" s="124"/>
      <c r="DJ485" s="124"/>
      <c r="DK485" s="124"/>
      <c r="DL485" s="124"/>
      <c r="DM485" s="124"/>
      <c r="DN485" s="124"/>
      <c r="DO485" s="124"/>
      <c r="DP485" s="124"/>
      <c r="DQ485" s="124"/>
      <c r="DR485" s="124"/>
      <c r="DS485" s="124"/>
      <c r="DT485" s="124"/>
      <c r="DU485" s="124"/>
      <c r="DV485" s="124"/>
      <c r="DW485" s="124"/>
      <c r="DX485" s="124"/>
      <c r="DY485" s="124"/>
      <c r="DZ485" s="124"/>
      <c r="EA485" s="124"/>
      <c r="EB485" s="124"/>
      <c r="EC485" s="124"/>
      <c r="ED485" s="124"/>
      <c r="EE485" s="124"/>
      <c r="EF485" s="124"/>
      <c r="EG485" s="124"/>
      <c r="EH485" s="124"/>
      <c r="EI485" s="124"/>
      <c r="EJ485" s="124"/>
      <c r="EK485" s="124"/>
      <c r="EL485" s="124"/>
      <c r="EM485" s="124"/>
      <c r="EN485" s="124"/>
      <c r="EO485" s="124"/>
      <c r="EP485" s="124"/>
      <c r="EQ485" s="124"/>
      <c r="ER485" s="124"/>
      <c r="ES485" s="124"/>
      <c r="ET485" s="124"/>
      <c r="EU485" s="124"/>
      <c r="EV485" s="124"/>
      <c r="EW485" s="124"/>
      <c r="EX485" s="124"/>
      <c r="EY485" s="124"/>
      <c r="EZ485" s="124"/>
      <c r="FA485" s="124"/>
      <c r="FB485" s="124"/>
      <c r="FC485" s="124"/>
      <c r="FD485" s="124"/>
      <c r="FE485" s="124"/>
      <c r="FF485" s="124"/>
      <c r="FG485" s="124"/>
      <c r="FH485" s="124"/>
      <c r="FI485" s="124"/>
      <c r="FJ485" s="124"/>
      <c r="FK485" s="124"/>
      <c r="FL485" s="124"/>
      <c r="FM485" s="124"/>
      <c r="FN485" s="124"/>
      <c r="FO485" s="124"/>
      <c r="FP485" s="124"/>
      <c r="FQ485" s="124"/>
      <c r="FR485" s="124"/>
      <c r="FS485" s="124"/>
      <c r="FT485" s="124"/>
      <c r="FU485" s="124"/>
      <c r="FV485" s="124"/>
      <c r="FW485" s="124"/>
      <c r="FX485" s="124"/>
      <c r="FY485" s="124"/>
      <c r="FZ485" s="124"/>
      <c r="GA485" s="124"/>
      <c r="GB485" s="124"/>
      <c r="GC485" s="124"/>
      <c r="GD485" s="124"/>
      <c r="GE485" s="124"/>
      <c r="GF485" s="124"/>
      <c r="GG485" s="124"/>
      <c r="GH485" s="124"/>
      <c r="GI485" s="124"/>
      <c r="GJ485" s="124"/>
      <c r="GK485" s="124"/>
      <c r="GL485" s="124"/>
      <c r="GM485" s="124"/>
      <c r="GN485" s="124"/>
      <c r="GO485" s="124"/>
      <c r="GP485" s="124"/>
      <c r="GQ485" s="124"/>
      <c r="GR485" s="124"/>
      <c r="GS485" s="124"/>
      <c r="GT485" s="124"/>
      <c r="GU485" s="124"/>
      <c r="GV485" s="124"/>
      <c r="GW485" s="124"/>
      <c r="GX485" s="124"/>
      <c r="GY485" s="124"/>
      <c r="GZ485" s="124"/>
      <c r="HA485" s="124"/>
      <c r="HB485" s="124"/>
      <c r="HC485" s="124"/>
      <c r="HD485" s="124"/>
      <c r="HE485" s="124"/>
      <c r="HF485" s="124"/>
      <c r="HG485" s="124"/>
      <c r="HH485" s="124"/>
      <c r="HI485" s="124"/>
      <c r="HJ485" s="124"/>
      <c r="HK485" s="124"/>
      <c r="HL485" s="124"/>
      <c r="HM485" s="124"/>
      <c r="HN485" s="124"/>
      <c r="HO485" s="124"/>
      <c r="HP485" s="124"/>
      <c r="HQ485" s="124"/>
    </row>
    <row r="486" spans="1:225" x14ac:dyDescent="0.2">
      <c r="A486" s="122"/>
      <c r="B486" s="123"/>
      <c r="C486" s="124"/>
      <c r="D486" s="123"/>
      <c r="E486" s="124"/>
      <c r="F486" s="123"/>
      <c r="G486" s="123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  <c r="AU486" s="124"/>
      <c r="AV486" s="124"/>
      <c r="AW486" s="124"/>
      <c r="AX486" s="124"/>
      <c r="AY486" s="124"/>
      <c r="AZ486" s="124"/>
      <c r="BA486" s="124"/>
      <c r="BB486" s="124"/>
      <c r="BC486" s="124"/>
      <c r="BD486" s="124"/>
      <c r="BE486" s="124"/>
      <c r="BF486" s="124"/>
      <c r="BG486" s="124"/>
      <c r="BH486" s="124"/>
      <c r="BI486" s="124"/>
      <c r="BJ486" s="124"/>
      <c r="BK486" s="124"/>
      <c r="BL486" s="124"/>
      <c r="BM486" s="124"/>
      <c r="BN486" s="124"/>
      <c r="BO486" s="124"/>
      <c r="BP486" s="124"/>
      <c r="BQ486" s="124"/>
      <c r="BR486" s="124"/>
      <c r="BS486" s="124"/>
      <c r="BT486" s="124"/>
      <c r="BU486" s="124"/>
      <c r="BV486" s="124"/>
      <c r="BW486" s="124"/>
      <c r="BX486" s="124"/>
      <c r="BY486" s="124"/>
      <c r="BZ486" s="124"/>
      <c r="CA486" s="124"/>
      <c r="CB486" s="124"/>
      <c r="CC486" s="124"/>
      <c r="CD486" s="124"/>
      <c r="CE486" s="124"/>
      <c r="CF486" s="124"/>
      <c r="CG486" s="124"/>
      <c r="CH486" s="124"/>
      <c r="CI486" s="124"/>
      <c r="CJ486" s="124"/>
      <c r="CK486" s="124"/>
      <c r="CL486" s="124"/>
      <c r="CM486" s="124"/>
      <c r="CN486" s="124"/>
      <c r="CO486" s="124"/>
      <c r="CP486" s="124"/>
      <c r="CQ486" s="124"/>
      <c r="CR486" s="124"/>
      <c r="CS486" s="124"/>
      <c r="CT486" s="124"/>
      <c r="CU486" s="124"/>
      <c r="CV486" s="124"/>
      <c r="CW486" s="124"/>
      <c r="CX486" s="124"/>
      <c r="CY486" s="124"/>
      <c r="CZ486" s="124"/>
      <c r="DA486" s="124"/>
      <c r="DB486" s="124"/>
      <c r="DC486" s="124"/>
      <c r="DD486" s="124"/>
      <c r="DE486" s="124"/>
      <c r="DF486" s="124"/>
      <c r="DG486" s="124"/>
      <c r="DH486" s="124"/>
      <c r="DI486" s="124"/>
      <c r="DJ486" s="124"/>
      <c r="DK486" s="124"/>
      <c r="DL486" s="124"/>
      <c r="DM486" s="124"/>
      <c r="DN486" s="124"/>
      <c r="DO486" s="124"/>
      <c r="DP486" s="124"/>
      <c r="DQ486" s="124"/>
      <c r="DR486" s="124"/>
      <c r="DS486" s="124"/>
      <c r="DT486" s="124"/>
      <c r="DU486" s="124"/>
      <c r="DV486" s="124"/>
      <c r="DW486" s="124"/>
      <c r="DX486" s="124"/>
      <c r="DY486" s="124"/>
      <c r="DZ486" s="124"/>
      <c r="EA486" s="124"/>
      <c r="EB486" s="124"/>
      <c r="EC486" s="124"/>
      <c r="ED486" s="124"/>
      <c r="EE486" s="124"/>
      <c r="EF486" s="124"/>
      <c r="EG486" s="124"/>
      <c r="EH486" s="124"/>
      <c r="EI486" s="124"/>
      <c r="EJ486" s="124"/>
      <c r="EK486" s="124"/>
      <c r="EL486" s="124"/>
      <c r="EM486" s="124"/>
      <c r="EN486" s="124"/>
      <c r="EO486" s="124"/>
      <c r="EP486" s="124"/>
      <c r="EQ486" s="124"/>
      <c r="ER486" s="124"/>
      <c r="ES486" s="124"/>
      <c r="ET486" s="124"/>
      <c r="EU486" s="124"/>
      <c r="EV486" s="124"/>
      <c r="EW486" s="124"/>
      <c r="EX486" s="124"/>
      <c r="EY486" s="124"/>
      <c r="EZ486" s="124"/>
      <c r="FA486" s="124"/>
      <c r="FB486" s="124"/>
      <c r="FC486" s="124"/>
      <c r="FD486" s="124"/>
      <c r="FE486" s="124"/>
      <c r="FF486" s="124"/>
      <c r="FG486" s="124"/>
      <c r="FH486" s="124"/>
      <c r="FI486" s="124"/>
      <c r="FJ486" s="124"/>
      <c r="FK486" s="124"/>
      <c r="FL486" s="124"/>
      <c r="FM486" s="124"/>
      <c r="FN486" s="124"/>
      <c r="FO486" s="124"/>
      <c r="FP486" s="124"/>
      <c r="FQ486" s="124"/>
      <c r="FR486" s="124"/>
      <c r="FS486" s="124"/>
      <c r="FT486" s="124"/>
      <c r="FU486" s="124"/>
      <c r="FV486" s="124"/>
      <c r="FW486" s="124"/>
      <c r="FX486" s="124"/>
      <c r="FY486" s="124"/>
      <c r="FZ486" s="124"/>
      <c r="GA486" s="124"/>
      <c r="GB486" s="124"/>
      <c r="GC486" s="124"/>
      <c r="GD486" s="124"/>
      <c r="GE486" s="124"/>
      <c r="GF486" s="124"/>
      <c r="GG486" s="124"/>
      <c r="GH486" s="124"/>
      <c r="GI486" s="124"/>
      <c r="GJ486" s="124"/>
      <c r="GK486" s="124"/>
      <c r="GL486" s="124"/>
      <c r="GM486" s="124"/>
      <c r="GN486" s="124"/>
      <c r="GO486" s="124"/>
      <c r="GP486" s="124"/>
      <c r="GQ486" s="124"/>
      <c r="GR486" s="124"/>
      <c r="GS486" s="124"/>
      <c r="GT486" s="124"/>
      <c r="GU486" s="124"/>
      <c r="GV486" s="124"/>
      <c r="GW486" s="124"/>
      <c r="GX486" s="124"/>
      <c r="GY486" s="124"/>
      <c r="GZ486" s="124"/>
      <c r="HA486" s="124"/>
      <c r="HB486" s="124"/>
      <c r="HC486" s="124"/>
      <c r="HD486" s="124"/>
      <c r="HE486" s="124"/>
      <c r="HF486" s="124"/>
      <c r="HG486" s="124"/>
      <c r="HH486" s="124"/>
      <c r="HI486" s="124"/>
      <c r="HJ486" s="124"/>
      <c r="HK486" s="124"/>
      <c r="HL486" s="124"/>
      <c r="HM486" s="124"/>
      <c r="HN486" s="124"/>
      <c r="HO486" s="124"/>
      <c r="HP486" s="124"/>
      <c r="HQ486" s="124"/>
    </row>
    <row r="487" spans="1:225" x14ac:dyDescent="0.2">
      <c r="A487" s="122"/>
      <c r="B487" s="123"/>
      <c r="C487" s="124"/>
      <c r="D487" s="123"/>
      <c r="E487" s="124"/>
      <c r="F487" s="123"/>
      <c r="G487" s="123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  <c r="BJ487" s="124"/>
      <c r="BK487" s="124"/>
      <c r="BL487" s="124"/>
      <c r="BM487" s="124"/>
      <c r="BN487" s="124"/>
      <c r="BO487" s="124"/>
      <c r="BP487" s="124"/>
      <c r="BQ487" s="124"/>
      <c r="BR487" s="124"/>
      <c r="BS487" s="124"/>
      <c r="BT487" s="124"/>
      <c r="BU487" s="124"/>
      <c r="BV487" s="124"/>
      <c r="BW487" s="124"/>
      <c r="BX487" s="124"/>
      <c r="BY487" s="124"/>
      <c r="BZ487" s="124"/>
      <c r="CA487" s="124"/>
      <c r="CB487" s="124"/>
      <c r="CC487" s="124"/>
      <c r="CD487" s="124"/>
      <c r="CE487" s="124"/>
      <c r="CF487" s="124"/>
      <c r="CG487" s="124"/>
      <c r="CH487" s="124"/>
      <c r="CI487" s="124"/>
      <c r="CJ487" s="124"/>
      <c r="CK487" s="124"/>
      <c r="CL487" s="124"/>
      <c r="CM487" s="124"/>
      <c r="CN487" s="124"/>
      <c r="CO487" s="124"/>
      <c r="CP487" s="124"/>
      <c r="CQ487" s="124"/>
      <c r="CR487" s="124"/>
      <c r="CS487" s="124"/>
      <c r="CT487" s="124"/>
      <c r="CU487" s="124"/>
      <c r="CV487" s="124"/>
      <c r="CW487" s="124"/>
      <c r="CX487" s="124"/>
      <c r="CY487" s="124"/>
      <c r="CZ487" s="124"/>
      <c r="DA487" s="124"/>
      <c r="DB487" s="124"/>
      <c r="DC487" s="124"/>
      <c r="DD487" s="124"/>
      <c r="DE487" s="124"/>
      <c r="DF487" s="124"/>
      <c r="DG487" s="124"/>
      <c r="DH487" s="124"/>
      <c r="DI487" s="124"/>
      <c r="DJ487" s="124"/>
      <c r="DK487" s="124"/>
      <c r="DL487" s="124"/>
      <c r="DM487" s="124"/>
      <c r="DN487" s="124"/>
      <c r="DO487" s="124"/>
      <c r="DP487" s="124"/>
      <c r="DQ487" s="124"/>
      <c r="DR487" s="124"/>
      <c r="DS487" s="124"/>
      <c r="DT487" s="124"/>
      <c r="DU487" s="124"/>
      <c r="DV487" s="124"/>
      <c r="DW487" s="124"/>
      <c r="DX487" s="124"/>
      <c r="DY487" s="124"/>
      <c r="DZ487" s="124"/>
      <c r="EA487" s="124"/>
      <c r="EB487" s="124"/>
      <c r="EC487" s="124"/>
      <c r="ED487" s="124"/>
      <c r="EE487" s="124"/>
      <c r="EF487" s="124"/>
      <c r="EG487" s="124"/>
      <c r="EH487" s="124"/>
      <c r="EI487" s="124"/>
      <c r="EJ487" s="124"/>
      <c r="EK487" s="124"/>
      <c r="EL487" s="124"/>
      <c r="EM487" s="124"/>
      <c r="EN487" s="124"/>
      <c r="EO487" s="124"/>
      <c r="EP487" s="124"/>
      <c r="EQ487" s="124"/>
      <c r="ER487" s="124"/>
      <c r="ES487" s="124"/>
      <c r="ET487" s="124"/>
      <c r="EU487" s="124"/>
      <c r="EV487" s="124"/>
      <c r="EW487" s="124"/>
      <c r="EX487" s="124"/>
      <c r="EY487" s="124"/>
      <c r="EZ487" s="124"/>
      <c r="FA487" s="124"/>
      <c r="FB487" s="124"/>
      <c r="FC487" s="124"/>
      <c r="FD487" s="124"/>
      <c r="FE487" s="124"/>
      <c r="FF487" s="124"/>
      <c r="FG487" s="124"/>
      <c r="FH487" s="124"/>
      <c r="FI487" s="124"/>
      <c r="FJ487" s="124"/>
      <c r="FK487" s="124"/>
      <c r="FL487" s="124"/>
      <c r="FM487" s="124"/>
      <c r="FN487" s="124"/>
      <c r="FO487" s="124"/>
      <c r="FP487" s="124"/>
      <c r="FQ487" s="124"/>
      <c r="FR487" s="124"/>
      <c r="FS487" s="124"/>
      <c r="FT487" s="124"/>
      <c r="FU487" s="124"/>
      <c r="FV487" s="124"/>
      <c r="FW487" s="124"/>
      <c r="FX487" s="124"/>
      <c r="FY487" s="124"/>
      <c r="FZ487" s="124"/>
      <c r="GA487" s="124"/>
      <c r="GB487" s="124"/>
      <c r="GC487" s="124"/>
      <c r="GD487" s="124"/>
      <c r="GE487" s="124"/>
      <c r="GF487" s="124"/>
      <c r="GG487" s="124"/>
      <c r="GH487" s="124"/>
      <c r="GI487" s="124"/>
      <c r="GJ487" s="124"/>
      <c r="GK487" s="124"/>
      <c r="GL487" s="124"/>
      <c r="GM487" s="124"/>
      <c r="GN487" s="124"/>
      <c r="GO487" s="124"/>
      <c r="GP487" s="124"/>
      <c r="GQ487" s="124"/>
      <c r="GR487" s="124"/>
      <c r="GS487" s="124"/>
      <c r="GT487" s="124"/>
      <c r="GU487" s="124"/>
      <c r="GV487" s="124"/>
      <c r="GW487" s="124"/>
      <c r="GX487" s="124"/>
      <c r="GY487" s="124"/>
      <c r="GZ487" s="124"/>
      <c r="HA487" s="124"/>
      <c r="HB487" s="124"/>
      <c r="HC487" s="124"/>
      <c r="HD487" s="124"/>
      <c r="HE487" s="124"/>
      <c r="HF487" s="124"/>
      <c r="HG487" s="124"/>
      <c r="HH487" s="124"/>
      <c r="HI487" s="124"/>
      <c r="HJ487" s="124"/>
      <c r="HK487" s="124"/>
      <c r="HL487" s="124"/>
      <c r="HM487" s="124"/>
      <c r="HN487" s="124"/>
      <c r="HO487" s="124"/>
      <c r="HP487" s="124"/>
      <c r="HQ487" s="124"/>
    </row>
    <row r="488" spans="1:225" x14ac:dyDescent="0.2">
      <c r="A488" s="122"/>
      <c r="B488" s="123"/>
      <c r="C488" s="124"/>
      <c r="D488" s="123"/>
      <c r="E488" s="124"/>
      <c r="F488" s="123"/>
      <c r="G488" s="123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124"/>
      <c r="AW488" s="124"/>
      <c r="AX488" s="124"/>
      <c r="AY488" s="124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  <c r="BJ488" s="124"/>
      <c r="BK488" s="124"/>
      <c r="BL488" s="124"/>
      <c r="BM488" s="124"/>
      <c r="BN488" s="124"/>
      <c r="BO488" s="124"/>
      <c r="BP488" s="124"/>
      <c r="BQ488" s="124"/>
      <c r="BR488" s="124"/>
      <c r="BS488" s="124"/>
      <c r="BT488" s="124"/>
      <c r="BU488" s="124"/>
      <c r="BV488" s="124"/>
      <c r="BW488" s="124"/>
      <c r="BX488" s="124"/>
      <c r="BY488" s="124"/>
      <c r="BZ488" s="124"/>
      <c r="CA488" s="124"/>
      <c r="CB488" s="124"/>
      <c r="CC488" s="124"/>
      <c r="CD488" s="124"/>
      <c r="CE488" s="124"/>
      <c r="CF488" s="124"/>
      <c r="CG488" s="124"/>
      <c r="CH488" s="124"/>
      <c r="CI488" s="124"/>
      <c r="CJ488" s="124"/>
      <c r="CK488" s="124"/>
      <c r="CL488" s="124"/>
      <c r="CM488" s="124"/>
      <c r="CN488" s="124"/>
      <c r="CO488" s="124"/>
      <c r="CP488" s="124"/>
      <c r="CQ488" s="124"/>
      <c r="CR488" s="124"/>
      <c r="CS488" s="124"/>
      <c r="CT488" s="124"/>
      <c r="CU488" s="124"/>
      <c r="CV488" s="124"/>
      <c r="CW488" s="124"/>
      <c r="CX488" s="124"/>
      <c r="CY488" s="124"/>
      <c r="CZ488" s="124"/>
      <c r="DA488" s="124"/>
      <c r="DB488" s="124"/>
      <c r="DC488" s="124"/>
      <c r="DD488" s="124"/>
      <c r="DE488" s="124"/>
      <c r="DF488" s="124"/>
      <c r="DG488" s="124"/>
      <c r="DH488" s="124"/>
      <c r="DI488" s="124"/>
      <c r="DJ488" s="124"/>
      <c r="DK488" s="124"/>
      <c r="DL488" s="124"/>
      <c r="DM488" s="124"/>
      <c r="DN488" s="124"/>
      <c r="DO488" s="124"/>
      <c r="DP488" s="124"/>
      <c r="DQ488" s="124"/>
      <c r="DR488" s="124"/>
      <c r="DS488" s="124"/>
      <c r="DT488" s="124"/>
      <c r="DU488" s="124"/>
      <c r="DV488" s="124"/>
      <c r="DW488" s="124"/>
      <c r="DX488" s="124"/>
      <c r="DY488" s="124"/>
      <c r="DZ488" s="124"/>
      <c r="EA488" s="124"/>
      <c r="EB488" s="124"/>
      <c r="EC488" s="124"/>
      <c r="ED488" s="124"/>
      <c r="EE488" s="124"/>
      <c r="EF488" s="124"/>
      <c r="EG488" s="124"/>
      <c r="EH488" s="124"/>
      <c r="EI488" s="124"/>
      <c r="EJ488" s="124"/>
      <c r="EK488" s="124"/>
      <c r="EL488" s="124"/>
      <c r="EM488" s="124"/>
      <c r="EN488" s="124"/>
      <c r="EO488" s="124"/>
      <c r="EP488" s="124"/>
      <c r="EQ488" s="124"/>
      <c r="ER488" s="124"/>
      <c r="ES488" s="124"/>
      <c r="ET488" s="124"/>
      <c r="EU488" s="124"/>
      <c r="EV488" s="124"/>
      <c r="EW488" s="124"/>
      <c r="EX488" s="124"/>
      <c r="EY488" s="124"/>
      <c r="EZ488" s="124"/>
      <c r="FA488" s="124"/>
      <c r="FB488" s="124"/>
      <c r="FC488" s="124"/>
      <c r="FD488" s="124"/>
      <c r="FE488" s="124"/>
      <c r="FF488" s="124"/>
      <c r="FG488" s="124"/>
      <c r="FH488" s="124"/>
      <c r="FI488" s="124"/>
      <c r="FJ488" s="124"/>
      <c r="FK488" s="124"/>
      <c r="FL488" s="124"/>
      <c r="FM488" s="124"/>
      <c r="FN488" s="124"/>
      <c r="FO488" s="124"/>
      <c r="FP488" s="124"/>
      <c r="FQ488" s="124"/>
      <c r="FR488" s="124"/>
      <c r="FS488" s="124"/>
      <c r="FT488" s="124"/>
      <c r="FU488" s="124"/>
      <c r="FV488" s="124"/>
      <c r="FW488" s="124"/>
      <c r="FX488" s="124"/>
      <c r="FY488" s="124"/>
      <c r="FZ488" s="124"/>
      <c r="GA488" s="124"/>
      <c r="GB488" s="124"/>
      <c r="GC488" s="124"/>
      <c r="GD488" s="124"/>
      <c r="GE488" s="124"/>
      <c r="GF488" s="124"/>
      <c r="GG488" s="124"/>
      <c r="GH488" s="124"/>
      <c r="GI488" s="124"/>
      <c r="GJ488" s="124"/>
      <c r="GK488" s="124"/>
      <c r="GL488" s="124"/>
      <c r="GM488" s="124"/>
      <c r="GN488" s="124"/>
      <c r="GO488" s="124"/>
      <c r="GP488" s="124"/>
      <c r="GQ488" s="124"/>
      <c r="GR488" s="124"/>
      <c r="GS488" s="124"/>
      <c r="GT488" s="124"/>
      <c r="GU488" s="124"/>
      <c r="GV488" s="124"/>
      <c r="GW488" s="124"/>
      <c r="GX488" s="124"/>
      <c r="GY488" s="124"/>
      <c r="GZ488" s="124"/>
      <c r="HA488" s="124"/>
      <c r="HB488" s="124"/>
      <c r="HC488" s="124"/>
      <c r="HD488" s="124"/>
      <c r="HE488" s="124"/>
      <c r="HF488" s="124"/>
      <c r="HG488" s="124"/>
      <c r="HH488" s="124"/>
      <c r="HI488" s="124"/>
      <c r="HJ488" s="124"/>
      <c r="HK488" s="124"/>
      <c r="HL488" s="124"/>
      <c r="HM488" s="124"/>
      <c r="HN488" s="124"/>
      <c r="HO488" s="124"/>
      <c r="HP488" s="124"/>
      <c r="HQ488" s="124"/>
    </row>
    <row r="489" spans="1:225" x14ac:dyDescent="0.2">
      <c r="A489" s="122"/>
      <c r="B489" s="123"/>
      <c r="C489" s="124"/>
      <c r="D489" s="123"/>
      <c r="E489" s="124"/>
      <c r="F489" s="123"/>
      <c r="G489" s="123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124"/>
      <c r="AW489" s="124"/>
      <c r="AX489" s="124"/>
      <c r="AY489" s="124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  <c r="BJ489" s="124"/>
      <c r="BK489" s="124"/>
      <c r="BL489" s="124"/>
      <c r="BM489" s="124"/>
      <c r="BN489" s="124"/>
      <c r="BO489" s="124"/>
      <c r="BP489" s="124"/>
      <c r="BQ489" s="124"/>
      <c r="BR489" s="124"/>
      <c r="BS489" s="124"/>
      <c r="BT489" s="124"/>
      <c r="BU489" s="124"/>
      <c r="BV489" s="124"/>
      <c r="BW489" s="124"/>
      <c r="BX489" s="124"/>
      <c r="BY489" s="124"/>
      <c r="BZ489" s="124"/>
      <c r="CA489" s="124"/>
      <c r="CB489" s="124"/>
      <c r="CC489" s="124"/>
      <c r="CD489" s="124"/>
      <c r="CE489" s="124"/>
      <c r="CF489" s="124"/>
      <c r="CG489" s="124"/>
      <c r="CH489" s="124"/>
      <c r="CI489" s="124"/>
      <c r="CJ489" s="124"/>
      <c r="CK489" s="124"/>
      <c r="CL489" s="124"/>
      <c r="CM489" s="124"/>
      <c r="CN489" s="124"/>
      <c r="CO489" s="124"/>
      <c r="CP489" s="124"/>
      <c r="CQ489" s="124"/>
      <c r="CR489" s="124"/>
      <c r="CS489" s="124"/>
      <c r="CT489" s="124"/>
      <c r="CU489" s="124"/>
      <c r="CV489" s="124"/>
      <c r="CW489" s="124"/>
      <c r="CX489" s="124"/>
      <c r="CY489" s="124"/>
      <c r="CZ489" s="124"/>
      <c r="DA489" s="124"/>
      <c r="DB489" s="124"/>
      <c r="DC489" s="124"/>
      <c r="DD489" s="124"/>
      <c r="DE489" s="124"/>
      <c r="DF489" s="124"/>
      <c r="DG489" s="124"/>
      <c r="DH489" s="124"/>
      <c r="DI489" s="124"/>
      <c r="DJ489" s="124"/>
      <c r="DK489" s="124"/>
      <c r="DL489" s="124"/>
      <c r="DM489" s="124"/>
      <c r="DN489" s="124"/>
      <c r="DO489" s="124"/>
      <c r="DP489" s="124"/>
      <c r="DQ489" s="124"/>
      <c r="DR489" s="124"/>
      <c r="DS489" s="124"/>
      <c r="DT489" s="124"/>
      <c r="DU489" s="124"/>
      <c r="DV489" s="124"/>
      <c r="DW489" s="124"/>
      <c r="DX489" s="124"/>
      <c r="DY489" s="124"/>
      <c r="DZ489" s="124"/>
      <c r="EA489" s="124"/>
      <c r="EB489" s="124"/>
      <c r="EC489" s="124"/>
      <c r="ED489" s="124"/>
      <c r="EE489" s="124"/>
      <c r="EF489" s="124"/>
      <c r="EG489" s="124"/>
      <c r="EH489" s="124"/>
      <c r="EI489" s="124"/>
      <c r="EJ489" s="124"/>
      <c r="EK489" s="124"/>
      <c r="EL489" s="124"/>
      <c r="EM489" s="124"/>
      <c r="EN489" s="124"/>
      <c r="EO489" s="124"/>
      <c r="EP489" s="124"/>
      <c r="EQ489" s="124"/>
      <c r="ER489" s="124"/>
      <c r="ES489" s="124"/>
      <c r="ET489" s="124"/>
      <c r="EU489" s="124"/>
      <c r="EV489" s="124"/>
      <c r="EW489" s="124"/>
      <c r="EX489" s="124"/>
      <c r="EY489" s="124"/>
      <c r="EZ489" s="124"/>
      <c r="FA489" s="124"/>
      <c r="FB489" s="124"/>
      <c r="FC489" s="124"/>
      <c r="FD489" s="124"/>
      <c r="FE489" s="124"/>
      <c r="FF489" s="124"/>
      <c r="FG489" s="124"/>
      <c r="FH489" s="124"/>
      <c r="FI489" s="124"/>
      <c r="FJ489" s="124"/>
      <c r="FK489" s="124"/>
      <c r="FL489" s="124"/>
      <c r="FM489" s="124"/>
      <c r="FN489" s="124"/>
      <c r="FO489" s="124"/>
      <c r="FP489" s="124"/>
      <c r="FQ489" s="124"/>
      <c r="FR489" s="124"/>
      <c r="FS489" s="124"/>
      <c r="FT489" s="124"/>
      <c r="FU489" s="124"/>
      <c r="FV489" s="124"/>
      <c r="FW489" s="124"/>
      <c r="FX489" s="124"/>
      <c r="FY489" s="124"/>
      <c r="FZ489" s="124"/>
      <c r="GA489" s="124"/>
      <c r="GB489" s="124"/>
      <c r="GC489" s="124"/>
      <c r="GD489" s="124"/>
      <c r="GE489" s="124"/>
      <c r="GF489" s="124"/>
      <c r="GG489" s="124"/>
      <c r="GH489" s="124"/>
      <c r="GI489" s="124"/>
      <c r="GJ489" s="124"/>
      <c r="GK489" s="124"/>
      <c r="GL489" s="124"/>
      <c r="GM489" s="124"/>
      <c r="GN489" s="124"/>
      <c r="GO489" s="124"/>
      <c r="GP489" s="124"/>
      <c r="GQ489" s="124"/>
      <c r="GR489" s="124"/>
      <c r="GS489" s="124"/>
      <c r="GT489" s="124"/>
      <c r="GU489" s="124"/>
      <c r="GV489" s="124"/>
      <c r="GW489" s="124"/>
      <c r="GX489" s="124"/>
      <c r="GY489" s="124"/>
      <c r="GZ489" s="124"/>
      <c r="HA489" s="124"/>
      <c r="HB489" s="124"/>
      <c r="HC489" s="124"/>
      <c r="HD489" s="124"/>
      <c r="HE489" s="124"/>
      <c r="HF489" s="124"/>
      <c r="HG489" s="124"/>
      <c r="HH489" s="124"/>
      <c r="HI489" s="124"/>
      <c r="HJ489" s="124"/>
      <c r="HK489" s="124"/>
      <c r="HL489" s="124"/>
      <c r="HM489" s="124"/>
      <c r="HN489" s="124"/>
      <c r="HO489" s="124"/>
      <c r="HP489" s="124"/>
      <c r="HQ489" s="124"/>
    </row>
    <row r="490" spans="1:225" x14ac:dyDescent="0.2">
      <c r="A490" s="122"/>
      <c r="B490" s="123"/>
      <c r="C490" s="124"/>
      <c r="D490" s="123"/>
      <c r="E490" s="124"/>
      <c r="F490" s="123"/>
      <c r="G490" s="123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  <c r="BJ490" s="124"/>
      <c r="BK490" s="124"/>
      <c r="BL490" s="124"/>
      <c r="BM490" s="124"/>
      <c r="BN490" s="124"/>
      <c r="BO490" s="124"/>
      <c r="BP490" s="124"/>
      <c r="BQ490" s="124"/>
      <c r="BR490" s="124"/>
      <c r="BS490" s="124"/>
      <c r="BT490" s="124"/>
      <c r="BU490" s="124"/>
      <c r="BV490" s="124"/>
      <c r="BW490" s="124"/>
      <c r="BX490" s="124"/>
      <c r="BY490" s="124"/>
      <c r="BZ490" s="124"/>
      <c r="CA490" s="124"/>
      <c r="CB490" s="124"/>
      <c r="CC490" s="124"/>
      <c r="CD490" s="124"/>
      <c r="CE490" s="124"/>
      <c r="CF490" s="124"/>
      <c r="CG490" s="124"/>
      <c r="CH490" s="124"/>
      <c r="CI490" s="124"/>
      <c r="CJ490" s="124"/>
      <c r="CK490" s="124"/>
      <c r="CL490" s="124"/>
      <c r="CM490" s="124"/>
      <c r="CN490" s="124"/>
      <c r="CO490" s="124"/>
      <c r="CP490" s="124"/>
      <c r="CQ490" s="124"/>
      <c r="CR490" s="124"/>
      <c r="CS490" s="124"/>
      <c r="CT490" s="124"/>
      <c r="CU490" s="124"/>
      <c r="CV490" s="124"/>
      <c r="CW490" s="124"/>
      <c r="CX490" s="124"/>
      <c r="CY490" s="124"/>
      <c r="CZ490" s="124"/>
      <c r="DA490" s="124"/>
      <c r="DB490" s="124"/>
      <c r="DC490" s="124"/>
      <c r="DD490" s="124"/>
      <c r="DE490" s="124"/>
      <c r="DF490" s="124"/>
      <c r="DG490" s="124"/>
      <c r="DH490" s="124"/>
      <c r="DI490" s="124"/>
      <c r="DJ490" s="124"/>
      <c r="DK490" s="124"/>
      <c r="DL490" s="124"/>
      <c r="DM490" s="124"/>
      <c r="DN490" s="124"/>
      <c r="DO490" s="124"/>
      <c r="DP490" s="124"/>
      <c r="DQ490" s="124"/>
      <c r="DR490" s="124"/>
      <c r="DS490" s="124"/>
      <c r="DT490" s="124"/>
      <c r="DU490" s="124"/>
      <c r="DV490" s="124"/>
      <c r="DW490" s="124"/>
      <c r="DX490" s="124"/>
      <c r="DY490" s="124"/>
      <c r="DZ490" s="124"/>
      <c r="EA490" s="124"/>
      <c r="EB490" s="124"/>
      <c r="EC490" s="124"/>
      <c r="ED490" s="124"/>
      <c r="EE490" s="124"/>
      <c r="EF490" s="124"/>
      <c r="EG490" s="124"/>
      <c r="EH490" s="124"/>
      <c r="EI490" s="124"/>
      <c r="EJ490" s="124"/>
      <c r="EK490" s="124"/>
      <c r="EL490" s="124"/>
      <c r="EM490" s="124"/>
      <c r="EN490" s="124"/>
      <c r="EO490" s="124"/>
      <c r="EP490" s="124"/>
      <c r="EQ490" s="124"/>
      <c r="ER490" s="124"/>
      <c r="ES490" s="124"/>
      <c r="ET490" s="124"/>
      <c r="EU490" s="124"/>
      <c r="EV490" s="124"/>
      <c r="EW490" s="124"/>
      <c r="EX490" s="124"/>
      <c r="EY490" s="124"/>
      <c r="EZ490" s="124"/>
      <c r="FA490" s="124"/>
      <c r="FB490" s="124"/>
      <c r="FC490" s="124"/>
      <c r="FD490" s="124"/>
      <c r="FE490" s="124"/>
      <c r="FF490" s="124"/>
      <c r="FG490" s="124"/>
      <c r="FH490" s="124"/>
      <c r="FI490" s="124"/>
      <c r="FJ490" s="124"/>
      <c r="FK490" s="124"/>
      <c r="FL490" s="124"/>
      <c r="FM490" s="124"/>
      <c r="FN490" s="124"/>
      <c r="FO490" s="124"/>
      <c r="FP490" s="124"/>
      <c r="FQ490" s="124"/>
      <c r="FR490" s="124"/>
      <c r="FS490" s="124"/>
      <c r="FT490" s="124"/>
      <c r="FU490" s="124"/>
      <c r="FV490" s="124"/>
      <c r="FW490" s="124"/>
      <c r="FX490" s="124"/>
      <c r="FY490" s="124"/>
      <c r="FZ490" s="124"/>
      <c r="GA490" s="124"/>
      <c r="GB490" s="124"/>
      <c r="GC490" s="124"/>
      <c r="GD490" s="124"/>
      <c r="GE490" s="124"/>
      <c r="GF490" s="124"/>
      <c r="GG490" s="124"/>
      <c r="GH490" s="124"/>
      <c r="GI490" s="124"/>
      <c r="GJ490" s="124"/>
      <c r="GK490" s="124"/>
      <c r="GL490" s="124"/>
      <c r="GM490" s="124"/>
      <c r="GN490" s="124"/>
      <c r="GO490" s="124"/>
      <c r="GP490" s="124"/>
      <c r="GQ490" s="124"/>
      <c r="GR490" s="124"/>
      <c r="GS490" s="124"/>
      <c r="GT490" s="124"/>
      <c r="GU490" s="124"/>
      <c r="GV490" s="124"/>
      <c r="GW490" s="124"/>
      <c r="GX490" s="124"/>
      <c r="GY490" s="124"/>
      <c r="GZ490" s="124"/>
      <c r="HA490" s="124"/>
      <c r="HB490" s="124"/>
      <c r="HC490" s="124"/>
      <c r="HD490" s="124"/>
      <c r="HE490" s="124"/>
      <c r="HF490" s="124"/>
      <c r="HG490" s="124"/>
      <c r="HH490" s="124"/>
      <c r="HI490" s="124"/>
      <c r="HJ490" s="124"/>
      <c r="HK490" s="124"/>
      <c r="HL490" s="124"/>
      <c r="HM490" s="124"/>
      <c r="HN490" s="124"/>
      <c r="HO490" s="124"/>
      <c r="HP490" s="124"/>
      <c r="HQ490" s="124"/>
    </row>
    <row r="491" spans="1:225" x14ac:dyDescent="0.2">
      <c r="A491" s="122"/>
      <c r="B491" s="123"/>
      <c r="C491" s="124"/>
      <c r="D491" s="123"/>
      <c r="E491" s="124"/>
      <c r="F491" s="123"/>
      <c r="G491" s="123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124"/>
      <c r="AW491" s="124"/>
      <c r="AX491" s="124"/>
      <c r="AY491" s="124"/>
      <c r="AZ491" s="124"/>
      <c r="BA491" s="124"/>
      <c r="BB491" s="124"/>
      <c r="BC491" s="124"/>
      <c r="BD491" s="124"/>
      <c r="BE491" s="124"/>
      <c r="BF491" s="124"/>
      <c r="BG491" s="124"/>
      <c r="BH491" s="124"/>
      <c r="BI491" s="124"/>
      <c r="BJ491" s="124"/>
      <c r="BK491" s="124"/>
      <c r="BL491" s="124"/>
      <c r="BM491" s="124"/>
      <c r="BN491" s="124"/>
      <c r="BO491" s="124"/>
      <c r="BP491" s="124"/>
      <c r="BQ491" s="124"/>
      <c r="BR491" s="124"/>
      <c r="BS491" s="124"/>
      <c r="BT491" s="124"/>
      <c r="BU491" s="124"/>
      <c r="BV491" s="124"/>
      <c r="BW491" s="124"/>
      <c r="BX491" s="124"/>
      <c r="BY491" s="124"/>
      <c r="BZ491" s="124"/>
      <c r="CA491" s="124"/>
      <c r="CB491" s="124"/>
      <c r="CC491" s="124"/>
      <c r="CD491" s="124"/>
      <c r="CE491" s="124"/>
      <c r="CF491" s="124"/>
      <c r="CG491" s="124"/>
      <c r="CH491" s="124"/>
      <c r="CI491" s="124"/>
      <c r="CJ491" s="124"/>
      <c r="CK491" s="124"/>
      <c r="CL491" s="124"/>
      <c r="CM491" s="124"/>
      <c r="CN491" s="124"/>
      <c r="CO491" s="124"/>
      <c r="CP491" s="124"/>
      <c r="CQ491" s="124"/>
      <c r="CR491" s="124"/>
      <c r="CS491" s="124"/>
      <c r="CT491" s="124"/>
      <c r="CU491" s="124"/>
      <c r="CV491" s="124"/>
      <c r="CW491" s="124"/>
      <c r="CX491" s="124"/>
      <c r="CY491" s="124"/>
      <c r="CZ491" s="124"/>
      <c r="DA491" s="124"/>
      <c r="DB491" s="124"/>
      <c r="DC491" s="124"/>
      <c r="DD491" s="124"/>
      <c r="DE491" s="124"/>
      <c r="DF491" s="124"/>
      <c r="DG491" s="124"/>
      <c r="DH491" s="124"/>
      <c r="DI491" s="124"/>
      <c r="DJ491" s="124"/>
      <c r="DK491" s="124"/>
      <c r="DL491" s="124"/>
      <c r="DM491" s="124"/>
      <c r="DN491" s="124"/>
      <c r="DO491" s="124"/>
      <c r="DP491" s="124"/>
      <c r="DQ491" s="124"/>
      <c r="DR491" s="124"/>
      <c r="DS491" s="124"/>
      <c r="DT491" s="124"/>
      <c r="DU491" s="124"/>
      <c r="DV491" s="124"/>
      <c r="DW491" s="124"/>
      <c r="DX491" s="124"/>
      <c r="DY491" s="124"/>
      <c r="DZ491" s="124"/>
      <c r="EA491" s="124"/>
      <c r="EB491" s="124"/>
      <c r="EC491" s="124"/>
      <c r="ED491" s="124"/>
      <c r="EE491" s="124"/>
      <c r="EF491" s="124"/>
      <c r="EG491" s="124"/>
      <c r="EH491" s="124"/>
      <c r="EI491" s="124"/>
      <c r="EJ491" s="124"/>
      <c r="EK491" s="124"/>
      <c r="EL491" s="124"/>
      <c r="EM491" s="124"/>
      <c r="EN491" s="124"/>
      <c r="EO491" s="124"/>
      <c r="EP491" s="124"/>
      <c r="EQ491" s="124"/>
      <c r="ER491" s="124"/>
      <c r="ES491" s="124"/>
      <c r="ET491" s="124"/>
      <c r="EU491" s="124"/>
      <c r="EV491" s="124"/>
      <c r="EW491" s="124"/>
      <c r="EX491" s="124"/>
      <c r="EY491" s="124"/>
      <c r="EZ491" s="124"/>
      <c r="FA491" s="124"/>
      <c r="FB491" s="124"/>
      <c r="FC491" s="124"/>
      <c r="FD491" s="124"/>
      <c r="FE491" s="124"/>
      <c r="FF491" s="124"/>
      <c r="FG491" s="124"/>
      <c r="FH491" s="124"/>
      <c r="FI491" s="124"/>
      <c r="FJ491" s="124"/>
      <c r="FK491" s="124"/>
      <c r="FL491" s="124"/>
      <c r="FM491" s="124"/>
      <c r="FN491" s="124"/>
      <c r="FO491" s="124"/>
      <c r="FP491" s="124"/>
      <c r="FQ491" s="124"/>
      <c r="FR491" s="124"/>
      <c r="FS491" s="124"/>
      <c r="FT491" s="124"/>
      <c r="FU491" s="124"/>
      <c r="FV491" s="124"/>
      <c r="FW491" s="124"/>
      <c r="FX491" s="124"/>
      <c r="FY491" s="124"/>
      <c r="FZ491" s="124"/>
      <c r="GA491" s="124"/>
      <c r="GB491" s="124"/>
      <c r="GC491" s="124"/>
      <c r="GD491" s="124"/>
      <c r="GE491" s="124"/>
      <c r="GF491" s="124"/>
      <c r="GG491" s="124"/>
      <c r="GH491" s="124"/>
      <c r="GI491" s="124"/>
      <c r="GJ491" s="124"/>
      <c r="GK491" s="124"/>
      <c r="GL491" s="124"/>
      <c r="GM491" s="124"/>
      <c r="GN491" s="124"/>
      <c r="GO491" s="124"/>
      <c r="GP491" s="124"/>
      <c r="GQ491" s="124"/>
      <c r="GR491" s="124"/>
      <c r="GS491" s="124"/>
      <c r="GT491" s="124"/>
      <c r="GU491" s="124"/>
      <c r="GV491" s="124"/>
      <c r="GW491" s="124"/>
      <c r="GX491" s="124"/>
      <c r="GY491" s="124"/>
      <c r="GZ491" s="124"/>
      <c r="HA491" s="124"/>
      <c r="HB491" s="124"/>
      <c r="HC491" s="124"/>
      <c r="HD491" s="124"/>
      <c r="HE491" s="124"/>
      <c r="HF491" s="124"/>
      <c r="HG491" s="124"/>
      <c r="HH491" s="124"/>
      <c r="HI491" s="124"/>
      <c r="HJ491" s="124"/>
      <c r="HK491" s="124"/>
      <c r="HL491" s="124"/>
      <c r="HM491" s="124"/>
      <c r="HN491" s="124"/>
      <c r="HO491" s="124"/>
      <c r="HP491" s="124"/>
      <c r="HQ491" s="124"/>
    </row>
    <row r="492" spans="1:225" x14ac:dyDescent="0.2">
      <c r="A492" s="122"/>
      <c r="B492" s="123"/>
      <c r="C492" s="124"/>
      <c r="D492" s="123"/>
      <c r="E492" s="124"/>
      <c r="F492" s="123"/>
      <c r="G492" s="123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124"/>
      <c r="AW492" s="124"/>
      <c r="AX492" s="124"/>
      <c r="AY492" s="124"/>
      <c r="AZ492" s="124"/>
      <c r="BA492" s="124"/>
      <c r="BB492" s="124"/>
      <c r="BC492" s="124"/>
      <c r="BD492" s="124"/>
      <c r="BE492" s="124"/>
      <c r="BF492" s="124"/>
      <c r="BG492" s="124"/>
      <c r="BH492" s="124"/>
      <c r="BI492" s="124"/>
      <c r="BJ492" s="124"/>
      <c r="BK492" s="124"/>
      <c r="BL492" s="124"/>
      <c r="BM492" s="124"/>
      <c r="BN492" s="124"/>
      <c r="BO492" s="124"/>
      <c r="BP492" s="124"/>
      <c r="BQ492" s="124"/>
      <c r="BR492" s="124"/>
      <c r="BS492" s="124"/>
      <c r="BT492" s="124"/>
      <c r="BU492" s="124"/>
      <c r="BV492" s="124"/>
      <c r="BW492" s="124"/>
      <c r="BX492" s="124"/>
      <c r="BY492" s="124"/>
      <c r="BZ492" s="124"/>
      <c r="CA492" s="124"/>
      <c r="CB492" s="124"/>
      <c r="CC492" s="124"/>
      <c r="CD492" s="124"/>
      <c r="CE492" s="124"/>
      <c r="CF492" s="124"/>
      <c r="CG492" s="124"/>
      <c r="CH492" s="124"/>
      <c r="CI492" s="124"/>
      <c r="CJ492" s="124"/>
      <c r="CK492" s="124"/>
      <c r="CL492" s="124"/>
      <c r="CM492" s="124"/>
      <c r="CN492" s="124"/>
      <c r="CO492" s="124"/>
      <c r="CP492" s="124"/>
      <c r="CQ492" s="124"/>
      <c r="CR492" s="124"/>
      <c r="CS492" s="124"/>
      <c r="CT492" s="124"/>
      <c r="CU492" s="124"/>
      <c r="CV492" s="124"/>
      <c r="CW492" s="124"/>
      <c r="CX492" s="124"/>
      <c r="CY492" s="124"/>
      <c r="CZ492" s="124"/>
      <c r="DA492" s="124"/>
      <c r="DB492" s="124"/>
      <c r="DC492" s="124"/>
      <c r="DD492" s="124"/>
      <c r="DE492" s="124"/>
      <c r="DF492" s="124"/>
      <c r="DG492" s="124"/>
      <c r="DH492" s="124"/>
      <c r="DI492" s="124"/>
      <c r="DJ492" s="124"/>
      <c r="DK492" s="124"/>
      <c r="DL492" s="124"/>
      <c r="DM492" s="124"/>
      <c r="DN492" s="124"/>
      <c r="DO492" s="124"/>
      <c r="DP492" s="124"/>
      <c r="DQ492" s="124"/>
      <c r="DR492" s="124"/>
      <c r="DS492" s="124"/>
      <c r="DT492" s="124"/>
      <c r="DU492" s="124"/>
      <c r="DV492" s="124"/>
      <c r="DW492" s="124"/>
      <c r="DX492" s="124"/>
      <c r="DY492" s="124"/>
      <c r="DZ492" s="124"/>
      <c r="EA492" s="124"/>
      <c r="EB492" s="124"/>
      <c r="EC492" s="124"/>
      <c r="ED492" s="124"/>
      <c r="EE492" s="124"/>
      <c r="EF492" s="124"/>
      <c r="EG492" s="124"/>
      <c r="EH492" s="124"/>
      <c r="EI492" s="124"/>
      <c r="EJ492" s="124"/>
      <c r="EK492" s="124"/>
      <c r="EL492" s="124"/>
      <c r="EM492" s="124"/>
      <c r="EN492" s="124"/>
      <c r="EO492" s="124"/>
      <c r="EP492" s="124"/>
      <c r="EQ492" s="124"/>
      <c r="ER492" s="124"/>
      <c r="ES492" s="124"/>
      <c r="ET492" s="124"/>
      <c r="EU492" s="124"/>
      <c r="EV492" s="124"/>
      <c r="EW492" s="124"/>
      <c r="EX492" s="124"/>
      <c r="EY492" s="124"/>
      <c r="EZ492" s="124"/>
      <c r="FA492" s="124"/>
      <c r="FB492" s="124"/>
      <c r="FC492" s="124"/>
      <c r="FD492" s="124"/>
      <c r="FE492" s="124"/>
      <c r="FF492" s="124"/>
      <c r="FG492" s="124"/>
      <c r="FH492" s="124"/>
      <c r="FI492" s="124"/>
      <c r="FJ492" s="124"/>
      <c r="FK492" s="124"/>
      <c r="FL492" s="124"/>
      <c r="FM492" s="124"/>
      <c r="FN492" s="124"/>
      <c r="FO492" s="124"/>
      <c r="FP492" s="124"/>
      <c r="FQ492" s="124"/>
      <c r="FR492" s="124"/>
      <c r="FS492" s="124"/>
      <c r="FT492" s="124"/>
      <c r="FU492" s="124"/>
      <c r="FV492" s="124"/>
      <c r="FW492" s="124"/>
      <c r="FX492" s="124"/>
      <c r="FY492" s="124"/>
      <c r="FZ492" s="124"/>
      <c r="GA492" s="124"/>
      <c r="GB492" s="124"/>
      <c r="GC492" s="124"/>
      <c r="GD492" s="124"/>
      <c r="GE492" s="124"/>
      <c r="GF492" s="124"/>
      <c r="GG492" s="124"/>
      <c r="GH492" s="124"/>
      <c r="GI492" s="124"/>
      <c r="GJ492" s="124"/>
      <c r="GK492" s="124"/>
      <c r="GL492" s="124"/>
      <c r="GM492" s="124"/>
      <c r="GN492" s="124"/>
      <c r="GO492" s="124"/>
      <c r="GP492" s="124"/>
      <c r="GQ492" s="124"/>
      <c r="GR492" s="124"/>
      <c r="GS492" s="124"/>
      <c r="GT492" s="124"/>
      <c r="GU492" s="124"/>
      <c r="GV492" s="124"/>
      <c r="GW492" s="124"/>
      <c r="GX492" s="124"/>
      <c r="GY492" s="124"/>
      <c r="GZ492" s="124"/>
      <c r="HA492" s="124"/>
      <c r="HB492" s="124"/>
      <c r="HC492" s="124"/>
      <c r="HD492" s="124"/>
      <c r="HE492" s="124"/>
      <c r="HF492" s="124"/>
      <c r="HG492" s="124"/>
      <c r="HH492" s="124"/>
      <c r="HI492" s="124"/>
      <c r="HJ492" s="124"/>
      <c r="HK492" s="124"/>
      <c r="HL492" s="124"/>
      <c r="HM492" s="124"/>
      <c r="HN492" s="124"/>
      <c r="HO492" s="124"/>
      <c r="HP492" s="124"/>
      <c r="HQ492" s="124"/>
    </row>
    <row r="493" spans="1:225" x14ac:dyDescent="0.2">
      <c r="A493" s="122"/>
      <c r="B493" s="123"/>
      <c r="C493" s="124"/>
      <c r="D493" s="123"/>
      <c r="E493" s="124"/>
      <c r="F493" s="123"/>
      <c r="G493" s="123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/>
      <c r="BB493" s="124"/>
      <c r="BC493" s="124"/>
      <c r="BD493" s="124"/>
      <c r="BE493" s="124"/>
      <c r="BF493" s="124"/>
      <c r="BG493" s="124"/>
      <c r="BH493" s="124"/>
      <c r="BI493" s="124"/>
      <c r="BJ493" s="124"/>
      <c r="BK493" s="124"/>
      <c r="BL493" s="124"/>
      <c r="BM493" s="124"/>
      <c r="BN493" s="124"/>
      <c r="BO493" s="124"/>
      <c r="BP493" s="124"/>
      <c r="BQ493" s="124"/>
      <c r="BR493" s="124"/>
      <c r="BS493" s="124"/>
      <c r="BT493" s="124"/>
      <c r="BU493" s="124"/>
      <c r="BV493" s="124"/>
      <c r="BW493" s="124"/>
      <c r="BX493" s="124"/>
      <c r="BY493" s="124"/>
      <c r="BZ493" s="124"/>
      <c r="CA493" s="124"/>
      <c r="CB493" s="124"/>
      <c r="CC493" s="124"/>
      <c r="CD493" s="124"/>
      <c r="CE493" s="124"/>
      <c r="CF493" s="124"/>
      <c r="CG493" s="124"/>
      <c r="CH493" s="124"/>
      <c r="CI493" s="124"/>
      <c r="CJ493" s="124"/>
      <c r="CK493" s="124"/>
      <c r="CL493" s="124"/>
      <c r="CM493" s="124"/>
      <c r="CN493" s="124"/>
      <c r="CO493" s="124"/>
      <c r="CP493" s="124"/>
      <c r="CQ493" s="124"/>
      <c r="CR493" s="124"/>
      <c r="CS493" s="124"/>
      <c r="CT493" s="124"/>
      <c r="CU493" s="124"/>
      <c r="CV493" s="124"/>
      <c r="CW493" s="124"/>
      <c r="CX493" s="124"/>
      <c r="CY493" s="124"/>
      <c r="CZ493" s="124"/>
      <c r="DA493" s="124"/>
      <c r="DB493" s="124"/>
      <c r="DC493" s="124"/>
      <c r="DD493" s="124"/>
      <c r="DE493" s="124"/>
      <c r="DF493" s="124"/>
      <c r="DG493" s="124"/>
      <c r="DH493" s="124"/>
      <c r="DI493" s="124"/>
      <c r="DJ493" s="124"/>
      <c r="DK493" s="124"/>
      <c r="DL493" s="124"/>
      <c r="DM493" s="124"/>
      <c r="DN493" s="124"/>
      <c r="DO493" s="124"/>
      <c r="DP493" s="124"/>
      <c r="DQ493" s="124"/>
      <c r="DR493" s="124"/>
      <c r="DS493" s="124"/>
      <c r="DT493" s="124"/>
      <c r="DU493" s="124"/>
      <c r="DV493" s="124"/>
      <c r="DW493" s="124"/>
      <c r="DX493" s="124"/>
      <c r="DY493" s="124"/>
      <c r="DZ493" s="124"/>
      <c r="EA493" s="124"/>
      <c r="EB493" s="124"/>
      <c r="EC493" s="124"/>
      <c r="ED493" s="124"/>
      <c r="EE493" s="124"/>
      <c r="EF493" s="124"/>
      <c r="EG493" s="124"/>
      <c r="EH493" s="124"/>
      <c r="EI493" s="124"/>
      <c r="EJ493" s="124"/>
      <c r="EK493" s="124"/>
      <c r="EL493" s="124"/>
      <c r="EM493" s="124"/>
      <c r="EN493" s="124"/>
      <c r="EO493" s="124"/>
      <c r="EP493" s="124"/>
      <c r="EQ493" s="124"/>
      <c r="ER493" s="124"/>
      <c r="ES493" s="124"/>
      <c r="ET493" s="124"/>
      <c r="EU493" s="124"/>
      <c r="EV493" s="124"/>
      <c r="EW493" s="124"/>
      <c r="EX493" s="124"/>
      <c r="EY493" s="124"/>
      <c r="EZ493" s="124"/>
      <c r="FA493" s="124"/>
      <c r="FB493" s="124"/>
      <c r="FC493" s="124"/>
      <c r="FD493" s="124"/>
      <c r="FE493" s="124"/>
      <c r="FF493" s="124"/>
      <c r="FG493" s="124"/>
      <c r="FH493" s="124"/>
      <c r="FI493" s="124"/>
      <c r="FJ493" s="124"/>
      <c r="FK493" s="124"/>
      <c r="FL493" s="124"/>
      <c r="FM493" s="124"/>
      <c r="FN493" s="124"/>
      <c r="FO493" s="124"/>
      <c r="FP493" s="124"/>
      <c r="FQ493" s="124"/>
      <c r="FR493" s="124"/>
      <c r="FS493" s="124"/>
      <c r="FT493" s="124"/>
      <c r="FU493" s="124"/>
      <c r="FV493" s="124"/>
      <c r="FW493" s="124"/>
      <c r="FX493" s="124"/>
      <c r="FY493" s="124"/>
      <c r="FZ493" s="124"/>
      <c r="GA493" s="124"/>
      <c r="GB493" s="124"/>
      <c r="GC493" s="124"/>
      <c r="GD493" s="124"/>
      <c r="GE493" s="124"/>
      <c r="GF493" s="124"/>
      <c r="GG493" s="124"/>
      <c r="GH493" s="124"/>
      <c r="GI493" s="124"/>
      <c r="GJ493" s="124"/>
      <c r="GK493" s="124"/>
      <c r="GL493" s="124"/>
      <c r="GM493" s="124"/>
      <c r="GN493" s="124"/>
      <c r="GO493" s="124"/>
      <c r="GP493" s="124"/>
      <c r="GQ493" s="124"/>
      <c r="GR493" s="124"/>
      <c r="GS493" s="124"/>
      <c r="GT493" s="124"/>
      <c r="GU493" s="124"/>
      <c r="GV493" s="124"/>
      <c r="GW493" s="124"/>
      <c r="GX493" s="124"/>
      <c r="GY493" s="124"/>
      <c r="GZ493" s="124"/>
      <c r="HA493" s="124"/>
      <c r="HB493" s="124"/>
      <c r="HC493" s="124"/>
      <c r="HD493" s="124"/>
      <c r="HE493" s="124"/>
      <c r="HF493" s="124"/>
      <c r="HG493" s="124"/>
      <c r="HH493" s="124"/>
      <c r="HI493" s="124"/>
      <c r="HJ493" s="124"/>
      <c r="HK493" s="124"/>
      <c r="HL493" s="124"/>
      <c r="HM493" s="124"/>
      <c r="HN493" s="124"/>
      <c r="HO493" s="124"/>
      <c r="HP493" s="124"/>
      <c r="HQ493" s="124"/>
    </row>
    <row r="494" spans="1:225" x14ac:dyDescent="0.2">
      <c r="A494" s="122"/>
      <c r="B494" s="123"/>
      <c r="C494" s="124"/>
      <c r="D494" s="123"/>
      <c r="E494" s="124"/>
      <c r="F494" s="123"/>
      <c r="G494" s="123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  <c r="AU494" s="124"/>
      <c r="AV494" s="124"/>
      <c r="AW494" s="124"/>
      <c r="AX494" s="124"/>
      <c r="AY494" s="124"/>
      <c r="AZ494" s="124"/>
      <c r="BA494" s="124"/>
      <c r="BB494" s="124"/>
      <c r="BC494" s="124"/>
      <c r="BD494" s="124"/>
      <c r="BE494" s="124"/>
      <c r="BF494" s="124"/>
      <c r="BG494" s="124"/>
      <c r="BH494" s="124"/>
      <c r="BI494" s="124"/>
      <c r="BJ494" s="124"/>
      <c r="BK494" s="124"/>
      <c r="BL494" s="124"/>
      <c r="BM494" s="124"/>
      <c r="BN494" s="124"/>
      <c r="BO494" s="124"/>
      <c r="BP494" s="124"/>
      <c r="BQ494" s="124"/>
      <c r="BR494" s="124"/>
      <c r="BS494" s="124"/>
      <c r="BT494" s="124"/>
      <c r="BU494" s="124"/>
      <c r="BV494" s="124"/>
      <c r="BW494" s="124"/>
      <c r="BX494" s="124"/>
      <c r="BY494" s="124"/>
      <c r="BZ494" s="124"/>
      <c r="CA494" s="124"/>
      <c r="CB494" s="124"/>
      <c r="CC494" s="124"/>
      <c r="CD494" s="124"/>
      <c r="CE494" s="124"/>
      <c r="CF494" s="124"/>
      <c r="CG494" s="124"/>
      <c r="CH494" s="124"/>
      <c r="CI494" s="124"/>
      <c r="CJ494" s="124"/>
      <c r="CK494" s="124"/>
      <c r="CL494" s="124"/>
      <c r="CM494" s="124"/>
      <c r="CN494" s="124"/>
      <c r="CO494" s="124"/>
      <c r="CP494" s="124"/>
      <c r="CQ494" s="124"/>
      <c r="CR494" s="124"/>
      <c r="CS494" s="124"/>
      <c r="CT494" s="124"/>
      <c r="CU494" s="124"/>
      <c r="CV494" s="124"/>
      <c r="CW494" s="124"/>
      <c r="CX494" s="124"/>
      <c r="CY494" s="124"/>
      <c r="CZ494" s="124"/>
      <c r="DA494" s="124"/>
      <c r="DB494" s="124"/>
      <c r="DC494" s="124"/>
      <c r="DD494" s="124"/>
      <c r="DE494" s="124"/>
      <c r="DF494" s="124"/>
      <c r="DG494" s="124"/>
      <c r="DH494" s="124"/>
      <c r="DI494" s="124"/>
      <c r="DJ494" s="124"/>
      <c r="DK494" s="124"/>
      <c r="DL494" s="124"/>
      <c r="DM494" s="124"/>
      <c r="DN494" s="124"/>
      <c r="DO494" s="124"/>
      <c r="DP494" s="124"/>
      <c r="DQ494" s="124"/>
      <c r="DR494" s="124"/>
      <c r="DS494" s="124"/>
      <c r="DT494" s="124"/>
      <c r="DU494" s="124"/>
      <c r="DV494" s="124"/>
      <c r="DW494" s="124"/>
      <c r="DX494" s="124"/>
      <c r="DY494" s="124"/>
      <c r="DZ494" s="124"/>
      <c r="EA494" s="124"/>
      <c r="EB494" s="124"/>
      <c r="EC494" s="124"/>
      <c r="ED494" s="124"/>
      <c r="EE494" s="124"/>
      <c r="EF494" s="124"/>
      <c r="EG494" s="124"/>
      <c r="EH494" s="124"/>
      <c r="EI494" s="124"/>
      <c r="EJ494" s="124"/>
      <c r="EK494" s="124"/>
      <c r="EL494" s="124"/>
      <c r="EM494" s="124"/>
      <c r="EN494" s="124"/>
      <c r="EO494" s="124"/>
      <c r="EP494" s="124"/>
      <c r="EQ494" s="124"/>
      <c r="ER494" s="124"/>
      <c r="ES494" s="124"/>
      <c r="ET494" s="124"/>
      <c r="EU494" s="124"/>
      <c r="EV494" s="124"/>
      <c r="EW494" s="124"/>
      <c r="EX494" s="124"/>
      <c r="EY494" s="124"/>
      <c r="EZ494" s="124"/>
      <c r="FA494" s="124"/>
      <c r="FB494" s="124"/>
      <c r="FC494" s="124"/>
      <c r="FD494" s="124"/>
      <c r="FE494" s="124"/>
      <c r="FF494" s="124"/>
      <c r="FG494" s="124"/>
      <c r="FH494" s="124"/>
      <c r="FI494" s="124"/>
      <c r="FJ494" s="124"/>
      <c r="FK494" s="124"/>
      <c r="FL494" s="124"/>
      <c r="FM494" s="124"/>
      <c r="FN494" s="124"/>
      <c r="FO494" s="124"/>
      <c r="FP494" s="124"/>
      <c r="FQ494" s="124"/>
      <c r="FR494" s="124"/>
      <c r="FS494" s="124"/>
      <c r="FT494" s="124"/>
      <c r="FU494" s="124"/>
      <c r="FV494" s="124"/>
      <c r="FW494" s="124"/>
      <c r="FX494" s="124"/>
      <c r="FY494" s="124"/>
      <c r="FZ494" s="124"/>
      <c r="GA494" s="124"/>
      <c r="GB494" s="124"/>
      <c r="GC494" s="124"/>
      <c r="GD494" s="124"/>
      <c r="GE494" s="124"/>
      <c r="GF494" s="124"/>
      <c r="GG494" s="124"/>
      <c r="GH494" s="124"/>
      <c r="GI494" s="124"/>
      <c r="GJ494" s="124"/>
      <c r="GK494" s="124"/>
      <c r="GL494" s="124"/>
      <c r="GM494" s="124"/>
      <c r="GN494" s="124"/>
      <c r="GO494" s="124"/>
      <c r="GP494" s="124"/>
      <c r="GQ494" s="124"/>
      <c r="GR494" s="124"/>
      <c r="GS494" s="124"/>
      <c r="GT494" s="124"/>
      <c r="GU494" s="124"/>
      <c r="GV494" s="124"/>
      <c r="GW494" s="124"/>
      <c r="GX494" s="124"/>
      <c r="GY494" s="124"/>
      <c r="GZ494" s="124"/>
      <c r="HA494" s="124"/>
      <c r="HB494" s="124"/>
      <c r="HC494" s="124"/>
      <c r="HD494" s="124"/>
      <c r="HE494" s="124"/>
      <c r="HF494" s="124"/>
      <c r="HG494" s="124"/>
      <c r="HH494" s="124"/>
      <c r="HI494" s="124"/>
      <c r="HJ494" s="124"/>
      <c r="HK494" s="124"/>
      <c r="HL494" s="124"/>
      <c r="HM494" s="124"/>
      <c r="HN494" s="124"/>
      <c r="HO494" s="124"/>
      <c r="HP494" s="124"/>
      <c r="HQ494" s="124"/>
    </row>
    <row r="495" spans="1:225" x14ac:dyDescent="0.2">
      <c r="A495" s="122"/>
      <c r="B495" s="123"/>
      <c r="C495" s="124"/>
      <c r="D495" s="123"/>
      <c r="E495" s="124"/>
      <c r="F495" s="123"/>
      <c r="G495" s="123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  <c r="AU495" s="124"/>
      <c r="AV495" s="124"/>
      <c r="AW495" s="124"/>
      <c r="AX495" s="124"/>
      <c r="AY495" s="124"/>
      <c r="AZ495" s="124"/>
      <c r="BA495" s="124"/>
      <c r="BB495" s="124"/>
      <c r="BC495" s="124"/>
      <c r="BD495" s="124"/>
      <c r="BE495" s="124"/>
      <c r="BF495" s="124"/>
      <c r="BG495" s="124"/>
      <c r="BH495" s="124"/>
      <c r="BI495" s="124"/>
      <c r="BJ495" s="124"/>
      <c r="BK495" s="124"/>
      <c r="BL495" s="124"/>
      <c r="BM495" s="124"/>
      <c r="BN495" s="124"/>
      <c r="BO495" s="124"/>
      <c r="BP495" s="124"/>
      <c r="BQ495" s="124"/>
      <c r="BR495" s="124"/>
      <c r="BS495" s="124"/>
      <c r="BT495" s="124"/>
      <c r="BU495" s="124"/>
      <c r="BV495" s="124"/>
      <c r="BW495" s="124"/>
      <c r="BX495" s="124"/>
      <c r="BY495" s="124"/>
      <c r="BZ495" s="124"/>
      <c r="CA495" s="124"/>
      <c r="CB495" s="124"/>
      <c r="CC495" s="124"/>
      <c r="CD495" s="124"/>
      <c r="CE495" s="124"/>
      <c r="CF495" s="124"/>
      <c r="CG495" s="124"/>
      <c r="CH495" s="124"/>
      <c r="CI495" s="124"/>
      <c r="CJ495" s="124"/>
      <c r="CK495" s="124"/>
      <c r="CL495" s="124"/>
      <c r="CM495" s="124"/>
      <c r="CN495" s="124"/>
      <c r="CO495" s="124"/>
      <c r="CP495" s="124"/>
      <c r="CQ495" s="124"/>
      <c r="CR495" s="124"/>
      <c r="CS495" s="124"/>
      <c r="CT495" s="124"/>
      <c r="CU495" s="124"/>
      <c r="CV495" s="124"/>
      <c r="CW495" s="124"/>
      <c r="CX495" s="124"/>
      <c r="CY495" s="124"/>
      <c r="CZ495" s="124"/>
      <c r="DA495" s="124"/>
      <c r="DB495" s="124"/>
      <c r="DC495" s="124"/>
      <c r="DD495" s="124"/>
      <c r="DE495" s="124"/>
      <c r="DF495" s="124"/>
      <c r="DG495" s="124"/>
      <c r="DH495" s="124"/>
      <c r="DI495" s="124"/>
      <c r="DJ495" s="124"/>
      <c r="DK495" s="124"/>
      <c r="DL495" s="124"/>
      <c r="DM495" s="124"/>
      <c r="DN495" s="124"/>
      <c r="DO495" s="124"/>
      <c r="DP495" s="124"/>
      <c r="DQ495" s="124"/>
      <c r="DR495" s="124"/>
      <c r="DS495" s="124"/>
      <c r="DT495" s="124"/>
      <c r="DU495" s="124"/>
      <c r="DV495" s="124"/>
      <c r="DW495" s="124"/>
      <c r="DX495" s="124"/>
      <c r="DY495" s="124"/>
      <c r="DZ495" s="124"/>
      <c r="EA495" s="124"/>
      <c r="EB495" s="124"/>
      <c r="EC495" s="124"/>
      <c r="ED495" s="124"/>
      <c r="EE495" s="124"/>
      <c r="EF495" s="124"/>
      <c r="EG495" s="124"/>
      <c r="EH495" s="124"/>
      <c r="EI495" s="124"/>
      <c r="EJ495" s="124"/>
      <c r="EK495" s="124"/>
      <c r="EL495" s="124"/>
      <c r="EM495" s="124"/>
      <c r="EN495" s="124"/>
      <c r="EO495" s="124"/>
      <c r="EP495" s="124"/>
      <c r="EQ495" s="124"/>
      <c r="ER495" s="124"/>
      <c r="ES495" s="124"/>
      <c r="ET495" s="124"/>
      <c r="EU495" s="124"/>
      <c r="EV495" s="124"/>
      <c r="EW495" s="124"/>
      <c r="EX495" s="124"/>
      <c r="EY495" s="124"/>
      <c r="EZ495" s="124"/>
      <c r="FA495" s="124"/>
      <c r="FB495" s="124"/>
      <c r="FC495" s="124"/>
      <c r="FD495" s="124"/>
      <c r="FE495" s="124"/>
      <c r="FF495" s="124"/>
      <c r="FG495" s="124"/>
      <c r="FH495" s="124"/>
      <c r="FI495" s="124"/>
      <c r="FJ495" s="124"/>
      <c r="FK495" s="124"/>
      <c r="FL495" s="124"/>
      <c r="FM495" s="124"/>
      <c r="FN495" s="124"/>
      <c r="FO495" s="124"/>
      <c r="FP495" s="124"/>
      <c r="FQ495" s="124"/>
      <c r="FR495" s="124"/>
      <c r="FS495" s="124"/>
      <c r="FT495" s="124"/>
      <c r="FU495" s="124"/>
      <c r="FV495" s="124"/>
      <c r="FW495" s="124"/>
      <c r="FX495" s="124"/>
      <c r="FY495" s="124"/>
      <c r="FZ495" s="124"/>
      <c r="GA495" s="124"/>
      <c r="GB495" s="124"/>
      <c r="GC495" s="124"/>
      <c r="GD495" s="124"/>
      <c r="GE495" s="124"/>
      <c r="GF495" s="124"/>
      <c r="GG495" s="124"/>
      <c r="GH495" s="124"/>
      <c r="GI495" s="124"/>
      <c r="GJ495" s="124"/>
      <c r="GK495" s="124"/>
      <c r="GL495" s="124"/>
      <c r="GM495" s="124"/>
      <c r="GN495" s="124"/>
      <c r="GO495" s="124"/>
      <c r="GP495" s="124"/>
      <c r="GQ495" s="124"/>
      <c r="GR495" s="124"/>
      <c r="GS495" s="124"/>
      <c r="GT495" s="124"/>
      <c r="GU495" s="124"/>
      <c r="GV495" s="124"/>
      <c r="GW495" s="124"/>
      <c r="GX495" s="124"/>
      <c r="GY495" s="124"/>
      <c r="GZ495" s="124"/>
      <c r="HA495" s="124"/>
      <c r="HB495" s="124"/>
      <c r="HC495" s="124"/>
      <c r="HD495" s="124"/>
      <c r="HE495" s="124"/>
      <c r="HF495" s="124"/>
      <c r="HG495" s="124"/>
      <c r="HH495" s="124"/>
      <c r="HI495" s="124"/>
      <c r="HJ495" s="124"/>
      <c r="HK495" s="124"/>
      <c r="HL495" s="124"/>
      <c r="HM495" s="124"/>
      <c r="HN495" s="124"/>
      <c r="HO495" s="124"/>
      <c r="HP495" s="124"/>
      <c r="HQ495" s="124"/>
    </row>
    <row r="496" spans="1:225" x14ac:dyDescent="0.2">
      <c r="A496" s="122"/>
      <c r="B496" s="123"/>
      <c r="C496" s="124"/>
      <c r="D496" s="123"/>
      <c r="E496" s="124"/>
      <c r="F496" s="123"/>
      <c r="G496" s="123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  <c r="AU496" s="124"/>
      <c r="AV496" s="124"/>
      <c r="AW496" s="124"/>
      <c r="AX496" s="124"/>
      <c r="AY496" s="124"/>
      <c r="AZ496" s="124"/>
      <c r="BA496" s="124"/>
      <c r="BB496" s="124"/>
      <c r="BC496" s="124"/>
      <c r="BD496" s="124"/>
      <c r="BE496" s="124"/>
      <c r="BF496" s="124"/>
      <c r="BG496" s="124"/>
      <c r="BH496" s="124"/>
      <c r="BI496" s="124"/>
      <c r="BJ496" s="124"/>
      <c r="BK496" s="124"/>
      <c r="BL496" s="124"/>
      <c r="BM496" s="124"/>
      <c r="BN496" s="124"/>
      <c r="BO496" s="124"/>
      <c r="BP496" s="124"/>
      <c r="BQ496" s="124"/>
      <c r="BR496" s="124"/>
      <c r="BS496" s="124"/>
      <c r="BT496" s="124"/>
      <c r="BU496" s="124"/>
      <c r="BV496" s="124"/>
      <c r="BW496" s="124"/>
      <c r="BX496" s="124"/>
      <c r="BY496" s="124"/>
      <c r="BZ496" s="124"/>
      <c r="CA496" s="124"/>
      <c r="CB496" s="124"/>
      <c r="CC496" s="124"/>
      <c r="CD496" s="124"/>
      <c r="CE496" s="124"/>
      <c r="CF496" s="124"/>
      <c r="CG496" s="124"/>
      <c r="CH496" s="124"/>
      <c r="CI496" s="124"/>
      <c r="CJ496" s="124"/>
      <c r="CK496" s="124"/>
      <c r="CL496" s="124"/>
      <c r="CM496" s="124"/>
      <c r="CN496" s="124"/>
      <c r="CO496" s="124"/>
      <c r="CP496" s="124"/>
      <c r="CQ496" s="124"/>
      <c r="CR496" s="124"/>
      <c r="CS496" s="124"/>
      <c r="CT496" s="124"/>
      <c r="CU496" s="124"/>
      <c r="CV496" s="124"/>
      <c r="CW496" s="124"/>
      <c r="CX496" s="124"/>
      <c r="CY496" s="124"/>
      <c r="CZ496" s="124"/>
      <c r="DA496" s="124"/>
      <c r="DB496" s="124"/>
      <c r="DC496" s="124"/>
      <c r="DD496" s="124"/>
      <c r="DE496" s="124"/>
      <c r="DF496" s="124"/>
      <c r="DG496" s="124"/>
      <c r="DH496" s="124"/>
      <c r="DI496" s="124"/>
      <c r="DJ496" s="124"/>
      <c r="DK496" s="124"/>
      <c r="DL496" s="124"/>
      <c r="DM496" s="124"/>
      <c r="DN496" s="124"/>
      <c r="DO496" s="124"/>
      <c r="DP496" s="124"/>
      <c r="DQ496" s="124"/>
      <c r="DR496" s="124"/>
      <c r="DS496" s="124"/>
      <c r="DT496" s="124"/>
      <c r="DU496" s="124"/>
      <c r="DV496" s="124"/>
      <c r="DW496" s="124"/>
      <c r="DX496" s="124"/>
      <c r="DY496" s="124"/>
      <c r="DZ496" s="124"/>
      <c r="EA496" s="124"/>
      <c r="EB496" s="124"/>
      <c r="EC496" s="124"/>
      <c r="ED496" s="124"/>
      <c r="EE496" s="124"/>
      <c r="EF496" s="124"/>
      <c r="EG496" s="124"/>
      <c r="EH496" s="124"/>
      <c r="EI496" s="124"/>
      <c r="EJ496" s="124"/>
      <c r="EK496" s="124"/>
      <c r="EL496" s="124"/>
      <c r="EM496" s="124"/>
      <c r="EN496" s="124"/>
      <c r="EO496" s="124"/>
      <c r="EP496" s="124"/>
      <c r="EQ496" s="124"/>
      <c r="ER496" s="124"/>
      <c r="ES496" s="124"/>
      <c r="ET496" s="124"/>
      <c r="EU496" s="124"/>
      <c r="EV496" s="124"/>
      <c r="EW496" s="124"/>
      <c r="EX496" s="124"/>
      <c r="EY496" s="124"/>
      <c r="EZ496" s="124"/>
      <c r="FA496" s="124"/>
      <c r="FB496" s="124"/>
      <c r="FC496" s="124"/>
      <c r="FD496" s="124"/>
      <c r="FE496" s="124"/>
      <c r="FF496" s="124"/>
      <c r="FG496" s="124"/>
      <c r="FH496" s="124"/>
      <c r="FI496" s="124"/>
      <c r="FJ496" s="124"/>
      <c r="FK496" s="124"/>
      <c r="FL496" s="124"/>
      <c r="FM496" s="124"/>
      <c r="FN496" s="124"/>
      <c r="FO496" s="124"/>
      <c r="FP496" s="124"/>
      <c r="FQ496" s="124"/>
      <c r="FR496" s="124"/>
      <c r="FS496" s="124"/>
      <c r="FT496" s="124"/>
      <c r="FU496" s="124"/>
      <c r="FV496" s="124"/>
      <c r="FW496" s="124"/>
      <c r="FX496" s="124"/>
      <c r="FY496" s="124"/>
      <c r="FZ496" s="124"/>
      <c r="GA496" s="124"/>
      <c r="GB496" s="124"/>
      <c r="GC496" s="124"/>
      <c r="GD496" s="124"/>
      <c r="GE496" s="124"/>
      <c r="GF496" s="124"/>
      <c r="GG496" s="124"/>
      <c r="GH496" s="124"/>
      <c r="GI496" s="124"/>
      <c r="GJ496" s="124"/>
      <c r="GK496" s="124"/>
      <c r="GL496" s="124"/>
      <c r="GM496" s="124"/>
      <c r="GN496" s="124"/>
      <c r="GO496" s="124"/>
      <c r="GP496" s="124"/>
      <c r="GQ496" s="124"/>
      <c r="GR496" s="124"/>
      <c r="GS496" s="124"/>
      <c r="GT496" s="124"/>
      <c r="GU496" s="124"/>
      <c r="GV496" s="124"/>
      <c r="GW496" s="124"/>
      <c r="GX496" s="124"/>
      <c r="GY496" s="124"/>
      <c r="GZ496" s="124"/>
      <c r="HA496" s="124"/>
      <c r="HB496" s="124"/>
      <c r="HC496" s="124"/>
      <c r="HD496" s="124"/>
      <c r="HE496" s="124"/>
      <c r="HF496" s="124"/>
      <c r="HG496" s="124"/>
      <c r="HH496" s="124"/>
      <c r="HI496" s="124"/>
      <c r="HJ496" s="124"/>
      <c r="HK496" s="124"/>
      <c r="HL496" s="124"/>
      <c r="HM496" s="124"/>
      <c r="HN496" s="124"/>
      <c r="HO496" s="124"/>
      <c r="HP496" s="124"/>
      <c r="HQ496" s="124"/>
    </row>
    <row r="497" spans="1:225" x14ac:dyDescent="0.2">
      <c r="A497" s="122"/>
      <c r="B497" s="123"/>
      <c r="C497" s="124"/>
      <c r="D497" s="123"/>
      <c r="E497" s="124"/>
      <c r="F497" s="123"/>
      <c r="G497" s="123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  <c r="AU497" s="124"/>
      <c r="AV497" s="124"/>
      <c r="AW497" s="124"/>
      <c r="AX497" s="124"/>
      <c r="AY497" s="124"/>
      <c r="AZ497" s="124"/>
      <c r="BA497" s="124"/>
      <c r="BB497" s="124"/>
      <c r="BC497" s="124"/>
      <c r="BD497" s="124"/>
      <c r="BE497" s="124"/>
      <c r="BF497" s="124"/>
      <c r="BG497" s="124"/>
      <c r="BH497" s="124"/>
      <c r="BI497" s="124"/>
      <c r="BJ497" s="124"/>
      <c r="BK497" s="124"/>
      <c r="BL497" s="124"/>
      <c r="BM497" s="124"/>
      <c r="BN497" s="124"/>
      <c r="BO497" s="124"/>
      <c r="BP497" s="124"/>
      <c r="BQ497" s="124"/>
      <c r="BR497" s="124"/>
      <c r="BS497" s="124"/>
      <c r="BT497" s="124"/>
      <c r="BU497" s="124"/>
      <c r="BV497" s="124"/>
      <c r="BW497" s="124"/>
      <c r="BX497" s="124"/>
      <c r="BY497" s="124"/>
      <c r="BZ497" s="124"/>
      <c r="CA497" s="124"/>
      <c r="CB497" s="124"/>
      <c r="CC497" s="124"/>
      <c r="CD497" s="124"/>
      <c r="CE497" s="124"/>
      <c r="CF497" s="124"/>
      <c r="CG497" s="124"/>
      <c r="CH497" s="124"/>
      <c r="CI497" s="124"/>
      <c r="CJ497" s="124"/>
      <c r="CK497" s="124"/>
      <c r="CL497" s="124"/>
      <c r="CM497" s="124"/>
      <c r="CN497" s="124"/>
      <c r="CO497" s="124"/>
      <c r="CP497" s="124"/>
      <c r="CQ497" s="124"/>
      <c r="CR497" s="124"/>
      <c r="CS497" s="124"/>
      <c r="CT497" s="124"/>
      <c r="CU497" s="124"/>
      <c r="CV497" s="124"/>
      <c r="CW497" s="124"/>
      <c r="CX497" s="124"/>
      <c r="CY497" s="124"/>
      <c r="CZ497" s="124"/>
      <c r="DA497" s="124"/>
      <c r="DB497" s="124"/>
      <c r="DC497" s="124"/>
      <c r="DD497" s="124"/>
      <c r="DE497" s="124"/>
      <c r="DF497" s="124"/>
      <c r="DG497" s="124"/>
      <c r="DH497" s="124"/>
      <c r="DI497" s="124"/>
      <c r="DJ497" s="124"/>
      <c r="DK497" s="124"/>
      <c r="DL497" s="124"/>
      <c r="DM497" s="124"/>
      <c r="DN497" s="124"/>
      <c r="DO497" s="124"/>
      <c r="DP497" s="124"/>
      <c r="DQ497" s="124"/>
      <c r="DR497" s="124"/>
      <c r="DS497" s="124"/>
      <c r="DT497" s="124"/>
      <c r="DU497" s="124"/>
      <c r="DV497" s="124"/>
      <c r="DW497" s="124"/>
      <c r="DX497" s="124"/>
      <c r="DY497" s="124"/>
      <c r="DZ497" s="124"/>
      <c r="EA497" s="124"/>
      <c r="EB497" s="124"/>
      <c r="EC497" s="124"/>
      <c r="ED497" s="124"/>
      <c r="EE497" s="124"/>
      <c r="EF497" s="124"/>
      <c r="EG497" s="124"/>
      <c r="EH497" s="124"/>
      <c r="EI497" s="124"/>
      <c r="EJ497" s="124"/>
      <c r="EK497" s="124"/>
      <c r="EL497" s="124"/>
      <c r="EM497" s="124"/>
      <c r="EN497" s="124"/>
      <c r="EO497" s="124"/>
      <c r="EP497" s="124"/>
      <c r="EQ497" s="124"/>
      <c r="ER497" s="124"/>
      <c r="ES497" s="124"/>
      <c r="ET497" s="124"/>
      <c r="EU497" s="124"/>
      <c r="EV497" s="124"/>
      <c r="EW497" s="124"/>
      <c r="EX497" s="124"/>
      <c r="EY497" s="124"/>
      <c r="EZ497" s="124"/>
      <c r="FA497" s="124"/>
      <c r="FB497" s="124"/>
      <c r="FC497" s="124"/>
      <c r="FD497" s="124"/>
      <c r="FE497" s="124"/>
      <c r="FF497" s="124"/>
      <c r="FG497" s="124"/>
      <c r="FH497" s="124"/>
      <c r="FI497" s="124"/>
      <c r="FJ497" s="124"/>
      <c r="FK497" s="124"/>
      <c r="FL497" s="124"/>
      <c r="FM497" s="124"/>
      <c r="FN497" s="124"/>
      <c r="FO497" s="124"/>
      <c r="FP497" s="124"/>
      <c r="FQ497" s="124"/>
      <c r="FR497" s="124"/>
      <c r="FS497" s="124"/>
      <c r="FT497" s="124"/>
      <c r="FU497" s="124"/>
      <c r="FV497" s="124"/>
      <c r="FW497" s="124"/>
      <c r="FX497" s="124"/>
      <c r="FY497" s="124"/>
      <c r="FZ497" s="124"/>
      <c r="GA497" s="124"/>
      <c r="GB497" s="124"/>
      <c r="GC497" s="124"/>
      <c r="GD497" s="124"/>
      <c r="GE497" s="124"/>
      <c r="GF497" s="124"/>
      <c r="GG497" s="124"/>
      <c r="GH497" s="124"/>
      <c r="GI497" s="124"/>
      <c r="GJ497" s="124"/>
      <c r="GK497" s="124"/>
      <c r="GL497" s="124"/>
      <c r="GM497" s="124"/>
      <c r="GN497" s="124"/>
      <c r="GO497" s="124"/>
      <c r="GP497" s="124"/>
      <c r="GQ497" s="124"/>
      <c r="GR497" s="124"/>
      <c r="GS497" s="124"/>
      <c r="GT497" s="124"/>
      <c r="GU497" s="124"/>
      <c r="GV497" s="124"/>
      <c r="GW497" s="124"/>
      <c r="GX497" s="124"/>
      <c r="GY497" s="124"/>
      <c r="GZ497" s="124"/>
      <c r="HA497" s="124"/>
      <c r="HB497" s="124"/>
      <c r="HC497" s="124"/>
      <c r="HD497" s="124"/>
      <c r="HE497" s="124"/>
      <c r="HF497" s="124"/>
      <c r="HG497" s="124"/>
      <c r="HH497" s="124"/>
      <c r="HI497" s="124"/>
      <c r="HJ497" s="124"/>
      <c r="HK497" s="124"/>
      <c r="HL497" s="124"/>
      <c r="HM497" s="124"/>
      <c r="HN497" s="124"/>
      <c r="HO497" s="124"/>
      <c r="HP497" s="124"/>
      <c r="HQ497" s="124"/>
    </row>
    <row r="498" spans="1:225" x14ac:dyDescent="0.2">
      <c r="A498" s="122"/>
      <c r="B498" s="123"/>
      <c r="C498" s="124"/>
      <c r="D498" s="123"/>
      <c r="E498" s="124"/>
      <c r="F498" s="123"/>
      <c r="G498" s="123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  <c r="AT498" s="124"/>
      <c r="AU498" s="124"/>
      <c r="AV498" s="124"/>
      <c r="AW498" s="124"/>
      <c r="AX498" s="124"/>
      <c r="AY498" s="124"/>
      <c r="AZ498" s="124"/>
      <c r="BA498" s="124"/>
      <c r="BB498" s="124"/>
      <c r="BC498" s="124"/>
      <c r="BD498" s="124"/>
      <c r="BE498" s="124"/>
      <c r="BF498" s="124"/>
      <c r="BG498" s="124"/>
      <c r="BH498" s="124"/>
      <c r="BI498" s="124"/>
      <c r="BJ498" s="124"/>
      <c r="BK498" s="124"/>
      <c r="BL498" s="124"/>
      <c r="BM498" s="124"/>
      <c r="BN498" s="124"/>
      <c r="BO498" s="124"/>
      <c r="BP498" s="124"/>
      <c r="BQ498" s="124"/>
      <c r="BR498" s="124"/>
      <c r="BS498" s="124"/>
      <c r="BT498" s="124"/>
      <c r="BU498" s="124"/>
      <c r="BV498" s="124"/>
      <c r="BW498" s="124"/>
      <c r="BX498" s="124"/>
      <c r="BY498" s="124"/>
      <c r="BZ498" s="124"/>
      <c r="CA498" s="124"/>
      <c r="CB498" s="124"/>
      <c r="CC498" s="124"/>
      <c r="CD498" s="124"/>
      <c r="CE498" s="124"/>
      <c r="CF498" s="124"/>
      <c r="CG498" s="124"/>
      <c r="CH498" s="124"/>
      <c r="CI498" s="124"/>
      <c r="CJ498" s="124"/>
      <c r="CK498" s="124"/>
      <c r="CL498" s="124"/>
      <c r="CM498" s="124"/>
      <c r="CN498" s="124"/>
      <c r="CO498" s="124"/>
      <c r="CP498" s="124"/>
      <c r="CQ498" s="124"/>
      <c r="CR498" s="124"/>
      <c r="CS498" s="124"/>
      <c r="CT498" s="124"/>
      <c r="CU498" s="124"/>
      <c r="CV498" s="124"/>
      <c r="CW498" s="124"/>
      <c r="CX498" s="124"/>
      <c r="CY498" s="124"/>
      <c r="CZ498" s="124"/>
      <c r="DA498" s="124"/>
      <c r="DB498" s="124"/>
      <c r="DC498" s="124"/>
      <c r="DD498" s="124"/>
      <c r="DE498" s="124"/>
      <c r="DF498" s="124"/>
      <c r="DG498" s="124"/>
      <c r="DH498" s="124"/>
      <c r="DI498" s="124"/>
      <c r="DJ498" s="124"/>
      <c r="DK498" s="124"/>
      <c r="DL498" s="124"/>
      <c r="DM498" s="124"/>
      <c r="DN498" s="124"/>
      <c r="DO498" s="124"/>
      <c r="DP498" s="124"/>
      <c r="DQ498" s="124"/>
      <c r="DR498" s="124"/>
      <c r="DS498" s="124"/>
      <c r="DT498" s="124"/>
      <c r="DU498" s="124"/>
      <c r="DV498" s="124"/>
      <c r="DW498" s="124"/>
      <c r="DX498" s="124"/>
      <c r="DY498" s="124"/>
      <c r="DZ498" s="124"/>
      <c r="EA498" s="124"/>
      <c r="EB498" s="124"/>
      <c r="EC498" s="124"/>
      <c r="ED498" s="124"/>
      <c r="EE498" s="124"/>
      <c r="EF498" s="124"/>
      <c r="EG498" s="124"/>
      <c r="EH498" s="124"/>
      <c r="EI498" s="124"/>
      <c r="EJ498" s="124"/>
      <c r="EK498" s="124"/>
      <c r="EL498" s="124"/>
      <c r="EM498" s="124"/>
      <c r="EN498" s="124"/>
      <c r="EO498" s="124"/>
      <c r="EP498" s="124"/>
      <c r="EQ498" s="124"/>
      <c r="ER498" s="124"/>
      <c r="ES498" s="124"/>
      <c r="ET498" s="124"/>
      <c r="EU498" s="124"/>
      <c r="EV498" s="124"/>
      <c r="EW498" s="124"/>
      <c r="EX498" s="124"/>
      <c r="EY498" s="124"/>
      <c r="EZ498" s="124"/>
      <c r="FA498" s="124"/>
      <c r="FB498" s="124"/>
      <c r="FC498" s="124"/>
      <c r="FD498" s="124"/>
      <c r="FE498" s="124"/>
      <c r="FF498" s="124"/>
      <c r="FG498" s="124"/>
      <c r="FH498" s="124"/>
      <c r="FI498" s="124"/>
      <c r="FJ498" s="124"/>
      <c r="FK498" s="124"/>
      <c r="FL498" s="124"/>
      <c r="FM498" s="124"/>
      <c r="FN498" s="124"/>
      <c r="FO498" s="124"/>
      <c r="FP498" s="124"/>
      <c r="FQ498" s="124"/>
      <c r="FR498" s="124"/>
      <c r="FS498" s="124"/>
      <c r="FT498" s="124"/>
      <c r="FU498" s="124"/>
      <c r="FV498" s="124"/>
      <c r="FW498" s="124"/>
      <c r="FX498" s="124"/>
      <c r="FY498" s="124"/>
      <c r="FZ498" s="124"/>
      <c r="GA498" s="124"/>
      <c r="GB498" s="124"/>
      <c r="GC498" s="124"/>
      <c r="GD498" s="124"/>
      <c r="GE498" s="124"/>
      <c r="GF498" s="124"/>
      <c r="GG498" s="124"/>
      <c r="GH498" s="124"/>
      <c r="GI498" s="124"/>
      <c r="GJ498" s="124"/>
      <c r="GK498" s="124"/>
      <c r="GL498" s="124"/>
      <c r="GM498" s="124"/>
      <c r="GN498" s="124"/>
      <c r="GO498" s="124"/>
      <c r="GP498" s="124"/>
      <c r="GQ498" s="124"/>
      <c r="GR498" s="124"/>
      <c r="GS498" s="124"/>
      <c r="GT498" s="124"/>
      <c r="GU498" s="124"/>
      <c r="GV498" s="124"/>
      <c r="GW498" s="124"/>
      <c r="GX498" s="124"/>
      <c r="GY498" s="124"/>
      <c r="GZ498" s="124"/>
      <c r="HA498" s="124"/>
      <c r="HB498" s="124"/>
      <c r="HC498" s="124"/>
      <c r="HD498" s="124"/>
      <c r="HE498" s="124"/>
      <c r="HF498" s="124"/>
      <c r="HG498" s="124"/>
      <c r="HH498" s="124"/>
      <c r="HI498" s="124"/>
      <c r="HJ498" s="124"/>
      <c r="HK498" s="124"/>
      <c r="HL498" s="124"/>
      <c r="HM498" s="124"/>
      <c r="HN498" s="124"/>
      <c r="HO498" s="124"/>
      <c r="HP498" s="124"/>
      <c r="HQ498" s="124"/>
    </row>
    <row r="499" spans="1:225" x14ac:dyDescent="0.2">
      <c r="A499" s="122"/>
      <c r="B499" s="123"/>
      <c r="C499" s="124"/>
      <c r="D499" s="123"/>
      <c r="E499" s="124"/>
      <c r="F499" s="123"/>
      <c r="G499" s="123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  <c r="AT499" s="124"/>
      <c r="AU499" s="124"/>
      <c r="AV499" s="124"/>
      <c r="AW499" s="124"/>
      <c r="AX499" s="124"/>
      <c r="AY499" s="124"/>
      <c r="AZ499" s="124"/>
      <c r="BA499" s="124"/>
      <c r="BB499" s="124"/>
      <c r="BC499" s="124"/>
      <c r="BD499" s="124"/>
      <c r="BE499" s="124"/>
      <c r="BF499" s="124"/>
      <c r="BG499" s="124"/>
      <c r="BH499" s="124"/>
      <c r="BI499" s="124"/>
      <c r="BJ499" s="124"/>
      <c r="BK499" s="124"/>
      <c r="BL499" s="124"/>
      <c r="BM499" s="124"/>
      <c r="BN499" s="124"/>
      <c r="BO499" s="124"/>
      <c r="BP499" s="124"/>
      <c r="BQ499" s="124"/>
      <c r="BR499" s="124"/>
      <c r="BS499" s="124"/>
      <c r="BT499" s="124"/>
      <c r="BU499" s="124"/>
      <c r="BV499" s="124"/>
      <c r="BW499" s="124"/>
      <c r="BX499" s="124"/>
      <c r="BY499" s="124"/>
      <c r="BZ499" s="124"/>
      <c r="CA499" s="124"/>
      <c r="CB499" s="124"/>
      <c r="CC499" s="124"/>
      <c r="CD499" s="124"/>
      <c r="CE499" s="124"/>
      <c r="CF499" s="124"/>
      <c r="CG499" s="124"/>
      <c r="CH499" s="124"/>
      <c r="CI499" s="124"/>
      <c r="CJ499" s="124"/>
      <c r="CK499" s="124"/>
      <c r="CL499" s="124"/>
      <c r="CM499" s="124"/>
      <c r="CN499" s="124"/>
      <c r="CO499" s="124"/>
      <c r="CP499" s="124"/>
      <c r="CQ499" s="124"/>
      <c r="CR499" s="124"/>
      <c r="CS499" s="124"/>
      <c r="CT499" s="124"/>
      <c r="CU499" s="124"/>
      <c r="CV499" s="124"/>
      <c r="CW499" s="124"/>
      <c r="CX499" s="124"/>
      <c r="CY499" s="124"/>
      <c r="CZ499" s="124"/>
      <c r="DA499" s="124"/>
      <c r="DB499" s="124"/>
      <c r="DC499" s="124"/>
      <c r="DD499" s="124"/>
      <c r="DE499" s="124"/>
      <c r="DF499" s="124"/>
      <c r="DG499" s="124"/>
      <c r="DH499" s="124"/>
      <c r="DI499" s="124"/>
      <c r="DJ499" s="124"/>
      <c r="DK499" s="124"/>
      <c r="DL499" s="124"/>
      <c r="DM499" s="124"/>
      <c r="DN499" s="124"/>
      <c r="DO499" s="124"/>
      <c r="DP499" s="124"/>
      <c r="DQ499" s="124"/>
      <c r="DR499" s="124"/>
      <c r="DS499" s="124"/>
      <c r="DT499" s="124"/>
      <c r="DU499" s="124"/>
      <c r="DV499" s="124"/>
      <c r="DW499" s="124"/>
      <c r="DX499" s="124"/>
      <c r="DY499" s="124"/>
      <c r="DZ499" s="124"/>
      <c r="EA499" s="124"/>
      <c r="EB499" s="124"/>
      <c r="EC499" s="124"/>
      <c r="ED499" s="124"/>
      <c r="EE499" s="124"/>
      <c r="EF499" s="124"/>
      <c r="EG499" s="124"/>
      <c r="EH499" s="124"/>
      <c r="EI499" s="124"/>
      <c r="EJ499" s="124"/>
      <c r="EK499" s="124"/>
      <c r="EL499" s="124"/>
      <c r="EM499" s="124"/>
      <c r="EN499" s="124"/>
      <c r="EO499" s="124"/>
      <c r="EP499" s="124"/>
      <c r="EQ499" s="124"/>
      <c r="ER499" s="124"/>
      <c r="ES499" s="124"/>
      <c r="ET499" s="124"/>
      <c r="EU499" s="124"/>
      <c r="EV499" s="124"/>
      <c r="EW499" s="124"/>
      <c r="EX499" s="124"/>
      <c r="EY499" s="124"/>
      <c r="EZ499" s="124"/>
      <c r="FA499" s="124"/>
      <c r="FB499" s="124"/>
      <c r="FC499" s="124"/>
      <c r="FD499" s="124"/>
      <c r="FE499" s="124"/>
      <c r="FF499" s="124"/>
      <c r="FG499" s="124"/>
      <c r="FH499" s="124"/>
      <c r="FI499" s="124"/>
      <c r="FJ499" s="124"/>
      <c r="FK499" s="124"/>
      <c r="FL499" s="124"/>
      <c r="FM499" s="124"/>
      <c r="FN499" s="124"/>
      <c r="FO499" s="124"/>
      <c r="FP499" s="124"/>
      <c r="FQ499" s="124"/>
      <c r="FR499" s="124"/>
      <c r="FS499" s="124"/>
      <c r="FT499" s="124"/>
      <c r="FU499" s="124"/>
      <c r="FV499" s="124"/>
      <c r="FW499" s="124"/>
      <c r="FX499" s="124"/>
      <c r="FY499" s="124"/>
      <c r="FZ499" s="124"/>
      <c r="GA499" s="124"/>
      <c r="GB499" s="124"/>
      <c r="GC499" s="124"/>
      <c r="GD499" s="124"/>
      <c r="GE499" s="124"/>
      <c r="GF499" s="124"/>
      <c r="GG499" s="124"/>
      <c r="GH499" s="124"/>
      <c r="GI499" s="124"/>
      <c r="GJ499" s="124"/>
      <c r="GK499" s="124"/>
      <c r="GL499" s="124"/>
      <c r="GM499" s="124"/>
      <c r="GN499" s="124"/>
      <c r="GO499" s="124"/>
      <c r="GP499" s="124"/>
      <c r="GQ499" s="124"/>
      <c r="GR499" s="124"/>
      <c r="GS499" s="124"/>
      <c r="GT499" s="124"/>
      <c r="GU499" s="124"/>
      <c r="GV499" s="124"/>
      <c r="GW499" s="124"/>
      <c r="GX499" s="124"/>
      <c r="GY499" s="124"/>
      <c r="GZ499" s="124"/>
      <c r="HA499" s="124"/>
      <c r="HB499" s="124"/>
      <c r="HC499" s="124"/>
      <c r="HD499" s="124"/>
      <c r="HE499" s="124"/>
      <c r="HF499" s="124"/>
      <c r="HG499" s="124"/>
      <c r="HH499" s="124"/>
      <c r="HI499" s="124"/>
      <c r="HJ499" s="124"/>
      <c r="HK499" s="124"/>
      <c r="HL499" s="124"/>
      <c r="HM499" s="124"/>
      <c r="HN499" s="124"/>
      <c r="HO499" s="124"/>
      <c r="HP499" s="124"/>
      <c r="HQ499" s="124"/>
    </row>
    <row r="500" spans="1:225" x14ac:dyDescent="0.2">
      <c r="A500" s="122"/>
      <c r="B500" s="123"/>
      <c r="C500" s="124"/>
      <c r="D500" s="123"/>
      <c r="E500" s="124"/>
      <c r="F500" s="123"/>
      <c r="G500" s="123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  <c r="AU500" s="124"/>
      <c r="AV500" s="124"/>
      <c r="AW500" s="124"/>
      <c r="AX500" s="124"/>
      <c r="AY500" s="124"/>
      <c r="AZ500" s="124"/>
      <c r="BA500" s="124"/>
      <c r="BB500" s="124"/>
      <c r="BC500" s="124"/>
      <c r="BD500" s="124"/>
      <c r="BE500" s="124"/>
      <c r="BF500" s="124"/>
      <c r="BG500" s="124"/>
      <c r="BH500" s="124"/>
      <c r="BI500" s="124"/>
      <c r="BJ500" s="124"/>
      <c r="BK500" s="124"/>
      <c r="BL500" s="124"/>
      <c r="BM500" s="124"/>
      <c r="BN500" s="124"/>
      <c r="BO500" s="124"/>
      <c r="BP500" s="124"/>
      <c r="BQ500" s="124"/>
      <c r="BR500" s="124"/>
      <c r="BS500" s="124"/>
      <c r="BT500" s="124"/>
      <c r="BU500" s="124"/>
      <c r="BV500" s="124"/>
      <c r="BW500" s="124"/>
      <c r="BX500" s="124"/>
      <c r="BY500" s="124"/>
      <c r="BZ500" s="124"/>
      <c r="CA500" s="124"/>
      <c r="CB500" s="124"/>
      <c r="CC500" s="124"/>
      <c r="CD500" s="124"/>
      <c r="CE500" s="124"/>
      <c r="CF500" s="124"/>
      <c r="CG500" s="124"/>
      <c r="CH500" s="124"/>
      <c r="CI500" s="124"/>
      <c r="CJ500" s="124"/>
      <c r="CK500" s="124"/>
      <c r="CL500" s="124"/>
      <c r="CM500" s="124"/>
      <c r="CN500" s="124"/>
      <c r="CO500" s="124"/>
      <c r="CP500" s="124"/>
      <c r="CQ500" s="124"/>
      <c r="CR500" s="124"/>
      <c r="CS500" s="124"/>
      <c r="CT500" s="124"/>
      <c r="CU500" s="124"/>
      <c r="CV500" s="124"/>
      <c r="CW500" s="124"/>
      <c r="CX500" s="124"/>
      <c r="CY500" s="124"/>
      <c r="CZ500" s="124"/>
      <c r="DA500" s="124"/>
      <c r="DB500" s="124"/>
      <c r="DC500" s="124"/>
      <c r="DD500" s="124"/>
      <c r="DE500" s="124"/>
      <c r="DF500" s="124"/>
      <c r="DG500" s="124"/>
      <c r="DH500" s="124"/>
      <c r="DI500" s="124"/>
      <c r="DJ500" s="124"/>
      <c r="DK500" s="124"/>
      <c r="DL500" s="124"/>
      <c r="DM500" s="124"/>
      <c r="DN500" s="124"/>
      <c r="DO500" s="124"/>
      <c r="DP500" s="124"/>
      <c r="DQ500" s="124"/>
      <c r="DR500" s="124"/>
      <c r="DS500" s="124"/>
      <c r="DT500" s="124"/>
      <c r="DU500" s="124"/>
      <c r="DV500" s="124"/>
      <c r="DW500" s="124"/>
      <c r="DX500" s="124"/>
      <c r="DY500" s="124"/>
      <c r="DZ500" s="124"/>
      <c r="EA500" s="124"/>
      <c r="EB500" s="124"/>
      <c r="EC500" s="124"/>
      <c r="ED500" s="124"/>
      <c r="EE500" s="124"/>
      <c r="EF500" s="124"/>
      <c r="EG500" s="124"/>
      <c r="EH500" s="124"/>
      <c r="EI500" s="124"/>
      <c r="EJ500" s="124"/>
      <c r="EK500" s="124"/>
      <c r="EL500" s="124"/>
      <c r="EM500" s="124"/>
      <c r="EN500" s="124"/>
      <c r="EO500" s="124"/>
      <c r="EP500" s="124"/>
      <c r="EQ500" s="124"/>
      <c r="ER500" s="124"/>
      <c r="ES500" s="124"/>
      <c r="ET500" s="124"/>
      <c r="EU500" s="124"/>
      <c r="EV500" s="124"/>
      <c r="EW500" s="124"/>
      <c r="EX500" s="124"/>
      <c r="EY500" s="124"/>
      <c r="EZ500" s="124"/>
      <c r="FA500" s="124"/>
      <c r="FB500" s="124"/>
      <c r="FC500" s="124"/>
      <c r="FD500" s="124"/>
      <c r="FE500" s="124"/>
      <c r="FF500" s="124"/>
      <c r="FG500" s="124"/>
      <c r="FH500" s="124"/>
      <c r="FI500" s="124"/>
      <c r="FJ500" s="124"/>
      <c r="FK500" s="124"/>
      <c r="FL500" s="124"/>
      <c r="FM500" s="124"/>
      <c r="FN500" s="124"/>
      <c r="FO500" s="124"/>
      <c r="FP500" s="124"/>
      <c r="FQ500" s="124"/>
      <c r="FR500" s="124"/>
      <c r="FS500" s="124"/>
      <c r="FT500" s="124"/>
      <c r="FU500" s="124"/>
      <c r="FV500" s="124"/>
      <c r="FW500" s="124"/>
      <c r="FX500" s="124"/>
      <c r="FY500" s="124"/>
      <c r="FZ500" s="124"/>
      <c r="GA500" s="124"/>
      <c r="GB500" s="124"/>
      <c r="GC500" s="124"/>
      <c r="GD500" s="124"/>
      <c r="GE500" s="124"/>
      <c r="GF500" s="124"/>
      <c r="GG500" s="124"/>
      <c r="GH500" s="124"/>
      <c r="GI500" s="124"/>
      <c r="GJ500" s="124"/>
      <c r="GK500" s="124"/>
      <c r="GL500" s="124"/>
      <c r="GM500" s="124"/>
      <c r="GN500" s="124"/>
      <c r="GO500" s="124"/>
      <c r="GP500" s="124"/>
      <c r="GQ500" s="124"/>
      <c r="GR500" s="124"/>
      <c r="GS500" s="124"/>
      <c r="GT500" s="124"/>
      <c r="GU500" s="124"/>
      <c r="GV500" s="124"/>
      <c r="GW500" s="124"/>
      <c r="GX500" s="124"/>
      <c r="GY500" s="124"/>
      <c r="GZ500" s="124"/>
      <c r="HA500" s="124"/>
      <c r="HB500" s="124"/>
      <c r="HC500" s="124"/>
      <c r="HD500" s="124"/>
      <c r="HE500" s="124"/>
      <c r="HF500" s="124"/>
      <c r="HG500" s="124"/>
      <c r="HH500" s="124"/>
      <c r="HI500" s="124"/>
      <c r="HJ500" s="124"/>
      <c r="HK500" s="124"/>
      <c r="HL500" s="124"/>
      <c r="HM500" s="124"/>
      <c r="HN500" s="124"/>
      <c r="HO500" s="124"/>
      <c r="HP500" s="124"/>
      <c r="HQ500" s="124"/>
    </row>
    <row r="501" spans="1:225" x14ac:dyDescent="0.2">
      <c r="A501" s="122"/>
      <c r="B501" s="123"/>
      <c r="C501" s="124"/>
      <c r="D501" s="123"/>
      <c r="E501" s="124"/>
      <c r="F501" s="123"/>
      <c r="G501" s="123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  <c r="AU501" s="124"/>
      <c r="AV501" s="124"/>
      <c r="AW501" s="124"/>
      <c r="AX501" s="124"/>
      <c r="AY501" s="124"/>
      <c r="AZ501" s="124"/>
      <c r="BA501" s="124"/>
      <c r="BB501" s="124"/>
      <c r="BC501" s="124"/>
      <c r="BD501" s="124"/>
      <c r="BE501" s="124"/>
      <c r="BF501" s="124"/>
      <c r="BG501" s="124"/>
      <c r="BH501" s="124"/>
      <c r="BI501" s="124"/>
      <c r="BJ501" s="124"/>
      <c r="BK501" s="124"/>
      <c r="BL501" s="124"/>
      <c r="BM501" s="124"/>
      <c r="BN501" s="124"/>
      <c r="BO501" s="124"/>
      <c r="BP501" s="124"/>
      <c r="BQ501" s="124"/>
      <c r="BR501" s="124"/>
      <c r="BS501" s="124"/>
      <c r="BT501" s="124"/>
      <c r="BU501" s="124"/>
      <c r="BV501" s="124"/>
      <c r="BW501" s="124"/>
      <c r="BX501" s="124"/>
      <c r="BY501" s="124"/>
      <c r="BZ501" s="124"/>
      <c r="CA501" s="124"/>
      <c r="CB501" s="124"/>
      <c r="CC501" s="124"/>
      <c r="CD501" s="124"/>
      <c r="CE501" s="124"/>
      <c r="CF501" s="124"/>
      <c r="CG501" s="124"/>
      <c r="CH501" s="124"/>
      <c r="CI501" s="124"/>
      <c r="CJ501" s="124"/>
      <c r="CK501" s="124"/>
      <c r="CL501" s="124"/>
      <c r="CM501" s="124"/>
      <c r="CN501" s="124"/>
      <c r="CO501" s="124"/>
      <c r="CP501" s="124"/>
      <c r="CQ501" s="124"/>
      <c r="CR501" s="124"/>
      <c r="CS501" s="124"/>
      <c r="CT501" s="124"/>
      <c r="CU501" s="124"/>
      <c r="CV501" s="124"/>
      <c r="CW501" s="124"/>
      <c r="CX501" s="124"/>
      <c r="CY501" s="124"/>
      <c r="CZ501" s="124"/>
      <c r="DA501" s="124"/>
      <c r="DB501" s="124"/>
      <c r="DC501" s="124"/>
      <c r="DD501" s="124"/>
      <c r="DE501" s="124"/>
      <c r="DF501" s="124"/>
      <c r="DG501" s="124"/>
      <c r="DH501" s="124"/>
      <c r="DI501" s="124"/>
      <c r="DJ501" s="124"/>
      <c r="DK501" s="124"/>
      <c r="DL501" s="124"/>
      <c r="DM501" s="124"/>
      <c r="DN501" s="124"/>
      <c r="DO501" s="124"/>
      <c r="DP501" s="124"/>
      <c r="DQ501" s="124"/>
      <c r="DR501" s="124"/>
      <c r="DS501" s="124"/>
      <c r="DT501" s="124"/>
      <c r="DU501" s="124"/>
      <c r="DV501" s="124"/>
      <c r="DW501" s="124"/>
      <c r="DX501" s="124"/>
      <c r="DY501" s="124"/>
      <c r="DZ501" s="124"/>
      <c r="EA501" s="124"/>
      <c r="EB501" s="124"/>
      <c r="EC501" s="124"/>
      <c r="ED501" s="124"/>
      <c r="EE501" s="124"/>
      <c r="EF501" s="124"/>
      <c r="EG501" s="124"/>
      <c r="EH501" s="124"/>
      <c r="EI501" s="124"/>
      <c r="EJ501" s="124"/>
      <c r="EK501" s="124"/>
      <c r="EL501" s="124"/>
      <c r="EM501" s="124"/>
      <c r="EN501" s="124"/>
      <c r="EO501" s="124"/>
      <c r="EP501" s="124"/>
      <c r="EQ501" s="124"/>
      <c r="ER501" s="124"/>
      <c r="ES501" s="124"/>
      <c r="ET501" s="124"/>
      <c r="EU501" s="124"/>
      <c r="EV501" s="124"/>
      <c r="EW501" s="124"/>
      <c r="EX501" s="124"/>
      <c r="EY501" s="124"/>
      <c r="EZ501" s="124"/>
      <c r="FA501" s="124"/>
      <c r="FB501" s="124"/>
      <c r="FC501" s="124"/>
      <c r="FD501" s="124"/>
      <c r="FE501" s="124"/>
      <c r="FF501" s="124"/>
      <c r="FG501" s="124"/>
      <c r="FH501" s="124"/>
      <c r="FI501" s="124"/>
      <c r="FJ501" s="124"/>
      <c r="FK501" s="124"/>
      <c r="FL501" s="124"/>
      <c r="FM501" s="124"/>
      <c r="FN501" s="124"/>
      <c r="FO501" s="124"/>
      <c r="FP501" s="124"/>
      <c r="FQ501" s="124"/>
      <c r="FR501" s="124"/>
      <c r="FS501" s="124"/>
      <c r="FT501" s="124"/>
      <c r="FU501" s="124"/>
      <c r="FV501" s="124"/>
      <c r="FW501" s="124"/>
      <c r="FX501" s="124"/>
      <c r="FY501" s="124"/>
      <c r="FZ501" s="124"/>
      <c r="GA501" s="124"/>
      <c r="GB501" s="124"/>
      <c r="GC501" s="124"/>
      <c r="GD501" s="124"/>
      <c r="GE501" s="124"/>
      <c r="GF501" s="124"/>
      <c r="GG501" s="124"/>
      <c r="GH501" s="124"/>
      <c r="GI501" s="124"/>
      <c r="GJ501" s="124"/>
      <c r="GK501" s="124"/>
      <c r="GL501" s="124"/>
      <c r="GM501" s="124"/>
      <c r="GN501" s="124"/>
      <c r="GO501" s="124"/>
      <c r="GP501" s="124"/>
      <c r="GQ501" s="124"/>
      <c r="GR501" s="124"/>
      <c r="GS501" s="124"/>
      <c r="GT501" s="124"/>
      <c r="GU501" s="124"/>
      <c r="GV501" s="124"/>
      <c r="GW501" s="124"/>
      <c r="GX501" s="124"/>
      <c r="GY501" s="124"/>
      <c r="GZ501" s="124"/>
      <c r="HA501" s="124"/>
      <c r="HB501" s="124"/>
      <c r="HC501" s="124"/>
      <c r="HD501" s="124"/>
      <c r="HE501" s="124"/>
      <c r="HF501" s="124"/>
      <c r="HG501" s="124"/>
      <c r="HH501" s="124"/>
      <c r="HI501" s="124"/>
      <c r="HJ501" s="124"/>
      <c r="HK501" s="124"/>
      <c r="HL501" s="124"/>
      <c r="HM501" s="124"/>
      <c r="HN501" s="124"/>
      <c r="HO501" s="124"/>
      <c r="HP501" s="124"/>
      <c r="HQ501" s="124"/>
    </row>
    <row r="502" spans="1:225" x14ac:dyDescent="0.2">
      <c r="A502" s="122"/>
      <c r="B502" s="123"/>
      <c r="C502" s="124"/>
      <c r="D502" s="123"/>
      <c r="E502" s="124"/>
      <c r="F502" s="123"/>
      <c r="G502" s="123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/>
      <c r="BB502" s="124"/>
      <c r="BC502" s="124"/>
      <c r="BD502" s="124"/>
      <c r="BE502" s="124"/>
      <c r="BF502" s="124"/>
      <c r="BG502" s="124"/>
      <c r="BH502" s="124"/>
      <c r="BI502" s="124"/>
      <c r="BJ502" s="124"/>
      <c r="BK502" s="124"/>
      <c r="BL502" s="124"/>
      <c r="BM502" s="124"/>
      <c r="BN502" s="124"/>
      <c r="BO502" s="124"/>
      <c r="BP502" s="124"/>
      <c r="BQ502" s="124"/>
      <c r="BR502" s="124"/>
      <c r="BS502" s="124"/>
      <c r="BT502" s="124"/>
      <c r="BU502" s="124"/>
      <c r="BV502" s="124"/>
      <c r="BW502" s="124"/>
      <c r="BX502" s="124"/>
      <c r="BY502" s="124"/>
      <c r="BZ502" s="124"/>
      <c r="CA502" s="124"/>
      <c r="CB502" s="124"/>
      <c r="CC502" s="124"/>
      <c r="CD502" s="124"/>
      <c r="CE502" s="124"/>
      <c r="CF502" s="124"/>
      <c r="CG502" s="124"/>
      <c r="CH502" s="124"/>
      <c r="CI502" s="124"/>
      <c r="CJ502" s="124"/>
      <c r="CK502" s="124"/>
      <c r="CL502" s="124"/>
      <c r="CM502" s="124"/>
      <c r="CN502" s="124"/>
      <c r="CO502" s="124"/>
      <c r="CP502" s="124"/>
      <c r="CQ502" s="124"/>
      <c r="CR502" s="124"/>
      <c r="CS502" s="124"/>
      <c r="CT502" s="124"/>
      <c r="CU502" s="124"/>
      <c r="CV502" s="124"/>
      <c r="CW502" s="124"/>
      <c r="CX502" s="124"/>
      <c r="CY502" s="124"/>
      <c r="CZ502" s="124"/>
      <c r="DA502" s="124"/>
      <c r="DB502" s="124"/>
      <c r="DC502" s="124"/>
      <c r="DD502" s="124"/>
      <c r="DE502" s="124"/>
      <c r="DF502" s="124"/>
      <c r="DG502" s="124"/>
      <c r="DH502" s="124"/>
      <c r="DI502" s="124"/>
      <c r="DJ502" s="124"/>
      <c r="DK502" s="124"/>
      <c r="DL502" s="124"/>
      <c r="DM502" s="124"/>
      <c r="DN502" s="124"/>
      <c r="DO502" s="124"/>
      <c r="DP502" s="124"/>
      <c r="DQ502" s="124"/>
      <c r="DR502" s="124"/>
      <c r="DS502" s="124"/>
      <c r="DT502" s="124"/>
      <c r="DU502" s="124"/>
      <c r="DV502" s="124"/>
      <c r="DW502" s="124"/>
      <c r="DX502" s="124"/>
      <c r="DY502" s="124"/>
      <c r="DZ502" s="124"/>
      <c r="EA502" s="124"/>
      <c r="EB502" s="124"/>
      <c r="EC502" s="124"/>
      <c r="ED502" s="124"/>
      <c r="EE502" s="124"/>
      <c r="EF502" s="124"/>
      <c r="EG502" s="124"/>
      <c r="EH502" s="124"/>
      <c r="EI502" s="124"/>
      <c r="EJ502" s="124"/>
      <c r="EK502" s="124"/>
      <c r="EL502" s="124"/>
      <c r="EM502" s="124"/>
      <c r="EN502" s="124"/>
      <c r="EO502" s="124"/>
      <c r="EP502" s="124"/>
      <c r="EQ502" s="124"/>
      <c r="ER502" s="124"/>
      <c r="ES502" s="124"/>
      <c r="ET502" s="124"/>
      <c r="EU502" s="124"/>
      <c r="EV502" s="124"/>
      <c r="EW502" s="124"/>
      <c r="EX502" s="124"/>
      <c r="EY502" s="124"/>
      <c r="EZ502" s="124"/>
      <c r="FA502" s="124"/>
      <c r="FB502" s="124"/>
      <c r="FC502" s="124"/>
      <c r="FD502" s="124"/>
      <c r="FE502" s="124"/>
      <c r="FF502" s="124"/>
      <c r="FG502" s="124"/>
      <c r="FH502" s="124"/>
      <c r="FI502" s="124"/>
      <c r="FJ502" s="124"/>
      <c r="FK502" s="124"/>
      <c r="FL502" s="124"/>
      <c r="FM502" s="124"/>
      <c r="FN502" s="124"/>
      <c r="FO502" s="124"/>
      <c r="FP502" s="124"/>
      <c r="FQ502" s="124"/>
      <c r="FR502" s="124"/>
      <c r="FS502" s="124"/>
      <c r="FT502" s="124"/>
      <c r="FU502" s="124"/>
      <c r="FV502" s="124"/>
      <c r="FW502" s="124"/>
      <c r="FX502" s="124"/>
      <c r="FY502" s="124"/>
      <c r="FZ502" s="124"/>
      <c r="GA502" s="124"/>
      <c r="GB502" s="124"/>
      <c r="GC502" s="124"/>
      <c r="GD502" s="124"/>
      <c r="GE502" s="124"/>
      <c r="GF502" s="124"/>
      <c r="GG502" s="124"/>
      <c r="GH502" s="124"/>
      <c r="GI502" s="124"/>
      <c r="GJ502" s="124"/>
      <c r="GK502" s="124"/>
      <c r="GL502" s="124"/>
      <c r="GM502" s="124"/>
      <c r="GN502" s="124"/>
      <c r="GO502" s="124"/>
      <c r="GP502" s="124"/>
      <c r="GQ502" s="124"/>
      <c r="GR502" s="124"/>
      <c r="GS502" s="124"/>
      <c r="GT502" s="124"/>
      <c r="GU502" s="124"/>
      <c r="GV502" s="124"/>
      <c r="GW502" s="124"/>
      <c r="GX502" s="124"/>
      <c r="GY502" s="124"/>
      <c r="GZ502" s="124"/>
      <c r="HA502" s="124"/>
      <c r="HB502" s="124"/>
      <c r="HC502" s="124"/>
      <c r="HD502" s="124"/>
      <c r="HE502" s="124"/>
      <c r="HF502" s="124"/>
      <c r="HG502" s="124"/>
      <c r="HH502" s="124"/>
      <c r="HI502" s="124"/>
      <c r="HJ502" s="124"/>
      <c r="HK502" s="124"/>
      <c r="HL502" s="124"/>
      <c r="HM502" s="124"/>
      <c r="HN502" s="124"/>
      <c r="HO502" s="124"/>
      <c r="HP502" s="124"/>
      <c r="HQ502" s="124"/>
    </row>
    <row r="503" spans="1:225" x14ac:dyDescent="0.2">
      <c r="A503" s="122"/>
      <c r="B503" s="123"/>
      <c r="C503" s="124"/>
      <c r="D503" s="123"/>
      <c r="E503" s="124"/>
      <c r="F503" s="123"/>
      <c r="G503" s="123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  <c r="AU503" s="124"/>
      <c r="AV503" s="124"/>
      <c r="AW503" s="124"/>
      <c r="AX503" s="124"/>
      <c r="AY503" s="124"/>
      <c r="AZ503" s="124"/>
      <c r="BA503" s="124"/>
      <c r="BB503" s="124"/>
      <c r="BC503" s="124"/>
      <c r="BD503" s="124"/>
      <c r="BE503" s="124"/>
      <c r="BF503" s="124"/>
      <c r="BG503" s="124"/>
      <c r="BH503" s="124"/>
      <c r="BI503" s="124"/>
      <c r="BJ503" s="124"/>
      <c r="BK503" s="124"/>
      <c r="BL503" s="124"/>
      <c r="BM503" s="124"/>
      <c r="BN503" s="124"/>
      <c r="BO503" s="124"/>
      <c r="BP503" s="124"/>
      <c r="BQ503" s="124"/>
      <c r="BR503" s="124"/>
      <c r="BS503" s="124"/>
      <c r="BT503" s="124"/>
      <c r="BU503" s="124"/>
      <c r="BV503" s="124"/>
      <c r="BW503" s="124"/>
      <c r="BX503" s="124"/>
      <c r="BY503" s="124"/>
      <c r="BZ503" s="124"/>
      <c r="CA503" s="124"/>
      <c r="CB503" s="124"/>
      <c r="CC503" s="124"/>
      <c r="CD503" s="124"/>
      <c r="CE503" s="124"/>
      <c r="CF503" s="124"/>
      <c r="CG503" s="124"/>
      <c r="CH503" s="124"/>
      <c r="CI503" s="124"/>
      <c r="CJ503" s="124"/>
      <c r="CK503" s="124"/>
      <c r="CL503" s="124"/>
      <c r="CM503" s="124"/>
      <c r="CN503" s="124"/>
      <c r="CO503" s="124"/>
      <c r="CP503" s="124"/>
      <c r="CQ503" s="124"/>
      <c r="CR503" s="124"/>
      <c r="CS503" s="124"/>
      <c r="CT503" s="124"/>
      <c r="CU503" s="124"/>
      <c r="CV503" s="124"/>
      <c r="CW503" s="124"/>
      <c r="CX503" s="124"/>
      <c r="CY503" s="124"/>
      <c r="CZ503" s="124"/>
      <c r="DA503" s="124"/>
      <c r="DB503" s="124"/>
      <c r="DC503" s="124"/>
      <c r="DD503" s="124"/>
      <c r="DE503" s="124"/>
      <c r="DF503" s="124"/>
      <c r="DG503" s="124"/>
      <c r="DH503" s="124"/>
      <c r="DI503" s="124"/>
      <c r="DJ503" s="124"/>
      <c r="DK503" s="124"/>
      <c r="DL503" s="124"/>
      <c r="DM503" s="124"/>
      <c r="DN503" s="124"/>
      <c r="DO503" s="124"/>
      <c r="DP503" s="124"/>
      <c r="DQ503" s="124"/>
      <c r="DR503" s="124"/>
      <c r="DS503" s="124"/>
      <c r="DT503" s="124"/>
      <c r="DU503" s="124"/>
      <c r="DV503" s="124"/>
      <c r="DW503" s="124"/>
      <c r="DX503" s="124"/>
      <c r="DY503" s="124"/>
      <c r="DZ503" s="124"/>
      <c r="EA503" s="124"/>
      <c r="EB503" s="124"/>
      <c r="EC503" s="124"/>
      <c r="ED503" s="124"/>
      <c r="EE503" s="124"/>
      <c r="EF503" s="124"/>
      <c r="EG503" s="124"/>
      <c r="EH503" s="124"/>
      <c r="EI503" s="124"/>
      <c r="EJ503" s="124"/>
      <c r="EK503" s="124"/>
      <c r="EL503" s="124"/>
      <c r="EM503" s="124"/>
      <c r="EN503" s="124"/>
      <c r="EO503" s="124"/>
      <c r="EP503" s="124"/>
      <c r="EQ503" s="124"/>
      <c r="ER503" s="124"/>
      <c r="ES503" s="124"/>
      <c r="ET503" s="124"/>
      <c r="EU503" s="124"/>
      <c r="EV503" s="124"/>
      <c r="EW503" s="124"/>
      <c r="EX503" s="124"/>
      <c r="EY503" s="124"/>
      <c r="EZ503" s="124"/>
      <c r="FA503" s="124"/>
      <c r="FB503" s="124"/>
      <c r="FC503" s="124"/>
      <c r="FD503" s="124"/>
      <c r="FE503" s="124"/>
      <c r="FF503" s="124"/>
      <c r="FG503" s="124"/>
      <c r="FH503" s="124"/>
      <c r="FI503" s="124"/>
      <c r="FJ503" s="124"/>
      <c r="FK503" s="124"/>
      <c r="FL503" s="124"/>
      <c r="FM503" s="124"/>
      <c r="FN503" s="124"/>
      <c r="FO503" s="124"/>
      <c r="FP503" s="124"/>
      <c r="FQ503" s="124"/>
      <c r="FR503" s="124"/>
      <c r="FS503" s="124"/>
      <c r="FT503" s="124"/>
      <c r="FU503" s="124"/>
      <c r="FV503" s="124"/>
      <c r="FW503" s="124"/>
      <c r="FX503" s="124"/>
      <c r="FY503" s="124"/>
      <c r="FZ503" s="124"/>
      <c r="GA503" s="124"/>
      <c r="GB503" s="124"/>
      <c r="GC503" s="124"/>
      <c r="GD503" s="124"/>
      <c r="GE503" s="124"/>
      <c r="GF503" s="124"/>
      <c r="GG503" s="124"/>
      <c r="GH503" s="124"/>
      <c r="GI503" s="124"/>
      <c r="GJ503" s="124"/>
      <c r="GK503" s="124"/>
      <c r="GL503" s="124"/>
      <c r="GM503" s="124"/>
      <c r="GN503" s="124"/>
      <c r="GO503" s="124"/>
      <c r="GP503" s="124"/>
      <c r="GQ503" s="124"/>
      <c r="GR503" s="124"/>
      <c r="GS503" s="124"/>
      <c r="GT503" s="124"/>
      <c r="GU503" s="124"/>
      <c r="GV503" s="124"/>
      <c r="GW503" s="124"/>
      <c r="GX503" s="124"/>
      <c r="GY503" s="124"/>
      <c r="GZ503" s="124"/>
      <c r="HA503" s="124"/>
      <c r="HB503" s="124"/>
      <c r="HC503" s="124"/>
      <c r="HD503" s="124"/>
      <c r="HE503" s="124"/>
      <c r="HF503" s="124"/>
      <c r="HG503" s="124"/>
      <c r="HH503" s="124"/>
      <c r="HI503" s="124"/>
      <c r="HJ503" s="124"/>
      <c r="HK503" s="124"/>
      <c r="HL503" s="124"/>
      <c r="HM503" s="124"/>
      <c r="HN503" s="124"/>
      <c r="HO503" s="124"/>
      <c r="HP503" s="124"/>
      <c r="HQ503" s="124"/>
    </row>
    <row r="504" spans="1:225" x14ac:dyDescent="0.2">
      <c r="A504" s="122"/>
      <c r="B504" s="123"/>
      <c r="C504" s="124"/>
      <c r="D504" s="123"/>
      <c r="E504" s="124"/>
      <c r="F504" s="123"/>
      <c r="G504" s="123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  <c r="AT504" s="124"/>
      <c r="AU504" s="124"/>
      <c r="AV504" s="124"/>
      <c r="AW504" s="124"/>
      <c r="AX504" s="124"/>
      <c r="AY504" s="124"/>
      <c r="AZ504" s="124"/>
      <c r="BA504" s="124"/>
      <c r="BB504" s="124"/>
      <c r="BC504" s="124"/>
      <c r="BD504" s="124"/>
      <c r="BE504" s="124"/>
      <c r="BF504" s="124"/>
      <c r="BG504" s="124"/>
      <c r="BH504" s="124"/>
      <c r="BI504" s="124"/>
      <c r="BJ504" s="124"/>
      <c r="BK504" s="124"/>
      <c r="BL504" s="124"/>
      <c r="BM504" s="124"/>
      <c r="BN504" s="124"/>
      <c r="BO504" s="124"/>
      <c r="BP504" s="124"/>
      <c r="BQ504" s="124"/>
      <c r="BR504" s="124"/>
      <c r="BS504" s="124"/>
      <c r="BT504" s="124"/>
      <c r="BU504" s="124"/>
      <c r="BV504" s="124"/>
      <c r="BW504" s="124"/>
      <c r="BX504" s="124"/>
      <c r="BY504" s="124"/>
      <c r="BZ504" s="124"/>
      <c r="CA504" s="124"/>
      <c r="CB504" s="124"/>
      <c r="CC504" s="124"/>
      <c r="CD504" s="124"/>
      <c r="CE504" s="124"/>
      <c r="CF504" s="124"/>
      <c r="CG504" s="124"/>
      <c r="CH504" s="124"/>
      <c r="CI504" s="124"/>
      <c r="CJ504" s="124"/>
      <c r="CK504" s="124"/>
      <c r="CL504" s="124"/>
      <c r="CM504" s="124"/>
      <c r="CN504" s="124"/>
      <c r="CO504" s="124"/>
      <c r="CP504" s="124"/>
      <c r="CQ504" s="124"/>
      <c r="CR504" s="124"/>
      <c r="CS504" s="124"/>
      <c r="CT504" s="124"/>
      <c r="CU504" s="124"/>
      <c r="CV504" s="124"/>
      <c r="CW504" s="124"/>
      <c r="CX504" s="124"/>
      <c r="CY504" s="124"/>
      <c r="CZ504" s="124"/>
      <c r="DA504" s="124"/>
      <c r="DB504" s="124"/>
      <c r="DC504" s="124"/>
      <c r="DD504" s="124"/>
      <c r="DE504" s="124"/>
      <c r="DF504" s="124"/>
      <c r="DG504" s="124"/>
      <c r="DH504" s="124"/>
      <c r="DI504" s="124"/>
      <c r="DJ504" s="124"/>
      <c r="DK504" s="124"/>
      <c r="DL504" s="124"/>
      <c r="DM504" s="124"/>
      <c r="DN504" s="124"/>
      <c r="DO504" s="124"/>
      <c r="DP504" s="124"/>
      <c r="DQ504" s="124"/>
      <c r="DR504" s="124"/>
      <c r="DS504" s="124"/>
      <c r="DT504" s="124"/>
      <c r="DU504" s="124"/>
      <c r="DV504" s="124"/>
      <c r="DW504" s="124"/>
      <c r="DX504" s="124"/>
      <c r="DY504" s="124"/>
      <c r="DZ504" s="124"/>
      <c r="EA504" s="124"/>
      <c r="EB504" s="124"/>
      <c r="EC504" s="124"/>
      <c r="ED504" s="124"/>
      <c r="EE504" s="124"/>
      <c r="EF504" s="124"/>
      <c r="EG504" s="124"/>
      <c r="EH504" s="124"/>
      <c r="EI504" s="124"/>
      <c r="EJ504" s="124"/>
      <c r="EK504" s="124"/>
      <c r="EL504" s="124"/>
      <c r="EM504" s="124"/>
      <c r="EN504" s="124"/>
      <c r="EO504" s="124"/>
      <c r="EP504" s="124"/>
      <c r="EQ504" s="124"/>
      <c r="ER504" s="124"/>
      <c r="ES504" s="124"/>
      <c r="ET504" s="124"/>
      <c r="EU504" s="124"/>
      <c r="EV504" s="124"/>
      <c r="EW504" s="124"/>
      <c r="EX504" s="124"/>
      <c r="EY504" s="124"/>
      <c r="EZ504" s="124"/>
      <c r="FA504" s="124"/>
      <c r="FB504" s="124"/>
      <c r="FC504" s="124"/>
      <c r="FD504" s="124"/>
      <c r="FE504" s="124"/>
      <c r="FF504" s="124"/>
      <c r="FG504" s="124"/>
      <c r="FH504" s="124"/>
      <c r="FI504" s="124"/>
      <c r="FJ504" s="124"/>
      <c r="FK504" s="124"/>
      <c r="FL504" s="124"/>
      <c r="FM504" s="124"/>
      <c r="FN504" s="124"/>
      <c r="FO504" s="124"/>
      <c r="FP504" s="124"/>
      <c r="FQ504" s="124"/>
      <c r="FR504" s="124"/>
      <c r="FS504" s="124"/>
      <c r="FT504" s="124"/>
      <c r="FU504" s="124"/>
      <c r="FV504" s="124"/>
      <c r="FW504" s="124"/>
      <c r="FX504" s="124"/>
      <c r="FY504" s="124"/>
      <c r="FZ504" s="124"/>
      <c r="GA504" s="124"/>
      <c r="GB504" s="124"/>
      <c r="GC504" s="124"/>
      <c r="GD504" s="124"/>
      <c r="GE504" s="124"/>
      <c r="GF504" s="124"/>
      <c r="GG504" s="124"/>
      <c r="GH504" s="124"/>
      <c r="GI504" s="124"/>
      <c r="GJ504" s="124"/>
      <c r="GK504" s="124"/>
      <c r="GL504" s="124"/>
      <c r="GM504" s="124"/>
      <c r="GN504" s="124"/>
      <c r="GO504" s="124"/>
      <c r="GP504" s="124"/>
      <c r="GQ504" s="124"/>
      <c r="GR504" s="124"/>
      <c r="GS504" s="124"/>
      <c r="GT504" s="124"/>
      <c r="GU504" s="124"/>
      <c r="GV504" s="124"/>
      <c r="GW504" s="124"/>
      <c r="GX504" s="124"/>
      <c r="GY504" s="124"/>
      <c r="GZ504" s="124"/>
      <c r="HA504" s="124"/>
      <c r="HB504" s="124"/>
      <c r="HC504" s="124"/>
      <c r="HD504" s="124"/>
      <c r="HE504" s="124"/>
      <c r="HF504" s="124"/>
      <c r="HG504" s="124"/>
      <c r="HH504" s="124"/>
      <c r="HI504" s="124"/>
      <c r="HJ504" s="124"/>
      <c r="HK504" s="124"/>
      <c r="HL504" s="124"/>
      <c r="HM504" s="124"/>
      <c r="HN504" s="124"/>
      <c r="HO504" s="124"/>
      <c r="HP504" s="124"/>
      <c r="HQ504" s="124"/>
    </row>
    <row r="505" spans="1:225" x14ac:dyDescent="0.2">
      <c r="A505" s="122"/>
      <c r="B505" s="123"/>
      <c r="C505" s="124"/>
      <c r="D505" s="123"/>
      <c r="E505" s="124"/>
      <c r="F505" s="123"/>
      <c r="G505" s="123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/>
      <c r="BB505" s="124"/>
      <c r="BC505" s="124"/>
      <c r="BD505" s="124"/>
      <c r="BE505" s="124"/>
      <c r="BF505" s="124"/>
      <c r="BG505" s="124"/>
      <c r="BH505" s="124"/>
      <c r="BI505" s="124"/>
      <c r="BJ505" s="124"/>
      <c r="BK505" s="124"/>
      <c r="BL505" s="124"/>
      <c r="BM505" s="124"/>
      <c r="BN505" s="124"/>
      <c r="BO505" s="124"/>
      <c r="BP505" s="124"/>
      <c r="BQ505" s="124"/>
      <c r="BR505" s="124"/>
      <c r="BS505" s="124"/>
      <c r="BT505" s="124"/>
      <c r="BU505" s="124"/>
      <c r="BV505" s="124"/>
      <c r="BW505" s="124"/>
      <c r="BX505" s="124"/>
      <c r="BY505" s="124"/>
      <c r="BZ505" s="124"/>
      <c r="CA505" s="124"/>
      <c r="CB505" s="124"/>
      <c r="CC505" s="124"/>
      <c r="CD505" s="124"/>
      <c r="CE505" s="124"/>
      <c r="CF505" s="124"/>
      <c r="CG505" s="124"/>
      <c r="CH505" s="124"/>
      <c r="CI505" s="124"/>
      <c r="CJ505" s="124"/>
      <c r="CK505" s="124"/>
      <c r="CL505" s="124"/>
      <c r="CM505" s="124"/>
      <c r="CN505" s="124"/>
      <c r="CO505" s="124"/>
      <c r="CP505" s="124"/>
      <c r="CQ505" s="124"/>
      <c r="CR505" s="124"/>
      <c r="CS505" s="124"/>
      <c r="CT505" s="124"/>
      <c r="CU505" s="124"/>
      <c r="CV505" s="124"/>
      <c r="CW505" s="124"/>
      <c r="CX505" s="124"/>
      <c r="CY505" s="124"/>
      <c r="CZ505" s="124"/>
      <c r="DA505" s="124"/>
      <c r="DB505" s="124"/>
      <c r="DC505" s="124"/>
      <c r="DD505" s="124"/>
      <c r="DE505" s="124"/>
      <c r="DF505" s="124"/>
      <c r="DG505" s="124"/>
      <c r="DH505" s="124"/>
      <c r="DI505" s="124"/>
      <c r="DJ505" s="124"/>
      <c r="DK505" s="124"/>
      <c r="DL505" s="124"/>
      <c r="DM505" s="124"/>
      <c r="DN505" s="124"/>
      <c r="DO505" s="124"/>
      <c r="DP505" s="124"/>
      <c r="DQ505" s="124"/>
      <c r="DR505" s="124"/>
      <c r="DS505" s="124"/>
      <c r="DT505" s="124"/>
      <c r="DU505" s="124"/>
      <c r="DV505" s="124"/>
      <c r="DW505" s="124"/>
      <c r="DX505" s="124"/>
      <c r="DY505" s="124"/>
      <c r="DZ505" s="124"/>
      <c r="EA505" s="124"/>
      <c r="EB505" s="124"/>
      <c r="EC505" s="124"/>
      <c r="ED505" s="124"/>
      <c r="EE505" s="124"/>
      <c r="EF505" s="124"/>
      <c r="EG505" s="124"/>
      <c r="EH505" s="124"/>
      <c r="EI505" s="124"/>
      <c r="EJ505" s="124"/>
      <c r="EK505" s="124"/>
      <c r="EL505" s="124"/>
      <c r="EM505" s="124"/>
      <c r="EN505" s="124"/>
      <c r="EO505" s="124"/>
      <c r="EP505" s="124"/>
      <c r="EQ505" s="124"/>
      <c r="ER505" s="124"/>
      <c r="ES505" s="124"/>
      <c r="ET505" s="124"/>
      <c r="EU505" s="124"/>
      <c r="EV505" s="124"/>
      <c r="EW505" s="124"/>
      <c r="EX505" s="124"/>
      <c r="EY505" s="124"/>
      <c r="EZ505" s="124"/>
      <c r="FA505" s="124"/>
      <c r="FB505" s="124"/>
      <c r="FC505" s="124"/>
      <c r="FD505" s="124"/>
      <c r="FE505" s="124"/>
      <c r="FF505" s="124"/>
      <c r="FG505" s="124"/>
      <c r="FH505" s="124"/>
      <c r="FI505" s="124"/>
      <c r="FJ505" s="124"/>
      <c r="FK505" s="124"/>
      <c r="FL505" s="124"/>
      <c r="FM505" s="124"/>
      <c r="FN505" s="124"/>
      <c r="FO505" s="124"/>
      <c r="FP505" s="124"/>
      <c r="FQ505" s="124"/>
      <c r="FR505" s="124"/>
      <c r="FS505" s="124"/>
      <c r="FT505" s="124"/>
      <c r="FU505" s="124"/>
      <c r="FV505" s="124"/>
      <c r="FW505" s="124"/>
      <c r="FX505" s="124"/>
      <c r="FY505" s="124"/>
      <c r="FZ505" s="124"/>
      <c r="GA505" s="124"/>
      <c r="GB505" s="124"/>
      <c r="GC505" s="124"/>
      <c r="GD505" s="124"/>
      <c r="GE505" s="124"/>
      <c r="GF505" s="124"/>
      <c r="GG505" s="124"/>
      <c r="GH505" s="124"/>
      <c r="GI505" s="124"/>
      <c r="GJ505" s="124"/>
      <c r="GK505" s="124"/>
      <c r="GL505" s="124"/>
      <c r="GM505" s="124"/>
      <c r="GN505" s="124"/>
      <c r="GO505" s="124"/>
      <c r="GP505" s="124"/>
      <c r="GQ505" s="124"/>
      <c r="GR505" s="124"/>
      <c r="GS505" s="124"/>
      <c r="GT505" s="124"/>
      <c r="GU505" s="124"/>
      <c r="GV505" s="124"/>
      <c r="GW505" s="124"/>
      <c r="GX505" s="124"/>
      <c r="GY505" s="124"/>
      <c r="GZ505" s="124"/>
      <c r="HA505" s="124"/>
      <c r="HB505" s="124"/>
      <c r="HC505" s="124"/>
      <c r="HD505" s="124"/>
      <c r="HE505" s="124"/>
      <c r="HF505" s="124"/>
      <c r="HG505" s="124"/>
      <c r="HH505" s="124"/>
      <c r="HI505" s="124"/>
      <c r="HJ505" s="124"/>
      <c r="HK505" s="124"/>
      <c r="HL505" s="124"/>
      <c r="HM505" s="124"/>
      <c r="HN505" s="124"/>
      <c r="HO505" s="124"/>
      <c r="HP505" s="124"/>
      <c r="HQ505" s="124"/>
    </row>
    <row r="506" spans="1:225" x14ac:dyDescent="0.2">
      <c r="A506" s="122"/>
      <c r="B506" s="123"/>
      <c r="C506" s="124"/>
      <c r="D506" s="123"/>
      <c r="E506" s="124"/>
      <c r="F506" s="123"/>
      <c r="G506" s="123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24"/>
      <c r="BK506" s="124"/>
      <c r="BL506" s="124"/>
      <c r="BM506" s="124"/>
      <c r="BN506" s="124"/>
      <c r="BO506" s="124"/>
      <c r="BP506" s="124"/>
      <c r="BQ506" s="124"/>
      <c r="BR506" s="124"/>
      <c r="BS506" s="124"/>
      <c r="BT506" s="124"/>
      <c r="BU506" s="124"/>
      <c r="BV506" s="124"/>
      <c r="BW506" s="124"/>
      <c r="BX506" s="124"/>
      <c r="BY506" s="124"/>
      <c r="BZ506" s="124"/>
      <c r="CA506" s="124"/>
      <c r="CB506" s="124"/>
      <c r="CC506" s="124"/>
      <c r="CD506" s="124"/>
      <c r="CE506" s="124"/>
      <c r="CF506" s="124"/>
      <c r="CG506" s="124"/>
      <c r="CH506" s="124"/>
      <c r="CI506" s="124"/>
      <c r="CJ506" s="124"/>
      <c r="CK506" s="124"/>
      <c r="CL506" s="124"/>
      <c r="CM506" s="124"/>
      <c r="CN506" s="124"/>
      <c r="CO506" s="124"/>
      <c r="CP506" s="124"/>
      <c r="CQ506" s="124"/>
      <c r="CR506" s="124"/>
      <c r="CS506" s="124"/>
      <c r="CT506" s="124"/>
      <c r="CU506" s="124"/>
      <c r="CV506" s="124"/>
      <c r="CW506" s="124"/>
      <c r="CX506" s="124"/>
      <c r="CY506" s="124"/>
      <c r="CZ506" s="124"/>
      <c r="DA506" s="124"/>
      <c r="DB506" s="124"/>
      <c r="DC506" s="124"/>
      <c r="DD506" s="124"/>
      <c r="DE506" s="124"/>
      <c r="DF506" s="124"/>
      <c r="DG506" s="124"/>
      <c r="DH506" s="124"/>
      <c r="DI506" s="124"/>
      <c r="DJ506" s="124"/>
      <c r="DK506" s="124"/>
      <c r="DL506" s="124"/>
      <c r="DM506" s="124"/>
      <c r="DN506" s="124"/>
      <c r="DO506" s="124"/>
      <c r="DP506" s="124"/>
      <c r="DQ506" s="124"/>
      <c r="DR506" s="124"/>
      <c r="DS506" s="124"/>
      <c r="DT506" s="124"/>
      <c r="DU506" s="124"/>
      <c r="DV506" s="124"/>
      <c r="DW506" s="124"/>
      <c r="DX506" s="124"/>
      <c r="DY506" s="124"/>
      <c r="DZ506" s="124"/>
      <c r="EA506" s="124"/>
      <c r="EB506" s="124"/>
      <c r="EC506" s="124"/>
      <c r="ED506" s="124"/>
      <c r="EE506" s="124"/>
      <c r="EF506" s="124"/>
      <c r="EG506" s="124"/>
      <c r="EH506" s="124"/>
      <c r="EI506" s="124"/>
      <c r="EJ506" s="124"/>
      <c r="EK506" s="124"/>
      <c r="EL506" s="124"/>
      <c r="EM506" s="124"/>
      <c r="EN506" s="124"/>
      <c r="EO506" s="124"/>
      <c r="EP506" s="124"/>
      <c r="EQ506" s="124"/>
      <c r="ER506" s="124"/>
      <c r="ES506" s="124"/>
      <c r="ET506" s="124"/>
      <c r="EU506" s="124"/>
      <c r="EV506" s="124"/>
      <c r="EW506" s="124"/>
      <c r="EX506" s="124"/>
      <c r="EY506" s="124"/>
      <c r="EZ506" s="124"/>
      <c r="FA506" s="124"/>
      <c r="FB506" s="124"/>
      <c r="FC506" s="124"/>
      <c r="FD506" s="124"/>
      <c r="FE506" s="124"/>
      <c r="FF506" s="124"/>
      <c r="FG506" s="124"/>
      <c r="FH506" s="124"/>
      <c r="FI506" s="124"/>
      <c r="FJ506" s="124"/>
      <c r="FK506" s="124"/>
      <c r="FL506" s="124"/>
      <c r="FM506" s="124"/>
      <c r="FN506" s="124"/>
      <c r="FO506" s="124"/>
      <c r="FP506" s="124"/>
      <c r="FQ506" s="124"/>
      <c r="FR506" s="124"/>
      <c r="FS506" s="124"/>
      <c r="FT506" s="124"/>
      <c r="FU506" s="124"/>
      <c r="FV506" s="124"/>
      <c r="FW506" s="124"/>
      <c r="FX506" s="124"/>
      <c r="FY506" s="124"/>
      <c r="FZ506" s="124"/>
      <c r="GA506" s="124"/>
      <c r="GB506" s="124"/>
      <c r="GC506" s="124"/>
      <c r="GD506" s="124"/>
      <c r="GE506" s="124"/>
      <c r="GF506" s="124"/>
      <c r="GG506" s="124"/>
      <c r="GH506" s="124"/>
      <c r="GI506" s="124"/>
      <c r="GJ506" s="124"/>
      <c r="GK506" s="124"/>
      <c r="GL506" s="124"/>
      <c r="GM506" s="124"/>
      <c r="GN506" s="124"/>
      <c r="GO506" s="124"/>
      <c r="GP506" s="124"/>
      <c r="GQ506" s="124"/>
      <c r="GR506" s="124"/>
      <c r="GS506" s="124"/>
      <c r="GT506" s="124"/>
      <c r="GU506" s="124"/>
      <c r="GV506" s="124"/>
      <c r="GW506" s="124"/>
      <c r="GX506" s="124"/>
      <c r="GY506" s="124"/>
      <c r="GZ506" s="124"/>
      <c r="HA506" s="124"/>
      <c r="HB506" s="124"/>
      <c r="HC506" s="124"/>
      <c r="HD506" s="124"/>
      <c r="HE506" s="124"/>
      <c r="HF506" s="124"/>
      <c r="HG506" s="124"/>
      <c r="HH506" s="124"/>
      <c r="HI506" s="124"/>
      <c r="HJ506" s="124"/>
      <c r="HK506" s="124"/>
      <c r="HL506" s="124"/>
      <c r="HM506" s="124"/>
      <c r="HN506" s="124"/>
      <c r="HO506" s="124"/>
      <c r="HP506" s="124"/>
      <c r="HQ506" s="124"/>
    </row>
    <row r="507" spans="1:225" x14ac:dyDescent="0.2">
      <c r="A507" s="122"/>
      <c r="B507" s="123"/>
      <c r="C507" s="124"/>
      <c r="D507" s="123"/>
      <c r="E507" s="124"/>
      <c r="F507" s="123"/>
      <c r="G507" s="123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24"/>
      <c r="BK507" s="124"/>
      <c r="BL507" s="124"/>
      <c r="BM507" s="124"/>
      <c r="BN507" s="124"/>
      <c r="BO507" s="124"/>
      <c r="BP507" s="124"/>
      <c r="BQ507" s="124"/>
      <c r="BR507" s="124"/>
      <c r="BS507" s="124"/>
      <c r="BT507" s="124"/>
      <c r="BU507" s="124"/>
      <c r="BV507" s="124"/>
      <c r="BW507" s="124"/>
      <c r="BX507" s="124"/>
      <c r="BY507" s="124"/>
      <c r="BZ507" s="124"/>
      <c r="CA507" s="124"/>
      <c r="CB507" s="124"/>
      <c r="CC507" s="124"/>
      <c r="CD507" s="124"/>
      <c r="CE507" s="124"/>
      <c r="CF507" s="124"/>
      <c r="CG507" s="124"/>
      <c r="CH507" s="124"/>
      <c r="CI507" s="124"/>
      <c r="CJ507" s="124"/>
      <c r="CK507" s="124"/>
      <c r="CL507" s="124"/>
      <c r="CM507" s="124"/>
      <c r="CN507" s="124"/>
      <c r="CO507" s="124"/>
      <c r="CP507" s="124"/>
      <c r="CQ507" s="124"/>
      <c r="CR507" s="124"/>
      <c r="CS507" s="124"/>
      <c r="CT507" s="124"/>
      <c r="CU507" s="124"/>
      <c r="CV507" s="124"/>
      <c r="CW507" s="124"/>
      <c r="CX507" s="124"/>
      <c r="CY507" s="124"/>
      <c r="CZ507" s="124"/>
      <c r="DA507" s="124"/>
      <c r="DB507" s="124"/>
      <c r="DC507" s="124"/>
      <c r="DD507" s="124"/>
      <c r="DE507" s="124"/>
      <c r="DF507" s="124"/>
      <c r="DG507" s="124"/>
      <c r="DH507" s="124"/>
      <c r="DI507" s="124"/>
      <c r="DJ507" s="124"/>
      <c r="DK507" s="124"/>
      <c r="DL507" s="124"/>
      <c r="DM507" s="124"/>
      <c r="DN507" s="124"/>
      <c r="DO507" s="124"/>
      <c r="DP507" s="124"/>
      <c r="DQ507" s="124"/>
      <c r="DR507" s="124"/>
      <c r="DS507" s="124"/>
      <c r="DT507" s="124"/>
      <c r="DU507" s="124"/>
      <c r="DV507" s="124"/>
      <c r="DW507" s="124"/>
      <c r="DX507" s="124"/>
      <c r="DY507" s="124"/>
      <c r="DZ507" s="124"/>
      <c r="EA507" s="124"/>
      <c r="EB507" s="124"/>
      <c r="EC507" s="124"/>
      <c r="ED507" s="124"/>
      <c r="EE507" s="124"/>
      <c r="EF507" s="124"/>
      <c r="EG507" s="124"/>
      <c r="EH507" s="124"/>
      <c r="EI507" s="124"/>
      <c r="EJ507" s="124"/>
      <c r="EK507" s="124"/>
      <c r="EL507" s="124"/>
      <c r="EM507" s="124"/>
      <c r="EN507" s="124"/>
      <c r="EO507" s="124"/>
      <c r="EP507" s="124"/>
      <c r="EQ507" s="124"/>
      <c r="ER507" s="124"/>
      <c r="ES507" s="124"/>
      <c r="ET507" s="124"/>
      <c r="EU507" s="124"/>
      <c r="EV507" s="124"/>
      <c r="EW507" s="124"/>
      <c r="EX507" s="124"/>
      <c r="EY507" s="124"/>
      <c r="EZ507" s="124"/>
      <c r="FA507" s="124"/>
      <c r="FB507" s="124"/>
      <c r="FC507" s="124"/>
      <c r="FD507" s="124"/>
      <c r="FE507" s="124"/>
      <c r="FF507" s="124"/>
      <c r="FG507" s="124"/>
      <c r="FH507" s="124"/>
      <c r="FI507" s="124"/>
      <c r="FJ507" s="124"/>
      <c r="FK507" s="124"/>
      <c r="FL507" s="124"/>
      <c r="FM507" s="124"/>
      <c r="FN507" s="124"/>
      <c r="FO507" s="124"/>
      <c r="FP507" s="124"/>
      <c r="FQ507" s="124"/>
      <c r="FR507" s="124"/>
      <c r="FS507" s="124"/>
      <c r="FT507" s="124"/>
      <c r="FU507" s="124"/>
      <c r="FV507" s="124"/>
      <c r="FW507" s="124"/>
      <c r="FX507" s="124"/>
      <c r="FY507" s="124"/>
      <c r="FZ507" s="124"/>
      <c r="GA507" s="124"/>
      <c r="GB507" s="124"/>
      <c r="GC507" s="124"/>
      <c r="GD507" s="124"/>
      <c r="GE507" s="124"/>
      <c r="GF507" s="124"/>
      <c r="GG507" s="124"/>
      <c r="GH507" s="124"/>
      <c r="GI507" s="124"/>
      <c r="GJ507" s="124"/>
      <c r="GK507" s="124"/>
      <c r="GL507" s="124"/>
      <c r="GM507" s="124"/>
      <c r="GN507" s="124"/>
      <c r="GO507" s="124"/>
      <c r="GP507" s="124"/>
      <c r="GQ507" s="124"/>
      <c r="GR507" s="124"/>
      <c r="GS507" s="124"/>
      <c r="GT507" s="124"/>
      <c r="GU507" s="124"/>
      <c r="GV507" s="124"/>
      <c r="GW507" s="124"/>
      <c r="GX507" s="124"/>
      <c r="GY507" s="124"/>
      <c r="GZ507" s="124"/>
      <c r="HA507" s="124"/>
      <c r="HB507" s="124"/>
      <c r="HC507" s="124"/>
      <c r="HD507" s="124"/>
      <c r="HE507" s="124"/>
      <c r="HF507" s="124"/>
      <c r="HG507" s="124"/>
      <c r="HH507" s="124"/>
      <c r="HI507" s="124"/>
      <c r="HJ507" s="124"/>
      <c r="HK507" s="124"/>
      <c r="HL507" s="124"/>
      <c r="HM507" s="124"/>
      <c r="HN507" s="124"/>
      <c r="HO507" s="124"/>
      <c r="HP507" s="124"/>
      <c r="HQ507" s="124"/>
    </row>
    <row r="508" spans="1:225" x14ac:dyDescent="0.2">
      <c r="A508" s="122"/>
      <c r="B508" s="123"/>
      <c r="C508" s="124"/>
      <c r="D508" s="123"/>
      <c r="E508" s="124"/>
      <c r="F508" s="123"/>
      <c r="G508" s="123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4"/>
      <c r="AZ508" s="124"/>
      <c r="BA508" s="124"/>
      <c r="BB508" s="124"/>
      <c r="BC508" s="124"/>
      <c r="BD508" s="124"/>
      <c r="BE508" s="124"/>
      <c r="BF508" s="124"/>
      <c r="BG508" s="124"/>
      <c r="BH508" s="124"/>
      <c r="BI508" s="124"/>
      <c r="BJ508" s="124"/>
      <c r="BK508" s="124"/>
      <c r="BL508" s="124"/>
      <c r="BM508" s="124"/>
      <c r="BN508" s="124"/>
      <c r="BO508" s="124"/>
      <c r="BP508" s="124"/>
      <c r="BQ508" s="124"/>
      <c r="BR508" s="124"/>
      <c r="BS508" s="124"/>
      <c r="BT508" s="124"/>
      <c r="BU508" s="124"/>
      <c r="BV508" s="124"/>
      <c r="BW508" s="124"/>
      <c r="BX508" s="124"/>
      <c r="BY508" s="124"/>
      <c r="BZ508" s="124"/>
      <c r="CA508" s="124"/>
      <c r="CB508" s="124"/>
      <c r="CC508" s="124"/>
      <c r="CD508" s="124"/>
      <c r="CE508" s="124"/>
      <c r="CF508" s="124"/>
      <c r="CG508" s="124"/>
      <c r="CH508" s="124"/>
      <c r="CI508" s="124"/>
      <c r="CJ508" s="124"/>
      <c r="CK508" s="124"/>
      <c r="CL508" s="124"/>
      <c r="CM508" s="124"/>
      <c r="CN508" s="124"/>
      <c r="CO508" s="124"/>
      <c r="CP508" s="124"/>
      <c r="CQ508" s="124"/>
      <c r="CR508" s="124"/>
      <c r="CS508" s="124"/>
      <c r="CT508" s="124"/>
      <c r="CU508" s="124"/>
      <c r="CV508" s="124"/>
      <c r="CW508" s="124"/>
      <c r="CX508" s="124"/>
      <c r="CY508" s="124"/>
      <c r="CZ508" s="124"/>
      <c r="DA508" s="124"/>
      <c r="DB508" s="124"/>
      <c r="DC508" s="124"/>
      <c r="DD508" s="124"/>
      <c r="DE508" s="124"/>
      <c r="DF508" s="124"/>
      <c r="DG508" s="124"/>
      <c r="DH508" s="124"/>
      <c r="DI508" s="124"/>
      <c r="DJ508" s="124"/>
      <c r="DK508" s="124"/>
      <c r="DL508" s="124"/>
      <c r="DM508" s="124"/>
      <c r="DN508" s="124"/>
      <c r="DO508" s="124"/>
      <c r="DP508" s="124"/>
      <c r="DQ508" s="124"/>
      <c r="DR508" s="124"/>
      <c r="DS508" s="124"/>
      <c r="DT508" s="124"/>
      <c r="DU508" s="124"/>
      <c r="DV508" s="124"/>
      <c r="DW508" s="124"/>
      <c r="DX508" s="124"/>
      <c r="DY508" s="124"/>
      <c r="DZ508" s="124"/>
      <c r="EA508" s="124"/>
      <c r="EB508" s="124"/>
      <c r="EC508" s="124"/>
      <c r="ED508" s="124"/>
      <c r="EE508" s="124"/>
      <c r="EF508" s="124"/>
      <c r="EG508" s="124"/>
      <c r="EH508" s="124"/>
      <c r="EI508" s="124"/>
      <c r="EJ508" s="124"/>
      <c r="EK508" s="124"/>
      <c r="EL508" s="124"/>
      <c r="EM508" s="124"/>
      <c r="EN508" s="124"/>
      <c r="EO508" s="124"/>
      <c r="EP508" s="124"/>
      <c r="EQ508" s="124"/>
      <c r="ER508" s="124"/>
      <c r="ES508" s="124"/>
      <c r="ET508" s="124"/>
      <c r="EU508" s="124"/>
      <c r="EV508" s="124"/>
      <c r="EW508" s="124"/>
      <c r="EX508" s="124"/>
      <c r="EY508" s="124"/>
      <c r="EZ508" s="124"/>
      <c r="FA508" s="124"/>
      <c r="FB508" s="124"/>
      <c r="FC508" s="124"/>
      <c r="FD508" s="124"/>
      <c r="FE508" s="124"/>
      <c r="FF508" s="124"/>
      <c r="FG508" s="124"/>
      <c r="FH508" s="124"/>
      <c r="FI508" s="124"/>
      <c r="FJ508" s="124"/>
      <c r="FK508" s="124"/>
      <c r="FL508" s="124"/>
      <c r="FM508" s="124"/>
      <c r="FN508" s="124"/>
      <c r="FO508" s="124"/>
      <c r="FP508" s="124"/>
      <c r="FQ508" s="124"/>
      <c r="FR508" s="124"/>
      <c r="FS508" s="124"/>
      <c r="FT508" s="124"/>
      <c r="FU508" s="124"/>
      <c r="FV508" s="124"/>
      <c r="FW508" s="124"/>
      <c r="FX508" s="124"/>
      <c r="FY508" s="124"/>
      <c r="FZ508" s="124"/>
      <c r="GA508" s="124"/>
      <c r="GB508" s="124"/>
      <c r="GC508" s="124"/>
      <c r="GD508" s="124"/>
      <c r="GE508" s="124"/>
      <c r="GF508" s="124"/>
      <c r="GG508" s="124"/>
      <c r="GH508" s="124"/>
      <c r="GI508" s="124"/>
      <c r="GJ508" s="124"/>
      <c r="GK508" s="124"/>
      <c r="GL508" s="124"/>
      <c r="GM508" s="124"/>
      <c r="GN508" s="124"/>
      <c r="GO508" s="124"/>
      <c r="GP508" s="124"/>
      <c r="GQ508" s="124"/>
      <c r="GR508" s="124"/>
      <c r="GS508" s="124"/>
      <c r="GT508" s="124"/>
      <c r="GU508" s="124"/>
      <c r="GV508" s="124"/>
      <c r="GW508" s="124"/>
      <c r="GX508" s="124"/>
      <c r="GY508" s="124"/>
      <c r="GZ508" s="124"/>
      <c r="HA508" s="124"/>
      <c r="HB508" s="124"/>
      <c r="HC508" s="124"/>
      <c r="HD508" s="124"/>
      <c r="HE508" s="124"/>
      <c r="HF508" s="124"/>
      <c r="HG508" s="124"/>
      <c r="HH508" s="124"/>
      <c r="HI508" s="124"/>
      <c r="HJ508" s="124"/>
      <c r="HK508" s="124"/>
      <c r="HL508" s="124"/>
      <c r="HM508" s="124"/>
      <c r="HN508" s="124"/>
      <c r="HO508" s="124"/>
      <c r="HP508" s="124"/>
      <c r="HQ508" s="124"/>
    </row>
    <row r="509" spans="1:225" x14ac:dyDescent="0.2">
      <c r="A509" s="122"/>
      <c r="B509" s="123"/>
      <c r="C509" s="124"/>
      <c r="D509" s="123"/>
      <c r="E509" s="124"/>
      <c r="F509" s="123"/>
      <c r="G509" s="123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4"/>
      <c r="AZ509" s="124"/>
      <c r="BA509" s="124"/>
      <c r="BB509" s="124"/>
      <c r="BC509" s="124"/>
      <c r="BD509" s="124"/>
      <c r="BE509" s="124"/>
      <c r="BF509" s="124"/>
      <c r="BG509" s="124"/>
      <c r="BH509" s="124"/>
      <c r="BI509" s="124"/>
      <c r="BJ509" s="124"/>
      <c r="BK509" s="124"/>
      <c r="BL509" s="124"/>
      <c r="BM509" s="124"/>
      <c r="BN509" s="124"/>
      <c r="BO509" s="124"/>
      <c r="BP509" s="124"/>
      <c r="BQ509" s="124"/>
      <c r="BR509" s="124"/>
      <c r="BS509" s="124"/>
      <c r="BT509" s="124"/>
      <c r="BU509" s="124"/>
      <c r="BV509" s="124"/>
      <c r="BW509" s="124"/>
      <c r="BX509" s="124"/>
      <c r="BY509" s="124"/>
      <c r="BZ509" s="124"/>
      <c r="CA509" s="124"/>
      <c r="CB509" s="124"/>
      <c r="CC509" s="124"/>
      <c r="CD509" s="124"/>
      <c r="CE509" s="124"/>
      <c r="CF509" s="124"/>
      <c r="CG509" s="124"/>
      <c r="CH509" s="124"/>
      <c r="CI509" s="124"/>
      <c r="CJ509" s="124"/>
      <c r="CK509" s="124"/>
      <c r="CL509" s="124"/>
      <c r="CM509" s="124"/>
      <c r="CN509" s="124"/>
      <c r="CO509" s="124"/>
      <c r="CP509" s="124"/>
      <c r="CQ509" s="124"/>
      <c r="CR509" s="124"/>
      <c r="CS509" s="124"/>
      <c r="CT509" s="124"/>
      <c r="CU509" s="124"/>
      <c r="CV509" s="124"/>
      <c r="CW509" s="124"/>
      <c r="CX509" s="124"/>
      <c r="CY509" s="124"/>
      <c r="CZ509" s="124"/>
      <c r="DA509" s="124"/>
      <c r="DB509" s="124"/>
      <c r="DC509" s="124"/>
      <c r="DD509" s="124"/>
      <c r="DE509" s="124"/>
      <c r="DF509" s="124"/>
      <c r="DG509" s="124"/>
      <c r="DH509" s="124"/>
      <c r="DI509" s="124"/>
      <c r="DJ509" s="124"/>
      <c r="DK509" s="124"/>
      <c r="DL509" s="124"/>
      <c r="DM509" s="124"/>
      <c r="DN509" s="124"/>
      <c r="DO509" s="124"/>
      <c r="DP509" s="124"/>
      <c r="DQ509" s="124"/>
      <c r="DR509" s="124"/>
      <c r="DS509" s="124"/>
      <c r="DT509" s="124"/>
      <c r="DU509" s="124"/>
      <c r="DV509" s="124"/>
      <c r="DW509" s="124"/>
      <c r="DX509" s="124"/>
      <c r="DY509" s="124"/>
      <c r="DZ509" s="124"/>
      <c r="EA509" s="124"/>
      <c r="EB509" s="124"/>
      <c r="EC509" s="124"/>
      <c r="ED509" s="124"/>
      <c r="EE509" s="124"/>
      <c r="EF509" s="124"/>
      <c r="EG509" s="124"/>
      <c r="EH509" s="124"/>
      <c r="EI509" s="124"/>
      <c r="EJ509" s="124"/>
      <c r="EK509" s="124"/>
      <c r="EL509" s="124"/>
      <c r="EM509" s="124"/>
      <c r="EN509" s="124"/>
      <c r="EO509" s="124"/>
      <c r="EP509" s="124"/>
      <c r="EQ509" s="124"/>
      <c r="ER509" s="124"/>
      <c r="ES509" s="124"/>
      <c r="ET509" s="124"/>
      <c r="EU509" s="124"/>
      <c r="EV509" s="124"/>
      <c r="EW509" s="124"/>
      <c r="EX509" s="124"/>
      <c r="EY509" s="124"/>
      <c r="EZ509" s="124"/>
      <c r="FA509" s="124"/>
      <c r="FB509" s="124"/>
      <c r="FC509" s="124"/>
      <c r="FD509" s="124"/>
      <c r="FE509" s="124"/>
      <c r="FF509" s="124"/>
      <c r="FG509" s="124"/>
      <c r="FH509" s="124"/>
      <c r="FI509" s="124"/>
      <c r="FJ509" s="124"/>
      <c r="FK509" s="124"/>
      <c r="FL509" s="124"/>
      <c r="FM509" s="124"/>
      <c r="FN509" s="124"/>
      <c r="FO509" s="124"/>
      <c r="FP509" s="124"/>
      <c r="FQ509" s="124"/>
      <c r="FR509" s="124"/>
      <c r="FS509" s="124"/>
      <c r="FT509" s="124"/>
      <c r="FU509" s="124"/>
      <c r="FV509" s="124"/>
      <c r="FW509" s="124"/>
      <c r="FX509" s="124"/>
      <c r="FY509" s="124"/>
      <c r="FZ509" s="124"/>
      <c r="GA509" s="124"/>
      <c r="GB509" s="124"/>
      <c r="GC509" s="124"/>
      <c r="GD509" s="124"/>
      <c r="GE509" s="124"/>
      <c r="GF509" s="124"/>
      <c r="GG509" s="124"/>
      <c r="GH509" s="124"/>
      <c r="GI509" s="124"/>
      <c r="GJ509" s="124"/>
      <c r="GK509" s="124"/>
      <c r="GL509" s="124"/>
      <c r="GM509" s="124"/>
      <c r="GN509" s="124"/>
      <c r="GO509" s="124"/>
      <c r="GP509" s="124"/>
      <c r="GQ509" s="124"/>
      <c r="GR509" s="124"/>
      <c r="GS509" s="124"/>
      <c r="GT509" s="124"/>
      <c r="GU509" s="124"/>
      <c r="GV509" s="124"/>
      <c r="GW509" s="124"/>
      <c r="GX509" s="124"/>
      <c r="GY509" s="124"/>
      <c r="GZ509" s="124"/>
      <c r="HA509" s="124"/>
      <c r="HB509" s="124"/>
      <c r="HC509" s="124"/>
      <c r="HD509" s="124"/>
      <c r="HE509" s="124"/>
      <c r="HF509" s="124"/>
      <c r="HG509" s="124"/>
      <c r="HH509" s="124"/>
      <c r="HI509" s="124"/>
      <c r="HJ509" s="124"/>
      <c r="HK509" s="124"/>
      <c r="HL509" s="124"/>
      <c r="HM509" s="124"/>
      <c r="HN509" s="124"/>
      <c r="HO509" s="124"/>
      <c r="HP509" s="124"/>
      <c r="HQ509" s="124"/>
    </row>
    <row r="510" spans="1:225" x14ac:dyDescent="0.2">
      <c r="A510" s="122"/>
      <c r="B510" s="123"/>
      <c r="C510" s="124"/>
      <c r="D510" s="123"/>
      <c r="E510" s="124"/>
      <c r="F510" s="123"/>
      <c r="G510" s="123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4"/>
      <c r="AZ510" s="124"/>
      <c r="BA510" s="124"/>
      <c r="BB510" s="124"/>
      <c r="BC510" s="124"/>
      <c r="BD510" s="124"/>
      <c r="BE510" s="124"/>
      <c r="BF510" s="124"/>
      <c r="BG510" s="124"/>
      <c r="BH510" s="124"/>
      <c r="BI510" s="124"/>
      <c r="BJ510" s="124"/>
      <c r="BK510" s="124"/>
      <c r="BL510" s="124"/>
      <c r="BM510" s="124"/>
      <c r="BN510" s="124"/>
      <c r="BO510" s="124"/>
      <c r="BP510" s="124"/>
      <c r="BQ510" s="124"/>
      <c r="BR510" s="124"/>
      <c r="BS510" s="124"/>
      <c r="BT510" s="124"/>
      <c r="BU510" s="124"/>
      <c r="BV510" s="124"/>
      <c r="BW510" s="124"/>
      <c r="BX510" s="124"/>
      <c r="BY510" s="124"/>
      <c r="BZ510" s="124"/>
      <c r="CA510" s="124"/>
      <c r="CB510" s="124"/>
      <c r="CC510" s="124"/>
      <c r="CD510" s="124"/>
      <c r="CE510" s="124"/>
      <c r="CF510" s="124"/>
      <c r="CG510" s="124"/>
      <c r="CH510" s="124"/>
      <c r="CI510" s="124"/>
      <c r="CJ510" s="124"/>
      <c r="CK510" s="124"/>
      <c r="CL510" s="124"/>
      <c r="CM510" s="124"/>
      <c r="CN510" s="124"/>
      <c r="CO510" s="124"/>
      <c r="CP510" s="124"/>
      <c r="CQ510" s="124"/>
      <c r="CR510" s="124"/>
      <c r="CS510" s="124"/>
      <c r="CT510" s="124"/>
      <c r="CU510" s="124"/>
      <c r="CV510" s="124"/>
      <c r="CW510" s="124"/>
      <c r="CX510" s="124"/>
      <c r="CY510" s="124"/>
      <c r="CZ510" s="124"/>
      <c r="DA510" s="124"/>
      <c r="DB510" s="124"/>
      <c r="DC510" s="124"/>
      <c r="DD510" s="124"/>
      <c r="DE510" s="124"/>
      <c r="DF510" s="124"/>
      <c r="DG510" s="124"/>
      <c r="DH510" s="124"/>
      <c r="DI510" s="124"/>
      <c r="DJ510" s="124"/>
      <c r="DK510" s="124"/>
      <c r="DL510" s="124"/>
      <c r="DM510" s="124"/>
      <c r="DN510" s="124"/>
      <c r="DO510" s="124"/>
      <c r="DP510" s="124"/>
      <c r="DQ510" s="124"/>
      <c r="DR510" s="124"/>
      <c r="DS510" s="124"/>
      <c r="DT510" s="124"/>
      <c r="DU510" s="124"/>
      <c r="DV510" s="124"/>
      <c r="DW510" s="124"/>
      <c r="DX510" s="124"/>
      <c r="DY510" s="124"/>
      <c r="DZ510" s="124"/>
      <c r="EA510" s="124"/>
      <c r="EB510" s="124"/>
      <c r="EC510" s="124"/>
      <c r="ED510" s="124"/>
      <c r="EE510" s="124"/>
      <c r="EF510" s="124"/>
      <c r="EG510" s="124"/>
      <c r="EH510" s="124"/>
      <c r="EI510" s="124"/>
      <c r="EJ510" s="124"/>
      <c r="EK510" s="124"/>
      <c r="EL510" s="124"/>
      <c r="EM510" s="124"/>
      <c r="EN510" s="124"/>
      <c r="EO510" s="124"/>
      <c r="EP510" s="124"/>
      <c r="EQ510" s="124"/>
      <c r="ER510" s="124"/>
      <c r="ES510" s="124"/>
      <c r="ET510" s="124"/>
      <c r="EU510" s="124"/>
      <c r="EV510" s="124"/>
      <c r="EW510" s="124"/>
      <c r="EX510" s="124"/>
      <c r="EY510" s="124"/>
      <c r="EZ510" s="124"/>
      <c r="FA510" s="124"/>
      <c r="FB510" s="124"/>
      <c r="FC510" s="124"/>
      <c r="FD510" s="124"/>
      <c r="FE510" s="124"/>
      <c r="FF510" s="124"/>
      <c r="FG510" s="124"/>
      <c r="FH510" s="124"/>
      <c r="FI510" s="124"/>
      <c r="FJ510" s="124"/>
      <c r="FK510" s="124"/>
      <c r="FL510" s="124"/>
      <c r="FM510" s="124"/>
      <c r="FN510" s="124"/>
      <c r="FO510" s="124"/>
      <c r="FP510" s="124"/>
      <c r="FQ510" s="124"/>
      <c r="FR510" s="124"/>
      <c r="FS510" s="124"/>
      <c r="FT510" s="124"/>
      <c r="FU510" s="124"/>
      <c r="FV510" s="124"/>
      <c r="FW510" s="124"/>
      <c r="FX510" s="124"/>
      <c r="FY510" s="124"/>
      <c r="FZ510" s="124"/>
      <c r="GA510" s="124"/>
      <c r="GB510" s="124"/>
      <c r="GC510" s="124"/>
      <c r="GD510" s="124"/>
      <c r="GE510" s="124"/>
      <c r="GF510" s="124"/>
      <c r="GG510" s="124"/>
      <c r="GH510" s="124"/>
      <c r="GI510" s="124"/>
      <c r="GJ510" s="124"/>
      <c r="GK510" s="124"/>
      <c r="GL510" s="124"/>
      <c r="GM510" s="124"/>
      <c r="GN510" s="124"/>
      <c r="GO510" s="124"/>
      <c r="GP510" s="124"/>
      <c r="GQ510" s="124"/>
      <c r="GR510" s="124"/>
      <c r="GS510" s="124"/>
      <c r="GT510" s="124"/>
      <c r="GU510" s="124"/>
      <c r="GV510" s="124"/>
      <c r="GW510" s="124"/>
      <c r="GX510" s="124"/>
      <c r="GY510" s="124"/>
      <c r="GZ510" s="124"/>
      <c r="HA510" s="124"/>
      <c r="HB510" s="124"/>
      <c r="HC510" s="124"/>
      <c r="HD510" s="124"/>
      <c r="HE510" s="124"/>
      <c r="HF510" s="124"/>
      <c r="HG510" s="124"/>
      <c r="HH510" s="124"/>
      <c r="HI510" s="124"/>
      <c r="HJ510" s="124"/>
      <c r="HK510" s="124"/>
      <c r="HL510" s="124"/>
      <c r="HM510" s="124"/>
      <c r="HN510" s="124"/>
      <c r="HO510" s="124"/>
      <c r="HP510" s="124"/>
      <c r="HQ510" s="124"/>
    </row>
    <row r="511" spans="1:225" x14ac:dyDescent="0.2">
      <c r="A511" s="122"/>
      <c r="B511" s="123"/>
      <c r="C511" s="124"/>
      <c r="D511" s="123"/>
      <c r="E511" s="124"/>
      <c r="F511" s="123"/>
      <c r="G511" s="123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4"/>
      <c r="AZ511" s="124"/>
      <c r="BA511" s="124"/>
      <c r="BB511" s="124"/>
      <c r="BC511" s="124"/>
      <c r="BD511" s="124"/>
      <c r="BE511" s="124"/>
      <c r="BF511" s="124"/>
      <c r="BG511" s="124"/>
      <c r="BH511" s="124"/>
      <c r="BI511" s="124"/>
      <c r="BJ511" s="124"/>
      <c r="BK511" s="124"/>
      <c r="BL511" s="124"/>
      <c r="BM511" s="124"/>
      <c r="BN511" s="124"/>
      <c r="BO511" s="124"/>
      <c r="BP511" s="124"/>
      <c r="BQ511" s="124"/>
      <c r="BR511" s="124"/>
      <c r="BS511" s="124"/>
      <c r="BT511" s="124"/>
      <c r="BU511" s="124"/>
      <c r="BV511" s="124"/>
      <c r="BW511" s="124"/>
      <c r="BX511" s="124"/>
      <c r="BY511" s="124"/>
      <c r="BZ511" s="124"/>
      <c r="CA511" s="124"/>
      <c r="CB511" s="124"/>
      <c r="CC511" s="124"/>
      <c r="CD511" s="124"/>
      <c r="CE511" s="124"/>
      <c r="CF511" s="124"/>
      <c r="CG511" s="124"/>
      <c r="CH511" s="124"/>
      <c r="CI511" s="124"/>
      <c r="CJ511" s="124"/>
      <c r="CK511" s="124"/>
      <c r="CL511" s="124"/>
      <c r="CM511" s="124"/>
      <c r="CN511" s="124"/>
      <c r="CO511" s="124"/>
      <c r="CP511" s="124"/>
      <c r="CQ511" s="124"/>
      <c r="CR511" s="124"/>
      <c r="CS511" s="124"/>
      <c r="CT511" s="124"/>
      <c r="CU511" s="124"/>
      <c r="CV511" s="124"/>
      <c r="CW511" s="124"/>
      <c r="CX511" s="124"/>
      <c r="CY511" s="124"/>
      <c r="CZ511" s="124"/>
      <c r="DA511" s="124"/>
      <c r="DB511" s="124"/>
      <c r="DC511" s="124"/>
      <c r="DD511" s="124"/>
      <c r="DE511" s="124"/>
      <c r="DF511" s="124"/>
      <c r="DG511" s="124"/>
      <c r="DH511" s="124"/>
      <c r="DI511" s="124"/>
      <c r="DJ511" s="124"/>
      <c r="DK511" s="124"/>
      <c r="DL511" s="124"/>
      <c r="DM511" s="124"/>
      <c r="DN511" s="124"/>
      <c r="DO511" s="124"/>
      <c r="DP511" s="124"/>
      <c r="DQ511" s="124"/>
      <c r="DR511" s="124"/>
      <c r="DS511" s="124"/>
      <c r="DT511" s="124"/>
      <c r="DU511" s="124"/>
      <c r="DV511" s="124"/>
      <c r="DW511" s="124"/>
      <c r="DX511" s="124"/>
      <c r="DY511" s="124"/>
      <c r="DZ511" s="124"/>
      <c r="EA511" s="124"/>
      <c r="EB511" s="124"/>
      <c r="EC511" s="124"/>
      <c r="ED511" s="124"/>
      <c r="EE511" s="124"/>
      <c r="EF511" s="124"/>
      <c r="EG511" s="124"/>
      <c r="EH511" s="124"/>
      <c r="EI511" s="124"/>
      <c r="EJ511" s="124"/>
      <c r="EK511" s="124"/>
      <c r="EL511" s="124"/>
      <c r="EM511" s="124"/>
      <c r="EN511" s="124"/>
      <c r="EO511" s="124"/>
      <c r="EP511" s="124"/>
      <c r="EQ511" s="124"/>
      <c r="ER511" s="124"/>
      <c r="ES511" s="124"/>
      <c r="ET511" s="124"/>
      <c r="EU511" s="124"/>
      <c r="EV511" s="124"/>
      <c r="EW511" s="124"/>
      <c r="EX511" s="124"/>
      <c r="EY511" s="124"/>
      <c r="EZ511" s="124"/>
      <c r="FA511" s="124"/>
      <c r="FB511" s="124"/>
      <c r="FC511" s="124"/>
      <c r="FD511" s="124"/>
      <c r="FE511" s="124"/>
      <c r="FF511" s="124"/>
      <c r="FG511" s="124"/>
      <c r="FH511" s="124"/>
      <c r="FI511" s="124"/>
      <c r="FJ511" s="124"/>
      <c r="FK511" s="124"/>
      <c r="FL511" s="124"/>
      <c r="FM511" s="124"/>
      <c r="FN511" s="124"/>
      <c r="FO511" s="124"/>
      <c r="FP511" s="124"/>
      <c r="FQ511" s="124"/>
      <c r="FR511" s="124"/>
      <c r="FS511" s="124"/>
      <c r="FT511" s="124"/>
      <c r="FU511" s="124"/>
      <c r="FV511" s="124"/>
      <c r="FW511" s="124"/>
      <c r="FX511" s="124"/>
      <c r="FY511" s="124"/>
      <c r="FZ511" s="124"/>
      <c r="GA511" s="124"/>
      <c r="GB511" s="124"/>
      <c r="GC511" s="124"/>
      <c r="GD511" s="124"/>
      <c r="GE511" s="124"/>
      <c r="GF511" s="124"/>
      <c r="GG511" s="124"/>
      <c r="GH511" s="124"/>
      <c r="GI511" s="124"/>
      <c r="GJ511" s="124"/>
      <c r="GK511" s="124"/>
      <c r="GL511" s="124"/>
      <c r="GM511" s="124"/>
      <c r="GN511" s="124"/>
      <c r="GO511" s="124"/>
      <c r="GP511" s="124"/>
      <c r="GQ511" s="124"/>
      <c r="GR511" s="124"/>
      <c r="GS511" s="124"/>
      <c r="GT511" s="124"/>
      <c r="GU511" s="124"/>
      <c r="GV511" s="124"/>
      <c r="GW511" s="124"/>
      <c r="GX511" s="124"/>
      <c r="GY511" s="124"/>
      <c r="GZ511" s="124"/>
      <c r="HA511" s="124"/>
      <c r="HB511" s="124"/>
      <c r="HC511" s="124"/>
      <c r="HD511" s="124"/>
      <c r="HE511" s="124"/>
      <c r="HF511" s="124"/>
      <c r="HG511" s="124"/>
      <c r="HH511" s="124"/>
      <c r="HI511" s="124"/>
      <c r="HJ511" s="124"/>
      <c r="HK511" s="124"/>
      <c r="HL511" s="124"/>
      <c r="HM511" s="124"/>
      <c r="HN511" s="124"/>
      <c r="HO511" s="124"/>
      <c r="HP511" s="124"/>
      <c r="HQ511" s="124"/>
    </row>
    <row r="512" spans="1:225" x14ac:dyDescent="0.2">
      <c r="A512" s="122"/>
      <c r="B512" s="123"/>
      <c r="C512" s="124"/>
      <c r="D512" s="123"/>
      <c r="E512" s="124"/>
      <c r="F512" s="123"/>
      <c r="G512" s="123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4"/>
      <c r="AZ512" s="124"/>
      <c r="BA512" s="124"/>
      <c r="BB512" s="124"/>
      <c r="BC512" s="124"/>
      <c r="BD512" s="124"/>
      <c r="BE512" s="124"/>
      <c r="BF512" s="124"/>
      <c r="BG512" s="124"/>
      <c r="BH512" s="124"/>
      <c r="BI512" s="124"/>
      <c r="BJ512" s="124"/>
      <c r="BK512" s="124"/>
      <c r="BL512" s="124"/>
      <c r="BM512" s="124"/>
      <c r="BN512" s="124"/>
      <c r="BO512" s="124"/>
      <c r="BP512" s="124"/>
      <c r="BQ512" s="124"/>
      <c r="BR512" s="124"/>
      <c r="BS512" s="124"/>
      <c r="BT512" s="124"/>
      <c r="BU512" s="124"/>
      <c r="BV512" s="124"/>
      <c r="BW512" s="124"/>
      <c r="BX512" s="124"/>
      <c r="BY512" s="124"/>
      <c r="BZ512" s="124"/>
      <c r="CA512" s="124"/>
      <c r="CB512" s="124"/>
      <c r="CC512" s="124"/>
      <c r="CD512" s="124"/>
      <c r="CE512" s="124"/>
      <c r="CF512" s="124"/>
      <c r="CG512" s="124"/>
      <c r="CH512" s="124"/>
      <c r="CI512" s="124"/>
      <c r="CJ512" s="124"/>
      <c r="CK512" s="124"/>
      <c r="CL512" s="124"/>
      <c r="CM512" s="124"/>
      <c r="CN512" s="124"/>
      <c r="CO512" s="124"/>
      <c r="CP512" s="124"/>
      <c r="CQ512" s="124"/>
      <c r="CR512" s="124"/>
      <c r="CS512" s="124"/>
      <c r="CT512" s="124"/>
      <c r="CU512" s="124"/>
      <c r="CV512" s="124"/>
      <c r="CW512" s="124"/>
      <c r="CX512" s="124"/>
      <c r="CY512" s="124"/>
      <c r="CZ512" s="124"/>
      <c r="DA512" s="124"/>
      <c r="DB512" s="124"/>
      <c r="DC512" s="124"/>
      <c r="DD512" s="124"/>
      <c r="DE512" s="124"/>
      <c r="DF512" s="124"/>
      <c r="DG512" s="124"/>
      <c r="DH512" s="124"/>
      <c r="DI512" s="124"/>
      <c r="DJ512" s="124"/>
      <c r="DK512" s="124"/>
      <c r="DL512" s="124"/>
      <c r="DM512" s="124"/>
      <c r="DN512" s="124"/>
      <c r="DO512" s="124"/>
      <c r="DP512" s="124"/>
      <c r="DQ512" s="124"/>
      <c r="DR512" s="124"/>
      <c r="DS512" s="124"/>
      <c r="DT512" s="124"/>
      <c r="DU512" s="124"/>
      <c r="DV512" s="124"/>
      <c r="DW512" s="124"/>
      <c r="DX512" s="124"/>
      <c r="DY512" s="124"/>
      <c r="DZ512" s="124"/>
      <c r="EA512" s="124"/>
      <c r="EB512" s="124"/>
      <c r="EC512" s="124"/>
      <c r="ED512" s="124"/>
      <c r="EE512" s="124"/>
      <c r="EF512" s="124"/>
      <c r="EG512" s="124"/>
      <c r="EH512" s="124"/>
      <c r="EI512" s="124"/>
      <c r="EJ512" s="124"/>
      <c r="EK512" s="124"/>
      <c r="EL512" s="124"/>
      <c r="EM512" s="124"/>
      <c r="EN512" s="124"/>
      <c r="EO512" s="124"/>
      <c r="EP512" s="124"/>
      <c r="EQ512" s="124"/>
      <c r="ER512" s="124"/>
      <c r="ES512" s="124"/>
      <c r="ET512" s="124"/>
      <c r="EU512" s="124"/>
      <c r="EV512" s="124"/>
      <c r="EW512" s="124"/>
      <c r="EX512" s="124"/>
      <c r="EY512" s="124"/>
      <c r="EZ512" s="124"/>
      <c r="FA512" s="124"/>
      <c r="FB512" s="124"/>
      <c r="FC512" s="124"/>
      <c r="FD512" s="124"/>
      <c r="FE512" s="124"/>
      <c r="FF512" s="124"/>
      <c r="FG512" s="124"/>
      <c r="FH512" s="124"/>
      <c r="FI512" s="124"/>
      <c r="FJ512" s="124"/>
      <c r="FK512" s="124"/>
      <c r="FL512" s="124"/>
      <c r="FM512" s="124"/>
      <c r="FN512" s="124"/>
      <c r="FO512" s="124"/>
      <c r="FP512" s="124"/>
      <c r="FQ512" s="124"/>
      <c r="FR512" s="124"/>
      <c r="FS512" s="124"/>
      <c r="FT512" s="124"/>
      <c r="FU512" s="124"/>
      <c r="FV512" s="124"/>
      <c r="FW512" s="124"/>
      <c r="FX512" s="124"/>
      <c r="FY512" s="124"/>
      <c r="FZ512" s="124"/>
      <c r="GA512" s="124"/>
      <c r="GB512" s="124"/>
      <c r="GC512" s="124"/>
      <c r="GD512" s="124"/>
      <c r="GE512" s="124"/>
      <c r="GF512" s="124"/>
      <c r="GG512" s="124"/>
      <c r="GH512" s="124"/>
      <c r="GI512" s="124"/>
      <c r="GJ512" s="124"/>
      <c r="GK512" s="124"/>
      <c r="GL512" s="124"/>
      <c r="GM512" s="124"/>
      <c r="GN512" s="124"/>
      <c r="GO512" s="124"/>
      <c r="GP512" s="124"/>
      <c r="GQ512" s="124"/>
      <c r="GR512" s="124"/>
      <c r="GS512" s="124"/>
      <c r="GT512" s="124"/>
      <c r="GU512" s="124"/>
      <c r="GV512" s="124"/>
      <c r="GW512" s="124"/>
      <c r="GX512" s="124"/>
      <c r="GY512" s="124"/>
      <c r="GZ512" s="124"/>
      <c r="HA512" s="124"/>
      <c r="HB512" s="124"/>
      <c r="HC512" s="124"/>
      <c r="HD512" s="124"/>
      <c r="HE512" s="124"/>
      <c r="HF512" s="124"/>
      <c r="HG512" s="124"/>
      <c r="HH512" s="124"/>
      <c r="HI512" s="124"/>
      <c r="HJ512" s="124"/>
      <c r="HK512" s="124"/>
      <c r="HL512" s="124"/>
      <c r="HM512" s="124"/>
      <c r="HN512" s="124"/>
      <c r="HO512" s="124"/>
      <c r="HP512" s="124"/>
      <c r="HQ512" s="124"/>
    </row>
    <row r="513" spans="1:225" x14ac:dyDescent="0.2">
      <c r="A513" s="122"/>
      <c r="B513" s="123"/>
      <c r="C513" s="124"/>
      <c r="D513" s="123"/>
      <c r="E513" s="124"/>
      <c r="F513" s="123"/>
      <c r="G513" s="123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4"/>
      <c r="AZ513" s="124"/>
      <c r="BA513" s="124"/>
      <c r="BB513" s="124"/>
      <c r="BC513" s="124"/>
      <c r="BD513" s="124"/>
      <c r="BE513" s="124"/>
      <c r="BF513" s="124"/>
      <c r="BG513" s="124"/>
      <c r="BH513" s="124"/>
      <c r="BI513" s="124"/>
      <c r="BJ513" s="124"/>
      <c r="BK513" s="124"/>
      <c r="BL513" s="124"/>
      <c r="BM513" s="124"/>
      <c r="BN513" s="124"/>
      <c r="BO513" s="124"/>
      <c r="BP513" s="124"/>
      <c r="BQ513" s="124"/>
      <c r="BR513" s="124"/>
      <c r="BS513" s="124"/>
      <c r="BT513" s="124"/>
      <c r="BU513" s="124"/>
      <c r="BV513" s="124"/>
      <c r="BW513" s="124"/>
      <c r="BX513" s="124"/>
      <c r="BY513" s="124"/>
      <c r="BZ513" s="124"/>
      <c r="CA513" s="124"/>
      <c r="CB513" s="124"/>
      <c r="CC513" s="124"/>
      <c r="CD513" s="124"/>
      <c r="CE513" s="124"/>
      <c r="CF513" s="124"/>
      <c r="CG513" s="124"/>
      <c r="CH513" s="124"/>
      <c r="CI513" s="124"/>
      <c r="CJ513" s="124"/>
      <c r="CK513" s="124"/>
      <c r="CL513" s="124"/>
      <c r="CM513" s="124"/>
      <c r="CN513" s="124"/>
      <c r="CO513" s="124"/>
      <c r="CP513" s="124"/>
      <c r="CQ513" s="124"/>
      <c r="CR513" s="124"/>
      <c r="CS513" s="124"/>
      <c r="CT513" s="124"/>
      <c r="CU513" s="124"/>
      <c r="CV513" s="124"/>
      <c r="CW513" s="124"/>
      <c r="CX513" s="124"/>
      <c r="CY513" s="124"/>
      <c r="CZ513" s="124"/>
      <c r="DA513" s="124"/>
      <c r="DB513" s="124"/>
      <c r="DC513" s="124"/>
      <c r="DD513" s="124"/>
      <c r="DE513" s="124"/>
      <c r="DF513" s="124"/>
      <c r="DG513" s="124"/>
      <c r="DH513" s="124"/>
      <c r="DI513" s="124"/>
      <c r="DJ513" s="124"/>
      <c r="DK513" s="124"/>
      <c r="DL513" s="124"/>
      <c r="DM513" s="124"/>
      <c r="DN513" s="124"/>
      <c r="DO513" s="124"/>
      <c r="DP513" s="124"/>
      <c r="DQ513" s="124"/>
      <c r="DR513" s="124"/>
      <c r="DS513" s="124"/>
      <c r="DT513" s="124"/>
      <c r="DU513" s="124"/>
      <c r="DV513" s="124"/>
      <c r="DW513" s="124"/>
      <c r="DX513" s="124"/>
      <c r="DY513" s="124"/>
      <c r="DZ513" s="124"/>
      <c r="EA513" s="124"/>
      <c r="EB513" s="124"/>
      <c r="EC513" s="124"/>
      <c r="ED513" s="124"/>
      <c r="EE513" s="124"/>
      <c r="EF513" s="124"/>
      <c r="EG513" s="124"/>
      <c r="EH513" s="124"/>
      <c r="EI513" s="124"/>
      <c r="EJ513" s="124"/>
      <c r="EK513" s="124"/>
      <c r="EL513" s="124"/>
      <c r="EM513" s="124"/>
      <c r="EN513" s="124"/>
      <c r="EO513" s="124"/>
      <c r="EP513" s="124"/>
      <c r="EQ513" s="124"/>
      <c r="ER513" s="124"/>
      <c r="ES513" s="124"/>
      <c r="ET513" s="124"/>
      <c r="EU513" s="124"/>
      <c r="EV513" s="124"/>
      <c r="EW513" s="124"/>
      <c r="EX513" s="124"/>
      <c r="EY513" s="124"/>
      <c r="EZ513" s="124"/>
      <c r="FA513" s="124"/>
      <c r="FB513" s="124"/>
      <c r="FC513" s="124"/>
      <c r="FD513" s="124"/>
      <c r="FE513" s="124"/>
      <c r="FF513" s="124"/>
      <c r="FG513" s="124"/>
      <c r="FH513" s="124"/>
      <c r="FI513" s="124"/>
      <c r="FJ513" s="124"/>
      <c r="FK513" s="124"/>
      <c r="FL513" s="124"/>
      <c r="FM513" s="124"/>
      <c r="FN513" s="124"/>
      <c r="FO513" s="124"/>
      <c r="FP513" s="124"/>
      <c r="FQ513" s="124"/>
      <c r="FR513" s="124"/>
      <c r="FS513" s="124"/>
      <c r="FT513" s="124"/>
      <c r="FU513" s="124"/>
      <c r="FV513" s="124"/>
      <c r="FW513" s="124"/>
      <c r="FX513" s="124"/>
      <c r="FY513" s="124"/>
      <c r="FZ513" s="124"/>
      <c r="GA513" s="124"/>
      <c r="GB513" s="124"/>
      <c r="GC513" s="124"/>
      <c r="GD513" s="124"/>
      <c r="GE513" s="124"/>
      <c r="GF513" s="124"/>
      <c r="GG513" s="124"/>
      <c r="GH513" s="124"/>
      <c r="GI513" s="124"/>
      <c r="GJ513" s="124"/>
      <c r="GK513" s="124"/>
      <c r="GL513" s="124"/>
      <c r="GM513" s="124"/>
      <c r="GN513" s="124"/>
      <c r="GO513" s="124"/>
      <c r="GP513" s="124"/>
      <c r="GQ513" s="124"/>
      <c r="GR513" s="124"/>
      <c r="GS513" s="124"/>
      <c r="GT513" s="124"/>
      <c r="GU513" s="124"/>
      <c r="GV513" s="124"/>
      <c r="GW513" s="124"/>
      <c r="GX513" s="124"/>
      <c r="GY513" s="124"/>
      <c r="GZ513" s="124"/>
      <c r="HA513" s="124"/>
      <c r="HB513" s="124"/>
      <c r="HC513" s="124"/>
      <c r="HD513" s="124"/>
      <c r="HE513" s="124"/>
      <c r="HF513" s="124"/>
      <c r="HG513" s="124"/>
      <c r="HH513" s="124"/>
      <c r="HI513" s="124"/>
      <c r="HJ513" s="124"/>
      <c r="HK513" s="124"/>
      <c r="HL513" s="124"/>
      <c r="HM513" s="124"/>
      <c r="HN513" s="124"/>
      <c r="HO513" s="124"/>
      <c r="HP513" s="124"/>
      <c r="HQ513" s="124"/>
    </row>
    <row r="514" spans="1:225" x14ac:dyDescent="0.2">
      <c r="A514" s="122"/>
      <c r="B514" s="123"/>
      <c r="C514" s="124"/>
      <c r="D514" s="123"/>
      <c r="E514" s="124"/>
      <c r="F514" s="123"/>
      <c r="G514" s="123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/>
      <c r="BB514" s="124"/>
      <c r="BC514" s="124"/>
      <c r="BD514" s="124"/>
      <c r="BE514" s="124"/>
      <c r="BF514" s="124"/>
      <c r="BG514" s="124"/>
      <c r="BH514" s="124"/>
      <c r="BI514" s="124"/>
      <c r="BJ514" s="124"/>
      <c r="BK514" s="124"/>
      <c r="BL514" s="124"/>
      <c r="BM514" s="124"/>
      <c r="BN514" s="124"/>
      <c r="BO514" s="124"/>
      <c r="BP514" s="124"/>
      <c r="BQ514" s="124"/>
      <c r="BR514" s="124"/>
      <c r="BS514" s="124"/>
      <c r="BT514" s="124"/>
      <c r="BU514" s="124"/>
      <c r="BV514" s="124"/>
      <c r="BW514" s="124"/>
      <c r="BX514" s="124"/>
      <c r="BY514" s="124"/>
      <c r="BZ514" s="124"/>
      <c r="CA514" s="124"/>
      <c r="CB514" s="124"/>
      <c r="CC514" s="124"/>
      <c r="CD514" s="124"/>
      <c r="CE514" s="124"/>
      <c r="CF514" s="124"/>
      <c r="CG514" s="124"/>
      <c r="CH514" s="124"/>
      <c r="CI514" s="124"/>
      <c r="CJ514" s="124"/>
      <c r="CK514" s="124"/>
      <c r="CL514" s="124"/>
      <c r="CM514" s="124"/>
      <c r="CN514" s="124"/>
      <c r="CO514" s="124"/>
      <c r="CP514" s="124"/>
      <c r="CQ514" s="124"/>
      <c r="CR514" s="124"/>
      <c r="CS514" s="124"/>
      <c r="CT514" s="124"/>
      <c r="CU514" s="124"/>
      <c r="CV514" s="124"/>
      <c r="CW514" s="124"/>
      <c r="CX514" s="124"/>
      <c r="CY514" s="124"/>
      <c r="CZ514" s="124"/>
      <c r="DA514" s="124"/>
      <c r="DB514" s="124"/>
      <c r="DC514" s="124"/>
      <c r="DD514" s="124"/>
      <c r="DE514" s="124"/>
      <c r="DF514" s="124"/>
      <c r="DG514" s="124"/>
      <c r="DH514" s="124"/>
      <c r="DI514" s="124"/>
      <c r="DJ514" s="124"/>
      <c r="DK514" s="124"/>
      <c r="DL514" s="124"/>
      <c r="DM514" s="124"/>
      <c r="DN514" s="124"/>
      <c r="DO514" s="124"/>
      <c r="DP514" s="124"/>
      <c r="DQ514" s="124"/>
      <c r="DR514" s="124"/>
      <c r="DS514" s="124"/>
      <c r="DT514" s="124"/>
      <c r="DU514" s="124"/>
      <c r="DV514" s="124"/>
      <c r="DW514" s="124"/>
      <c r="DX514" s="124"/>
      <c r="DY514" s="124"/>
      <c r="DZ514" s="124"/>
      <c r="EA514" s="124"/>
      <c r="EB514" s="124"/>
      <c r="EC514" s="124"/>
      <c r="ED514" s="124"/>
      <c r="EE514" s="124"/>
      <c r="EF514" s="124"/>
      <c r="EG514" s="124"/>
      <c r="EH514" s="124"/>
      <c r="EI514" s="124"/>
      <c r="EJ514" s="124"/>
      <c r="EK514" s="124"/>
      <c r="EL514" s="124"/>
      <c r="EM514" s="124"/>
      <c r="EN514" s="124"/>
      <c r="EO514" s="124"/>
      <c r="EP514" s="124"/>
      <c r="EQ514" s="124"/>
      <c r="ER514" s="124"/>
      <c r="ES514" s="124"/>
      <c r="ET514" s="124"/>
      <c r="EU514" s="124"/>
      <c r="EV514" s="124"/>
      <c r="EW514" s="124"/>
      <c r="EX514" s="124"/>
      <c r="EY514" s="124"/>
      <c r="EZ514" s="124"/>
      <c r="FA514" s="124"/>
      <c r="FB514" s="124"/>
      <c r="FC514" s="124"/>
      <c r="FD514" s="124"/>
      <c r="FE514" s="124"/>
      <c r="FF514" s="124"/>
      <c r="FG514" s="124"/>
      <c r="FH514" s="124"/>
      <c r="FI514" s="124"/>
      <c r="FJ514" s="124"/>
      <c r="FK514" s="124"/>
      <c r="FL514" s="124"/>
      <c r="FM514" s="124"/>
      <c r="FN514" s="124"/>
      <c r="FO514" s="124"/>
      <c r="FP514" s="124"/>
      <c r="FQ514" s="124"/>
      <c r="FR514" s="124"/>
      <c r="FS514" s="124"/>
      <c r="FT514" s="124"/>
      <c r="FU514" s="124"/>
      <c r="FV514" s="124"/>
      <c r="FW514" s="124"/>
      <c r="FX514" s="124"/>
      <c r="FY514" s="124"/>
      <c r="FZ514" s="124"/>
      <c r="GA514" s="124"/>
      <c r="GB514" s="124"/>
      <c r="GC514" s="124"/>
      <c r="GD514" s="124"/>
      <c r="GE514" s="124"/>
      <c r="GF514" s="124"/>
      <c r="GG514" s="124"/>
      <c r="GH514" s="124"/>
      <c r="GI514" s="124"/>
      <c r="GJ514" s="124"/>
      <c r="GK514" s="124"/>
      <c r="GL514" s="124"/>
      <c r="GM514" s="124"/>
      <c r="GN514" s="124"/>
      <c r="GO514" s="124"/>
      <c r="GP514" s="124"/>
      <c r="GQ514" s="124"/>
      <c r="GR514" s="124"/>
      <c r="GS514" s="124"/>
      <c r="GT514" s="124"/>
      <c r="GU514" s="124"/>
      <c r="GV514" s="124"/>
      <c r="GW514" s="124"/>
      <c r="GX514" s="124"/>
      <c r="GY514" s="124"/>
      <c r="GZ514" s="124"/>
      <c r="HA514" s="124"/>
      <c r="HB514" s="124"/>
      <c r="HC514" s="124"/>
      <c r="HD514" s="124"/>
      <c r="HE514" s="124"/>
      <c r="HF514" s="124"/>
      <c r="HG514" s="124"/>
      <c r="HH514" s="124"/>
      <c r="HI514" s="124"/>
      <c r="HJ514" s="124"/>
      <c r="HK514" s="124"/>
      <c r="HL514" s="124"/>
      <c r="HM514" s="124"/>
      <c r="HN514" s="124"/>
      <c r="HO514" s="124"/>
      <c r="HP514" s="124"/>
      <c r="HQ514" s="124"/>
    </row>
    <row r="515" spans="1:225" x14ac:dyDescent="0.2">
      <c r="A515" s="122"/>
      <c r="B515" s="123"/>
      <c r="C515" s="124"/>
      <c r="D515" s="123"/>
      <c r="E515" s="124"/>
      <c r="F515" s="123"/>
      <c r="G515" s="123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4"/>
      <c r="AZ515" s="124"/>
      <c r="BA515" s="124"/>
      <c r="BB515" s="124"/>
      <c r="BC515" s="124"/>
      <c r="BD515" s="124"/>
      <c r="BE515" s="124"/>
      <c r="BF515" s="124"/>
      <c r="BG515" s="124"/>
      <c r="BH515" s="124"/>
      <c r="BI515" s="124"/>
      <c r="BJ515" s="124"/>
      <c r="BK515" s="124"/>
      <c r="BL515" s="124"/>
      <c r="BM515" s="124"/>
      <c r="BN515" s="124"/>
      <c r="BO515" s="124"/>
      <c r="BP515" s="124"/>
      <c r="BQ515" s="124"/>
      <c r="BR515" s="124"/>
      <c r="BS515" s="124"/>
      <c r="BT515" s="124"/>
      <c r="BU515" s="124"/>
      <c r="BV515" s="124"/>
      <c r="BW515" s="124"/>
      <c r="BX515" s="124"/>
      <c r="BY515" s="124"/>
      <c r="BZ515" s="124"/>
      <c r="CA515" s="124"/>
      <c r="CB515" s="124"/>
      <c r="CC515" s="124"/>
      <c r="CD515" s="124"/>
      <c r="CE515" s="124"/>
      <c r="CF515" s="124"/>
      <c r="CG515" s="124"/>
      <c r="CH515" s="124"/>
      <c r="CI515" s="124"/>
      <c r="CJ515" s="124"/>
      <c r="CK515" s="124"/>
      <c r="CL515" s="124"/>
      <c r="CM515" s="124"/>
      <c r="CN515" s="124"/>
      <c r="CO515" s="124"/>
      <c r="CP515" s="124"/>
      <c r="CQ515" s="124"/>
      <c r="CR515" s="124"/>
      <c r="CS515" s="124"/>
      <c r="CT515" s="124"/>
      <c r="CU515" s="124"/>
      <c r="CV515" s="124"/>
      <c r="CW515" s="124"/>
      <c r="CX515" s="124"/>
      <c r="CY515" s="124"/>
      <c r="CZ515" s="124"/>
      <c r="DA515" s="124"/>
      <c r="DB515" s="124"/>
      <c r="DC515" s="124"/>
      <c r="DD515" s="124"/>
      <c r="DE515" s="124"/>
      <c r="DF515" s="124"/>
      <c r="DG515" s="124"/>
      <c r="DH515" s="124"/>
      <c r="DI515" s="124"/>
      <c r="DJ515" s="124"/>
      <c r="DK515" s="124"/>
      <c r="DL515" s="124"/>
      <c r="DM515" s="124"/>
      <c r="DN515" s="124"/>
      <c r="DO515" s="124"/>
      <c r="DP515" s="124"/>
      <c r="DQ515" s="124"/>
      <c r="DR515" s="124"/>
      <c r="DS515" s="124"/>
      <c r="DT515" s="124"/>
      <c r="DU515" s="124"/>
      <c r="DV515" s="124"/>
      <c r="DW515" s="124"/>
      <c r="DX515" s="124"/>
      <c r="DY515" s="124"/>
      <c r="DZ515" s="124"/>
      <c r="EA515" s="124"/>
      <c r="EB515" s="124"/>
      <c r="EC515" s="124"/>
      <c r="ED515" s="124"/>
      <c r="EE515" s="124"/>
      <c r="EF515" s="124"/>
      <c r="EG515" s="124"/>
      <c r="EH515" s="124"/>
      <c r="EI515" s="124"/>
      <c r="EJ515" s="124"/>
      <c r="EK515" s="124"/>
      <c r="EL515" s="124"/>
      <c r="EM515" s="124"/>
      <c r="EN515" s="124"/>
      <c r="EO515" s="124"/>
      <c r="EP515" s="124"/>
      <c r="EQ515" s="124"/>
      <c r="ER515" s="124"/>
      <c r="ES515" s="124"/>
      <c r="ET515" s="124"/>
      <c r="EU515" s="124"/>
      <c r="EV515" s="124"/>
      <c r="EW515" s="124"/>
      <c r="EX515" s="124"/>
      <c r="EY515" s="124"/>
      <c r="EZ515" s="124"/>
      <c r="FA515" s="124"/>
      <c r="FB515" s="124"/>
      <c r="FC515" s="124"/>
      <c r="FD515" s="124"/>
      <c r="FE515" s="124"/>
      <c r="FF515" s="124"/>
      <c r="FG515" s="124"/>
      <c r="FH515" s="124"/>
      <c r="FI515" s="124"/>
      <c r="FJ515" s="124"/>
      <c r="FK515" s="124"/>
      <c r="FL515" s="124"/>
      <c r="FM515" s="124"/>
      <c r="FN515" s="124"/>
      <c r="FO515" s="124"/>
      <c r="FP515" s="124"/>
      <c r="FQ515" s="124"/>
      <c r="FR515" s="124"/>
      <c r="FS515" s="124"/>
      <c r="FT515" s="124"/>
      <c r="FU515" s="124"/>
      <c r="FV515" s="124"/>
      <c r="FW515" s="124"/>
      <c r="FX515" s="124"/>
      <c r="FY515" s="124"/>
      <c r="FZ515" s="124"/>
      <c r="GA515" s="124"/>
      <c r="GB515" s="124"/>
      <c r="GC515" s="124"/>
      <c r="GD515" s="124"/>
      <c r="GE515" s="124"/>
      <c r="GF515" s="124"/>
      <c r="GG515" s="124"/>
      <c r="GH515" s="124"/>
      <c r="GI515" s="124"/>
      <c r="GJ515" s="124"/>
      <c r="GK515" s="124"/>
      <c r="GL515" s="124"/>
      <c r="GM515" s="124"/>
      <c r="GN515" s="124"/>
      <c r="GO515" s="124"/>
      <c r="GP515" s="124"/>
      <c r="GQ515" s="124"/>
      <c r="GR515" s="124"/>
      <c r="GS515" s="124"/>
      <c r="GT515" s="124"/>
      <c r="GU515" s="124"/>
      <c r="GV515" s="124"/>
      <c r="GW515" s="124"/>
      <c r="GX515" s="124"/>
      <c r="GY515" s="124"/>
      <c r="GZ515" s="124"/>
      <c r="HA515" s="124"/>
      <c r="HB515" s="124"/>
      <c r="HC515" s="124"/>
      <c r="HD515" s="124"/>
      <c r="HE515" s="124"/>
      <c r="HF515" s="124"/>
      <c r="HG515" s="124"/>
      <c r="HH515" s="124"/>
      <c r="HI515" s="124"/>
      <c r="HJ515" s="124"/>
      <c r="HK515" s="124"/>
      <c r="HL515" s="124"/>
      <c r="HM515" s="124"/>
      <c r="HN515" s="124"/>
      <c r="HO515" s="124"/>
      <c r="HP515" s="124"/>
      <c r="HQ515" s="124"/>
    </row>
    <row r="516" spans="1:225" x14ac:dyDescent="0.2">
      <c r="A516" s="122"/>
      <c r="B516" s="123"/>
      <c r="C516" s="124"/>
      <c r="D516" s="123"/>
      <c r="E516" s="124"/>
      <c r="F516" s="123"/>
      <c r="G516" s="123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4"/>
      <c r="AZ516" s="124"/>
      <c r="BA516" s="124"/>
      <c r="BB516" s="124"/>
      <c r="BC516" s="124"/>
      <c r="BD516" s="124"/>
      <c r="BE516" s="124"/>
      <c r="BF516" s="124"/>
      <c r="BG516" s="124"/>
      <c r="BH516" s="124"/>
      <c r="BI516" s="124"/>
      <c r="BJ516" s="124"/>
      <c r="BK516" s="124"/>
      <c r="BL516" s="124"/>
      <c r="BM516" s="124"/>
      <c r="BN516" s="124"/>
      <c r="BO516" s="124"/>
      <c r="BP516" s="124"/>
      <c r="BQ516" s="124"/>
      <c r="BR516" s="124"/>
      <c r="BS516" s="124"/>
      <c r="BT516" s="124"/>
      <c r="BU516" s="124"/>
      <c r="BV516" s="124"/>
      <c r="BW516" s="124"/>
      <c r="BX516" s="124"/>
      <c r="BY516" s="124"/>
      <c r="BZ516" s="124"/>
      <c r="CA516" s="124"/>
      <c r="CB516" s="124"/>
      <c r="CC516" s="124"/>
      <c r="CD516" s="124"/>
      <c r="CE516" s="124"/>
      <c r="CF516" s="124"/>
      <c r="CG516" s="124"/>
      <c r="CH516" s="124"/>
      <c r="CI516" s="124"/>
      <c r="CJ516" s="124"/>
      <c r="CK516" s="124"/>
      <c r="CL516" s="124"/>
      <c r="CM516" s="124"/>
      <c r="CN516" s="124"/>
      <c r="CO516" s="124"/>
      <c r="CP516" s="124"/>
      <c r="CQ516" s="124"/>
      <c r="CR516" s="124"/>
      <c r="CS516" s="124"/>
      <c r="CT516" s="124"/>
      <c r="CU516" s="124"/>
      <c r="CV516" s="124"/>
      <c r="CW516" s="124"/>
      <c r="CX516" s="124"/>
      <c r="CY516" s="124"/>
      <c r="CZ516" s="124"/>
      <c r="DA516" s="124"/>
      <c r="DB516" s="124"/>
      <c r="DC516" s="124"/>
      <c r="DD516" s="124"/>
      <c r="DE516" s="124"/>
      <c r="DF516" s="124"/>
      <c r="DG516" s="124"/>
      <c r="DH516" s="124"/>
      <c r="DI516" s="124"/>
      <c r="DJ516" s="124"/>
      <c r="DK516" s="124"/>
      <c r="DL516" s="124"/>
      <c r="DM516" s="124"/>
      <c r="DN516" s="124"/>
      <c r="DO516" s="124"/>
      <c r="DP516" s="124"/>
      <c r="DQ516" s="124"/>
      <c r="DR516" s="124"/>
      <c r="DS516" s="124"/>
      <c r="DT516" s="124"/>
      <c r="DU516" s="124"/>
      <c r="DV516" s="124"/>
      <c r="DW516" s="124"/>
      <c r="DX516" s="124"/>
      <c r="DY516" s="124"/>
      <c r="DZ516" s="124"/>
      <c r="EA516" s="124"/>
      <c r="EB516" s="124"/>
      <c r="EC516" s="124"/>
      <c r="ED516" s="124"/>
      <c r="EE516" s="124"/>
      <c r="EF516" s="124"/>
      <c r="EG516" s="124"/>
      <c r="EH516" s="124"/>
      <c r="EI516" s="124"/>
      <c r="EJ516" s="124"/>
      <c r="EK516" s="124"/>
      <c r="EL516" s="124"/>
      <c r="EM516" s="124"/>
      <c r="EN516" s="124"/>
      <c r="EO516" s="124"/>
      <c r="EP516" s="124"/>
      <c r="EQ516" s="124"/>
      <c r="ER516" s="124"/>
      <c r="ES516" s="124"/>
      <c r="ET516" s="124"/>
      <c r="EU516" s="124"/>
      <c r="EV516" s="124"/>
      <c r="EW516" s="124"/>
      <c r="EX516" s="124"/>
      <c r="EY516" s="124"/>
      <c r="EZ516" s="124"/>
      <c r="FA516" s="124"/>
      <c r="FB516" s="124"/>
      <c r="FC516" s="124"/>
      <c r="FD516" s="124"/>
      <c r="FE516" s="124"/>
      <c r="FF516" s="124"/>
      <c r="FG516" s="124"/>
      <c r="FH516" s="124"/>
      <c r="FI516" s="124"/>
      <c r="FJ516" s="124"/>
      <c r="FK516" s="124"/>
      <c r="FL516" s="124"/>
      <c r="FM516" s="124"/>
      <c r="FN516" s="124"/>
      <c r="FO516" s="124"/>
      <c r="FP516" s="124"/>
      <c r="FQ516" s="124"/>
      <c r="FR516" s="124"/>
      <c r="FS516" s="124"/>
      <c r="FT516" s="124"/>
      <c r="FU516" s="124"/>
      <c r="FV516" s="124"/>
      <c r="FW516" s="124"/>
      <c r="FX516" s="124"/>
      <c r="FY516" s="124"/>
      <c r="FZ516" s="124"/>
      <c r="GA516" s="124"/>
      <c r="GB516" s="124"/>
      <c r="GC516" s="124"/>
      <c r="GD516" s="124"/>
      <c r="GE516" s="124"/>
      <c r="GF516" s="124"/>
      <c r="GG516" s="124"/>
      <c r="GH516" s="124"/>
      <c r="GI516" s="124"/>
      <c r="GJ516" s="124"/>
      <c r="GK516" s="124"/>
      <c r="GL516" s="124"/>
      <c r="GM516" s="124"/>
      <c r="GN516" s="124"/>
      <c r="GO516" s="124"/>
      <c r="GP516" s="124"/>
      <c r="GQ516" s="124"/>
      <c r="GR516" s="124"/>
      <c r="GS516" s="124"/>
      <c r="GT516" s="124"/>
      <c r="GU516" s="124"/>
      <c r="GV516" s="124"/>
      <c r="GW516" s="124"/>
      <c r="GX516" s="124"/>
      <c r="GY516" s="124"/>
      <c r="GZ516" s="124"/>
      <c r="HA516" s="124"/>
      <c r="HB516" s="124"/>
      <c r="HC516" s="124"/>
      <c r="HD516" s="124"/>
      <c r="HE516" s="124"/>
      <c r="HF516" s="124"/>
      <c r="HG516" s="124"/>
      <c r="HH516" s="124"/>
      <c r="HI516" s="124"/>
      <c r="HJ516" s="124"/>
      <c r="HK516" s="124"/>
      <c r="HL516" s="124"/>
      <c r="HM516" s="124"/>
      <c r="HN516" s="124"/>
      <c r="HO516" s="124"/>
      <c r="HP516" s="124"/>
      <c r="HQ516" s="124"/>
    </row>
    <row r="517" spans="1:225" x14ac:dyDescent="0.2">
      <c r="A517" s="122"/>
      <c r="B517" s="123"/>
      <c r="C517" s="124"/>
      <c r="D517" s="123"/>
      <c r="E517" s="124"/>
      <c r="F517" s="123"/>
      <c r="G517" s="123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/>
      <c r="BB517" s="124"/>
      <c r="BC517" s="124"/>
      <c r="BD517" s="124"/>
      <c r="BE517" s="124"/>
      <c r="BF517" s="124"/>
      <c r="BG517" s="124"/>
      <c r="BH517" s="124"/>
      <c r="BI517" s="124"/>
      <c r="BJ517" s="124"/>
      <c r="BK517" s="124"/>
      <c r="BL517" s="124"/>
      <c r="BM517" s="124"/>
      <c r="BN517" s="124"/>
      <c r="BO517" s="124"/>
      <c r="BP517" s="124"/>
      <c r="BQ517" s="124"/>
      <c r="BR517" s="124"/>
      <c r="BS517" s="124"/>
      <c r="BT517" s="124"/>
      <c r="BU517" s="124"/>
      <c r="BV517" s="124"/>
      <c r="BW517" s="124"/>
      <c r="BX517" s="124"/>
      <c r="BY517" s="124"/>
      <c r="BZ517" s="124"/>
      <c r="CA517" s="124"/>
      <c r="CB517" s="124"/>
      <c r="CC517" s="124"/>
      <c r="CD517" s="124"/>
      <c r="CE517" s="124"/>
      <c r="CF517" s="124"/>
      <c r="CG517" s="124"/>
      <c r="CH517" s="124"/>
      <c r="CI517" s="124"/>
      <c r="CJ517" s="124"/>
      <c r="CK517" s="124"/>
      <c r="CL517" s="124"/>
      <c r="CM517" s="124"/>
      <c r="CN517" s="124"/>
      <c r="CO517" s="124"/>
      <c r="CP517" s="124"/>
      <c r="CQ517" s="124"/>
      <c r="CR517" s="124"/>
      <c r="CS517" s="124"/>
      <c r="CT517" s="124"/>
      <c r="CU517" s="124"/>
      <c r="CV517" s="124"/>
      <c r="CW517" s="124"/>
      <c r="CX517" s="124"/>
      <c r="CY517" s="124"/>
      <c r="CZ517" s="124"/>
      <c r="DA517" s="124"/>
      <c r="DB517" s="124"/>
      <c r="DC517" s="124"/>
      <c r="DD517" s="124"/>
      <c r="DE517" s="124"/>
      <c r="DF517" s="124"/>
      <c r="DG517" s="124"/>
      <c r="DH517" s="124"/>
      <c r="DI517" s="124"/>
      <c r="DJ517" s="124"/>
      <c r="DK517" s="124"/>
      <c r="DL517" s="124"/>
      <c r="DM517" s="124"/>
      <c r="DN517" s="124"/>
      <c r="DO517" s="124"/>
      <c r="DP517" s="124"/>
      <c r="DQ517" s="124"/>
      <c r="DR517" s="124"/>
      <c r="DS517" s="124"/>
      <c r="DT517" s="124"/>
      <c r="DU517" s="124"/>
      <c r="DV517" s="124"/>
      <c r="DW517" s="124"/>
      <c r="DX517" s="124"/>
      <c r="DY517" s="124"/>
      <c r="DZ517" s="124"/>
      <c r="EA517" s="124"/>
      <c r="EB517" s="124"/>
      <c r="EC517" s="124"/>
      <c r="ED517" s="124"/>
      <c r="EE517" s="124"/>
      <c r="EF517" s="124"/>
      <c r="EG517" s="124"/>
      <c r="EH517" s="124"/>
      <c r="EI517" s="124"/>
      <c r="EJ517" s="124"/>
      <c r="EK517" s="124"/>
      <c r="EL517" s="124"/>
      <c r="EM517" s="124"/>
      <c r="EN517" s="124"/>
      <c r="EO517" s="124"/>
      <c r="EP517" s="124"/>
      <c r="EQ517" s="124"/>
      <c r="ER517" s="124"/>
      <c r="ES517" s="124"/>
      <c r="ET517" s="124"/>
      <c r="EU517" s="124"/>
      <c r="EV517" s="124"/>
      <c r="EW517" s="124"/>
      <c r="EX517" s="124"/>
      <c r="EY517" s="124"/>
      <c r="EZ517" s="124"/>
      <c r="FA517" s="124"/>
      <c r="FB517" s="124"/>
      <c r="FC517" s="124"/>
      <c r="FD517" s="124"/>
      <c r="FE517" s="124"/>
      <c r="FF517" s="124"/>
      <c r="FG517" s="124"/>
      <c r="FH517" s="124"/>
      <c r="FI517" s="124"/>
      <c r="FJ517" s="124"/>
      <c r="FK517" s="124"/>
      <c r="FL517" s="124"/>
      <c r="FM517" s="124"/>
      <c r="FN517" s="124"/>
      <c r="FO517" s="124"/>
      <c r="FP517" s="124"/>
      <c r="FQ517" s="124"/>
      <c r="FR517" s="124"/>
      <c r="FS517" s="124"/>
      <c r="FT517" s="124"/>
      <c r="FU517" s="124"/>
      <c r="FV517" s="124"/>
      <c r="FW517" s="124"/>
      <c r="FX517" s="124"/>
      <c r="FY517" s="124"/>
      <c r="FZ517" s="124"/>
      <c r="GA517" s="124"/>
      <c r="GB517" s="124"/>
      <c r="GC517" s="124"/>
      <c r="GD517" s="124"/>
      <c r="GE517" s="124"/>
      <c r="GF517" s="124"/>
      <c r="GG517" s="124"/>
      <c r="GH517" s="124"/>
      <c r="GI517" s="124"/>
      <c r="GJ517" s="124"/>
      <c r="GK517" s="124"/>
      <c r="GL517" s="124"/>
      <c r="GM517" s="124"/>
      <c r="GN517" s="124"/>
      <c r="GO517" s="124"/>
      <c r="GP517" s="124"/>
      <c r="GQ517" s="124"/>
      <c r="GR517" s="124"/>
      <c r="GS517" s="124"/>
      <c r="GT517" s="124"/>
      <c r="GU517" s="124"/>
      <c r="GV517" s="124"/>
      <c r="GW517" s="124"/>
      <c r="GX517" s="124"/>
      <c r="GY517" s="124"/>
      <c r="GZ517" s="124"/>
      <c r="HA517" s="124"/>
      <c r="HB517" s="124"/>
      <c r="HC517" s="124"/>
      <c r="HD517" s="124"/>
      <c r="HE517" s="124"/>
      <c r="HF517" s="124"/>
      <c r="HG517" s="124"/>
      <c r="HH517" s="124"/>
      <c r="HI517" s="124"/>
      <c r="HJ517" s="124"/>
      <c r="HK517" s="124"/>
      <c r="HL517" s="124"/>
      <c r="HM517" s="124"/>
      <c r="HN517" s="124"/>
      <c r="HO517" s="124"/>
      <c r="HP517" s="124"/>
      <c r="HQ517" s="124"/>
    </row>
    <row r="518" spans="1:225" x14ac:dyDescent="0.2">
      <c r="A518" s="122"/>
      <c r="B518" s="123"/>
      <c r="C518" s="124"/>
      <c r="D518" s="123"/>
      <c r="E518" s="124"/>
      <c r="F518" s="123"/>
      <c r="G518" s="123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4"/>
      <c r="AZ518" s="124"/>
      <c r="BA518" s="124"/>
      <c r="BB518" s="124"/>
      <c r="BC518" s="124"/>
      <c r="BD518" s="124"/>
      <c r="BE518" s="124"/>
      <c r="BF518" s="124"/>
      <c r="BG518" s="124"/>
      <c r="BH518" s="124"/>
      <c r="BI518" s="124"/>
      <c r="BJ518" s="124"/>
      <c r="BK518" s="124"/>
      <c r="BL518" s="124"/>
      <c r="BM518" s="124"/>
      <c r="BN518" s="124"/>
      <c r="BO518" s="124"/>
      <c r="BP518" s="124"/>
      <c r="BQ518" s="124"/>
      <c r="BR518" s="124"/>
      <c r="BS518" s="124"/>
      <c r="BT518" s="124"/>
      <c r="BU518" s="124"/>
      <c r="BV518" s="124"/>
      <c r="BW518" s="124"/>
      <c r="BX518" s="124"/>
      <c r="BY518" s="124"/>
      <c r="BZ518" s="124"/>
      <c r="CA518" s="124"/>
      <c r="CB518" s="124"/>
      <c r="CC518" s="124"/>
      <c r="CD518" s="124"/>
      <c r="CE518" s="124"/>
      <c r="CF518" s="124"/>
      <c r="CG518" s="124"/>
      <c r="CH518" s="124"/>
      <c r="CI518" s="124"/>
      <c r="CJ518" s="124"/>
      <c r="CK518" s="124"/>
      <c r="CL518" s="124"/>
      <c r="CM518" s="124"/>
      <c r="CN518" s="124"/>
      <c r="CO518" s="124"/>
      <c r="CP518" s="124"/>
      <c r="CQ518" s="124"/>
      <c r="CR518" s="124"/>
      <c r="CS518" s="124"/>
      <c r="CT518" s="124"/>
      <c r="CU518" s="124"/>
      <c r="CV518" s="124"/>
      <c r="CW518" s="124"/>
      <c r="CX518" s="124"/>
      <c r="CY518" s="124"/>
      <c r="CZ518" s="124"/>
      <c r="DA518" s="124"/>
      <c r="DB518" s="124"/>
      <c r="DC518" s="124"/>
      <c r="DD518" s="124"/>
      <c r="DE518" s="124"/>
      <c r="DF518" s="124"/>
      <c r="DG518" s="124"/>
      <c r="DH518" s="124"/>
      <c r="DI518" s="124"/>
      <c r="DJ518" s="124"/>
      <c r="DK518" s="124"/>
      <c r="DL518" s="124"/>
      <c r="DM518" s="124"/>
      <c r="DN518" s="124"/>
      <c r="DO518" s="124"/>
      <c r="DP518" s="124"/>
      <c r="DQ518" s="124"/>
      <c r="DR518" s="124"/>
      <c r="DS518" s="124"/>
      <c r="DT518" s="124"/>
      <c r="DU518" s="124"/>
      <c r="DV518" s="124"/>
      <c r="DW518" s="124"/>
      <c r="DX518" s="124"/>
      <c r="DY518" s="124"/>
      <c r="DZ518" s="124"/>
      <c r="EA518" s="124"/>
      <c r="EB518" s="124"/>
      <c r="EC518" s="124"/>
      <c r="ED518" s="124"/>
      <c r="EE518" s="124"/>
      <c r="EF518" s="124"/>
      <c r="EG518" s="124"/>
      <c r="EH518" s="124"/>
      <c r="EI518" s="124"/>
      <c r="EJ518" s="124"/>
      <c r="EK518" s="124"/>
      <c r="EL518" s="124"/>
      <c r="EM518" s="124"/>
      <c r="EN518" s="124"/>
      <c r="EO518" s="124"/>
      <c r="EP518" s="124"/>
      <c r="EQ518" s="124"/>
      <c r="ER518" s="124"/>
      <c r="ES518" s="124"/>
      <c r="ET518" s="124"/>
      <c r="EU518" s="124"/>
      <c r="EV518" s="124"/>
      <c r="EW518" s="124"/>
      <c r="EX518" s="124"/>
      <c r="EY518" s="124"/>
      <c r="EZ518" s="124"/>
      <c r="FA518" s="124"/>
      <c r="FB518" s="124"/>
      <c r="FC518" s="124"/>
      <c r="FD518" s="124"/>
      <c r="FE518" s="124"/>
      <c r="FF518" s="124"/>
      <c r="FG518" s="124"/>
      <c r="FH518" s="124"/>
      <c r="FI518" s="124"/>
      <c r="FJ518" s="124"/>
      <c r="FK518" s="124"/>
      <c r="FL518" s="124"/>
      <c r="FM518" s="124"/>
      <c r="FN518" s="124"/>
      <c r="FO518" s="124"/>
      <c r="FP518" s="124"/>
      <c r="FQ518" s="124"/>
      <c r="FR518" s="124"/>
      <c r="FS518" s="124"/>
      <c r="FT518" s="124"/>
      <c r="FU518" s="124"/>
      <c r="FV518" s="124"/>
      <c r="FW518" s="124"/>
      <c r="FX518" s="124"/>
      <c r="FY518" s="124"/>
      <c r="FZ518" s="124"/>
      <c r="GA518" s="124"/>
      <c r="GB518" s="124"/>
      <c r="GC518" s="124"/>
      <c r="GD518" s="124"/>
      <c r="GE518" s="124"/>
      <c r="GF518" s="124"/>
      <c r="GG518" s="124"/>
      <c r="GH518" s="124"/>
      <c r="GI518" s="124"/>
      <c r="GJ518" s="124"/>
      <c r="GK518" s="124"/>
      <c r="GL518" s="124"/>
      <c r="GM518" s="124"/>
      <c r="GN518" s="124"/>
      <c r="GO518" s="124"/>
      <c r="GP518" s="124"/>
      <c r="GQ518" s="124"/>
      <c r="GR518" s="124"/>
      <c r="GS518" s="124"/>
      <c r="GT518" s="124"/>
      <c r="GU518" s="124"/>
      <c r="GV518" s="124"/>
      <c r="GW518" s="124"/>
      <c r="GX518" s="124"/>
      <c r="GY518" s="124"/>
      <c r="GZ518" s="124"/>
      <c r="HA518" s="124"/>
      <c r="HB518" s="124"/>
      <c r="HC518" s="124"/>
      <c r="HD518" s="124"/>
      <c r="HE518" s="124"/>
      <c r="HF518" s="124"/>
      <c r="HG518" s="124"/>
      <c r="HH518" s="124"/>
      <c r="HI518" s="124"/>
      <c r="HJ518" s="124"/>
      <c r="HK518" s="124"/>
      <c r="HL518" s="124"/>
      <c r="HM518" s="124"/>
      <c r="HN518" s="124"/>
      <c r="HO518" s="124"/>
      <c r="HP518" s="124"/>
      <c r="HQ518" s="124"/>
    </row>
    <row r="519" spans="1:225" x14ac:dyDescent="0.2">
      <c r="A519" s="122"/>
      <c r="B519" s="123"/>
      <c r="C519" s="124"/>
      <c r="D519" s="123"/>
      <c r="E519" s="124"/>
      <c r="F519" s="123"/>
      <c r="G519" s="123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4"/>
      <c r="AZ519" s="124"/>
      <c r="BA519" s="124"/>
      <c r="BB519" s="124"/>
      <c r="BC519" s="124"/>
      <c r="BD519" s="124"/>
      <c r="BE519" s="124"/>
      <c r="BF519" s="124"/>
      <c r="BG519" s="124"/>
      <c r="BH519" s="124"/>
      <c r="BI519" s="124"/>
      <c r="BJ519" s="124"/>
      <c r="BK519" s="124"/>
      <c r="BL519" s="124"/>
      <c r="BM519" s="124"/>
      <c r="BN519" s="124"/>
      <c r="BO519" s="124"/>
      <c r="BP519" s="124"/>
      <c r="BQ519" s="124"/>
      <c r="BR519" s="124"/>
      <c r="BS519" s="124"/>
      <c r="BT519" s="124"/>
      <c r="BU519" s="124"/>
      <c r="BV519" s="124"/>
      <c r="BW519" s="124"/>
      <c r="BX519" s="124"/>
      <c r="BY519" s="124"/>
      <c r="BZ519" s="124"/>
      <c r="CA519" s="124"/>
      <c r="CB519" s="124"/>
      <c r="CC519" s="124"/>
      <c r="CD519" s="124"/>
      <c r="CE519" s="124"/>
      <c r="CF519" s="124"/>
      <c r="CG519" s="124"/>
      <c r="CH519" s="124"/>
      <c r="CI519" s="124"/>
      <c r="CJ519" s="124"/>
      <c r="CK519" s="124"/>
      <c r="CL519" s="124"/>
      <c r="CM519" s="124"/>
      <c r="CN519" s="124"/>
      <c r="CO519" s="124"/>
      <c r="CP519" s="124"/>
      <c r="CQ519" s="124"/>
      <c r="CR519" s="124"/>
      <c r="CS519" s="124"/>
      <c r="CT519" s="124"/>
      <c r="CU519" s="124"/>
      <c r="CV519" s="124"/>
      <c r="CW519" s="124"/>
      <c r="CX519" s="124"/>
      <c r="CY519" s="124"/>
      <c r="CZ519" s="124"/>
      <c r="DA519" s="124"/>
      <c r="DB519" s="124"/>
      <c r="DC519" s="124"/>
      <c r="DD519" s="124"/>
      <c r="DE519" s="124"/>
      <c r="DF519" s="124"/>
      <c r="DG519" s="124"/>
      <c r="DH519" s="124"/>
      <c r="DI519" s="124"/>
      <c r="DJ519" s="124"/>
      <c r="DK519" s="124"/>
      <c r="DL519" s="124"/>
      <c r="DM519" s="124"/>
      <c r="DN519" s="124"/>
      <c r="DO519" s="124"/>
      <c r="DP519" s="124"/>
      <c r="DQ519" s="124"/>
      <c r="DR519" s="124"/>
      <c r="DS519" s="124"/>
      <c r="DT519" s="124"/>
      <c r="DU519" s="124"/>
      <c r="DV519" s="124"/>
      <c r="DW519" s="124"/>
      <c r="DX519" s="124"/>
      <c r="DY519" s="124"/>
      <c r="DZ519" s="124"/>
      <c r="EA519" s="124"/>
      <c r="EB519" s="124"/>
      <c r="EC519" s="124"/>
      <c r="ED519" s="124"/>
      <c r="EE519" s="124"/>
      <c r="EF519" s="124"/>
      <c r="EG519" s="124"/>
      <c r="EH519" s="124"/>
      <c r="EI519" s="124"/>
      <c r="EJ519" s="124"/>
      <c r="EK519" s="124"/>
      <c r="EL519" s="124"/>
      <c r="EM519" s="124"/>
      <c r="EN519" s="124"/>
      <c r="EO519" s="124"/>
      <c r="EP519" s="124"/>
      <c r="EQ519" s="124"/>
      <c r="ER519" s="124"/>
      <c r="ES519" s="124"/>
      <c r="ET519" s="124"/>
      <c r="EU519" s="124"/>
      <c r="EV519" s="124"/>
      <c r="EW519" s="124"/>
      <c r="EX519" s="124"/>
      <c r="EY519" s="124"/>
      <c r="EZ519" s="124"/>
      <c r="FA519" s="124"/>
      <c r="FB519" s="124"/>
      <c r="FC519" s="124"/>
      <c r="FD519" s="124"/>
      <c r="FE519" s="124"/>
      <c r="FF519" s="124"/>
      <c r="FG519" s="124"/>
      <c r="FH519" s="124"/>
      <c r="FI519" s="124"/>
      <c r="FJ519" s="124"/>
      <c r="FK519" s="124"/>
      <c r="FL519" s="124"/>
      <c r="FM519" s="124"/>
      <c r="FN519" s="124"/>
      <c r="FO519" s="124"/>
      <c r="FP519" s="124"/>
      <c r="FQ519" s="124"/>
      <c r="FR519" s="124"/>
      <c r="FS519" s="124"/>
      <c r="FT519" s="124"/>
      <c r="FU519" s="124"/>
      <c r="FV519" s="124"/>
      <c r="FW519" s="124"/>
      <c r="FX519" s="124"/>
      <c r="FY519" s="124"/>
      <c r="FZ519" s="124"/>
      <c r="GA519" s="124"/>
      <c r="GB519" s="124"/>
      <c r="GC519" s="124"/>
      <c r="GD519" s="124"/>
      <c r="GE519" s="124"/>
      <c r="GF519" s="124"/>
      <c r="GG519" s="124"/>
      <c r="GH519" s="124"/>
      <c r="GI519" s="124"/>
      <c r="GJ519" s="124"/>
      <c r="GK519" s="124"/>
      <c r="GL519" s="124"/>
      <c r="GM519" s="124"/>
      <c r="GN519" s="124"/>
      <c r="GO519" s="124"/>
      <c r="GP519" s="124"/>
      <c r="GQ519" s="124"/>
      <c r="GR519" s="124"/>
      <c r="GS519" s="124"/>
      <c r="GT519" s="124"/>
      <c r="GU519" s="124"/>
      <c r="GV519" s="124"/>
      <c r="GW519" s="124"/>
      <c r="GX519" s="124"/>
      <c r="GY519" s="124"/>
      <c r="GZ519" s="124"/>
      <c r="HA519" s="124"/>
      <c r="HB519" s="124"/>
      <c r="HC519" s="124"/>
      <c r="HD519" s="124"/>
      <c r="HE519" s="124"/>
      <c r="HF519" s="124"/>
      <c r="HG519" s="124"/>
      <c r="HH519" s="124"/>
      <c r="HI519" s="124"/>
      <c r="HJ519" s="124"/>
      <c r="HK519" s="124"/>
      <c r="HL519" s="124"/>
      <c r="HM519" s="124"/>
      <c r="HN519" s="124"/>
      <c r="HO519" s="124"/>
      <c r="HP519" s="124"/>
      <c r="HQ519" s="124"/>
    </row>
    <row r="520" spans="1:225" x14ac:dyDescent="0.2">
      <c r="A520" s="122"/>
      <c r="B520" s="123"/>
      <c r="C520" s="124"/>
      <c r="D520" s="123"/>
      <c r="E520" s="124"/>
      <c r="F520" s="123"/>
      <c r="G520" s="123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4"/>
      <c r="AZ520" s="124"/>
      <c r="BA520" s="124"/>
      <c r="BB520" s="124"/>
      <c r="BC520" s="124"/>
      <c r="BD520" s="124"/>
      <c r="BE520" s="124"/>
      <c r="BF520" s="124"/>
      <c r="BG520" s="124"/>
      <c r="BH520" s="124"/>
      <c r="BI520" s="124"/>
      <c r="BJ520" s="124"/>
      <c r="BK520" s="124"/>
      <c r="BL520" s="124"/>
      <c r="BM520" s="124"/>
      <c r="BN520" s="124"/>
      <c r="BO520" s="124"/>
      <c r="BP520" s="124"/>
      <c r="BQ520" s="124"/>
      <c r="BR520" s="124"/>
      <c r="BS520" s="124"/>
      <c r="BT520" s="124"/>
      <c r="BU520" s="124"/>
      <c r="BV520" s="124"/>
      <c r="BW520" s="124"/>
      <c r="BX520" s="124"/>
      <c r="BY520" s="124"/>
      <c r="BZ520" s="124"/>
      <c r="CA520" s="124"/>
      <c r="CB520" s="124"/>
      <c r="CC520" s="124"/>
      <c r="CD520" s="124"/>
      <c r="CE520" s="124"/>
      <c r="CF520" s="124"/>
      <c r="CG520" s="124"/>
      <c r="CH520" s="124"/>
      <c r="CI520" s="124"/>
      <c r="CJ520" s="124"/>
      <c r="CK520" s="124"/>
      <c r="CL520" s="124"/>
      <c r="CM520" s="124"/>
      <c r="CN520" s="124"/>
      <c r="CO520" s="124"/>
      <c r="CP520" s="124"/>
      <c r="CQ520" s="124"/>
      <c r="CR520" s="124"/>
      <c r="CS520" s="124"/>
      <c r="CT520" s="124"/>
      <c r="CU520" s="124"/>
      <c r="CV520" s="124"/>
      <c r="CW520" s="124"/>
      <c r="CX520" s="124"/>
      <c r="CY520" s="124"/>
      <c r="CZ520" s="124"/>
      <c r="DA520" s="124"/>
      <c r="DB520" s="124"/>
      <c r="DC520" s="124"/>
      <c r="DD520" s="124"/>
      <c r="DE520" s="124"/>
      <c r="DF520" s="124"/>
      <c r="DG520" s="124"/>
      <c r="DH520" s="124"/>
      <c r="DI520" s="124"/>
      <c r="DJ520" s="124"/>
      <c r="DK520" s="124"/>
      <c r="DL520" s="124"/>
      <c r="DM520" s="124"/>
      <c r="DN520" s="124"/>
      <c r="DO520" s="124"/>
      <c r="DP520" s="124"/>
      <c r="DQ520" s="124"/>
      <c r="DR520" s="124"/>
      <c r="DS520" s="124"/>
      <c r="DT520" s="124"/>
      <c r="DU520" s="124"/>
      <c r="DV520" s="124"/>
      <c r="DW520" s="124"/>
      <c r="DX520" s="124"/>
      <c r="DY520" s="124"/>
      <c r="DZ520" s="124"/>
      <c r="EA520" s="124"/>
      <c r="EB520" s="124"/>
      <c r="EC520" s="124"/>
      <c r="ED520" s="124"/>
      <c r="EE520" s="124"/>
      <c r="EF520" s="124"/>
      <c r="EG520" s="124"/>
      <c r="EH520" s="124"/>
      <c r="EI520" s="124"/>
      <c r="EJ520" s="124"/>
      <c r="EK520" s="124"/>
      <c r="EL520" s="124"/>
      <c r="EM520" s="124"/>
      <c r="EN520" s="124"/>
      <c r="EO520" s="124"/>
      <c r="EP520" s="124"/>
      <c r="EQ520" s="124"/>
      <c r="ER520" s="124"/>
      <c r="ES520" s="124"/>
      <c r="ET520" s="124"/>
      <c r="EU520" s="124"/>
      <c r="EV520" s="124"/>
      <c r="EW520" s="124"/>
      <c r="EX520" s="124"/>
      <c r="EY520" s="124"/>
      <c r="EZ520" s="124"/>
      <c r="FA520" s="124"/>
      <c r="FB520" s="124"/>
      <c r="FC520" s="124"/>
      <c r="FD520" s="124"/>
      <c r="FE520" s="124"/>
      <c r="FF520" s="124"/>
      <c r="FG520" s="124"/>
      <c r="FH520" s="124"/>
      <c r="FI520" s="124"/>
      <c r="FJ520" s="124"/>
      <c r="FK520" s="124"/>
      <c r="FL520" s="124"/>
      <c r="FM520" s="124"/>
      <c r="FN520" s="124"/>
      <c r="FO520" s="124"/>
      <c r="FP520" s="124"/>
      <c r="FQ520" s="124"/>
      <c r="FR520" s="124"/>
      <c r="FS520" s="124"/>
      <c r="FT520" s="124"/>
      <c r="FU520" s="124"/>
      <c r="FV520" s="124"/>
      <c r="FW520" s="124"/>
      <c r="FX520" s="124"/>
      <c r="FY520" s="124"/>
      <c r="FZ520" s="124"/>
      <c r="GA520" s="124"/>
      <c r="GB520" s="124"/>
      <c r="GC520" s="124"/>
      <c r="GD520" s="124"/>
      <c r="GE520" s="124"/>
      <c r="GF520" s="124"/>
      <c r="GG520" s="124"/>
      <c r="GH520" s="124"/>
      <c r="GI520" s="124"/>
      <c r="GJ520" s="124"/>
      <c r="GK520" s="124"/>
      <c r="GL520" s="124"/>
      <c r="GM520" s="124"/>
      <c r="GN520" s="124"/>
      <c r="GO520" s="124"/>
      <c r="GP520" s="124"/>
      <c r="GQ520" s="124"/>
      <c r="GR520" s="124"/>
      <c r="GS520" s="124"/>
      <c r="GT520" s="124"/>
      <c r="GU520" s="124"/>
      <c r="GV520" s="124"/>
      <c r="GW520" s="124"/>
      <c r="GX520" s="124"/>
      <c r="GY520" s="124"/>
      <c r="GZ520" s="124"/>
      <c r="HA520" s="124"/>
      <c r="HB520" s="124"/>
      <c r="HC520" s="124"/>
      <c r="HD520" s="124"/>
      <c r="HE520" s="124"/>
      <c r="HF520" s="124"/>
      <c r="HG520" s="124"/>
      <c r="HH520" s="124"/>
      <c r="HI520" s="124"/>
      <c r="HJ520" s="124"/>
      <c r="HK520" s="124"/>
      <c r="HL520" s="124"/>
      <c r="HM520" s="124"/>
      <c r="HN520" s="124"/>
      <c r="HO520" s="124"/>
      <c r="HP520" s="124"/>
      <c r="HQ520" s="124"/>
    </row>
    <row r="521" spans="1:225" x14ac:dyDescent="0.2">
      <c r="A521" s="122"/>
      <c r="B521" s="123"/>
      <c r="C521" s="124"/>
      <c r="D521" s="123"/>
      <c r="E521" s="124"/>
      <c r="F521" s="123"/>
      <c r="G521" s="123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124"/>
      <c r="AW521" s="124"/>
      <c r="AX521" s="124"/>
      <c r="AY521" s="124"/>
      <c r="AZ521" s="124"/>
      <c r="BA521" s="124"/>
      <c r="BB521" s="124"/>
      <c r="BC521" s="124"/>
      <c r="BD521" s="124"/>
      <c r="BE521" s="124"/>
      <c r="BF521" s="124"/>
      <c r="BG521" s="124"/>
      <c r="BH521" s="124"/>
      <c r="BI521" s="124"/>
      <c r="BJ521" s="124"/>
      <c r="BK521" s="124"/>
      <c r="BL521" s="124"/>
      <c r="BM521" s="124"/>
      <c r="BN521" s="124"/>
      <c r="BO521" s="124"/>
      <c r="BP521" s="124"/>
      <c r="BQ521" s="124"/>
      <c r="BR521" s="124"/>
      <c r="BS521" s="124"/>
      <c r="BT521" s="124"/>
      <c r="BU521" s="124"/>
      <c r="BV521" s="124"/>
      <c r="BW521" s="124"/>
      <c r="BX521" s="124"/>
      <c r="BY521" s="124"/>
      <c r="BZ521" s="124"/>
      <c r="CA521" s="124"/>
      <c r="CB521" s="124"/>
      <c r="CC521" s="124"/>
      <c r="CD521" s="124"/>
      <c r="CE521" s="124"/>
      <c r="CF521" s="124"/>
      <c r="CG521" s="124"/>
      <c r="CH521" s="124"/>
      <c r="CI521" s="124"/>
      <c r="CJ521" s="124"/>
      <c r="CK521" s="124"/>
      <c r="CL521" s="124"/>
      <c r="CM521" s="124"/>
      <c r="CN521" s="124"/>
      <c r="CO521" s="124"/>
      <c r="CP521" s="124"/>
      <c r="CQ521" s="124"/>
      <c r="CR521" s="124"/>
      <c r="CS521" s="124"/>
      <c r="CT521" s="124"/>
      <c r="CU521" s="124"/>
      <c r="CV521" s="124"/>
      <c r="CW521" s="124"/>
      <c r="CX521" s="124"/>
      <c r="CY521" s="124"/>
      <c r="CZ521" s="124"/>
      <c r="DA521" s="124"/>
      <c r="DB521" s="124"/>
      <c r="DC521" s="124"/>
      <c r="DD521" s="124"/>
      <c r="DE521" s="124"/>
      <c r="DF521" s="124"/>
      <c r="DG521" s="124"/>
      <c r="DH521" s="124"/>
      <c r="DI521" s="124"/>
      <c r="DJ521" s="124"/>
      <c r="DK521" s="124"/>
      <c r="DL521" s="124"/>
      <c r="DM521" s="124"/>
      <c r="DN521" s="124"/>
      <c r="DO521" s="124"/>
      <c r="DP521" s="124"/>
      <c r="DQ521" s="124"/>
      <c r="DR521" s="124"/>
      <c r="DS521" s="124"/>
      <c r="DT521" s="124"/>
      <c r="DU521" s="124"/>
      <c r="DV521" s="124"/>
      <c r="DW521" s="124"/>
      <c r="DX521" s="124"/>
      <c r="DY521" s="124"/>
      <c r="DZ521" s="124"/>
      <c r="EA521" s="124"/>
      <c r="EB521" s="124"/>
      <c r="EC521" s="124"/>
      <c r="ED521" s="124"/>
      <c r="EE521" s="124"/>
      <c r="EF521" s="124"/>
      <c r="EG521" s="124"/>
      <c r="EH521" s="124"/>
      <c r="EI521" s="124"/>
      <c r="EJ521" s="124"/>
      <c r="EK521" s="124"/>
      <c r="EL521" s="124"/>
      <c r="EM521" s="124"/>
      <c r="EN521" s="124"/>
      <c r="EO521" s="124"/>
      <c r="EP521" s="124"/>
      <c r="EQ521" s="124"/>
      <c r="ER521" s="124"/>
      <c r="ES521" s="124"/>
      <c r="ET521" s="124"/>
      <c r="EU521" s="124"/>
      <c r="EV521" s="124"/>
      <c r="EW521" s="124"/>
      <c r="EX521" s="124"/>
      <c r="EY521" s="124"/>
      <c r="EZ521" s="124"/>
      <c r="FA521" s="124"/>
      <c r="FB521" s="124"/>
      <c r="FC521" s="124"/>
      <c r="FD521" s="124"/>
      <c r="FE521" s="124"/>
      <c r="FF521" s="124"/>
      <c r="FG521" s="124"/>
      <c r="FH521" s="124"/>
      <c r="FI521" s="124"/>
      <c r="FJ521" s="124"/>
      <c r="FK521" s="124"/>
      <c r="FL521" s="124"/>
      <c r="FM521" s="124"/>
      <c r="FN521" s="124"/>
      <c r="FO521" s="124"/>
      <c r="FP521" s="124"/>
      <c r="FQ521" s="124"/>
      <c r="FR521" s="124"/>
      <c r="FS521" s="124"/>
      <c r="FT521" s="124"/>
      <c r="FU521" s="124"/>
      <c r="FV521" s="124"/>
      <c r="FW521" s="124"/>
      <c r="FX521" s="124"/>
      <c r="FY521" s="124"/>
      <c r="FZ521" s="124"/>
      <c r="GA521" s="124"/>
      <c r="GB521" s="124"/>
      <c r="GC521" s="124"/>
      <c r="GD521" s="124"/>
      <c r="GE521" s="124"/>
      <c r="GF521" s="124"/>
      <c r="GG521" s="124"/>
      <c r="GH521" s="124"/>
      <c r="GI521" s="124"/>
      <c r="GJ521" s="124"/>
      <c r="GK521" s="124"/>
      <c r="GL521" s="124"/>
      <c r="GM521" s="124"/>
      <c r="GN521" s="124"/>
      <c r="GO521" s="124"/>
      <c r="GP521" s="124"/>
      <c r="GQ521" s="124"/>
      <c r="GR521" s="124"/>
      <c r="GS521" s="124"/>
      <c r="GT521" s="124"/>
      <c r="GU521" s="124"/>
      <c r="GV521" s="124"/>
      <c r="GW521" s="124"/>
      <c r="GX521" s="124"/>
      <c r="GY521" s="124"/>
      <c r="GZ521" s="124"/>
      <c r="HA521" s="124"/>
      <c r="HB521" s="124"/>
      <c r="HC521" s="124"/>
      <c r="HD521" s="124"/>
      <c r="HE521" s="124"/>
      <c r="HF521" s="124"/>
      <c r="HG521" s="124"/>
      <c r="HH521" s="124"/>
      <c r="HI521" s="124"/>
      <c r="HJ521" s="124"/>
      <c r="HK521" s="124"/>
      <c r="HL521" s="124"/>
      <c r="HM521" s="124"/>
      <c r="HN521" s="124"/>
      <c r="HO521" s="124"/>
      <c r="HP521" s="124"/>
      <c r="HQ521" s="124"/>
    </row>
    <row r="522" spans="1:225" x14ac:dyDescent="0.2">
      <c r="A522" s="122"/>
      <c r="B522" s="123"/>
      <c r="C522" s="124"/>
      <c r="D522" s="123"/>
      <c r="E522" s="124"/>
      <c r="F522" s="123"/>
      <c r="G522" s="123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124"/>
      <c r="AW522" s="124"/>
      <c r="AX522" s="124"/>
      <c r="AY522" s="124"/>
      <c r="AZ522" s="124"/>
      <c r="BA522" s="124"/>
      <c r="BB522" s="124"/>
      <c r="BC522" s="124"/>
      <c r="BD522" s="124"/>
      <c r="BE522" s="124"/>
      <c r="BF522" s="124"/>
      <c r="BG522" s="124"/>
      <c r="BH522" s="124"/>
      <c r="BI522" s="124"/>
      <c r="BJ522" s="124"/>
      <c r="BK522" s="124"/>
      <c r="BL522" s="124"/>
      <c r="BM522" s="124"/>
      <c r="BN522" s="124"/>
      <c r="BO522" s="124"/>
      <c r="BP522" s="124"/>
      <c r="BQ522" s="124"/>
      <c r="BR522" s="124"/>
      <c r="BS522" s="124"/>
      <c r="BT522" s="124"/>
      <c r="BU522" s="124"/>
      <c r="BV522" s="124"/>
      <c r="BW522" s="124"/>
      <c r="BX522" s="124"/>
      <c r="BY522" s="124"/>
      <c r="BZ522" s="124"/>
      <c r="CA522" s="124"/>
      <c r="CB522" s="124"/>
      <c r="CC522" s="124"/>
      <c r="CD522" s="124"/>
      <c r="CE522" s="124"/>
      <c r="CF522" s="124"/>
      <c r="CG522" s="124"/>
      <c r="CH522" s="124"/>
      <c r="CI522" s="124"/>
      <c r="CJ522" s="124"/>
      <c r="CK522" s="124"/>
      <c r="CL522" s="124"/>
      <c r="CM522" s="124"/>
      <c r="CN522" s="124"/>
      <c r="CO522" s="124"/>
      <c r="CP522" s="124"/>
      <c r="CQ522" s="124"/>
      <c r="CR522" s="124"/>
      <c r="CS522" s="124"/>
      <c r="CT522" s="124"/>
      <c r="CU522" s="124"/>
      <c r="CV522" s="124"/>
      <c r="CW522" s="124"/>
      <c r="CX522" s="124"/>
      <c r="CY522" s="124"/>
      <c r="CZ522" s="124"/>
      <c r="DA522" s="124"/>
      <c r="DB522" s="124"/>
      <c r="DC522" s="124"/>
      <c r="DD522" s="124"/>
      <c r="DE522" s="124"/>
      <c r="DF522" s="124"/>
      <c r="DG522" s="124"/>
      <c r="DH522" s="124"/>
      <c r="DI522" s="124"/>
      <c r="DJ522" s="124"/>
      <c r="DK522" s="124"/>
      <c r="DL522" s="124"/>
      <c r="DM522" s="124"/>
      <c r="DN522" s="124"/>
      <c r="DO522" s="124"/>
      <c r="DP522" s="124"/>
      <c r="DQ522" s="124"/>
      <c r="DR522" s="124"/>
      <c r="DS522" s="124"/>
      <c r="DT522" s="124"/>
      <c r="DU522" s="124"/>
      <c r="DV522" s="124"/>
      <c r="DW522" s="124"/>
      <c r="DX522" s="124"/>
      <c r="DY522" s="124"/>
      <c r="DZ522" s="124"/>
      <c r="EA522" s="124"/>
      <c r="EB522" s="124"/>
      <c r="EC522" s="124"/>
      <c r="ED522" s="124"/>
      <c r="EE522" s="124"/>
      <c r="EF522" s="124"/>
      <c r="EG522" s="124"/>
      <c r="EH522" s="124"/>
      <c r="EI522" s="124"/>
      <c r="EJ522" s="124"/>
      <c r="EK522" s="124"/>
      <c r="EL522" s="124"/>
      <c r="EM522" s="124"/>
      <c r="EN522" s="124"/>
      <c r="EO522" s="124"/>
      <c r="EP522" s="124"/>
      <c r="EQ522" s="124"/>
      <c r="ER522" s="124"/>
      <c r="ES522" s="124"/>
      <c r="ET522" s="124"/>
      <c r="EU522" s="124"/>
      <c r="EV522" s="124"/>
      <c r="EW522" s="124"/>
      <c r="EX522" s="124"/>
      <c r="EY522" s="124"/>
      <c r="EZ522" s="124"/>
      <c r="FA522" s="124"/>
      <c r="FB522" s="124"/>
      <c r="FC522" s="124"/>
      <c r="FD522" s="124"/>
      <c r="FE522" s="124"/>
      <c r="FF522" s="124"/>
      <c r="FG522" s="124"/>
      <c r="FH522" s="124"/>
      <c r="FI522" s="124"/>
      <c r="FJ522" s="124"/>
      <c r="FK522" s="124"/>
      <c r="FL522" s="124"/>
      <c r="FM522" s="124"/>
      <c r="FN522" s="124"/>
      <c r="FO522" s="124"/>
      <c r="FP522" s="124"/>
      <c r="FQ522" s="124"/>
      <c r="FR522" s="124"/>
      <c r="FS522" s="124"/>
      <c r="FT522" s="124"/>
      <c r="FU522" s="124"/>
      <c r="FV522" s="124"/>
      <c r="FW522" s="124"/>
      <c r="FX522" s="124"/>
      <c r="FY522" s="124"/>
      <c r="FZ522" s="124"/>
      <c r="GA522" s="124"/>
      <c r="GB522" s="124"/>
      <c r="GC522" s="124"/>
      <c r="GD522" s="124"/>
      <c r="GE522" s="124"/>
      <c r="GF522" s="124"/>
      <c r="GG522" s="124"/>
      <c r="GH522" s="124"/>
      <c r="GI522" s="124"/>
      <c r="GJ522" s="124"/>
      <c r="GK522" s="124"/>
      <c r="GL522" s="124"/>
      <c r="GM522" s="124"/>
      <c r="GN522" s="124"/>
      <c r="GO522" s="124"/>
      <c r="GP522" s="124"/>
      <c r="GQ522" s="124"/>
      <c r="GR522" s="124"/>
      <c r="GS522" s="124"/>
      <c r="GT522" s="124"/>
      <c r="GU522" s="124"/>
      <c r="GV522" s="124"/>
      <c r="GW522" s="124"/>
      <c r="GX522" s="124"/>
      <c r="GY522" s="124"/>
      <c r="GZ522" s="124"/>
      <c r="HA522" s="124"/>
      <c r="HB522" s="124"/>
      <c r="HC522" s="124"/>
      <c r="HD522" s="124"/>
      <c r="HE522" s="124"/>
      <c r="HF522" s="124"/>
      <c r="HG522" s="124"/>
      <c r="HH522" s="124"/>
      <c r="HI522" s="124"/>
      <c r="HJ522" s="124"/>
      <c r="HK522" s="124"/>
      <c r="HL522" s="124"/>
      <c r="HM522" s="124"/>
      <c r="HN522" s="124"/>
      <c r="HO522" s="124"/>
      <c r="HP522" s="124"/>
      <c r="HQ522" s="124"/>
    </row>
    <row r="523" spans="1:225" x14ac:dyDescent="0.2">
      <c r="A523" s="122"/>
      <c r="B523" s="123"/>
      <c r="C523" s="124"/>
      <c r="D523" s="123"/>
      <c r="E523" s="124"/>
      <c r="F523" s="123"/>
      <c r="G523" s="123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124"/>
      <c r="AW523" s="124"/>
      <c r="AX523" s="124"/>
      <c r="AY523" s="124"/>
      <c r="AZ523" s="124"/>
      <c r="BA523" s="124"/>
      <c r="BB523" s="124"/>
      <c r="BC523" s="124"/>
      <c r="BD523" s="124"/>
      <c r="BE523" s="124"/>
      <c r="BF523" s="124"/>
      <c r="BG523" s="124"/>
      <c r="BH523" s="124"/>
      <c r="BI523" s="124"/>
      <c r="BJ523" s="124"/>
      <c r="BK523" s="124"/>
      <c r="BL523" s="124"/>
      <c r="BM523" s="124"/>
      <c r="BN523" s="124"/>
      <c r="BO523" s="124"/>
      <c r="BP523" s="124"/>
      <c r="BQ523" s="124"/>
      <c r="BR523" s="124"/>
      <c r="BS523" s="124"/>
      <c r="BT523" s="124"/>
      <c r="BU523" s="124"/>
      <c r="BV523" s="124"/>
      <c r="BW523" s="124"/>
      <c r="BX523" s="124"/>
      <c r="BY523" s="124"/>
      <c r="BZ523" s="124"/>
      <c r="CA523" s="124"/>
      <c r="CB523" s="124"/>
      <c r="CC523" s="124"/>
      <c r="CD523" s="124"/>
      <c r="CE523" s="124"/>
      <c r="CF523" s="124"/>
      <c r="CG523" s="124"/>
      <c r="CH523" s="124"/>
      <c r="CI523" s="124"/>
      <c r="CJ523" s="124"/>
      <c r="CK523" s="124"/>
      <c r="CL523" s="124"/>
      <c r="CM523" s="124"/>
      <c r="CN523" s="124"/>
      <c r="CO523" s="124"/>
      <c r="CP523" s="124"/>
      <c r="CQ523" s="124"/>
      <c r="CR523" s="124"/>
      <c r="CS523" s="124"/>
      <c r="CT523" s="124"/>
      <c r="CU523" s="124"/>
      <c r="CV523" s="124"/>
      <c r="CW523" s="124"/>
      <c r="CX523" s="124"/>
      <c r="CY523" s="124"/>
      <c r="CZ523" s="124"/>
      <c r="DA523" s="124"/>
      <c r="DB523" s="124"/>
      <c r="DC523" s="124"/>
      <c r="DD523" s="124"/>
      <c r="DE523" s="124"/>
      <c r="DF523" s="124"/>
      <c r="DG523" s="124"/>
      <c r="DH523" s="124"/>
      <c r="DI523" s="124"/>
      <c r="DJ523" s="124"/>
      <c r="DK523" s="124"/>
      <c r="DL523" s="124"/>
      <c r="DM523" s="124"/>
      <c r="DN523" s="124"/>
      <c r="DO523" s="124"/>
      <c r="DP523" s="124"/>
      <c r="DQ523" s="124"/>
      <c r="DR523" s="124"/>
      <c r="DS523" s="124"/>
      <c r="DT523" s="124"/>
      <c r="DU523" s="124"/>
      <c r="DV523" s="124"/>
      <c r="DW523" s="124"/>
      <c r="DX523" s="124"/>
      <c r="DY523" s="124"/>
      <c r="DZ523" s="124"/>
      <c r="EA523" s="124"/>
      <c r="EB523" s="124"/>
      <c r="EC523" s="124"/>
      <c r="ED523" s="124"/>
      <c r="EE523" s="124"/>
      <c r="EF523" s="124"/>
      <c r="EG523" s="124"/>
      <c r="EH523" s="124"/>
      <c r="EI523" s="124"/>
      <c r="EJ523" s="124"/>
      <c r="EK523" s="124"/>
      <c r="EL523" s="124"/>
      <c r="EM523" s="124"/>
      <c r="EN523" s="124"/>
      <c r="EO523" s="124"/>
      <c r="EP523" s="124"/>
      <c r="EQ523" s="124"/>
      <c r="ER523" s="124"/>
      <c r="ES523" s="124"/>
      <c r="ET523" s="124"/>
      <c r="EU523" s="124"/>
      <c r="EV523" s="124"/>
      <c r="EW523" s="124"/>
      <c r="EX523" s="124"/>
      <c r="EY523" s="124"/>
      <c r="EZ523" s="124"/>
      <c r="FA523" s="124"/>
      <c r="FB523" s="124"/>
      <c r="FC523" s="124"/>
      <c r="FD523" s="124"/>
      <c r="FE523" s="124"/>
      <c r="FF523" s="124"/>
      <c r="FG523" s="124"/>
      <c r="FH523" s="124"/>
      <c r="FI523" s="124"/>
      <c r="FJ523" s="124"/>
      <c r="FK523" s="124"/>
      <c r="FL523" s="124"/>
      <c r="FM523" s="124"/>
      <c r="FN523" s="124"/>
      <c r="FO523" s="124"/>
      <c r="FP523" s="124"/>
      <c r="FQ523" s="124"/>
      <c r="FR523" s="124"/>
      <c r="FS523" s="124"/>
      <c r="FT523" s="124"/>
      <c r="FU523" s="124"/>
      <c r="FV523" s="124"/>
      <c r="FW523" s="124"/>
      <c r="FX523" s="124"/>
      <c r="FY523" s="124"/>
      <c r="FZ523" s="124"/>
      <c r="GA523" s="124"/>
      <c r="GB523" s="124"/>
      <c r="GC523" s="124"/>
      <c r="GD523" s="124"/>
      <c r="GE523" s="124"/>
      <c r="GF523" s="124"/>
      <c r="GG523" s="124"/>
      <c r="GH523" s="124"/>
      <c r="GI523" s="124"/>
      <c r="GJ523" s="124"/>
      <c r="GK523" s="124"/>
      <c r="GL523" s="124"/>
      <c r="GM523" s="124"/>
      <c r="GN523" s="124"/>
      <c r="GO523" s="124"/>
      <c r="GP523" s="124"/>
      <c r="GQ523" s="124"/>
      <c r="GR523" s="124"/>
      <c r="GS523" s="124"/>
      <c r="GT523" s="124"/>
      <c r="GU523" s="124"/>
      <c r="GV523" s="124"/>
      <c r="GW523" s="124"/>
      <c r="GX523" s="124"/>
      <c r="GY523" s="124"/>
      <c r="GZ523" s="124"/>
      <c r="HA523" s="124"/>
      <c r="HB523" s="124"/>
      <c r="HC523" s="124"/>
      <c r="HD523" s="124"/>
      <c r="HE523" s="124"/>
      <c r="HF523" s="124"/>
      <c r="HG523" s="124"/>
      <c r="HH523" s="124"/>
      <c r="HI523" s="124"/>
      <c r="HJ523" s="124"/>
      <c r="HK523" s="124"/>
      <c r="HL523" s="124"/>
      <c r="HM523" s="124"/>
      <c r="HN523" s="124"/>
      <c r="HO523" s="124"/>
      <c r="HP523" s="124"/>
      <c r="HQ523" s="124"/>
    </row>
    <row r="524" spans="1:225" x14ac:dyDescent="0.2">
      <c r="A524" s="122"/>
      <c r="B524" s="123"/>
      <c r="C524" s="124"/>
      <c r="D524" s="123"/>
      <c r="E524" s="124"/>
      <c r="F524" s="123"/>
      <c r="G524" s="123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124"/>
      <c r="AW524" s="124"/>
      <c r="AX524" s="124"/>
      <c r="AY524" s="124"/>
      <c r="AZ524" s="124"/>
      <c r="BA524" s="124"/>
      <c r="BB524" s="124"/>
      <c r="BC524" s="124"/>
      <c r="BD524" s="124"/>
      <c r="BE524" s="124"/>
      <c r="BF524" s="124"/>
      <c r="BG524" s="124"/>
      <c r="BH524" s="124"/>
      <c r="BI524" s="124"/>
      <c r="BJ524" s="124"/>
      <c r="BK524" s="124"/>
      <c r="BL524" s="124"/>
      <c r="BM524" s="124"/>
      <c r="BN524" s="124"/>
      <c r="BO524" s="124"/>
      <c r="BP524" s="124"/>
      <c r="BQ524" s="124"/>
      <c r="BR524" s="124"/>
      <c r="BS524" s="124"/>
      <c r="BT524" s="124"/>
      <c r="BU524" s="124"/>
      <c r="BV524" s="124"/>
      <c r="BW524" s="124"/>
      <c r="BX524" s="124"/>
      <c r="BY524" s="124"/>
      <c r="BZ524" s="124"/>
      <c r="CA524" s="124"/>
      <c r="CB524" s="124"/>
      <c r="CC524" s="124"/>
      <c r="CD524" s="124"/>
      <c r="CE524" s="124"/>
      <c r="CF524" s="124"/>
      <c r="CG524" s="124"/>
      <c r="CH524" s="124"/>
      <c r="CI524" s="124"/>
      <c r="CJ524" s="124"/>
      <c r="CK524" s="124"/>
      <c r="CL524" s="124"/>
      <c r="CM524" s="124"/>
      <c r="CN524" s="124"/>
      <c r="CO524" s="124"/>
      <c r="CP524" s="124"/>
      <c r="CQ524" s="124"/>
      <c r="CR524" s="124"/>
      <c r="CS524" s="124"/>
      <c r="CT524" s="124"/>
      <c r="CU524" s="124"/>
      <c r="CV524" s="124"/>
      <c r="CW524" s="124"/>
      <c r="CX524" s="124"/>
      <c r="CY524" s="124"/>
      <c r="CZ524" s="124"/>
      <c r="DA524" s="124"/>
      <c r="DB524" s="124"/>
      <c r="DC524" s="124"/>
      <c r="DD524" s="124"/>
      <c r="DE524" s="124"/>
      <c r="DF524" s="124"/>
      <c r="DG524" s="124"/>
      <c r="DH524" s="124"/>
      <c r="DI524" s="124"/>
      <c r="DJ524" s="124"/>
      <c r="DK524" s="124"/>
      <c r="DL524" s="124"/>
      <c r="DM524" s="124"/>
      <c r="DN524" s="124"/>
      <c r="DO524" s="124"/>
      <c r="DP524" s="124"/>
      <c r="DQ524" s="124"/>
      <c r="DR524" s="124"/>
      <c r="DS524" s="124"/>
      <c r="DT524" s="124"/>
      <c r="DU524" s="124"/>
      <c r="DV524" s="124"/>
      <c r="DW524" s="124"/>
      <c r="DX524" s="124"/>
      <c r="DY524" s="124"/>
      <c r="DZ524" s="124"/>
      <c r="EA524" s="124"/>
      <c r="EB524" s="124"/>
      <c r="EC524" s="124"/>
      <c r="ED524" s="124"/>
      <c r="EE524" s="124"/>
      <c r="EF524" s="124"/>
      <c r="EG524" s="124"/>
      <c r="EH524" s="124"/>
      <c r="EI524" s="124"/>
      <c r="EJ524" s="124"/>
      <c r="EK524" s="124"/>
      <c r="EL524" s="124"/>
      <c r="EM524" s="124"/>
      <c r="EN524" s="124"/>
      <c r="EO524" s="124"/>
      <c r="EP524" s="124"/>
      <c r="EQ524" s="124"/>
      <c r="ER524" s="124"/>
      <c r="ES524" s="124"/>
      <c r="ET524" s="124"/>
      <c r="EU524" s="124"/>
      <c r="EV524" s="124"/>
      <c r="EW524" s="124"/>
      <c r="EX524" s="124"/>
      <c r="EY524" s="124"/>
      <c r="EZ524" s="124"/>
      <c r="FA524" s="124"/>
      <c r="FB524" s="124"/>
      <c r="FC524" s="124"/>
      <c r="FD524" s="124"/>
      <c r="FE524" s="124"/>
      <c r="FF524" s="124"/>
      <c r="FG524" s="124"/>
      <c r="FH524" s="124"/>
      <c r="FI524" s="124"/>
      <c r="FJ524" s="124"/>
      <c r="FK524" s="124"/>
      <c r="FL524" s="124"/>
      <c r="FM524" s="124"/>
      <c r="FN524" s="124"/>
      <c r="FO524" s="124"/>
      <c r="FP524" s="124"/>
      <c r="FQ524" s="124"/>
      <c r="FR524" s="124"/>
      <c r="FS524" s="124"/>
      <c r="FT524" s="124"/>
      <c r="FU524" s="124"/>
      <c r="FV524" s="124"/>
      <c r="FW524" s="124"/>
      <c r="FX524" s="124"/>
      <c r="FY524" s="124"/>
      <c r="FZ524" s="124"/>
      <c r="GA524" s="124"/>
      <c r="GB524" s="124"/>
      <c r="GC524" s="124"/>
      <c r="GD524" s="124"/>
      <c r="GE524" s="124"/>
      <c r="GF524" s="124"/>
      <c r="GG524" s="124"/>
      <c r="GH524" s="124"/>
      <c r="GI524" s="124"/>
      <c r="GJ524" s="124"/>
      <c r="GK524" s="124"/>
      <c r="GL524" s="124"/>
      <c r="GM524" s="124"/>
      <c r="GN524" s="124"/>
      <c r="GO524" s="124"/>
      <c r="GP524" s="124"/>
      <c r="GQ524" s="124"/>
      <c r="GR524" s="124"/>
      <c r="GS524" s="124"/>
      <c r="GT524" s="124"/>
      <c r="GU524" s="124"/>
      <c r="GV524" s="124"/>
      <c r="GW524" s="124"/>
      <c r="GX524" s="124"/>
      <c r="GY524" s="124"/>
      <c r="GZ524" s="124"/>
      <c r="HA524" s="124"/>
      <c r="HB524" s="124"/>
      <c r="HC524" s="124"/>
      <c r="HD524" s="124"/>
      <c r="HE524" s="124"/>
      <c r="HF524" s="124"/>
      <c r="HG524" s="124"/>
      <c r="HH524" s="124"/>
      <c r="HI524" s="124"/>
      <c r="HJ524" s="124"/>
      <c r="HK524" s="124"/>
      <c r="HL524" s="124"/>
      <c r="HM524" s="124"/>
      <c r="HN524" s="124"/>
      <c r="HO524" s="124"/>
      <c r="HP524" s="124"/>
      <c r="HQ524" s="124"/>
    </row>
    <row r="525" spans="1:225" x14ac:dyDescent="0.2">
      <c r="A525" s="122"/>
      <c r="B525" s="123"/>
      <c r="C525" s="124"/>
      <c r="D525" s="123"/>
      <c r="E525" s="124"/>
      <c r="F525" s="123"/>
      <c r="G525" s="123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124"/>
      <c r="AW525" s="124"/>
      <c r="AX525" s="124"/>
      <c r="AY525" s="124"/>
      <c r="AZ525" s="124"/>
      <c r="BA525" s="124"/>
      <c r="BB525" s="124"/>
      <c r="BC525" s="124"/>
      <c r="BD525" s="124"/>
      <c r="BE525" s="124"/>
      <c r="BF525" s="124"/>
      <c r="BG525" s="124"/>
      <c r="BH525" s="124"/>
      <c r="BI525" s="124"/>
      <c r="BJ525" s="124"/>
      <c r="BK525" s="124"/>
      <c r="BL525" s="124"/>
      <c r="BM525" s="124"/>
      <c r="BN525" s="124"/>
      <c r="BO525" s="124"/>
      <c r="BP525" s="124"/>
      <c r="BQ525" s="124"/>
      <c r="BR525" s="124"/>
      <c r="BS525" s="124"/>
      <c r="BT525" s="124"/>
      <c r="BU525" s="124"/>
      <c r="BV525" s="124"/>
      <c r="BW525" s="124"/>
      <c r="BX525" s="124"/>
      <c r="BY525" s="124"/>
      <c r="BZ525" s="124"/>
      <c r="CA525" s="124"/>
      <c r="CB525" s="124"/>
      <c r="CC525" s="124"/>
      <c r="CD525" s="124"/>
      <c r="CE525" s="124"/>
      <c r="CF525" s="124"/>
      <c r="CG525" s="124"/>
      <c r="CH525" s="124"/>
      <c r="CI525" s="124"/>
      <c r="CJ525" s="124"/>
      <c r="CK525" s="124"/>
      <c r="CL525" s="124"/>
      <c r="CM525" s="124"/>
      <c r="CN525" s="124"/>
      <c r="CO525" s="124"/>
      <c r="CP525" s="124"/>
      <c r="CQ525" s="124"/>
      <c r="CR525" s="124"/>
      <c r="CS525" s="124"/>
      <c r="CT525" s="124"/>
      <c r="CU525" s="124"/>
      <c r="CV525" s="124"/>
      <c r="CW525" s="124"/>
      <c r="CX525" s="124"/>
      <c r="CY525" s="124"/>
      <c r="CZ525" s="124"/>
      <c r="DA525" s="124"/>
      <c r="DB525" s="124"/>
      <c r="DC525" s="124"/>
      <c r="DD525" s="124"/>
      <c r="DE525" s="124"/>
      <c r="DF525" s="124"/>
      <c r="DG525" s="124"/>
      <c r="DH525" s="124"/>
      <c r="DI525" s="124"/>
      <c r="DJ525" s="124"/>
      <c r="DK525" s="124"/>
      <c r="DL525" s="124"/>
      <c r="DM525" s="124"/>
      <c r="DN525" s="124"/>
      <c r="DO525" s="124"/>
      <c r="DP525" s="124"/>
      <c r="DQ525" s="124"/>
      <c r="DR525" s="124"/>
      <c r="DS525" s="124"/>
      <c r="DT525" s="124"/>
      <c r="DU525" s="124"/>
      <c r="DV525" s="124"/>
      <c r="DW525" s="124"/>
      <c r="DX525" s="124"/>
      <c r="DY525" s="124"/>
      <c r="DZ525" s="124"/>
      <c r="EA525" s="124"/>
      <c r="EB525" s="124"/>
      <c r="EC525" s="124"/>
      <c r="ED525" s="124"/>
      <c r="EE525" s="124"/>
      <c r="EF525" s="124"/>
      <c r="EG525" s="124"/>
      <c r="EH525" s="124"/>
      <c r="EI525" s="124"/>
      <c r="EJ525" s="124"/>
      <c r="EK525" s="124"/>
      <c r="EL525" s="124"/>
      <c r="EM525" s="124"/>
      <c r="EN525" s="124"/>
      <c r="EO525" s="124"/>
      <c r="EP525" s="124"/>
      <c r="EQ525" s="124"/>
      <c r="ER525" s="124"/>
      <c r="ES525" s="124"/>
      <c r="ET525" s="124"/>
      <c r="EU525" s="124"/>
      <c r="EV525" s="124"/>
      <c r="EW525" s="124"/>
      <c r="EX525" s="124"/>
      <c r="EY525" s="124"/>
      <c r="EZ525" s="124"/>
      <c r="FA525" s="124"/>
      <c r="FB525" s="124"/>
      <c r="FC525" s="124"/>
      <c r="FD525" s="124"/>
      <c r="FE525" s="124"/>
      <c r="FF525" s="124"/>
      <c r="FG525" s="124"/>
      <c r="FH525" s="124"/>
      <c r="FI525" s="124"/>
      <c r="FJ525" s="124"/>
      <c r="FK525" s="124"/>
      <c r="FL525" s="124"/>
      <c r="FM525" s="124"/>
      <c r="FN525" s="124"/>
      <c r="FO525" s="124"/>
      <c r="FP525" s="124"/>
      <c r="FQ525" s="124"/>
      <c r="FR525" s="124"/>
      <c r="FS525" s="124"/>
      <c r="FT525" s="124"/>
      <c r="FU525" s="124"/>
      <c r="FV525" s="124"/>
      <c r="FW525" s="124"/>
      <c r="FX525" s="124"/>
      <c r="FY525" s="124"/>
      <c r="FZ525" s="124"/>
      <c r="GA525" s="124"/>
      <c r="GB525" s="124"/>
      <c r="GC525" s="124"/>
      <c r="GD525" s="124"/>
      <c r="GE525" s="124"/>
      <c r="GF525" s="124"/>
      <c r="GG525" s="124"/>
      <c r="GH525" s="124"/>
      <c r="GI525" s="124"/>
      <c r="GJ525" s="124"/>
      <c r="GK525" s="124"/>
      <c r="GL525" s="124"/>
      <c r="GM525" s="124"/>
      <c r="GN525" s="124"/>
      <c r="GO525" s="124"/>
      <c r="GP525" s="124"/>
      <c r="GQ525" s="124"/>
      <c r="GR525" s="124"/>
      <c r="GS525" s="124"/>
      <c r="GT525" s="124"/>
      <c r="GU525" s="124"/>
      <c r="GV525" s="124"/>
      <c r="GW525" s="124"/>
      <c r="GX525" s="124"/>
      <c r="GY525" s="124"/>
      <c r="GZ525" s="124"/>
      <c r="HA525" s="124"/>
      <c r="HB525" s="124"/>
      <c r="HC525" s="124"/>
      <c r="HD525" s="124"/>
      <c r="HE525" s="124"/>
      <c r="HF525" s="124"/>
      <c r="HG525" s="124"/>
      <c r="HH525" s="124"/>
      <c r="HI525" s="124"/>
      <c r="HJ525" s="124"/>
      <c r="HK525" s="124"/>
      <c r="HL525" s="124"/>
      <c r="HM525" s="124"/>
      <c r="HN525" s="124"/>
      <c r="HO525" s="124"/>
      <c r="HP525" s="124"/>
      <c r="HQ525" s="124"/>
    </row>
    <row r="526" spans="1:225" x14ac:dyDescent="0.2">
      <c r="A526" s="122"/>
      <c r="B526" s="123"/>
      <c r="C526" s="124"/>
      <c r="D526" s="123"/>
      <c r="E526" s="124"/>
      <c r="F526" s="123"/>
      <c r="G526" s="123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/>
      <c r="BB526" s="124"/>
      <c r="BC526" s="124"/>
      <c r="BD526" s="124"/>
      <c r="BE526" s="124"/>
      <c r="BF526" s="124"/>
      <c r="BG526" s="124"/>
      <c r="BH526" s="124"/>
      <c r="BI526" s="124"/>
      <c r="BJ526" s="124"/>
      <c r="BK526" s="124"/>
      <c r="BL526" s="124"/>
      <c r="BM526" s="124"/>
      <c r="BN526" s="124"/>
      <c r="BO526" s="124"/>
      <c r="BP526" s="124"/>
      <c r="BQ526" s="124"/>
      <c r="BR526" s="124"/>
      <c r="BS526" s="124"/>
      <c r="BT526" s="124"/>
      <c r="BU526" s="124"/>
      <c r="BV526" s="124"/>
      <c r="BW526" s="124"/>
      <c r="BX526" s="124"/>
      <c r="BY526" s="124"/>
      <c r="BZ526" s="124"/>
      <c r="CA526" s="124"/>
      <c r="CB526" s="124"/>
      <c r="CC526" s="124"/>
      <c r="CD526" s="124"/>
      <c r="CE526" s="124"/>
      <c r="CF526" s="124"/>
      <c r="CG526" s="124"/>
      <c r="CH526" s="124"/>
      <c r="CI526" s="124"/>
      <c r="CJ526" s="124"/>
      <c r="CK526" s="124"/>
      <c r="CL526" s="124"/>
      <c r="CM526" s="124"/>
      <c r="CN526" s="124"/>
      <c r="CO526" s="124"/>
      <c r="CP526" s="124"/>
      <c r="CQ526" s="124"/>
      <c r="CR526" s="124"/>
      <c r="CS526" s="124"/>
      <c r="CT526" s="124"/>
      <c r="CU526" s="124"/>
      <c r="CV526" s="124"/>
      <c r="CW526" s="124"/>
      <c r="CX526" s="124"/>
      <c r="CY526" s="124"/>
      <c r="CZ526" s="124"/>
      <c r="DA526" s="124"/>
      <c r="DB526" s="124"/>
      <c r="DC526" s="124"/>
      <c r="DD526" s="124"/>
      <c r="DE526" s="124"/>
      <c r="DF526" s="124"/>
      <c r="DG526" s="124"/>
      <c r="DH526" s="124"/>
      <c r="DI526" s="124"/>
      <c r="DJ526" s="124"/>
      <c r="DK526" s="124"/>
      <c r="DL526" s="124"/>
      <c r="DM526" s="124"/>
      <c r="DN526" s="124"/>
      <c r="DO526" s="124"/>
      <c r="DP526" s="124"/>
      <c r="DQ526" s="124"/>
      <c r="DR526" s="124"/>
      <c r="DS526" s="124"/>
      <c r="DT526" s="124"/>
      <c r="DU526" s="124"/>
      <c r="DV526" s="124"/>
      <c r="DW526" s="124"/>
      <c r="DX526" s="124"/>
      <c r="DY526" s="124"/>
      <c r="DZ526" s="124"/>
      <c r="EA526" s="124"/>
      <c r="EB526" s="124"/>
      <c r="EC526" s="124"/>
      <c r="ED526" s="124"/>
      <c r="EE526" s="124"/>
      <c r="EF526" s="124"/>
      <c r="EG526" s="124"/>
      <c r="EH526" s="124"/>
      <c r="EI526" s="124"/>
      <c r="EJ526" s="124"/>
      <c r="EK526" s="124"/>
      <c r="EL526" s="124"/>
      <c r="EM526" s="124"/>
      <c r="EN526" s="124"/>
      <c r="EO526" s="124"/>
      <c r="EP526" s="124"/>
      <c r="EQ526" s="124"/>
      <c r="ER526" s="124"/>
      <c r="ES526" s="124"/>
      <c r="ET526" s="124"/>
      <c r="EU526" s="124"/>
      <c r="EV526" s="124"/>
      <c r="EW526" s="124"/>
      <c r="EX526" s="124"/>
      <c r="EY526" s="124"/>
      <c r="EZ526" s="124"/>
      <c r="FA526" s="124"/>
      <c r="FB526" s="124"/>
      <c r="FC526" s="124"/>
      <c r="FD526" s="124"/>
      <c r="FE526" s="124"/>
      <c r="FF526" s="124"/>
      <c r="FG526" s="124"/>
      <c r="FH526" s="124"/>
      <c r="FI526" s="124"/>
      <c r="FJ526" s="124"/>
      <c r="FK526" s="124"/>
      <c r="FL526" s="124"/>
      <c r="FM526" s="124"/>
      <c r="FN526" s="124"/>
      <c r="FO526" s="124"/>
      <c r="FP526" s="124"/>
      <c r="FQ526" s="124"/>
      <c r="FR526" s="124"/>
      <c r="FS526" s="124"/>
      <c r="FT526" s="124"/>
      <c r="FU526" s="124"/>
      <c r="FV526" s="124"/>
      <c r="FW526" s="124"/>
      <c r="FX526" s="124"/>
      <c r="FY526" s="124"/>
      <c r="FZ526" s="124"/>
      <c r="GA526" s="124"/>
      <c r="GB526" s="124"/>
      <c r="GC526" s="124"/>
      <c r="GD526" s="124"/>
      <c r="GE526" s="124"/>
      <c r="GF526" s="124"/>
      <c r="GG526" s="124"/>
      <c r="GH526" s="124"/>
      <c r="GI526" s="124"/>
      <c r="GJ526" s="124"/>
      <c r="GK526" s="124"/>
      <c r="GL526" s="124"/>
      <c r="GM526" s="124"/>
      <c r="GN526" s="124"/>
      <c r="GO526" s="124"/>
      <c r="GP526" s="124"/>
      <c r="GQ526" s="124"/>
      <c r="GR526" s="124"/>
      <c r="GS526" s="124"/>
      <c r="GT526" s="124"/>
      <c r="GU526" s="124"/>
      <c r="GV526" s="124"/>
      <c r="GW526" s="124"/>
      <c r="GX526" s="124"/>
      <c r="GY526" s="124"/>
      <c r="GZ526" s="124"/>
      <c r="HA526" s="124"/>
      <c r="HB526" s="124"/>
      <c r="HC526" s="124"/>
      <c r="HD526" s="124"/>
      <c r="HE526" s="124"/>
      <c r="HF526" s="124"/>
      <c r="HG526" s="124"/>
      <c r="HH526" s="124"/>
      <c r="HI526" s="124"/>
      <c r="HJ526" s="124"/>
      <c r="HK526" s="124"/>
      <c r="HL526" s="124"/>
      <c r="HM526" s="124"/>
      <c r="HN526" s="124"/>
      <c r="HO526" s="124"/>
      <c r="HP526" s="124"/>
      <c r="HQ526" s="124"/>
    </row>
    <row r="527" spans="1:225" x14ac:dyDescent="0.2">
      <c r="A527" s="122"/>
      <c r="B527" s="123"/>
      <c r="C527" s="124"/>
      <c r="D527" s="123"/>
      <c r="E527" s="124"/>
      <c r="F527" s="123"/>
      <c r="G527" s="123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  <c r="AU527" s="124"/>
      <c r="AV527" s="124"/>
      <c r="AW527" s="124"/>
      <c r="AX527" s="124"/>
      <c r="AY527" s="124"/>
      <c r="AZ527" s="124"/>
      <c r="BA527" s="124"/>
      <c r="BB527" s="124"/>
      <c r="BC527" s="124"/>
      <c r="BD527" s="124"/>
      <c r="BE527" s="124"/>
      <c r="BF527" s="124"/>
      <c r="BG527" s="124"/>
      <c r="BH527" s="124"/>
      <c r="BI527" s="124"/>
      <c r="BJ527" s="124"/>
      <c r="BK527" s="124"/>
      <c r="BL527" s="124"/>
      <c r="BM527" s="124"/>
      <c r="BN527" s="124"/>
      <c r="BO527" s="124"/>
      <c r="BP527" s="124"/>
      <c r="BQ527" s="124"/>
      <c r="BR527" s="124"/>
      <c r="BS527" s="124"/>
      <c r="BT527" s="124"/>
      <c r="BU527" s="124"/>
      <c r="BV527" s="124"/>
      <c r="BW527" s="124"/>
      <c r="BX527" s="124"/>
      <c r="BY527" s="124"/>
      <c r="BZ527" s="124"/>
      <c r="CA527" s="124"/>
      <c r="CB527" s="124"/>
      <c r="CC527" s="124"/>
      <c r="CD527" s="124"/>
      <c r="CE527" s="124"/>
      <c r="CF527" s="124"/>
      <c r="CG527" s="124"/>
      <c r="CH527" s="124"/>
      <c r="CI527" s="124"/>
      <c r="CJ527" s="124"/>
      <c r="CK527" s="124"/>
      <c r="CL527" s="124"/>
      <c r="CM527" s="124"/>
      <c r="CN527" s="124"/>
      <c r="CO527" s="124"/>
      <c r="CP527" s="124"/>
      <c r="CQ527" s="124"/>
      <c r="CR527" s="124"/>
      <c r="CS527" s="124"/>
      <c r="CT527" s="124"/>
      <c r="CU527" s="124"/>
      <c r="CV527" s="124"/>
      <c r="CW527" s="124"/>
      <c r="CX527" s="124"/>
      <c r="CY527" s="124"/>
      <c r="CZ527" s="124"/>
      <c r="DA527" s="124"/>
      <c r="DB527" s="124"/>
      <c r="DC527" s="124"/>
      <c r="DD527" s="124"/>
      <c r="DE527" s="124"/>
      <c r="DF527" s="124"/>
      <c r="DG527" s="124"/>
      <c r="DH527" s="124"/>
      <c r="DI527" s="124"/>
      <c r="DJ527" s="124"/>
      <c r="DK527" s="124"/>
      <c r="DL527" s="124"/>
      <c r="DM527" s="124"/>
      <c r="DN527" s="124"/>
      <c r="DO527" s="124"/>
      <c r="DP527" s="124"/>
      <c r="DQ527" s="124"/>
      <c r="DR527" s="124"/>
      <c r="DS527" s="124"/>
      <c r="DT527" s="124"/>
      <c r="DU527" s="124"/>
      <c r="DV527" s="124"/>
      <c r="DW527" s="124"/>
      <c r="DX527" s="124"/>
      <c r="DY527" s="124"/>
      <c r="DZ527" s="124"/>
      <c r="EA527" s="124"/>
      <c r="EB527" s="124"/>
      <c r="EC527" s="124"/>
      <c r="ED527" s="124"/>
      <c r="EE527" s="124"/>
      <c r="EF527" s="124"/>
      <c r="EG527" s="124"/>
      <c r="EH527" s="124"/>
      <c r="EI527" s="124"/>
      <c r="EJ527" s="124"/>
      <c r="EK527" s="124"/>
      <c r="EL527" s="124"/>
      <c r="EM527" s="124"/>
      <c r="EN527" s="124"/>
      <c r="EO527" s="124"/>
      <c r="EP527" s="124"/>
      <c r="EQ527" s="124"/>
      <c r="ER527" s="124"/>
      <c r="ES527" s="124"/>
      <c r="ET527" s="124"/>
      <c r="EU527" s="124"/>
      <c r="EV527" s="124"/>
      <c r="EW527" s="124"/>
      <c r="EX527" s="124"/>
      <c r="EY527" s="124"/>
      <c r="EZ527" s="124"/>
      <c r="FA527" s="124"/>
      <c r="FB527" s="124"/>
      <c r="FC527" s="124"/>
      <c r="FD527" s="124"/>
      <c r="FE527" s="124"/>
      <c r="FF527" s="124"/>
      <c r="FG527" s="124"/>
      <c r="FH527" s="124"/>
      <c r="FI527" s="124"/>
      <c r="FJ527" s="124"/>
      <c r="FK527" s="124"/>
      <c r="FL527" s="124"/>
      <c r="FM527" s="124"/>
      <c r="FN527" s="124"/>
      <c r="FO527" s="124"/>
      <c r="FP527" s="124"/>
      <c r="FQ527" s="124"/>
      <c r="FR527" s="124"/>
      <c r="FS527" s="124"/>
      <c r="FT527" s="124"/>
      <c r="FU527" s="124"/>
      <c r="FV527" s="124"/>
      <c r="FW527" s="124"/>
      <c r="FX527" s="124"/>
      <c r="FY527" s="124"/>
      <c r="FZ527" s="124"/>
      <c r="GA527" s="124"/>
      <c r="GB527" s="124"/>
      <c r="GC527" s="124"/>
      <c r="GD527" s="124"/>
      <c r="GE527" s="124"/>
      <c r="GF527" s="124"/>
      <c r="GG527" s="124"/>
      <c r="GH527" s="124"/>
      <c r="GI527" s="124"/>
      <c r="GJ527" s="124"/>
      <c r="GK527" s="124"/>
      <c r="GL527" s="124"/>
      <c r="GM527" s="124"/>
      <c r="GN527" s="124"/>
      <c r="GO527" s="124"/>
      <c r="GP527" s="124"/>
      <c r="GQ527" s="124"/>
      <c r="GR527" s="124"/>
      <c r="GS527" s="124"/>
      <c r="GT527" s="124"/>
      <c r="GU527" s="124"/>
      <c r="GV527" s="124"/>
      <c r="GW527" s="124"/>
      <c r="GX527" s="124"/>
      <c r="GY527" s="124"/>
      <c r="GZ527" s="124"/>
      <c r="HA527" s="124"/>
      <c r="HB527" s="124"/>
      <c r="HC527" s="124"/>
      <c r="HD527" s="124"/>
      <c r="HE527" s="124"/>
      <c r="HF527" s="124"/>
      <c r="HG527" s="124"/>
      <c r="HH527" s="124"/>
      <c r="HI527" s="124"/>
      <c r="HJ527" s="124"/>
      <c r="HK527" s="124"/>
      <c r="HL527" s="124"/>
      <c r="HM527" s="124"/>
      <c r="HN527" s="124"/>
      <c r="HO527" s="124"/>
      <c r="HP527" s="124"/>
      <c r="HQ527" s="124"/>
    </row>
    <row r="528" spans="1:225" x14ac:dyDescent="0.2">
      <c r="A528" s="122"/>
      <c r="B528" s="123"/>
      <c r="C528" s="124"/>
      <c r="D528" s="123"/>
      <c r="E528" s="124"/>
      <c r="F528" s="123"/>
      <c r="G528" s="123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  <c r="AU528" s="124"/>
      <c r="AV528" s="124"/>
      <c r="AW528" s="124"/>
      <c r="AX528" s="124"/>
      <c r="AY528" s="124"/>
      <c r="AZ528" s="124"/>
      <c r="BA528" s="124"/>
      <c r="BB528" s="124"/>
      <c r="BC528" s="124"/>
      <c r="BD528" s="124"/>
      <c r="BE528" s="124"/>
      <c r="BF528" s="124"/>
      <c r="BG528" s="124"/>
      <c r="BH528" s="124"/>
      <c r="BI528" s="124"/>
      <c r="BJ528" s="124"/>
      <c r="BK528" s="124"/>
      <c r="BL528" s="124"/>
      <c r="BM528" s="124"/>
      <c r="BN528" s="124"/>
      <c r="BO528" s="124"/>
      <c r="BP528" s="124"/>
      <c r="BQ528" s="124"/>
      <c r="BR528" s="124"/>
      <c r="BS528" s="124"/>
      <c r="BT528" s="124"/>
      <c r="BU528" s="124"/>
      <c r="BV528" s="124"/>
      <c r="BW528" s="124"/>
      <c r="BX528" s="124"/>
      <c r="BY528" s="124"/>
      <c r="BZ528" s="124"/>
      <c r="CA528" s="124"/>
      <c r="CB528" s="124"/>
      <c r="CC528" s="124"/>
      <c r="CD528" s="124"/>
      <c r="CE528" s="124"/>
      <c r="CF528" s="124"/>
      <c r="CG528" s="124"/>
      <c r="CH528" s="124"/>
      <c r="CI528" s="124"/>
      <c r="CJ528" s="124"/>
      <c r="CK528" s="124"/>
      <c r="CL528" s="124"/>
      <c r="CM528" s="124"/>
      <c r="CN528" s="124"/>
      <c r="CO528" s="124"/>
      <c r="CP528" s="124"/>
      <c r="CQ528" s="124"/>
      <c r="CR528" s="124"/>
      <c r="CS528" s="124"/>
      <c r="CT528" s="124"/>
      <c r="CU528" s="124"/>
      <c r="CV528" s="124"/>
      <c r="CW528" s="124"/>
      <c r="CX528" s="124"/>
      <c r="CY528" s="124"/>
      <c r="CZ528" s="124"/>
      <c r="DA528" s="124"/>
      <c r="DB528" s="124"/>
      <c r="DC528" s="124"/>
      <c r="DD528" s="124"/>
      <c r="DE528" s="124"/>
      <c r="DF528" s="124"/>
      <c r="DG528" s="124"/>
      <c r="DH528" s="124"/>
      <c r="DI528" s="124"/>
      <c r="DJ528" s="124"/>
      <c r="DK528" s="124"/>
      <c r="DL528" s="124"/>
      <c r="DM528" s="124"/>
      <c r="DN528" s="124"/>
      <c r="DO528" s="124"/>
      <c r="DP528" s="124"/>
      <c r="DQ528" s="124"/>
      <c r="DR528" s="124"/>
      <c r="DS528" s="124"/>
      <c r="DT528" s="124"/>
      <c r="DU528" s="124"/>
      <c r="DV528" s="124"/>
      <c r="DW528" s="124"/>
      <c r="DX528" s="124"/>
      <c r="DY528" s="124"/>
      <c r="DZ528" s="124"/>
      <c r="EA528" s="124"/>
      <c r="EB528" s="124"/>
      <c r="EC528" s="124"/>
      <c r="ED528" s="124"/>
      <c r="EE528" s="124"/>
      <c r="EF528" s="124"/>
      <c r="EG528" s="124"/>
      <c r="EH528" s="124"/>
      <c r="EI528" s="124"/>
      <c r="EJ528" s="124"/>
      <c r="EK528" s="124"/>
      <c r="EL528" s="124"/>
      <c r="EM528" s="124"/>
      <c r="EN528" s="124"/>
      <c r="EO528" s="124"/>
      <c r="EP528" s="124"/>
      <c r="EQ528" s="124"/>
      <c r="ER528" s="124"/>
      <c r="ES528" s="124"/>
      <c r="ET528" s="124"/>
      <c r="EU528" s="124"/>
      <c r="EV528" s="124"/>
      <c r="EW528" s="124"/>
      <c r="EX528" s="124"/>
      <c r="EY528" s="124"/>
      <c r="EZ528" s="124"/>
      <c r="FA528" s="124"/>
      <c r="FB528" s="124"/>
      <c r="FC528" s="124"/>
      <c r="FD528" s="124"/>
      <c r="FE528" s="124"/>
      <c r="FF528" s="124"/>
      <c r="FG528" s="124"/>
      <c r="FH528" s="124"/>
      <c r="FI528" s="124"/>
      <c r="FJ528" s="124"/>
      <c r="FK528" s="124"/>
      <c r="FL528" s="124"/>
      <c r="FM528" s="124"/>
      <c r="FN528" s="124"/>
      <c r="FO528" s="124"/>
      <c r="FP528" s="124"/>
      <c r="FQ528" s="124"/>
      <c r="FR528" s="124"/>
      <c r="FS528" s="124"/>
      <c r="FT528" s="124"/>
      <c r="FU528" s="124"/>
      <c r="FV528" s="124"/>
      <c r="FW528" s="124"/>
      <c r="FX528" s="124"/>
      <c r="FY528" s="124"/>
      <c r="FZ528" s="124"/>
      <c r="GA528" s="124"/>
      <c r="GB528" s="124"/>
      <c r="GC528" s="124"/>
      <c r="GD528" s="124"/>
      <c r="GE528" s="124"/>
      <c r="GF528" s="124"/>
      <c r="GG528" s="124"/>
      <c r="GH528" s="124"/>
      <c r="GI528" s="124"/>
      <c r="GJ528" s="124"/>
      <c r="GK528" s="124"/>
      <c r="GL528" s="124"/>
      <c r="GM528" s="124"/>
      <c r="GN528" s="124"/>
      <c r="GO528" s="124"/>
      <c r="GP528" s="124"/>
      <c r="GQ528" s="124"/>
      <c r="GR528" s="124"/>
      <c r="GS528" s="124"/>
      <c r="GT528" s="124"/>
      <c r="GU528" s="124"/>
      <c r="GV528" s="124"/>
      <c r="GW528" s="124"/>
      <c r="GX528" s="124"/>
      <c r="GY528" s="124"/>
      <c r="GZ528" s="124"/>
      <c r="HA528" s="124"/>
      <c r="HB528" s="124"/>
      <c r="HC528" s="124"/>
      <c r="HD528" s="124"/>
      <c r="HE528" s="124"/>
      <c r="HF528" s="124"/>
      <c r="HG528" s="124"/>
      <c r="HH528" s="124"/>
      <c r="HI528" s="124"/>
      <c r="HJ528" s="124"/>
      <c r="HK528" s="124"/>
      <c r="HL528" s="124"/>
      <c r="HM528" s="124"/>
      <c r="HN528" s="124"/>
      <c r="HO528" s="124"/>
      <c r="HP528" s="124"/>
      <c r="HQ528" s="124"/>
    </row>
    <row r="529" spans="1:225" x14ac:dyDescent="0.2">
      <c r="A529" s="122"/>
      <c r="B529" s="123"/>
      <c r="C529" s="124"/>
      <c r="D529" s="123"/>
      <c r="E529" s="124"/>
      <c r="F529" s="123"/>
      <c r="G529" s="123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/>
      <c r="BB529" s="124"/>
      <c r="BC529" s="124"/>
      <c r="BD529" s="124"/>
      <c r="BE529" s="124"/>
      <c r="BF529" s="124"/>
      <c r="BG529" s="124"/>
      <c r="BH529" s="124"/>
      <c r="BI529" s="124"/>
      <c r="BJ529" s="124"/>
      <c r="BK529" s="124"/>
      <c r="BL529" s="124"/>
      <c r="BM529" s="124"/>
      <c r="BN529" s="124"/>
      <c r="BO529" s="124"/>
      <c r="BP529" s="124"/>
      <c r="BQ529" s="124"/>
      <c r="BR529" s="124"/>
      <c r="BS529" s="124"/>
      <c r="BT529" s="124"/>
      <c r="BU529" s="124"/>
      <c r="BV529" s="124"/>
      <c r="BW529" s="124"/>
      <c r="BX529" s="124"/>
      <c r="BY529" s="124"/>
      <c r="BZ529" s="124"/>
      <c r="CA529" s="124"/>
      <c r="CB529" s="124"/>
      <c r="CC529" s="124"/>
      <c r="CD529" s="124"/>
      <c r="CE529" s="124"/>
      <c r="CF529" s="124"/>
      <c r="CG529" s="124"/>
      <c r="CH529" s="124"/>
      <c r="CI529" s="124"/>
      <c r="CJ529" s="124"/>
      <c r="CK529" s="124"/>
      <c r="CL529" s="124"/>
      <c r="CM529" s="124"/>
      <c r="CN529" s="124"/>
      <c r="CO529" s="124"/>
      <c r="CP529" s="124"/>
      <c r="CQ529" s="124"/>
      <c r="CR529" s="124"/>
      <c r="CS529" s="124"/>
      <c r="CT529" s="124"/>
      <c r="CU529" s="124"/>
      <c r="CV529" s="124"/>
      <c r="CW529" s="124"/>
      <c r="CX529" s="124"/>
      <c r="CY529" s="124"/>
      <c r="CZ529" s="124"/>
      <c r="DA529" s="124"/>
      <c r="DB529" s="124"/>
      <c r="DC529" s="124"/>
      <c r="DD529" s="124"/>
      <c r="DE529" s="124"/>
      <c r="DF529" s="124"/>
      <c r="DG529" s="124"/>
      <c r="DH529" s="124"/>
      <c r="DI529" s="124"/>
      <c r="DJ529" s="124"/>
      <c r="DK529" s="124"/>
      <c r="DL529" s="124"/>
      <c r="DM529" s="124"/>
      <c r="DN529" s="124"/>
      <c r="DO529" s="124"/>
      <c r="DP529" s="124"/>
      <c r="DQ529" s="124"/>
      <c r="DR529" s="124"/>
      <c r="DS529" s="124"/>
      <c r="DT529" s="124"/>
      <c r="DU529" s="124"/>
      <c r="DV529" s="124"/>
      <c r="DW529" s="124"/>
      <c r="DX529" s="124"/>
      <c r="DY529" s="124"/>
      <c r="DZ529" s="124"/>
      <c r="EA529" s="124"/>
      <c r="EB529" s="124"/>
      <c r="EC529" s="124"/>
      <c r="ED529" s="124"/>
      <c r="EE529" s="124"/>
      <c r="EF529" s="124"/>
      <c r="EG529" s="124"/>
      <c r="EH529" s="124"/>
      <c r="EI529" s="124"/>
      <c r="EJ529" s="124"/>
      <c r="EK529" s="124"/>
      <c r="EL529" s="124"/>
      <c r="EM529" s="124"/>
      <c r="EN529" s="124"/>
      <c r="EO529" s="124"/>
      <c r="EP529" s="124"/>
      <c r="EQ529" s="124"/>
      <c r="ER529" s="124"/>
      <c r="ES529" s="124"/>
      <c r="ET529" s="124"/>
      <c r="EU529" s="124"/>
      <c r="EV529" s="124"/>
      <c r="EW529" s="124"/>
      <c r="EX529" s="124"/>
      <c r="EY529" s="124"/>
      <c r="EZ529" s="124"/>
      <c r="FA529" s="124"/>
      <c r="FB529" s="124"/>
      <c r="FC529" s="124"/>
      <c r="FD529" s="124"/>
      <c r="FE529" s="124"/>
      <c r="FF529" s="124"/>
      <c r="FG529" s="124"/>
      <c r="FH529" s="124"/>
      <c r="FI529" s="124"/>
      <c r="FJ529" s="124"/>
      <c r="FK529" s="124"/>
      <c r="FL529" s="124"/>
      <c r="FM529" s="124"/>
      <c r="FN529" s="124"/>
      <c r="FO529" s="124"/>
      <c r="FP529" s="124"/>
      <c r="FQ529" s="124"/>
      <c r="FR529" s="124"/>
      <c r="FS529" s="124"/>
      <c r="FT529" s="124"/>
      <c r="FU529" s="124"/>
      <c r="FV529" s="124"/>
      <c r="FW529" s="124"/>
      <c r="FX529" s="124"/>
      <c r="FY529" s="124"/>
      <c r="FZ529" s="124"/>
      <c r="GA529" s="124"/>
      <c r="GB529" s="124"/>
      <c r="GC529" s="124"/>
      <c r="GD529" s="124"/>
      <c r="GE529" s="124"/>
      <c r="GF529" s="124"/>
      <c r="GG529" s="124"/>
      <c r="GH529" s="124"/>
      <c r="GI529" s="124"/>
      <c r="GJ529" s="124"/>
      <c r="GK529" s="124"/>
      <c r="GL529" s="124"/>
      <c r="GM529" s="124"/>
      <c r="GN529" s="124"/>
      <c r="GO529" s="124"/>
      <c r="GP529" s="124"/>
      <c r="GQ529" s="124"/>
      <c r="GR529" s="124"/>
      <c r="GS529" s="124"/>
      <c r="GT529" s="124"/>
      <c r="GU529" s="124"/>
      <c r="GV529" s="124"/>
      <c r="GW529" s="124"/>
      <c r="GX529" s="124"/>
      <c r="GY529" s="124"/>
      <c r="GZ529" s="124"/>
      <c r="HA529" s="124"/>
      <c r="HB529" s="124"/>
      <c r="HC529" s="124"/>
      <c r="HD529" s="124"/>
      <c r="HE529" s="124"/>
      <c r="HF529" s="124"/>
      <c r="HG529" s="124"/>
      <c r="HH529" s="124"/>
      <c r="HI529" s="124"/>
      <c r="HJ529" s="124"/>
      <c r="HK529" s="124"/>
      <c r="HL529" s="124"/>
      <c r="HM529" s="124"/>
      <c r="HN529" s="124"/>
      <c r="HO529" s="124"/>
      <c r="HP529" s="124"/>
      <c r="HQ529" s="124"/>
    </row>
    <row r="530" spans="1:225" x14ac:dyDescent="0.2">
      <c r="A530" s="122"/>
      <c r="B530" s="123"/>
      <c r="C530" s="124"/>
      <c r="D530" s="123"/>
      <c r="E530" s="124"/>
      <c r="F530" s="123"/>
      <c r="G530" s="123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4"/>
      <c r="BH530" s="124"/>
      <c r="BI530" s="124"/>
      <c r="BJ530" s="124"/>
      <c r="BK530" s="124"/>
      <c r="BL530" s="124"/>
      <c r="BM530" s="124"/>
      <c r="BN530" s="124"/>
      <c r="BO530" s="124"/>
      <c r="BP530" s="124"/>
      <c r="BQ530" s="124"/>
      <c r="BR530" s="124"/>
      <c r="BS530" s="124"/>
      <c r="BT530" s="124"/>
      <c r="BU530" s="124"/>
      <c r="BV530" s="124"/>
      <c r="BW530" s="124"/>
      <c r="BX530" s="124"/>
      <c r="BY530" s="124"/>
      <c r="BZ530" s="124"/>
      <c r="CA530" s="124"/>
      <c r="CB530" s="124"/>
      <c r="CC530" s="124"/>
      <c r="CD530" s="124"/>
      <c r="CE530" s="124"/>
      <c r="CF530" s="124"/>
      <c r="CG530" s="124"/>
      <c r="CH530" s="124"/>
      <c r="CI530" s="124"/>
      <c r="CJ530" s="124"/>
      <c r="CK530" s="124"/>
      <c r="CL530" s="124"/>
      <c r="CM530" s="124"/>
      <c r="CN530" s="124"/>
      <c r="CO530" s="124"/>
      <c r="CP530" s="124"/>
      <c r="CQ530" s="124"/>
      <c r="CR530" s="124"/>
      <c r="CS530" s="124"/>
      <c r="CT530" s="124"/>
      <c r="CU530" s="124"/>
      <c r="CV530" s="124"/>
      <c r="CW530" s="124"/>
      <c r="CX530" s="124"/>
      <c r="CY530" s="124"/>
      <c r="CZ530" s="124"/>
      <c r="DA530" s="124"/>
      <c r="DB530" s="124"/>
      <c r="DC530" s="124"/>
      <c r="DD530" s="124"/>
      <c r="DE530" s="124"/>
      <c r="DF530" s="124"/>
      <c r="DG530" s="124"/>
      <c r="DH530" s="124"/>
      <c r="DI530" s="124"/>
      <c r="DJ530" s="124"/>
      <c r="DK530" s="124"/>
      <c r="DL530" s="124"/>
      <c r="DM530" s="124"/>
      <c r="DN530" s="124"/>
      <c r="DO530" s="124"/>
      <c r="DP530" s="124"/>
      <c r="DQ530" s="124"/>
      <c r="DR530" s="124"/>
      <c r="DS530" s="124"/>
      <c r="DT530" s="124"/>
      <c r="DU530" s="124"/>
      <c r="DV530" s="124"/>
      <c r="DW530" s="124"/>
      <c r="DX530" s="124"/>
      <c r="DY530" s="124"/>
      <c r="DZ530" s="124"/>
      <c r="EA530" s="124"/>
      <c r="EB530" s="124"/>
      <c r="EC530" s="124"/>
      <c r="ED530" s="124"/>
      <c r="EE530" s="124"/>
      <c r="EF530" s="124"/>
      <c r="EG530" s="124"/>
      <c r="EH530" s="124"/>
      <c r="EI530" s="124"/>
      <c r="EJ530" s="124"/>
      <c r="EK530" s="124"/>
      <c r="EL530" s="124"/>
      <c r="EM530" s="124"/>
      <c r="EN530" s="124"/>
      <c r="EO530" s="124"/>
      <c r="EP530" s="124"/>
      <c r="EQ530" s="124"/>
      <c r="ER530" s="124"/>
      <c r="ES530" s="124"/>
      <c r="ET530" s="124"/>
      <c r="EU530" s="124"/>
      <c r="EV530" s="124"/>
      <c r="EW530" s="124"/>
      <c r="EX530" s="124"/>
      <c r="EY530" s="124"/>
      <c r="EZ530" s="124"/>
      <c r="FA530" s="124"/>
      <c r="FB530" s="124"/>
      <c r="FC530" s="124"/>
      <c r="FD530" s="124"/>
      <c r="FE530" s="124"/>
      <c r="FF530" s="124"/>
      <c r="FG530" s="124"/>
      <c r="FH530" s="124"/>
      <c r="FI530" s="124"/>
      <c r="FJ530" s="124"/>
      <c r="FK530" s="124"/>
      <c r="FL530" s="124"/>
      <c r="FM530" s="124"/>
      <c r="FN530" s="124"/>
      <c r="FO530" s="124"/>
      <c r="FP530" s="124"/>
      <c r="FQ530" s="124"/>
      <c r="FR530" s="124"/>
      <c r="FS530" s="124"/>
      <c r="FT530" s="124"/>
      <c r="FU530" s="124"/>
      <c r="FV530" s="124"/>
      <c r="FW530" s="124"/>
      <c r="FX530" s="124"/>
      <c r="FY530" s="124"/>
      <c r="FZ530" s="124"/>
      <c r="GA530" s="124"/>
      <c r="GB530" s="124"/>
      <c r="GC530" s="124"/>
      <c r="GD530" s="124"/>
      <c r="GE530" s="124"/>
      <c r="GF530" s="124"/>
      <c r="GG530" s="124"/>
      <c r="GH530" s="124"/>
      <c r="GI530" s="124"/>
      <c r="GJ530" s="124"/>
      <c r="GK530" s="124"/>
      <c r="GL530" s="124"/>
      <c r="GM530" s="124"/>
      <c r="GN530" s="124"/>
      <c r="GO530" s="124"/>
      <c r="GP530" s="124"/>
      <c r="GQ530" s="124"/>
      <c r="GR530" s="124"/>
      <c r="GS530" s="124"/>
      <c r="GT530" s="124"/>
      <c r="GU530" s="124"/>
      <c r="GV530" s="124"/>
      <c r="GW530" s="124"/>
      <c r="GX530" s="124"/>
      <c r="GY530" s="124"/>
      <c r="GZ530" s="124"/>
      <c r="HA530" s="124"/>
      <c r="HB530" s="124"/>
      <c r="HC530" s="124"/>
      <c r="HD530" s="124"/>
      <c r="HE530" s="124"/>
      <c r="HF530" s="124"/>
      <c r="HG530" s="124"/>
      <c r="HH530" s="124"/>
      <c r="HI530" s="124"/>
      <c r="HJ530" s="124"/>
      <c r="HK530" s="124"/>
      <c r="HL530" s="124"/>
      <c r="HM530" s="124"/>
      <c r="HN530" s="124"/>
      <c r="HO530" s="124"/>
      <c r="HP530" s="124"/>
      <c r="HQ530" s="124"/>
    </row>
    <row r="531" spans="1:225" x14ac:dyDescent="0.2">
      <c r="A531" s="122"/>
      <c r="B531" s="123"/>
      <c r="C531" s="124"/>
      <c r="D531" s="123"/>
      <c r="E531" s="124"/>
      <c r="F531" s="123"/>
      <c r="G531" s="123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  <c r="AU531" s="124"/>
      <c r="AV531" s="124"/>
      <c r="AW531" s="124"/>
      <c r="AX531" s="124"/>
      <c r="AY531" s="124"/>
      <c r="AZ531" s="124"/>
      <c r="BA531" s="124"/>
      <c r="BB531" s="124"/>
      <c r="BC531" s="124"/>
      <c r="BD531" s="124"/>
      <c r="BE531" s="124"/>
      <c r="BF531" s="124"/>
      <c r="BG531" s="124"/>
      <c r="BH531" s="124"/>
      <c r="BI531" s="124"/>
      <c r="BJ531" s="124"/>
      <c r="BK531" s="124"/>
      <c r="BL531" s="124"/>
      <c r="BM531" s="124"/>
      <c r="BN531" s="124"/>
      <c r="BO531" s="124"/>
      <c r="BP531" s="124"/>
      <c r="BQ531" s="124"/>
      <c r="BR531" s="124"/>
      <c r="BS531" s="124"/>
      <c r="BT531" s="124"/>
      <c r="BU531" s="124"/>
      <c r="BV531" s="124"/>
      <c r="BW531" s="124"/>
      <c r="BX531" s="124"/>
      <c r="BY531" s="124"/>
      <c r="BZ531" s="124"/>
      <c r="CA531" s="124"/>
      <c r="CB531" s="124"/>
      <c r="CC531" s="124"/>
      <c r="CD531" s="124"/>
      <c r="CE531" s="124"/>
      <c r="CF531" s="124"/>
      <c r="CG531" s="124"/>
      <c r="CH531" s="124"/>
      <c r="CI531" s="124"/>
      <c r="CJ531" s="124"/>
      <c r="CK531" s="124"/>
      <c r="CL531" s="124"/>
      <c r="CM531" s="124"/>
      <c r="CN531" s="124"/>
      <c r="CO531" s="124"/>
      <c r="CP531" s="124"/>
      <c r="CQ531" s="124"/>
      <c r="CR531" s="124"/>
      <c r="CS531" s="124"/>
      <c r="CT531" s="124"/>
      <c r="CU531" s="124"/>
      <c r="CV531" s="124"/>
      <c r="CW531" s="124"/>
      <c r="CX531" s="124"/>
      <c r="CY531" s="124"/>
      <c r="CZ531" s="124"/>
      <c r="DA531" s="124"/>
      <c r="DB531" s="124"/>
      <c r="DC531" s="124"/>
      <c r="DD531" s="124"/>
      <c r="DE531" s="124"/>
      <c r="DF531" s="124"/>
      <c r="DG531" s="124"/>
      <c r="DH531" s="124"/>
      <c r="DI531" s="124"/>
      <c r="DJ531" s="124"/>
      <c r="DK531" s="124"/>
      <c r="DL531" s="124"/>
      <c r="DM531" s="124"/>
      <c r="DN531" s="124"/>
      <c r="DO531" s="124"/>
      <c r="DP531" s="124"/>
      <c r="DQ531" s="124"/>
      <c r="DR531" s="124"/>
      <c r="DS531" s="124"/>
      <c r="DT531" s="124"/>
      <c r="DU531" s="124"/>
      <c r="DV531" s="124"/>
      <c r="DW531" s="124"/>
      <c r="DX531" s="124"/>
      <c r="DY531" s="124"/>
      <c r="DZ531" s="124"/>
      <c r="EA531" s="124"/>
      <c r="EB531" s="124"/>
      <c r="EC531" s="124"/>
      <c r="ED531" s="124"/>
      <c r="EE531" s="124"/>
      <c r="EF531" s="124"/>
      <c r="EG531" s="124"/>
      <c r="EH531" s="124"/>
      <c r="EI531" s="124"/>
      <c r="EJ531" s="124"/>
      <c r="EK531" s="124"/>
      <c r="EL531" s="124"/>
      <c r="EM531" s="124"/>
      <c r="EN531" s="124"/>
      <c r="EO531" s="124"/>
      <c r="EP531" s="124"/>
      <c r="EQ531" s="124"/>
      <c r="ER531" s="124"/>
      <c r="ES531" s="124"/>
      <c r="ET531" s="124"/>
      <c r="EU531" s="124"/>
      <c r="EV531" s="124"/>
      <c r="EW531" s="124"/>
      <c r="EX531" s="124"/>
      <c r="EY531" s="124"/>
      <c r="EZ531" s="124"/>
      <c r="FA531" s="124"/>
      <c r="FB531" s="124"/>
      <c r="FC531" s="124"/>
      <c r="FD531" s="124"/>
      <c r="FE531" s="124"/>
      <c r="FF531" s="124"/>
      <c r="FG531" s="124"/>
      <c r="FH531" s="124"/>
      <c r="FI531" s="124"/>
      <c r="FJ531" s="124"/>
      <c r="FK531" s="124"/>
      <c r="FL531" s="124"/>
      <c r="FM531" s="124"/>
      <c r="FN531" s="124"/>
      <c r="FO531" s="124"/>
      <c r="FP531" s="124"/>
      <c r="FQ531" s="124"/>
      <c r="FR531" s="124"/>
      <c r="FS531" s="124"/>
      <c r="FT531" s="124"/>
      <c r="FU531" s="124"/>
      <c r="FV531" s="124"/>
      <c r="FW531" s="124"/>
      <c r="FX531" s="124"/>
      <c r="FY531" s="124"/>
      <c r="FZ531" s="124"/>
      <c r="GA531" s="124"/>
      <c r="GB531" s="124"/>
      <c r="GC531" s="124"/>
      <c r="GD531" s="124"/>
      <c r="GE531" s="124"/>
      <c r="GF531" s="124"/>
      <c r="GG531" s="124"/>
      <c r="GH531" s="124"/>
      <c r="GI531" s="124"/>
      <c r="GJ531" s="124"/>
      <c r="GK531" s="124"/>
      <c r="GL531" s="124"/>
      <c r="GM531" s="124"/>
      <c r="GN531" s="124"/>
      <c r="GO531" s="124"/>
      <c r="GP531" s="124"/>
      <c r="GQ531" s="124"/>
      <c r="GR531" s="124"/>
      <c r="GS531" s="124"/>
      <c r="GT531" s="124"/>
      <c r="GU531" s="124"/>
      <c r="GV531" s="124"/>
      <c r="GW531" s="124"/>
      <c r="GX531" s="124"/>
      <c r="GY531" s="124"/>
      <c r="GZ531" s="124"/>
      <c r="HA531" s="124"/>
      <c r="HB531" s="124"/>
      <c r="HC531" s="124"/>
      <c r="HD531" s="124"/>
      <c r="HE531" s="124"/>
      <c r="HF531" s="124"/>
      <c r="HG531" s="124"/>
      <c r="HH531" s="124"/>
      <c r="HI531" s="124"/>
      <c r="HJ531" s="124"/>
      <c r="HK531" s="124"/>
      <c r="HL531" s="124"/>
      <c r="HM531" s="124"/>
      <c r="HN531" s="124"/>
      <c r="HO531" s="124"/>
      <c r="HP531" s="124"/>
      <c r="HQ531" s="124"/>
    </row>
    <row r="532" spans="1:225" x14ac:dyDescent="0.2">
      <c r="A532" s="122"/>
      <c r="B532" s="123"/>
      <c r="C532" s="124"/>
      <c r="D532" s="123"/>
      <c r="E532" s="124"/>
      <c r="F532" s="123"/>
      <c r="G532" s="123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  <c r="AU532" s="124"/>
      <c r="AV532" s="124"/>
      <c r="AW532" s="124"/>
      <c r="AX532" s="124"/>
      <c r="AY532" s="124"/>
      <c r="AZ532" s="124"/>
      <c r="BA532" s="124"/>
      <c r="BB532" s="124"/>
      <c r="BC532" s="124"/>
      <c r="BD532" s="124"/>
      <c r="BE532" s="124"/>
      <c r="BF532" s="124"/>
      <c r="BG532" s="124"/>
      <c r="BH532" s="124"/>
      <c r="BI532" s="124"/>
      <c r="BJ532" s="124"/>
      <c r="BK532" s="124"/>
      <c r="BL532" s="124"/>
      <c r="BM532" s="124"/>
      <c r="BN532" s="124"/>
      <c r="BO532" s="124"/>
      <c r="BP532" s="124"/>
      <c r="BQ532" s="124"/>
      <c r="BR532" s="124"/>
      <c r="BS532" s="124"/>
      <c r="BT532" s="124"/>
      <c r="BU532" s="124"/>
      <c r="BV532" s="124"/>
      <c r="BW532" s="124"/>
      <c r="BX532" s="124"/>
      <c r="BY532" s="124"/>
      <c r="BZ532" s="124"/>
      <c r="CA532" s="124"/>
      <c r="CB532" s="124"/>
      <c r="CC532" s="124"/>
      <c r="CD532" s="124"/>
      <c r="CE532" s="124"/>
      <c r="CF532" s="124"/>
      <c r="CG532" s="124"/>
      <c r="CH532" s="124"/>
      <c r="CI532" s="124"/>
      <c r="CJ532" s="124"/>
      <c r="CK532" s="124"/>
      <c r="CL532" s="124"/>
      <c r="CM532" s="124"/>
      <c r="CN532" s="124"/>
      <c r="CO532" s="124"/>
      <c r="CP532" s="124"/>
      <c r="CQ532" s="124"/>
      <c r="CR532" s="124"/>
      <c r="CS532" s="124"/>
      <c r="CT532" s="124"/>
      <c r="CU532" s="124"/>
      <c r="CV532" s="124"/>
      <c r="CW532" s="124"/>
      <c r="CX532" s="124"/>
      <c r="CY532" s="124"/>
      <c r="CZ532" s="124"/>
      <c r="DA532" s="124"/>
      <c r="DB532" s="124"/>
      <c r="DC532" s="124"/>
      <c r="DD532" s="124"/>
      <c r="DE532" s="124"/>
      <c r="DF532" s="124"/>
      <c r="DG532" s="124"/>
      <c r="DH532" s="124"/>
      <c r="DI532" s="124"/>
      <c r="DJ532" s="124"/>
      <c r="DK532" s="124"/>
      <c r="DL532" s="124"/>
      <c r="DM532" s="124"/>
      <c r="DN532" s="124"/>
      <c r="DO532" s="124"/>
      <c r="DP532" s="124"/>
      <c r="DQ532" s="124"/>
      <c r="DR532" s="124"/>
      <c r="DS532" s="124"/>
      <c r="DT532" s="124"/>
      <c r="DU532" s="124"/>
      <c r="DV532" s="124"/>
      <c r="DW532" s="124"/>
      <c r="DX532" s="124"/>
      <c r="DY532" s="124"/>
      <c r="DZ532" s="124"/>
      <c r="EA532" s="124"/>
      <c r="EB532" s="124"/>
      <c r="EC532" s="124"/>
      <c r="ED532" s="124"/>
      <c r="EE532" s="124"/>
      <c r="EF532" s="124"/>
      <c r="EG532" s="124"/>
      <c r="EH532" s="124"/>
      <c r="EI532" s="124"/>
      <c r="EJ532" s="124"/>
      <c r="EK532" s="124"/>
      <c r="EL532" s="124"/>
      <c r="EM532" s="124"/>
      <c r="EN532" s="124"/>
      <c r="EO532" s="124"/>
      <c r="EP532" s="124"/>
      <c r="EQ532" s="124"/>
      <c r="ER532" s="124"/>
      <c r="ES532" s="124"/>
      <c r="ET532" s="124"/>
      <c r="EU532" s="124"/>
      <c r="EV532" s="124"/>
      <c r="EW532" s="124"/>
      <c r="EX532" s="124"/>
      <c r="EY532" s="124"/>
      <c r="EZ532" s="124"/>
      <c r="FA532" s="124"/>
      <c r="FB532" s="124"/>
      <c r="FC532" s="124"/>
      <c r="FD532" s="124"/>
      <c r="FE532" s="124"/>
      <c r="FF532" s="124"/>
      <c r="FG532" s="124"/>
      <c r="FH532" s="124"/>
      <c r="FI532" s="124"/>
      <c r="FJ532" s="124"/>
      <c r="FK532" s="124"/>
      <c r="FL532" s="124"/>
      <c r="FM532" s="124"/>
      <c r="FN532" s="124"/>
      <c r="FO532" s="124"/>
      <c r="FP532" s="124"/>
      <c r="FQ532" s="124"/>
      <c r="FR532" s="124"/>
      <c r="FS532" s="124"/>
      <c r="FT532" s="124"/>
      <c r="FU532" s="124"/>
      <c r="FV532" s="124"/>
      <c r="FW532" s="124"/>
      <c r="FX532" s="124"/>
      <c r="FY532" s="124"/>
      <c r="FZ532" s="124"/>
      <c r="GA532" s="124"/>
      <c r="GB532" s="124"/>
      <c r="GC532" s="124"/>
      <c r="GD532" s="124"/>
      <c r="GE532" s="124"/>
      <c r="GF532" s="124"/>
      <c r="GG532" s="124"/>
      <c r="GH532" s="124"/>
      <c r="GI532" s="124"/>
      <c r="GJ532" s="124"/>
      <c r="GK532" s="124"/>
      <c r="GL532" s="124"/>
      <c r="GM532" s="124"/>
      <c r="GN532" s="124"/>
      <c r="GO532" s="124"/>
      <c r="GP532" s="124"/>
      <c r="GQ532" s="124"/>
      <c r="GR532" s="124"/>
      <c r="GS532" s="124"/>
      <c r="GT532" s="124"/>
      <c r="GU532" s="124"/>
      <c r="GV532" s="124"/>
      <c r="GW532" s="124"/>
      <c r="GX532" s="124"/>
      <c r="GY532" s="124"/>
      <c r="GZ532" s="124"/>
      <c r="HA532" s="124"/>
      <c r="HB532" s="124"/>
      <c r="HC532" s="124"/>
      <c r="HD532" s="124"/>
      <c r="HE532" s="124"/>
      <c r="HF532" s="124"/>
      <c r="HG532" s="124"/>
      <c r="HH532" s="124"/>
      <c r="HI532" s="124"/>
      <c r="HJ532" s="124"/>
      <c r="HK532" s="124"/>
      <c r="HL532" s="124"/>
      <c r="HM532" s="124"/>
      <c r="HN532" s="124"/>
      <c r="HO532" s="124"/>
      <c r="HP532" s="124"/>
      <c r="HQ532" s="124"/>
    </row>
    <row r="533" spans="1:225" x14ac:dyDescent="0.2">
      <c r="A533" s="122"/>
      <c r="B533" s="123"/>
      <c r="C533" s="124"/>
      <c r="D533" s="123"/>
      <c r="E533" s="124"/>
      <c r="F533" s="123"/>
      <c r="G533" s="123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  <c r="AL533" s="124"/>
      <c r="AM533" s="124"/>
      <c r="AN533" s="124"/>
      <c r="AO533" s="124"/>
      <c r="AP533" s="124"/>
      <c r="AQ533" s="124"/>
      <c r="AR533" s="124"/>
      <c r="AS533" s="124"/>
      <c r="AT533" s="124"/>
      <c r="AU533" s="124"/>
      <c r="AV533" s="124"/>
      <c r="AW533" s="124"/>
      <c r="AX533" s="124"/>
      <c r="AY533" s="124"/>
      <c r="AZ533" s="124"/>
      <c r="BA533" s="124"/>
      <c r="BB533" s="124"/>
      <c r="BC533" s="124"/>
      <c r="BD533" s="124"/>
      <c r="BE533" s="124"/>
      <c r="BF533" s="124"/>
      <c r="BG533" s="124"/>
      <c r="BH533" s="124"/>
      <c r="BI533" s="124"/>
      <c r="BJ533" s="124"/>
      <c r="BK533" s="124"/>
      <c r="BL533" s="124"/>
      <c r="BM533" s="124"/>
      <c r="BN533" s="124"/>
      <c r="BO533" s="124"/>
      <c r="BP533" s="124"/>
      <c r="BQ533" s="124"/>
      <c r="BR533" s="124"/>
      <c r="BS533" s="124"/>
      <c r="BT533" s="124"/>
      <c r="BU533" s="124"/>
      <c r="BV533" s="124"/>
      <c r="BW533" s="124"/>
      <c r="BX533" s="124"/>
      <c r="BY533" s="124"/>
      <c r="BZ533" s="124"/>
      <c r="CA533" s="124"/>
      <c r="CB533" s="124"/>
      <c r="CC533" s="124"/>
      <c r="CD533" s="124"/>
      <c r="CE533" s="124"/>
      <c r="CF533" s="124"/>
      <c r="CG533" s="124"/>
      <c r="CH533" s="124"/>
      <c r="CI533" s="124"/>
      <c r="CJ533" s="124"/>
      <c r="CK533" s="124"/>
      <c r="CL533" s="124"/>
      <c r="CM533" s="124"/>
      <c r="CN533" s="124"/>
      <c r="CO533" s="124"/>
      <c r="CP533" s="124"/>
      <c r="CQ533" s="124"/>
      <c r="CR533" s="124"/>
      <c r="CS533" s="124"/>
      <c r="CT533" s="124"/>
      <c r="CU533" s="124"/>
      <c r="CV533" s="124"/>
      <c r="CW533" s="124"/>
      <c r="CX533" s="124"/>
      <c r="CY533" s="124"/>
      <c r="CZ533" s="124"/>
      <c r="DA533" s="124"/>
      <c r="DB533" s="124"/>
      <c r="DC533" s="124"/>
      <c r="DD533" s="124"/>
      <c r="DE533" s="124"/>
      <c r="DF533" s="124"/>
      <c r="DG533" s="124"/>
      <c r="DH533" s="124"/>
      <c r="DI533" s="124"/>
      <c r="DJ533" s="124"/>
      <c r="DK533" s="124"/>
      <c r="DL533" s="124"/>
      <c r="DM533" s="124"/>
      <c r="DN533" s="124"/>
      <c r="DO533" s="124"/>
      <c r="DP533" s="124"/>
      <c r="DQ533" s="124"/>
      <c r="DR533" s="124"/>
      <c r="DS533" s="124"/>
      <c r="DT533" s="124"/>
      <c r="DU533" s="124"/>
      <c r="DV533" s="124"/>
      <c r="DW533" s="124"/>
      <c r="DX533" s="124"/>
      <c r="DY533" s="124"/>
      <c r="DZ533" s="124"/>
      <c r="EA533" s="124"/>
      <c r="EB533" s="124"/>
      <c r="EC533" s="124"/>
      <c r="ED533" s="124"/>
      <c r="EE533" s="124"/>
      <c r="EF533" s="124"/>
      <c r="EG533" s="124"/>
      <c r="EH533" s="124"/>
      <c r="EI533" s="124"/>
      <c r="EJ533" s="124"/>
      <c r="EK533" s="124"/>
      <c r="EL533" s="124"/>
      <c r="EM533" s="124"/>
      <c r="EN533" s="124"/>
      <c r="EO533" s="124"/>
      <c r="EP533" s="124"/>
      <c r="EQ533" s="124"/>
      <c r="ER533" s="124"/>
      <c r="ES533" s="124"/>
      <c r="ET533" s="124"/>
      <c r="EU533" s="124"/>
      <c r="EV533" s="124"/>
      <c r="EW533" s="124"/>
      <c r="EX533" s="124"/>
      <c r="EY533" s="124"/>
      <c r="EZ533" s="124"/>
      <c r="FA533" s="124"/>
      <c r="FB533" s="124"/>
      <c r="FC533" s="124"/>
      <c r="FD533" s="124"/>
      <c r="FE533" s="124"/>
      <c r="FF533" s="124"/>
      <c r="FG533" s="124"/>
      <c r="FH533" s="124"/>
      <c r="FI533" s="124"/>
      <c r="FJ533" s="124"/>
      <c r="FK533" s="124"/>
      <c r="FL533" s="124"/>
      <c r="FM533" s="124"/>
      <c r="FN533" s="124"/>
      <c r="FO533" s="124"/>
      <c r="FP533" s="124"/>
      <c r="FQ533" s="124"/>
      <c r="FR533" s="124"/>
      <c r="FS533" s="124"/>
      <c r="FT533" s="124"/>
      <c r="FU533" s="124"/>
      <c r="FV533" s="124"/>
      <c r="FW533" s="124"/>
      <c r="FX533" s="124"/>
      <c r="FY533" s="124"/>
      <c r="FZ533" s="124"/>
      <c r="GA533" s="124"/>
      <c r="GB533" s="124"/>
      <c r="GC533" s="124"/>
      <c r="GD533" s="124"/>
      <c r="GE533" s="124"/>
      <c r="GF533" s="124"/>
      <c r="GG533" s="124"/>
      <c r="GH533" s="124"/>
      <c r="GI533" s="124"/>
      <c r="GJ533" s="124"/>
      <c r="GK533" s="124"/>
      <c r="GL533" s="124"/>
      <c r="GM533" s="124"/>
      <c r="GN533" s="124"/>
      <c r="GO533" s="124"/>
      <c r="GP533" s="124"/>
      <c r="GQ533" s="124"/>
      <c r="GR533" s="124"/>
      <c r="GS533" s="124"/>
      <c r="GT533" s="124"/>
      <c r="GU533" s="124"/>
      <c r="GV533" s="124"/>
      <c r="GW533" s="124"/>
      <c r="GX533" s="124"/>
      <c r="GY533" s="124"/>
      <c r="GZ533" s="124"/>
      <c r="HA533" s="124"/>
      <c r="HB533" s="124"/>
      <c r="HC533" s="124"/>
      <c r="HD533" s="124"/>
      <c r="HE533" s="124"/>
      <c r="HF533" s="124"/>
      <c r="HG533" s="124"/>
      <c r="HH533" s="124"/>
      <c r="HI533" s="124"/>
      <c r="HJ533" s="124"/>
      <c r="HK533" s="124"/>
      <c r="HL533" s="124"/>
      <c r="HM533" s="124"/>
      <c r="HN533" s="124"/>
      <c r="HO533" s="124"/>
      <c r="HP533" s="124"/>
      <c r="HQ533" s="124"/>
    </row>
    <row r="534" spans="1:225" x14ac:dyDescent="0.2">
      <c r="A534" s="122"/>
      <c r="B534" s="123"/>
      <c r="C534" s="124"/>
      <c r="D534" s="123"/>
      <c r="E534" s="124"/>
      <c r="F534" s="123"/>
      <c r="G534" s="123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  <c r="AU534" s="124"/>
      <c r="AV534" s="124"/>
      <c r="AW534" s="124"/>
      <c r="AX534" s="124"/>
      <c r="AY534" s="124"/>
      <c r="AZ534" s="124"/>
      <c r="BA534" s="124"/>
      <c r="BB534" s="124"/>
      <c r="BC534" s="124"/>
      <c r="BD534" s="124"/>
      <c r="BE534" s="124"/>
      <c r="BF534" s="124"/>
      <c r="BG534" s="124"/>
      <c r="BH534" s="124"/>
      <c r="BI534" s="124"/>
      <c r="BJ534" s="124"/>
      <c r="BK534" s="124"/>
      <c r="BL534" s="124"/>
      <c r="BM534" s="124"/>
      <c r="BN534" s="124"/>
      <c r="BO534" s="124"/>
      <c r="BP534" s="124"/>
      <c r="BQ534" s="124"/>
      <c r="BR534" s="124"/>
      <c r="BS534" s="124"/>
      <c r="BT534" s="124"/>
      <c r="BU534" s="124"/>
      <c r="BV534" s="124"/>
      <c r="BW534" s="124"/>
      <c r="BX534" s="124"/>
      <c r="BY534" s="124"/>
      <c r="BZ534" s="124"/>
      <c r="CA534" s="124"/>
      <c r="CB534" s="124"/>
      <c r="CC534" s="124"/>
      <c r="CD534" s="124"/>
      <c r="CE534" s="124"/>
      <c r="CF534" s="124"/>
      <c r="CG534" s="124"/>
      <c r="CH534" s="124"/>
      <c r="CI534" s="124"/>
      <c r="CJ534" s="124"/>
      <c r="CK534" s="124"/>
      <c r="CL534" s="124"/>
      <c r="CM534" s="124"/>
      <c r="CN534" s="124"/>
      <c r="CO534" s="124"/>
      <c r="CP534" s="124"/>
      <c r="CQ534" s="124"/>
      <c r="CR534" s="124"/>
      <c r="CS534" s="124"/>
      <c r="CT534" s="124"/>
      <c r="CU534" s="124"/>
      <c r="CV534" s="124"/>
      <c r="CW534" s="124"/>
      <c r="CX534" s="124"/>
      <c r="CY534" s="124"/>
      <c r="CZ534" s="124"/>
      <c r="DA534" s="124"/>
      <c r="DB534" s="124"/>
      <c r="DC534" s="124"/>
      <c r="DD534" s="124"/>
      <c r="DE534" s="124"/>
      <c r="DF534" s="124"/>
      <c r="DG534" s="124"/>
      <c r="DH534" s="124"/>
      <c r="DI534" s="124"/>
      <c r="DJ534" s="124"/>
      <c r="DK534" s="124"/>
      <c r="DL534" s="124"/>
      <c r="DM534" s="124"/>
      <c r="DN534" s="124"/>
      <c r="DO534" s="124"/>
      <c r="DP534" s="124"/>
      <c r="DQ534" s="124"/>
      <c r="DR534" s="124"/>
      <c r="DS534" s="124"/>
      <c r="DT534" s="124"/>
      <c r="DU534" s="124"/>
      <c r="DV534" s="124"/>
      <c r="DW534" s="124"/>
      <c r="DX534" s="124"/>
      <c r="DY534" s="124"/>
      <c r="DZ534" s="124"/>
      <c r="EA534" s="124"/>
      <c r="EB534" s="124"/>
      <c r="EC534" s="124"/>
      <c r="ED534" s="124"/>
      <c r="EE534" s="124"/>
      <c r="EF534" s="124"/>
      <c r="EG534" s="124"/>
      <c r="EH534" s="124"/>
      <c r="EI534" s="124"/>
      <c r="EJ534" s="124"/>
      <c r="EK534" s="124"/>
      <c r="EL534" s="124"/>
      <c r="EM534" s="124"/>
      <c r="EN534" s="124"/>
      <c r="EO534" s="124"/>
      <c r="EP534" s="124"/>
      <c r="EQ534" s="124"/>
      <c r="ER534" s="124"/>
      <c r="ES534" s="124"/>
      <c r="ET534" s="124"/>
      <c r="EU534" s="124"/>
      <c r="EV534" s="124"/>
      <c r="EW534" s="124"/>
      <c r="EX534" s="124"/>
      <c r="EY534" s="124"/>
      <c r="EZ534" s="124"/>
      <c r="FA534" s="124"/>
      <c r="FB534" s="124"/>
      <c r="FC534" s="124"/>
      <c r="FD534" s="124"/>
      <c r="FE534" s="124"/>
      <c r="FF534" s="124"/>
      <c r="FG534" s="124"/>
      <c r="FH534" s="124"/>
      <c r="FI534" s="124"/>
      <c r="FJ534" s="124"/>
      <c r="FK534" s="124"/>
      <c r="FL534" s="124"/>
      <c r="FM534" s="124"/>
      <c r="FN534" s="124"/>
      <c r="FO534" s="124"/>
      <c r="FP534" s="124"/>
      <c r="FQ534" s="124"/>
      <c r="FR534" s="124"/>
      <c r="FS534" s="124"/>
      <c r="FT534" s="124"/>
      <c r="FU534" s="124"/>
      <c r="FV534" s="124"/>
      <c r="FW534" s="124"/>
      <c r="FX534" s="124"/>
      <c r="FY534" s="124"/>
      <c r="FZ534" s="124"/>
      <c r="GA534" s="124"/>
      <c r="GB534" s="124"/>
      <c r="GC534" s="124"/>
      <c r="GD534" s="124"/>
      <c r="GE534" s="124"/>
      <c r="GF534" s="124"/>
      <c r="GG534" s="124"/>
      <c r="GH534" s="124"/>
      <c r="GI534" s="124"/>
      <c r="GJ534" s="124"/>
      <c r="GK534" s="124"/>
      <c r="GL534" s="124"/>
      <c r="GM534" s="124"/>
      <c r="GN534" s="124"/>
      <c r="GO534" s="124"/>
      <c r="GP534" s="124"/>
      <c r="GQ534" s="124"/>
      <c r="GR534" s="124"/>
      <c r="GS534" s="124"/>
      <c r="GT534" s="124"/>
      <c r="GU534" s="124"/>
      <c r="GV534" s="124"/>
      <c r="GW534" s="124"/>
      <c r="GX534" s="124"/>
      <c r="GY534" s="124"/>
      <c r="GZ534" s="124"/>
      <c r="HA534" s="124"/>
      <c r="HB534" s="124"/>
      <c r="HC534" s="124"/>
      <c r="HD534" s="124"/>
      <c r="HE534" s="124"/>
      <c r="HF534" s="124"/>
      <c r="HG534" s="124"/>
      <c r="HH534" s="124"/>
      <c r="HI534" s="124"/>
      <c r="HJ534" s="124"/>
      <c r="HK534" s="124"/>
      <c r="HL534" s="124"/>
      <c r="HM534" s="124"/>
      <c r="HN534" s="124"/>
      <c r="HO534" s="124"/>
      <c r="HP534" s="124"/>
      <c r="HQ534" s="124"/>
    </row>
    <row r="535" spans="1:225" x14ac:dyDescent="0.2">
      <c r="A535" s="122"/>
      <c r="B535" s="123"/>
      <c r="C535" s="124"/>
      <c r="D535" s="123"/>
      <c r="E535" s="124"/>
      <c r="F535" s="123"/>
      <c r="G535" s="123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  <c r="AU535" s="124"/>
      <c r="AV535" s="124"/>
      <c r="AW535" s="124"/>
      <c r="AX535" s="124"/>
      <c r="AY535" s="124"/>
      <c r="AZ535" s="124"/>
      <c r="BA535" s="124"/>
      <c r="BB535" s="124"/>
      <c r="BC535" s="124"/>
      <c r="BD535" s="124"/>
      <c r="BE535" s="124"/>
      <c r="BF535" s="124"/>
      <c r="BG535" s="124"/>
      <c r="BH535" s="124"/>
      <c r="BI535" s="124"/>
      <c r="BJ535" s="124"/>
      <c r="BK535" s="124"/>
      <c r="BL535" s="124"/>
      <c r="BM535" s="124"/>
      <c r="BN535" s="124"/>
      <c r="BO535" s="124"/>
      <c r="BP535" s="124"/>
      <c r="BQ535" s="124"/>
      <c r="BR535" s="124"/>
      <c r="BS535" s="124"/>
      <c r="BT535" s="124"/>
      <c r="BU535" s="124"/>
      <c r="BV535" s="124"/>
      <c r="BW535" s="124"/>
      <c r="BX535" s="124"/>
      <c r="BY535" s="124"/>
      <c r="BZ535" s="124"/>
      <c r="CA535" s="124"/>
      <c r="CB535" s="124"/>
      <c r="CC535" s="124"/>
      <c r="CD535" s="124"/>
      <c r="CE535" s="124"/>
      <c r="CF535" s="124"/>
      <c r="CG535" s="124"/>
      <c r="CH535" s="124"/>
      <c r="CI535" s="124"/>
      <c r="CJ535" s="124"/>
      <c r="CK535" s="124"/>
      <c r="CL535" s="124"/>
      <c r="CM535" s="124"/>
      <c r="CN535" s="124"/>
      <c r="CO535" s="124"/>
      <c r="CP535" s="124"/>
      <c r="CQ535" s="124"/>
      <c r="CR535" s="124"/>
      <c r="CS535" s="124"/>
      <c r="CT535" s="124"/>
      <c r="CU535" s="124"/>
      <c r="CV535" s="124"/>
      <c r="CW535" s="124"/>
      <c r="CX535" s="124"/>
      <c r="CY535" s="124"/>
      <c r="CZ535" s="124"/>
      <c r="DA535" s="124"/>
      <c r="DB535" s="124"/>
      <c r="DC535" s="124"/>
      <c r="DD535" s="124"/>
      <c r="DE535" s="124"/>
      <c r="DF535" s="124"/>
      <c r="DG535" s="124"/>
      <c r="DH535" s="124"/>
      <c r="DI535" s="124"/>
      <c r="DJ535" s="124"/>
      <c r="DK535" s="124"/>
      <c r="DL535" s="124"/>
      <c r="DM535" s="124"/>
      <c r="DN535" s="124"/>
      <c r="DO535" s="124"/>
      <c r="DP535" s="124"/>
      <c r="DQ535" s="124"/>
      <c r="DR535" s="124"/>
      <c r="DS535" s="124"/>
      <c r="DT535" s="124"/>
      <c r="DU535" s="124"/>
      <c r="DV535" s="124"/>
      <c r="DW535" s="124"/>
      <c r="DX535" s="124"/>
      <c r="DY535" s="124"/>
      <c r="DZ535" s="124"/>
      <c r="EA535" s="124"/>
      <c r="EB535" s="124"/>
      <c r="EC535" s="124"/>
      <c r="ED535" s="124"/>
      <c r="EE535" s="124"/>
      <c r="EF535" s="124"/>
      <c r="EG535" s="124"/>
      <c r="EH535" s="124"/>
      <c r="EI535" s="124"/>
      <c r="EJ535" s="124"/>
      <c r="EK535" s="124"/>
      <c r="EL535" s="124"/>
      <c r="EM535" s="124"/>
      <c r="EN535" s="124"/>
      <c r="EO535" s="124"/>
      <c r="EP535" s="124"/>
      <c r="EQ535" s="124"/>
      <c r="ER535" s="124"/>
      <c r="ES535" s="124"/>
      <c r="ET535" s="124"/>
      <c r="EU535" s="124"/>
      <c r="EV535" s="124"/>
      <c r="EW535" s="124"/>
      <c r="EX535" s="124"/>
      <c r="EY535" s="124"/>
      <c r="EZ535" s="124"/>
      <c r="FA535" s="124"/>
      <c r="FB535" s="124"/>
      <c r="FC535" s="124"/>
      <c r="FD535" s="124"/>
      <c r="FE535" s="124"/>
      <c r="FF535" s="124"/>
      <c r="FG535" s="124"/>
      <c r="FH535" s="124"/>
      <c r="FI535" s="124"/>
      <c r="FJ535" s="124"/>
      <c r="FK535" s="124"/>
      <c r="FL535" s="124"/>
      <c r="FM535" s="124"/>
      <c r="FN535" s="124"/>
      <c r="FO535" s="124"/>
      <c r="FP535" s="124"/>
      <c r="FQ535" s="124"/>
      <c r="FR535" s="124"/>
      <c r="FS535" s="124"/>
      <c r="FT535" s="124"/>
      <c r="FU535" s="124"/>
      <c r="FV535" s="124"/>
      <c r="FW535" s="124"/>
      <c r="FX535" s="124"/>
      <c r="FY535" s="124"/>
      <c r="FZ535" s="124"/>
      <c r="GA535" s="124"/>
      <c r="GB535" s="124"/>
      <c r="GC535" s="124"/>
      <c r="GD535" s="124"/>
      <c r="GE535" s="124"/>
      <c r="GF535" s="124"/>
      <c r="GG535" s="124"/>
      <c r="GH535" s="124"/>
      <c r="GI535" s="124"/>
      <c r="GJ535" s="124"/>
      <c r="GK535" s="124"/>
      <c r="GL535" s="124"/>
      <c r="GM535" s="124"/>
      <c r="GN535" s="124"/>
      <c r="GO535" s="124"/>
      <c r="GP535" s="124"/>
      <c r="GQ535" s="124"/>
      <c r="GR535" s="124"/>
      <c r="GS535" s="124"/>
      <c r="GT535" s="124"/>
      <c r="GU535" s="124"/>
      <c r="GV535" s="124"/>
      <c r="GW535" s="124"/>
      <c r="GX535" s="124"/>
      <c r="GY535" s="124"/>
      <c r="GZ535" s="124"/>
      <c r="HA535" s="124"/>
      <c r="HB535" s="124"/>
      <c r="HC535" s="124"/>
      <c r="HD535" s="124"/>
      <c r="HE535" s="124"/>
      <c r="HF535" s="124"/>
      <c r="HG535" s="124"/>
      <c r="HH535" s="124"/>
      <c r="HI535" s="124"/>
      <c r="HJ535" s="124"/>
      <c r="HK535" s="124"/>
      <c r="HL535" s="124"/>
      <c r="HM535" s="124"/>
      <c r="HN535" s="124"/>
      <c r="HO535" s="124"/>
      <c r="HP535" s="124"/>
      <c r="HQ535" s="124"/>
    </row>
    <row r="536" spans="1:225" x14ac:dyDescent="0.2">
      <c r="A536" s="122"/>
      <c r="B536" s="123"/>
      <c r="C536" s="124"/>
      <c r="D536" s="123"/>
      <c r="E536" s="124"/>
      <c r="F536" s="123"/>
      <c r="G536" s="123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  <c r="AU536" s="124"/>
      <c r="AV536" s="124"/>
      <c r="AW536" s="124"/>
      <c r="AX536" s="124"/>
      <c r="AY536" s="124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  <c r="BJ536" s="124"/>
      <c r="BK536" s="124"/>
      <c r="BL536" s="124"/>
      <c r="BM536" s="124"/>
      <c r="BN536" s="124"/>
      <c r="BO536" s="124"/>
      <c r="BP536" s="124"/>
      <c r="BQ536" s="124"/>
      <c r="BR536" s="124"/>
      <c r="BS536" s="124"/>
      <c r="BT536" s="124"/>
      <c r="BU536" s="124"/>
      <c r="BV536" s="124"/>
      <c r="BW536" s="124"/>
      <c r="BX536" s="124"/>
      <c r="BY536" s="124"/>
      <c r="BZ536" s="124"/>
      <c r="CA536" s="124"/>
      <c r="CB536" s="124"/>
      <c r="CC536" s="124"/>
      <c r="CD536" s="124"/>
      <c r="CE536" s="124"/>
      <c r="CF536" s="124"/>
      <c r="CG536" s="124"/>
      <c r="CH536" s="124"/>
      <c r="CI536" s="124"/>
      <c r="CJ536" s="124"/>
      <c r="CK536" s="124"/>
      <c r="CL536" s="124"/>
      <c r="CM536" s="124"/>
      <c r="CN536" s="124"/>
      <c r="CO536" s="124"/>
      <c r="CP536" s="124"/>
      <c r="CQ536" s="124"/>
      <c r="CR536" s="124"/>
      <c r="CS536" s="124"/>
      <c r="CT536" s="124"/>
      <c r="CU536" s="124"/>
      <c r="CV536" s="124"/>
      <c r="CW536" s="124"/>
      <c r="CX536" s="124"/>
      <c r="CY536" s="124"/>
      <c r="CZ536" s="124"/>
      <c r="DA536" s="124"/>
      <c r="DB536" s="124"/>
      <c r="DC536" s="124"/>
      <c r="DD536" s="124"/>
      <c r="DE536" s="124"/>
      <c r="DF536" s="124"/>
      <c r="DG536" s="124"/>
      <c r="DH536" s="124"/>
      <c r="DI536" s="124"/>
      <c r="DJ536" s="124"/>
      <c r="DK536" s="124"/>
      <c r="DL536" s="124"/>
      <c r="DM536" s="124"/>
      <c r="DN536" s="124"/>
      <c r="DO536" s="124"/>
      <c r="DP536" s="124"/>
      <c r="DQ536" s="124"/>
      <c r="DR536" s="124"/>
      <c r="DS536" s="124"/>
      <c r="DT536" s="124"/>
      <c r="DU536" s="124"/>
      <c r="DV536" s="124"/>
      <c r="DW536" s="124"/>
      <c r="DX536" s="124"/>
      <c r="DY536" s="124"/>
      <c r="DZ536" s="124"/>
      <c r="EA536" s="124"/>
      <c r="EB536" s="124"/>
      <c r="EC536" s="124"/>
      <c r="ED536" s="124"/>
      <c r="EE536" s="124"/>
      <c r="EF536" s="124"/>
      <c r="EG536" s="124"/>
      <c r="EH536" s="124"/>
      <c r="EI536" s="124"/>
      <c r="EJ536" s="124"/>
      <c r="EK536" s="124"/>
      <c r="EL536" s="124"/>
      <c r="EM536" s="124"/>
      <c r="EN536" s="124"/>
      <c r="EO536" s="124"/>
      <c r="EP536" s="124"/>
      <c r="EQ536" s="124"/>
      <c r="ER536" s="124"/>
      <c r="ES536" s="124"/>
      <c r="ET536" s="124"/>
      <c r="EU536" s="124"/>
      <c r="EV536" s="124"/>
      <c r="EW536" s="124"/>
      <c r="EX536" s="124"/>
      <c r="EY536" s="124"/>
      <c r="EZ536" s="124"/>
      <c r="FA536" s="124"/>
      <c r="FB536" s="124"/>
      <c r="FC536" s="124"/>
      <c r="FD536" s="124"/>
      <c r="FE536" s="124"/>
      <c r="FF536" s="124"/>
      <c r="FG536" s="124"/>
      <c r="FH536" s="124"/>
      <c r="FI536" s="124"/>
      <c r="FJ536" s="124"/>
      <c r="FK536" s="124"/>
      <c r="FL536" s="124"/>
      <c r="FM536" s="124"/>
      <c r="FN536" s="124"/>
      <c r="FO536" s="124"/>
      <c r="FP536" s="124"/>
      <c r="FQ536" s="124"/>
      <c r="FR536" s="124"/>
      <c r="FS536" s="124"/>
      <c r="FT536" s="124"/>
      <c r="FU536" s="124"/>
      <c r="FV536" s="124"/>
      <c r="FW536" s="124"/>
      <c r="FX536" s="124"/>
      <c r="FY536" s="124"/>
      <c r="FZ536" s="124"/>
      <c r="GA536" s="124"/>
      <c r="GB536" s="124"/>
      <c r="GC536" s="124"/>
      <c r="GD536" s="124"/>
      <c r="GE536" s="124"/>
      <c r="GF536" s="124"/>
      <c r="GG536" s="124"/>
      <c r="GH536" s="124"/>
      <c r="GI536" s="124"/>
      <c r="GJ536" s="124"/>
      <c r="GK536" s="124"/>
      <c r="GL536" s="124"/>
      <c r="GM536" s="124"/>
      <c r="GN536" s="124"/>
      <c r="GO536" s="124"/>
      <c r="GP536" s="124"/>
      <c r="GQ536" s="124"/>
      <c r="GR536" s="124"/>
      <c r="GS536" s="124"/>
      <c r="GT536" s="124"/>
      <c r="GU536" s="124"/>
      <c r="GV536" s="124"/>
      <c r="GW536" s="124"/>
      <c r="GX536" s="124"/>
      <c r="GY536" s="124"/>
      <c r="GZ536" s="124"/>
      <c r="HA536" s="124"/>
      <c r="HB536" s="124"/>
      <c r="HC536" s="124"/>
      <c r="HD536" s="124"/>
      <c r="HE536" s="124"/>
      <c r="HF536" s="124"/>
      <c r="HG536" s="124"/>
      <c r="HH536" s="124"/>
      <c r="HI536" s="124"/>
      <c r="HJ536" s="124"/>
      <c r="HK536" s="124"/>
      <c r="HL536" s="124"/>
      <c r="HM536" s="124"/>
      <c r="HN536" s="124"/>
      <c r="HO536" s="124"/>
      <c r="HP536" s="124"/>
      <c r="HQ536" s="124"/>
    </row>
    <row r="537" spans="1:225" x14ac:dyDescent="0.2">
      <c r="A537" s="122"/>
      <c r="B537" s="123"/>
      <c r="C537" s="124"/>
      <c r="D537" s="123"/>
      <c r="E537" s="124"/>
      <c r="F537" s="123"/>
      <c r="G537" s="123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  <c r="AL537" s="124"/>
      <c r="AM537" s="124"/>
      <c r="AN537" s="124"/>
      <c r="AO537" s="124"/>
      <c r="AP537" s="124"/>
      <c r="AQ537" s="124"/>
      <c r="AR537" s="124"/>
      <c r="AS537" s="124"/>
      <c r="AT537" s="124"/>
      <c r="AU537" s="124"/>
      <c r="AV537" s="124"/>
      <c r="AW537" s="124"/>
      <c r="AX537" s="124"/>
      <c r="AY537" s="124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  <c r="BJ537" s="124"/>
      <c r="BK537" s="124"/>
      <c r="BL537" s="124"/>
      <c r="BM537" s="124"/>
      <c r="BN537" s="124"/>
      <c r="BO537" s="124"/>
      <c r="BP537" s="124"/>
      <c r="BQ537" s="124"/>
      <c r="BR537" s="124"/>
      <c r="BS537" s="124"/>
      <c r="BT537" s="124"/>
      <c r="BU537" s="124"/>
      <c r="BV537" s="124"/>
      <c r="BW537" s="124"/>
      <c r="BX537" s="124"/>
      <c r="BY537" s="124"/>
      <c r="BZ537" s="124"/>
      <c r="CA537" s="124"/>
      <c r="CB537" s="124"/>
      <c r="CC537" s="124"/>
      <c r="CD537" s="124"/>
      <c r="CE537" s="124"/>
      <c r="CF537" s="124"/>
      <c r="CG537" s="124"/>
      <c r="CH537" s="124"/>
      <c r="CI537" s="124"/>
      <c r="CJ537" s="124"/>
      <c r="CK537" s="124"/>
      <c r="CL537" s="124"/>
      <c r="CM537" s="124"/>
      <c r="CN537" s="124"/>
      <c r="CO537" s="124"/>
      <c r="CP537" s="124"/>
      <c r="CQ537" s="124"/>
      <c r="CR537" s="124"/>
      <c r="CS537" s="124"/>
      <c r="CT537" s="124"/>
      <c r="CU537" s="124"/>
      <c r="CV537" s="124"/>
      <c r="CW537" s="124"/>
      <c r="CX537" s="124"/>
      <c r="CY537" s="124"/>
      <c r="CZ537" s="124"/>
      <c r="DA537" s="124"/>
      <c r="DB537" s="124"/>
      <c r="DC537" s="124"/>
      <c r="DD537" s="124"/>
      <c r="DE537" s="124"/>
      <c r="DF537" s="124"/>
      <c r="DG537" s="124"/>
      <c r="DH537" s="124"/>
      <c r="DI537" s="124"/>
      <c r="DJ537" s="124"/>
      <c r="DK537" s="124"/>
      <c r="DL537" s="124"/>
      <c r="DM537" s="124"/>
      <c r="DN537" s="124"/>
      <c r="DO537" s="124"/>
      <c r="DP537" s="124"/>
      <c r="DQ537" s="124"/>
      <c r="DR537" s="124"/>
      <c r="DS537" s="124"/>
      <c r="DT537" s="124"/>
      <c r="DU537" s="124"/>
      <c r="DV537" s="124"/>
      <c r="DW537" s="124"/>
      <c r="DX537" s="124"/>
      <c r="DY537" s="124"/>
      <c r="DZ537" s="124"/>
      <c r="EA537" s="124"/>
      <c r="EB537" s="124"/>
      <c r="EC537" s="124"/>
      <c r="ED537" s="124"/>
      <c r="EE537" s="124"/>
      <c r="EF537" s="124"/>
      <c r="EG537" s="124"/>
      <c r="EH537" s="124"/>
      <c r="EI537" s="124"/>
      <c r="EJ537" s="124"/>
      <c r="EK537" s="124"/>
      <c r="EL537" s="124"/>
      <c r="EM537" s="124"/>
      <c r="EN537" s="124"/>
      <c r="EO537" s="124"/>
      <c r="EP537" s="124"/>
      <c r="EQ537" s="124"/>
      <c r="ER537" s="124"/>
      <c r="ES537" s="124"/>
      <c r="ET537" s="124"/>
      <c r="EU537" s="124"/>
      <c r="EV537" s="124"/>
      <c r="EW537" s="124"/>
      <c r="EX537" s="124"/>
      <c r="EY537" s="124"/>
      <c r="EZ537" s="124"/>
      <c r="FA537" s="124"/>
      <c r="FB537" s="124"/>
      <c r="FC537" s="124"/>
      <c r="FD537" s="124"/>
      <c r="FE537" s="124"/>
      <c r="FF537" s="124"/>
      <c r="FG537" s="124"/>
      <c r="FH537" s="124"/>
      <c r="FI537" s="124"/>
      <c r="FJ537" s="124"/>
      <c r="FK537" s="124"/>
      <c r="FL537" s="124"/>
      <c r="FM537" s="124"/>
      <c r="FN537" s="124"/>
      <c r="FO537" s="124"/>
      <c r="FP537" s="124"/>
      <c r="FQ537" s="124"/>
      <c r="FR537" s="124"/>
      <c r="FS537" s="124"/>
      <c r="FT537" s="124"/>
      <c r="FU537" s="124"/>
      <c r="FV537" s="124"/>
      <c r="FW537" s="124"/>
      <c r="FX537" s="124"/>
      <c r="FY537" s="124"/>
      <c r="FZ537" s="124"/>
      <c r="GA537" s="124"/>
      <c r="GB537" s="124"/>
      <c r="GC537" s="124"/>
      <c r="GD537" s="124"/>
      <c r="GE537" s="124"/>
      <c r="GF537" s="124"/>
      <c r="GG537" s="124"/>
      <c r="GH537" s="124"/>
      <c r="GI537" s="124"/>
      <c r="GJ537" s="124"/>
      <c r="GK537" s="124"/>
      <c r="GL537" s="124"/>
      <c r="GM537" s="124"/>
      <c r="GN537" s="124"/>
      <c r="GO537" s="124"/>
      <c r="GP537" s="124"/>
      <c r="GQ537" s="124"/>
      <c r="GR537" s="124"/>
      <c r="GS537" s="124"/>
      <c r="GT537" s="124"/>
      <c r="GU537" s="124"/>
      <c r="GV537" s="124"/>
      <c r="GW537" s="124"/>
      <c r="GX537" s="124"/>
      <c r="GY537" s="124"/>
      <c r="GZ537" s="124"/>
      <c r="HA537" s="124"/>
      <c r="HB537" s="124"/>
      <c r="HC537" s="124"/>
      <c r="HD537" s="124"/>
      <c r="HE537" s="124"/>
      <c r="HF537" s="124"/>
      <c r="HG537" s="124"/>
      <c r="HH537" s="124"/>
      <c r="HI537" s="124"/>
      <c r="HJ537" s="124"/>
      <c r="HK537" s="124"/>
      <c r="HL537" s="124"/>
      <c r="HM537" s="124"/>
      <c r="HN537" s="124"/>
      <c r="HO537" s="124"/>
      <c r="HP537" s="124"/>
      <c r="HQ537" s="1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1BCC-4BB8-A547-B330-B6563A074406}">
  <dimension ref="A1:L900"/>
  <sheetViews>
    <sheetView workbookViewId="0">
      <selection activeCell="K4" sqref="K4"/>
    </sheetView>
  </sheetViews>
  <sheetFormatPr baseColWidth="10" defaultRowHeight="16" x14ac:dyDescent="0.2"/>
  <cols>
    <col min="3" max="3" width="18.33203125" customWidth="1"/>
    <col min="8" max="8" width="22.5" customWidth="1"/>
    <col min="9" max="9" width="11.83203125" style="1" bestFit="1" customWidth="1"/>
  </cols>
  <sheetData>
    <row r="1" spans="1:12" x14ac:dyDescent="0.2">
      <c r="A1" s="9" t="s">
        <v>130</v>
      </c>
      <c r="K1" t="s">
        <v>131</v>
      </c>
    </row>
    <row r="2" spans="1:12" x14ac:dyDescent="0.2">
      <c r="A2" s="9" t="s">
        <v>132</v>
      </c>
      <c r="K2" t="s">
        <v>979</v>
      </c>
    </row>
    <row r="3" spans="1:12" x14ac:dyDescent="0.2">
      <c r="A3" s="9" t="s">
        <v>133</v>
      </c>
      <c r="K3" t="s">
        <v>979</v>
      </c>
    </row>
    <row r="4" spans="1:12" x14ac:dyDescent="0.2">
      <c r="A4" s="9" t="s">
        <v>134</v>
      </c>
      <c r="K4" t="s">
        <v>135</v>
      </c>
    </row>
    <row r="5" spans="1:12" x14ac:dyDescent="0.2">
      <c r="A5" s="9" t="s">
        <v>136</v>
      </c>
      <c r="K5" t="s">
        <v>137</v>
      </c>
    </row>
    <row r="6" spans="1:12" x14ac:dyDescent="0.2">
      <c r="A6" s="9" t="s">
        <v>138</v>
      </c>
      <c r="K6">
        <v>21</v>
      </c>
    </row>
    <row r="7" spans="1:12" x14ac:dyDescent="0.2">
      <c r="A7" s="9" t="s">
        <v>139</v>
      </c>
      <c r="K7" t="s">
        <v>140</v>
      </c>
    </row>
    <row r="8" spans="1:12" x14ac:dyDescent="0.2">
      <c r="A8" s="9" t="s">
        <v>141</v>
      </c>
      <c r="K8" t="s">
        <v>142</v>
      </c>
    </row>
    <row r="9" spans="1:12" x14ac:dyDescent="0.2">
      <c r="A9" s="9" t="s">
        <v>143</v>
      </c>
      <c r="K9" t="s">
        <v>144</v>
      </c>
    </row>
    <row r="10" spans="1:12" x14ac:dyDescent="0.2">
      <c r="A10" s="9" t="s">
        <v>145</v>
      </c>
      <c r="K10" t="s">
        <v>146</v>
      </c>
    </row>
    <row r="11" spans="1:12" x14ac:dyDescent="0.2">
      <c r="A11" s="9" t="s">
        <v>147</v>
      </c>
      <c r="K11" t="s">
        <v>148</v>
      </c>
    </row>
    <row r="12" spans="1:12" x14ac:dyDescent="0.2">
      <c r="A12" s="9" t="s">
        <v>149</v>
      </c>
      <c r="K12" t="s">
        <v>150</v>
      </c>
    </row>
    <row r="13" spans="1:12" x14ac:dyDescent="0.2">
      <c r="A13" s="9" t="s">
        <v>151</v>
      </c>
      <c r="B13" s="9" t="s">
        <v>152</v>
      </c>
      <c r="C13" s="9" t="s">
        <v>3</v>
      </c>
      <c r="D13" s="9" t="s">
        <v>153</v>
      </c>
      <c r="E13" s="9" t="s">
        <v>154</v>
      </c>
      <c r="F13" s="9" t="s">
        <v>155</v>
      </c>
      <c r="G13" s="9" t="s">
        <v>156</v>
      </c>
      <c r="H13" s="9" t="s">
        <v>157</v>
      </c>
      <c r="I13" s="55"/>
      <c r="J13" s="9"/>
      <c r="K13" t="s">
        <v>158</v>
      </c>
    </row>
    <row r="14" spans="1:12" x14ac:dyDescent="0.2">
      <c r="A14" s="55">
        <v>1</v>
      </c>
      <c r="B14" t="s">
        <v>159</v>
      </c>
      <c r="C14" t="s">
        <v>18</v>
      </c>
      <c r="D14" s="1">
        <v>1</v>
      </c>
      <c r="E14" t="s">
        <v>160</v>
      </c>
      <c r="F14" t="s">
        <v>160</v>
      </c>
      <c r="G14" t="s">
        <v>160</v>
      </c>
      <c r="H14" t="s">
        <v>161</v>
      </c>
      <c r="I14" s="1">
        <v>3</v>
      </c>
      <c r="K14" s="1">
        <v>0</v>
      </c>
    </row>
    <row r="15" spans="1:12" x14ac:dyDescent="0.2">
      <c r="A15" s="55">
        <v>2</v>
      </c>
      <c r="B15" t="s">
        <v>162</v>
      </c>
      <c r="C15" t="s">
        <v>87</v>
      </c>
      <c r="D15" s="1">
        <v>1</v>
      </c>
      <c r="E15" t="s">
        <v>160</v>
      </c>
      <c r="F15" t="s">
        <v>160</v>
      </c>
      <c r="G15" t="s">
        <v>160</v>
      </c>
      <c r="H15" t="s">
        <v>161</v>
      </c>
      <c r="I15" s="1">
        <v>0</v>
      </c>
      <c r="K15" s="1">
        <v>4</v>
      </c>
      <c r="L15" s="98" t="s">
        <v>163</v>
      </c>
    </row>
    <row r="16" spans="1:12" x14ac:dyDescent="0.2">
      <c r="A16" s="55">
        <v>3</v>
      </c>
      <c r="B16" t="s">
        <v>164</v>
      </c>
      <c r="C16" t="s">
        <v>64</v>
      </c>
      <c r="D16" s="1">
        <v>2</v>
      </c>
      <c r="E16" t="s">
        <v>160</v>
      </c>
      <c r="F16" t="s">
        <v>160</v>
      </c>
      <c r="G16" t="s">
        <v>160</v>
      </c>
      <c r="H16" t="s">
        <v>161</v>
      </c>
      <c r="I16" s="1">
        <v>0</v>
      </c>
      <c r="K16" s="1">
        <v>0</v>
      </c>
    </row>
    <row r="17" spans="1:11" x14ac:dyDescent="0.2">
      <c r="A17" s="55">
        <v>4</v>
      </c>
      <c r="B17" t="s">
        <v>165</v>
      </c>
      <c r="C17" t="s">
        <v>96</v>
      </c>
      <c r="D17" s="1">
        <v>2</v>
      </c>
      <c r="E17" t="s">
        <v>160</v>
      </c>
      <c r="F17" t="s">
        <v>160</v>
      </c>
      <c r="G17" t="s">
        <v>160</v>
      </c>
      <c r="H17" t="s">
        <v>161</v>
      </c>
      <c r="I17" s="1">
        <v>2</v>
      </c>
      <c r="K17" s="1">
        <v>3</v>
      </c>
    </row>
    <row r="18" spans="1:11" x14ac:dyDescent="0.2">
      <c r="A18" s="55">
        <v>5</v>
      </c>
      <c r="B18" t="s">
        <v>166</v>
      </c>
      <c r="C18" t="s">
        <v>121</v>
      </c>
      <c r="D18" s="1">
        <v>3</v>
      </c>
      <c r="E18" t="s">
        <v>160</v>
      </c>
      <c r="F18" t="s">
        <v>160</v>
      </c>
      <c r="G18" t="s">
        <v>160</v>
      </c>
      <c r="H18" t="s">
        <v>161</v>
      </c>
      <c r="I18" s="1">
        <v>0</v>
      </c>
      <c r="K18" s="1">
        <v>3</v>
      </c>
    </row>
    <row r="19" spans="1:11" x14ac:dyDescent="0.2">
      <c r="A19" s="55">
        <v>6</v>
      </c>
      <c r="B19" t="s">
        <v>167</v>
      </c>
      <c r="C19" t="s">
        <v>52</v>
      </c>
      <c r="D19" s="1">
        <v>3</v>
      </c>
      <c r="E19" t="s">
        <v>160</v>
      </c>
      <c r="F19" t="s">
        <v>160</v>
      </c>
      <c r="G19" t="s">
        <v>160</v>
      </c>
      <c r="H19" t="s">
        <v>161</v>
      </c>
      <c r="I19" s="1">
        <v>5</v>
      </c>
      <c r="K19" s="1">
        <v>0</v>
      </c>
    </row>
    <row r="20" spans="1:11" x14ac:dyDescent="0.2">
      <c r="A20" s="55">
        <v>7</v>
      </c>
      <c r="B20" t="s">
        <v>168</v>
      </c>
      <c r="C20" t="s">
        <v>24</v>
      </c>
      <c r="D20" s="1">
        <v>4</v>
      </c>
      <c r="E20" t="s">
        <v>160</v>
      </c>
      <c r="F20" t="s">
        <v>160</v>
      </c>
      <c r="G20" t="s">
        <v>160</v>
      </c>
      <c r="H20" t="s">
        <v>161</v>
      </c>
      <c r="I20" s="1">
        <v>3</v>
      </c>
      <c r="K20" s="1">
        <v>0</v>
      </c>
    </row>
    <row r="21" spans="1:11" x14ac:dyDescent="0.2">
      <c r="A21" s="55">
        <v>8</v>
      </c>
      <c r="B21" t="s">
        <v>169</v>
      </c>
      <c r="C21" t="s">
        <v>40</v>
      </c>
      <c r="D21" s="1">
        <v>4</v>
      </c>
      <c r="E21" t="s">
        <v>160</v>
      </c>
      <c r="F21" t="s">
        <v>160</v>
      </c>
      <c r="G21" t="s">
        <v>160</v>
      </c>
      <c r="H21" t="s">
        <v>161</v>
      </c>
      <c r="I21" s="1">
        <v>0</v>
      </c>
      <c r="K21" s="1">
        <v>3</v>
      </c>
    </row>
    <row r="22" spans="1:11" x14ac:dyDescent="0.2">
      <c r="A22" s="55">
        <v>9</v>
      </c>
      <c r="B22" t="s">
        <v>170</v>
      </c>
      <c r="C22" t="s">
        <v>48</v>
      </c>
      <c r="D22" s="1">
        <v>5</v>
      </c>
      <c r="E22" t="s">
        <v>160</v>
      </c>
      <c r="F22" t="s">
        <v>160</v>
      </c>
      <c r="G22" t="s">
        <v>160</v>
      </c>
      <c r="H22" t="s">
        <v>161</v>
      </c>
      <c r="I22" s="1">
        <v>2</v>
      </c>
      <c r="K22" s="1">
        <v>0</v>
      </c>
    </row>
    <row r="23" spans="1:11" x14ac:dyDescent="0.2">
      <c r="A23" s="55">
        <v>10</v>
      </c>
      <c r="B23" t="s">
        <v>171</v>
      </c>
      <c r="C23" t="s">
        <v>15</v>
      </c>
      <c r="D23" s="1">
        <v>5</v>
      </c>
      <c r="E23" t="s">
        <v>160</v>
      </c>
      <c r="F23" t="s">
        <v>160</v>
      </c>
      <c r="G23" t="s">
        <v>160</v>
      </c>
      <c r="H23" t="s">
        <v>161</v>
      </c>
      <c r="I23" s="1">
        <v>0</v>
      </c>
      <c r="K23" s="1">
        <v>3</v>
      </c>
    </row>
    <row r="24" spans="1:11" x14ac:dyDescent="0.2">
      <c r="A24" s="55">
        <v>11</v>
      </c>
      <c r="B24" t="s">
        <v>172</v>
      </c>
      <c r="C24" t="s">
        <v>6</v>
      </c>
      <c r="D24" s="1">
        <v>6</v>
      </c>
      <c r="E24" t="s">
        <v>160</v>
      </c>
      <c r="F24" t="s">
        <v>160</v>
      </c>
      <c r="G24" t="s">
        <v>160</v>
      </c>
      <c r="H24" t="s">
        <v>161</v>
      </c>
      <c r="I24" s="1">
        <v>0</v>
      </c>
      <c r="K24" s="1">
        <v>3</v>
      </c>
    </row>
    <row r="25" spans="1:11" x14ac:dyDescent="0.2">
      <c r="A25" s="55">
        <v>12</v>
      </c>
      <c r="B25" t="s">
        <v>173</v>
      </c>
      <c r="C25" t="s">
        <v>10</v>
      </c>
      <c r="D25" s="1">
        <v>6</v>
      </c>
      <c r="E25" t="s">
        <v>160</v>
      </c>
      <c r="F25" t="s">
        <v>160</v>
      </c>
      <c r="G25" t="s">
        <v>160</v>
      </c>
      <c r="H25" t="s">
        <v>161</v>
      </c>
      <c r="I25" s="1">
        <v>6</v>
      </c>
      <c r="K25" s="1">
        <v>0</v>
      </c>
    </row>
    <row r="26" spans="1:11" x14ac:dyDescent="0.2">
      <c r="A26" s="55">
        <v>13</v>
      </c>
      <c r="B26" t="s">
        <v>174</v>
      </c>
      <c r="C26" t="s">
        <v>51</v>
      </c>
      <c r="D26" s="1">
        <v>7</v>
      </c>
      <c r="E26" t="s">
        <v>160</v>
      </c>
      <c r="F26" t="s">
        <v>160</v>
      </c>
      <c r="G26" t="s">
        <v>160</v>
      </c>
      <c r="H26" t="s">
        <v>161</v>
      </c>
      <c r="I26" s="1">
        <v>3</v>
      </c>
      <c r="K26" s="1">
        <v>0</v>
      </c>
    </row>
    <row r="27" spans="1:11" x14ac:dyDescent="0.2">
      <c r="A27" s="55">
        <v>14</v>
      </c>
      <c r="B27" t="s">
        <v>175</v>
      </c>
      <c r="C27" t="s">
        <v>11</v>
      </c>
      <c r="D27" s="1">
        <v>7</v>
      </c>
      <c r="E27" t="s">
        <v>160</v>
      </c>
      <c r="F27" t="s">
        <v>160</v>
      </c>
      <c r="G27" t="s">
        <v>160</v>
      </c>
      <c r="H27" t="s">
        <v>161</v>
      </c>
      <c r="I27" s="1">
        <v>0</v>
      </c>
      <c r="K27" s="1">
        <v>3</v>
      </c>
    </row>
    <row r="28" spans="1:11" x14ac:dyDescent="0.2">
      <c r="A28" s="55">
        <v>15</v>
      </c>
      <c r="B28" s="99" t="s">
        <v>176</v>
      </c>
      <c r="C28" s="99" t="s">
        <v>108</v>
      </c>
      <c r="D28" s="1">
        <v>8</v>
      </c>
      <c r="E28" t="s">
        <v>160</v>
      </c>
      <c r="F28" t="s">
        <v>160</v>
      </c>
      <c r="G28" t="s">
        <v>160</v>
      </c>
      <c r="H28" t="s">
        <v>161</v>
      </c>
      <c r="I28" s="1">
        <v>0</v>
      </c>
      <c r="K28" s="1">
        <v>5</v>
      </c>
    </row>
    <row r="29" spans="1:11" x14ac:dyDescent="0.2">
      <c r="A29" s="55">
        <v>16</v>
      </c>
      <c r="B29" t="s">
        <v>177</v>
      </c>
      <c r="C29" t="s">
        <v>34</v>
      </c>
      <c r="D29" s="1">
        <v>8</v>
      </c>
      <c r="E29" t="s">
        <v>160</v>
      </c>
      <c r="F29" t="s">
        <v>160</v>
      </c>
      <c r="G29" t="s">
        <v>160</v>
      </c>
      <c r="H29" t="s">
        <v>161</v>
      </c>
      <c r="I29" s="1">
        <v>2</v>
      </c>
      <c r="K29" s="1">
        <v>0</v>
      </c>
    </row>
    <row r="30" spans="1:11" x14ac:dyDescent="0.2">
      <c r="A30" s="55">
        <v>17</v>
      </c>
      <c r="B30" t="s">
        <v>178</v>
      </c>
      <c r="C30" t="s">
        <v>45</v>
      </c>
      <c r="D30" s="1">
        <v>9</v>
      </c>
      <c r="E30" t="s">
        <v>160</v>
      </c>
      <c r="F30" t="s">
        <v>160</v>
      </c>
      <c r="G30" t="s">
        <v>160</v>
      </c>
      <c r="H30" t="s">
        <v>161</v>
      </c>
      <c r="I30" s="1">
        <v>6</v>
      </c>
      <c r="K30" s="1">
        <v>2</v>
      </c>
    </row>
    <row r="31" spans="1:11" x14ac:dyDescent="0.2">
      <c r="A31" s="55">
        <v>18</v>
      </c>
      <c r="B31" t="s">
        <v>179</v>
      </c>
      <c r="C31" t="s">
        <v>18</v>
      </c>
      <c r="D31" s="1">
        <v>9</v>
      </c>
      <c r="E31" t="s">
        <v>160</v>
      </c>
      <c r="F31" t="s">
        <v>160</v>
      </c>
      <c r="G31" t="s">
        <v>160</v>
      </c>
      <c r="H31" t="s">
        <v>161</v>
      </c>
      <c r="I31" s="1">
        <v>0</v>
      </c>
      <c r="K31" s="1">
        <v>0</v>
      </c>
    </row>
    <row r="32" spans="1:11" x14ac:dyDescent="0.2">
      <c r="A32" s="55">
        <v>19</v>
      </c>
      <c r="B32" t="s">
        <v>180</v>
      </c>
      <c r="C32" t="s">
        <v>100</v>
      </c>
      <c r="D32" s="1">
        <v>10</v>
      </c>
      <c r="E32" t="s">
        <v>160</v>
      </c>
      <c r="F32" t="s">
        <v>160</v>
      </c>
      <c r="G32" t="s">
        <v>160</v>
      </c>
      <c r="H32" t="s">
        <v>161</v>
      </c>
      <c r="I32" s="1">
        <v>0</v>
      </c>
      <c r="K32" s="1">
        <v>5</v>
      </c>
    </row>
    <row r="33" spans="1:11" x14ac:dyDescent="0.2">
      <c r="A33" s="55">
        <v>20</v>
      </c>
      <c r="B33" t="s">
        <v>181</v>
      </c>
      <c r="C33" t="s">
        <v>44</v>
      </c>
      <c r="D33" s="1">
        <v>10</v>
      </c>
      <c r="E33" t="s">
        <v>160</v>
      </c>
      <c r="F33" t="s">
        <v>160</v>
      </c>
      <c r="G33" t="s">
        <v>160</v>
      </c>
      <c r="H33" t="s">
        <v>161</v>
      </c>
      <c r="I33" s="1">
        <v>1</v>
      </c>
      <c r="K33" s="1">
        <v>0</v>
      </c>
    </row>
    <row r="34" spans="1:11" x14ac:dyDescent="0.2">
      <c r="A34" s="55">
        <v>21</v>
      </c>
      <c r="B34" s="100" t="s">
        <v>182</v>
      </c>
      <c r="C34" s="100" t="s">
        <v>116</v>
      </c>
      <c r="D34" s="1">
        <v>11</v>
      </c>
      <c r="E34" t="s">
        <v>160</v>
      </c>
      <c r="F34" t="s">
        <v>160</v>
      </c>
      <c r="G34" t="s">
        <v>160</v>
      </c>
      <c r="H34" t="s">
        <v>161</v>
      </c>
      <c r="I34" s="1">
        <v>0</v>
      </c>
      <c r="K34" s="1">
        <v>0</v>
      </c>
    </row>
    <row r="35" spans="1:11" x14ac:dyDescent="0.2">
      <c r="A35" s="55">
        <v>22</v>
      </c>
      <c r="B35" t="s">
        <v>183</v>
      </c>
      <c r="C35" t="s">
        <v>24</v>
      </c>
      <c r="D35" s="1">
        <v>11</v>
      </c>
      <c r="E35" t="s">
        <v>160</v>
      </c>
      <c r="F35" t="s">
        <v>160</v>
      </c>
      <c r="G35" t="s">
        <v>160</v>
      </c>
      <c r="H35" t="s">
        <v>161</v>
      </c>
      <c r="I35" s="1">
        <v>6</v>
      </c>
      <c r="K35" s="1">
        <v>5</v>
      </c>
    </row>
    <row r="36" spans="1:11" x14ac:dyDescent="0.2">
      <c r="A36" s="55">
        <v>23</v>
      </c>
      <c r="B36" t="s">
        <v>184</v>
      </c>
      <c r="C36" t="s">
        <v>29</v>
      </c>
      <c r="D36" s="1">
        <v>12</v>
      </c>
      <c r="E36" t="s">
        <v>160</v>
      </c>
      <c r="F36" t="s">
        <v>160</v>
      </c>
      <c r="G36" t="s">
        <v>160</v>
      </c>
      <c r="H36" t="s">
        <v>161</v>
      </c>
      <c r="I36" s="1">
        <v>0</v>
      </c>
      <c r="K36" s="1">
        <v>3</v>
      </c>
    </row>
    <row r="37" spans="1:11" x14ac:dyDescent="0.2">
      <c r="A37" s="55">
        <v>24</v>
      </c>
      <c r="B37" t="s">
        <v>185</v>
      </c>
      <c r="C37" t="s">
        <v>103</v>
      </c>
      <c r="D37" s="1">
        <v>12</v>
      </c>
      <c r="E37" t="s">
        <v>160</v>
      </c>
      <c r="F37" t="s">
        <v>160</v>
      </c>
      <c r="G37" t="s">
        <v>160</v>
      </c>
      <c r="H37" t="s">
        <v>161</v>
      </c>
      <c r="I37" s="1">
        <v>6</v>
      </c>
      <c r="K37" s="1">
        <v>0</v>
      </c>
    </row>
    <row r="38" spans="1:11" x14ac:dyDescent="0.2">
      <c r="A38" s="55">
        <v>25</v>
      </c>
      <c r="B38" t="s">
        <v>186</v>
      </c>
      <c r="C38" t="s">
        <v>13</v>
      </c>
      <c r="D38" s="1">
        <v>13</v>
      </c>
      <c r="E38" t="s">
        <v>160</v>
      </c>
      <c r="F38" t="s">
        <v>160</v>
      </c>
      <c r="G38" t="s">
        <v>160</v>
      </c>
      <c r="H38" t="s">
        <v>161</v>
      </c>
      <c r="I38" s="1">
        <v>0</v>
      </c>
      <c r="K38" s="1">
        <v>3</v>
      </c>
    </row>
    <row r="39" spans="1:11" x14ac:dyDescent="0.2">
      <c r="A39" s="55">
        <v>26</v>
      </c>
      <c r="B39" t="s">
        <v>187</v>
      </c>
      <c r="C39" t="s">
        <v>52</v>
      </c>
      <c r="D39" s="1">
        <v>13</v>
      </c>
      <c r="E39" t="s">
        <v>160</v>
      </c>
      <c r="F39" t="s">
        <v>160</v>
      </c>
      <c r="G39" t="s">
        <v>160</v>
      </c>
      <c r="H39" t="s">
        <v>161</v>
      </c>
      <c r="I39" s="1">
        <v>2</v>
      </c>
      <c r="K39" s="1">
        <v>0</v>
      </c>
    </row>
    <row r="40" spans="1:11" x14ac:dyDescent="0.2">
      <c r="A40" s="55">
        <v>27</v>
      </c>
      <c r="B40" t="s">
        <v>188</v>
      </c>
      <c r="C40" t="s">
        <v>40</v>
      </c>
      <c r="D40" s="1">
        <v>14</v>
      </c>
      <c r="E40" t="s">
        <v>160</v>
      </c>
      <c r="F40" t="s">
        <v>160</v>
      </c>
      <c r="G40" t="s">
        <v>160</v>
      </c>
      <c r="H40" t="s">
        <v>161</v>
      </c>
      <c r="I40" s="1">
        <v>3</v>
      </c>
      <c r="K40" s="1">
        <v>4</v>
      </c>
    </row>
    <row r="41" spans="1:11" x14ac:dyDescent="0.2">
      <c r="A41" s="55">
        <v>28</v>
      </c>
      <c r="B41" t="s">
        <v>189</v>
      </c>
      <c r="C41" t="s">
        <v>33</v>
      </c>
      <c r="D41" s="1">
        <v>14</v>
      </c>
      <c r="E41" t="s">
        <v>160</v>
      </c>
      <c r="F41" t="s">
        <v>160</v>
      </c>
      <c r="G41" t="s">
        <v>160</v>
      </c>
      <c r="H41" t="s">
        <v>161</v>
      </c>
      <c r="I41" s="1">
        <v>0</v>
      </c>
      <c r="K41" s="1">
        <v>0</v>
      </c>
    </row>
    <row r="42" spans="1:11" x14ac:dyDescent="0.2">
      <c r="A42" s="55">
        <v>29</v>
      </c>
      <c r="B42" s="101" t="s">
        <v>190</v>
      </c>
      <c r="C42" s="101" t="s">
        <v>31</v>
      </c>
      <c r="D42" s="1">
        <v>15</v>
      </c>
      <c r="E42" t="s">
        <v>160</v>
      </c>
      <c r="F42" t="s">
        <v>160</v>
      </c>
      <c r="G42" t="s">
        <v>160</v>
      </c>
      <c r="H42" t="s">
        <v>161</v>
      </c>
      <c r="I42" s="1">
        <v>0</v>
      </c>
      <c r="K42" s="1">
        <v>3</v>
      </c>
    </row>
    <row r="43" spans="1:11" x14ac:dyDescent="0.2">
      <c r="A43" s="55">
        <v>30</v>
      </c>
      <c r="B43" t="s">
        <v>191</v>
      </c>
      <c r="C43" t="s">
        <v>26</v>
      </c>
      <c r="D43" s="1">
        <v>15</v>
      </c>
      <c r="E43" t="s">
        <v>160</v>
      </c>
      <c r="F43" t="s">
        <v>160</v>
      </c>
      <c r="G43" t="s">
        <v>160</v>
      </c>
      <c r="H43" t="s">
        <v>161</v>
      </c>
      <c r="I43" s="1">
        <v>1</v>
      </c>
      <c r="K43" s="1">
        <v>0</v>
      </c>
    </row>
    <row r="44" spans="1:11" x14ac:dyDescent="0.2">
      <c r="A44" s="55">
        <v>31</v>
      </c>
      <c r="B44" t="s">
        <v>192</v>
      </c>
      <c r="C44" t="s">
        <v>11</v>
      </c>
      <c r="D44" s="1">
        <v>16</v>
      </c>
      <c r="E44" t="s">
        <v>160</v>
      </c>
      <c r="F44" t="s">
        <v>160</v>
      </c>
      <c r="G44" t="s">
        <v>160</v>
      </c>
      <c r="H44" t="s">
        <v>161</v>
      </c>
      <c r="I44" s="1">
        <v>5</v>
      </c>
      <c r="K44" s="1">
        <v>0</v>
      </c>
    </row>
    <row r="45" spans="1:11" x14ac:dyDescent="0.2">
      <c r="A45" s="55">
        <v>32</v>
      </c>
      <c r="B45" t="s">
        <v>193</v>
      </c>
      <c r="C45" t="s">
        <v>12</v>
      </c>
      <c r="D45" s="1">
        <v>16</v>
      </c>
      <c r="E45" t="s">
        <v>160</v>
      </c>
      <c r="F45" t="s">
        <v>160</v>
      </c>
      <c r="G45" t="s">
        <v>160</v>
      </c>
      <c r="H45" t="s">
        <v>161</v>
      </c>
      <c r="I45" s="1">
        <v>0</v>
      </c>
      <c r="K45" s="1">
        <v>3</v>
      </c>
    </row>
    <row r="46" spans="1:11" x14ac:dyDescent="0.2">
      <c r="A46" s="55">
        <v>33</v>
      </c>
      <c r="B46" s="101" t="s">
        <v>194</v>
      </c>
      <c r="C46" s="101" t="s">
        <v>36</v>
      </c>
      <c r="D46" s="1">
        <v>17</v>
      </c>
      <c r="E46" t="s">
        <v>160</v>
      </c>
      <c r="F46" t="s">
        <v>160</v>
      </c>
      <c r="G46" t="s">
        <v>160</v>
      </c>
      <c r="H46" t="s">
        <v>161</v>
      </c>
      <c r="I46" s="1">
        <v>0</v>
      </c>
      <c r="K46" s="1">
        <v>2</v>
      </c>
    </row>
    <row r="47" spans="1:11" x14ac:dyDescent="0.2">
      <c r="A47" s="55">
        <v>34</v>
      </c>
      <c r="B47" t="s">
        <v>195</v>
      </c>
      <c r="C47" t="s">
        <v>196</v>
      </c>
      <c r="D47" s="1">
        <v>17</v>
      </c>
      <c r="E47" t="s">
        <v>160</v>
      </c>
      <c r="F47" t="s">
        <v>160</v>
      </c>
      <c r="G47" t="s">
        <v>160</v>
      </c>
      <c r="H47" t="s">
        <v>161</v>
      </c>
      <c r="I47" s="1">
        <v>5</v>
      </c>
      <c r="K47" s="1">
        <v>0</v>
      </c>
    </row>
    <row r="48" spans="1:11" x14ac:dyDescent="0.2">
      <c r="A48" s="55">
        <v>35</v>
      </c>
      <c r="B48" t="s">
        <v>197</v>
      </c>
      <c r="C48" t="s">
        <v>51</v>
      </c>
      <c r="D48" s="1">
        <v>18</v>
      </c>
      <c r="E48" t="s">
        <v>160</v>
      </c>
      <c r="F48" t="s">
        <v>160</v>
      </c>
      <c r="G48" t="s">
        <v>160</v>
      </c>
      <c r="H48" t="s">
        <v>161</v>
      </c>
      <c r="I48" s="1">
        <v>3</v>
      </c>
      <c r="K48" s="1">
        <v>0</v>
      </c>
    </row>
    <row r="49" spans="1:11" x14ac:dyDescent="0.2">
      <c r="A49" s="55">
        <v>36</v>
      </c>
      <c r="B49" s="100" t="s">
        <v>198</v>
      </c>
      <c r="C49" s="100" t="s">
        <v>199</v>
      </c>
      <c r="D49" s="1">
        <v>18</v>
      </c>
      <c r="E49" t="s">
        <v>160</v>
      </c>
      <c r="F49" t="s">
        <v>160</v>
      </c>
      <c r="G49" t="s">
        <v>160</v>
      </c>
      <c r="H49" t="s">
        <v>161</v>
      </c>
      <c r="I49" s="1">
        <v>0</v>
      </c>
      <c r="K49" s="1">
        <v>2</v>
      </c>
    </row>
    <row r="50" spans="1:11" x14ac:dyDescent="0.2">
      <c r="A50" s="55">
        <v>37</v>
      </c>
      <c r="B50" t="s">
        <v>200</v>
      </c>
      <c r="C50" t="s">
        <v>98</v>
      </c>
      <c r="D50" s="1">
        <v>19</v>
      </c>
      <c r="E50" t="s">
        <v>160</v>
      </c>
      <c r="F50" t="s">
        <v>160</v>
      </c>
      <c r="G50" t="s">
        <v>160</v>
      </c>
      <c r="H50" t="s">
        <v>161</v>
      </c>
      <c r="I50" s="1">
        <v>0</v>
      </c>
      <c r="K50" s="1">
        <v>0</v>
      </c>
    </row>
    <row r="51" spans="1:11" x14ac:dyDescent="0.2">
      <c r="A51" s="55">
        <v>38</v>
      </c>
      <c r="B51" t="s">
        <v>201</v>
      </c>
      <c r="C51" t="s">
        <v>34</v>
      </c>
      <c r="D51" s="1">
        <v>19</v>
      </c>
      <c r="E51" t="s">
        <v>160</v>
      </c>
      <c r="F51" t="s">
        <v>160</v>
      </c>
      <c r="G51" t="s">
        <v>160</v>
      </c>
      <c r="H51" t="s">
        <v>161</v>
      </c>
      <c r="I51" s="1">
        <v>2</v>
      </c>
      <c r="K51" s="1">
        <v>3</v>
      </c>
    </row>
    <row r="52" spans="1:11" x14ac:dyDescent="0.2">
      <c r="A52" s="55">
        <v>39</v>
      </c>
      <c r="B52" t="s">
        <v>202</v>
      </c>
      <c r="C52" t="s">
        <v>203</v>
      </c>
      <c r="D52" s="1">
        <v>20</v>
      </c>
      <c r="E52" t="s">
        <v>160</v>
      </c>
      <c r="F52" t="s">
        <v>160</v>
      </c>
      <c r="G52" t="s">
        <v>160</v>
      </c>
      <c r="H52" t="s">
        <v>161</v>
      </c>
      <c r="I52" s="1">
        <v>1</v>
      </c>
      <c r="K52" s="1">
        <v>0</v>
      </c>
    </row>
    <row r="53" spans="1:11" x14ac:dyDescent="0.2">
      <c r="A53" s="55">
        <v>40</v>
      </c>
      <c r="B53" t="s">
        <v>204</v>
      </c>
      <c r="C53" t="s">
        <v>20</v>
      </c>
      <c r="D53" s="1">
        <v>20</v>
      </c>
      <c r="E53" t="s">
        <v>160</v>
      </c>
      <c r="F53" t="s">
        <v>160</v>
      </c>
      <c r="G53" t="s">
        <v>160</v>
      </c>
      <c r="H53" t="s">
        <v>161</v>
      </c>
      <c r="I53" s="1">
        <v>0</v>
      </c>
      <c r="K53" s="1">
        <v>4</v>
      </c>
    </row>
    <row r="54" spans="1:11" x14ac:dyDescent="0.2">
      <c r="A54" s="55">
        <v>41</v>
      </c>
      <c r="B54" t="s">
        <v>205</v>
      </c>
      <c r="C54" t="s">
        <v>32</v>
      </c>
      <c r="D54" s="1">
        <v>21</v>
      </c>
      <c r="E54" t="s">
        <v>160</v>
      </c>
      <c r="F54" t="s">
        <v>160</v>
      </c>
      <c r="G54" t="s">
        <v>160</v>
      </c>
      <c r="H54" t="s">
        <v>161</v>
      </c>
      <c r="I54" s="1">
        <v>4</v>
      </c>
      <c r="K54" s="1">
        <v>5</v>
      </c>
    </row>
    <row r="55" spans="1:11" x14ac:dyDescent="0.2">
      <c r="A55" s="55">
        <v>42</v>
      </c>
      <c r="B55" t="s">
        <v>206</v>
      </c>
      <c r="C55" t="s">
        <v>33</v>
      </c>
      <c r="D55" s="1">
        <v>21</v>
      </c>
      <c r="E55" t="s">
        <v>160</v>
      </c>
      <c r="F55" t="s">
        <v>160</v>
      </c>
      <c r="G55" t="s">
        <v>160</v>
      </c>
      <c r="H55" t="s">
        <v>161</v>
      </c>
      <c r="I55" s="1">
        <v>0</v>
      </c>
      <c r="K55" s="1">
        <v>0</v>
      </c>
    </row>
    <row r="56" spans="1:11" x14ac:dyDescent="0.2">
      <c r="A56" s="55">
        <v>43</v>
      </c>
      <c r="B56" t="s">
        <v>207</v>
      </c>
      <c r="C56" t="s">
        <v>24</v>
      </c>
      <c r="D56" s="1">
        <v>22</v>
      </c>
      <c r="E56" t="s">
        <v>160</v>
      </c>
      <c r="F56" t="s">
        <v>160</v>
      </c>
      <c r="G56" t="s">
        <v>160</v>
      </c>
      <c r="H56" t="s">
        <v>161</v>
      </c>
      <c r="I56" s="1">
        <v>0</v>
      </c>
      <c r="K56" s="1">
        <v>4</v>
      </c>
    </row>
    <row r="57" spans="1:11" x14ac:dyDescent="0.2">
      <c r="A57" s="55">
        <v>44</v>
      </c>
      <c r="B57" t="s">
        <v>208</v>
      </c>
      <c r="C57" t="s">
        <v>209</v>
      </c>
      <c r="D57" s="1">
        <v>22</v>
      </c>
      <c r="E57" t="s">
        <v>160</v>
      </c>
      <c r="F57" t="s">
        <v>160</v>
      </c>
      <c r="G57" t="s">
        <v>160</v>
      </c>
      <c r="H57" t="s">
        <v>161</v>
      </c>
      <c r="I57" s="1">
        <v>4</v>
      </c>
      <c r="K57" s="1">
        <v>0</v>
      </c>
    </row>
    <row r="58" spans="1:11" x14ac:dyDescent="0.2">
      <c r="A58" s="55">
        <v>45</v>
      </c>
      <c r="B58" t="s">
        <v>210</v>
      </c>
      <c r="C58" t="s">
        <v>67</v>
      </c>
      <c r="D58" s="1">
        <v>23</v>
      </c>
      <c r="E58" t="s">
        <v>160</v>
      </c>
      <c r="F58" t="s">
        <v>160</v>
      </c>
      <c r="G58" t="s">
        <v>160</v>
      </c>
      <c r="H58" t="s">
        <v>161</v>
      </c>
      <c r="I58" s="1">
        <v>3</v>
      </c>
      <c r="K58" s="1">
        <v>0</v>
      </c>
    </row>
    <row r="59" spans="1:11" x14ac:dyDescent="0.2">
      <c r="A59" s="55">
        <v>46</v>
      </c>
      <c r="B59" t="s">
        <v>211</v>
      </c>
      <c r="C59" t="s">
        <v>96</v>
      </c>
      <c r="D59" s="1">
        <v>23</v>
      </c>
      <c r="E59" t="s">
        <v>160</v>
      </c>
      <c r="F59" t="s">
        <v>160</v>
      </c>
      <c r="G59" t="s">
        <v>160</v>
      </c>
      <c r="H59" t="s">
        <v>161</v>
      </c>
      <c r="I59" s="1">
        <v>0</v>
      </c>
      <c r="K59" s="1">
        <v>2</v>
      </c>
    </row>
    <row r="60" spans="1:11" x14ac:dyDescent="0.2">
      <c r="A60" s="55">
        <v>47</v>
      </c>
      <c r="B60" t="s">
        <v>212</v>
      </c>
      <c r="C60" t="s">
        <v>102</v>
      </c>
      <c r="D60" s="1">
        <v>24</v>
      </c>
      <c r="E60" t="s">
        <v>160</v>
      </c>
      <c r="F60" t="s">
        <v>160</v>
      </c>
      <c r="G60" t="s">
        <v>160</v>
      </c>
      <c r="H60" t="s">
        <v>161</v>
      </c>
      <c r="I60" s="1">
        <v>6</v>
      </c>
      <c r="K60" s="1">
        <v>0</v>
      </c>
    </row>
    <row r="61" spans="1:11" x14ac:dyDescent="0.2">
      <c r="A61" s="55">
        <v>48</v>
      </c>
      <c r="B61" t="s">
        <v>213</v>
      </c>
      <c r="C61" t="s">
        <v>214</v>
      </c>
      <c r="D61" s="1">
        <v>24</v>
      </c>
      <c r="E61" t="s">
        <v>160</v>
      </c>
      <c r="F61" t="s">
        <v>160</v>
      </c>
      <c r="G61" t="s">
        <v>160</v>
      </c>
      <c r="H61" t="s">
        <v>161</v>
      </c>
      <c r="I61" s="1">
        <v>0</v>
      </c>
      <c r="K61" s="1">
        <v>5</v>
      </c>
    </row>
    <row r="62" spans="1:11" x14ac:dyDescent="0.2">
      <c r="A62" s="55">
        <v>49</v>
      </c>
      <c r="B62" t="s">
        <v>215</v>
      </c>
      <c r="C62" t="s">
        <v>13</v>
      </c>
      <c r="D62" s="1">
        <v>25</v>
      </c>
      <c r="E62" t="s">
        <v>160</v>
      </c>
      <c r="F62" t="s">
        <v>160</v>
      </c>
      <c r="G62" t="s">
        <v>160</v>
      </c>
      <c r="H62" t="s">
        <v>161</v>
      </c>
      <c r="I62" s="1">
        <v>0</v>
      </c>
      <c r="K62" s="1">
        <v>5</v>
      </c>
    </row>
    <row r="63" spans="1:11" x14ac:dyDescent="0.2">
      <c r="A63" s="55">
        <v>50</v>
      </c>
      <c r="B63" t="s">
        <v>216</v>
      </c>
      <c r="C63" t="s">
        <v>31</v>
      </c>
      <c r="D63" s="1">
        <v>25</v>
      </c>
      <c r="E63" t="s">
        <v>160</v>
      </c>
      <c r="F63" t="s">
        <v>160</v>
      </c>
      <c r="G63" t="s">
        <v>160</v>
      </c>
      <c r="H63" t="s">
        <v>161</v>
      </c>
      <c r="I63" s="1">
        <v>4</v>
      </c>
      <c r="K63" s="1">
        <v>0</v>
      </c>
    </row>
    <row r="64" spans="1:11" x14ac:dyDescent="0.2">
      <c r="A64" s="55">
        <v>51</v>
      </c>
      <c r="B64" t="s">
        <v>217</v>
      </c>
      <c r="C64" t="s">
        <v>32</v>
      </c>
      <c r="D64" s="1">
        <v>26</v>
      </c>
      <c r="E64" t="s">
        <v>160</v>
      </c>
      <c r="F64" t="s">
        <v>160</v>
      </c>
      <c r="G64" t="s">
        <v>160</v>
      </c>
      <c r="H64" t="s">
        <v>161</v>
      </c>
      <c r="I64" s="1">
        <v>2</v>
      </c>
      <c r="K64" s="1">
        <v>4</v>
      </c>
    </row>
    <row r="65" spans="1:11" x14ac:dyDescent="0.2">
      <c r="A65" s="55">
        <v>52</v>
      </c>
      <c r="B65" t="s">
        <v>218</v>
      </c>
      <c r="C65" t="s">
        <v>121</v>
      </c>
      <c r="D65" s="1">
        <v>26</v>
      </c>
      <c r="E65" t="s">
        <v>160</v>
      </c>
      <c r="F65" t="s">
        <v>160</v>
      </c>
      <c r="G65" t="s">
        <v>160</v>
      </c>
      <c r="H65" t="s">
        <v>161</v>
      </c>
      <c r="I65" s="1">
        <v>0</v>
      </c>
      <c r="K65" s="1">
        <v>0</v>
      </c>
    </row>
    <row r="66" spans="1:11" x14ac:dyDescent="0.2">
      <c r="A66" s="55">
        <v>53</v>
      </c>
      <c r="B66" t="s">
        <v>219</v>
      </c>
      <c r="C66" t="s">
        <v>45</v>
      </c>
      <c r="D66" s="1">
        <v>27</v>
      </c>
      <c r="E66" t="s">
        <v>160</v>
      </c>
      <c r="F66" t="s">
        <v>160</v>
      </c>
      <c r="G66" t="s">
        <v>160</v>
      </c>
      <c r="H66" t="s">
        <v>161</v>
      </c>
      <c r="I66" s="1">
        <v>3</v>
      </c>
      <c r="K66" s="1">
        <v>0</v>
      </c>
    </row>
    <row r="67" spans="1:11" x14ac:dyDescent="0.2">
      <c r="A67" s="55">
        <v>54</v>
      </c>
      <c r="B67" t="s">
        <v>220</v>
      </c>
      <c r="C67" t="s">
        <v>17</v>
      </c>
      <c r="D67" s="1">
        <v>27</v>
      </c>
      <c r="E67" t="s">
        <v>160</v>
      </c>
      <c r="F67" t="s">
        <v>160</v>
      </c>
      <c r="G67" t="s">
        <v>160</v>
      </c>
      <c r="H67" t="s">
        <v>161</v>
      </c>
      <c r="I67" s="1">
        <v>0</v>
      </c>
      <c r="K67" s="1">
        <v>3</v>
      </c>
    </row>
    <row r="68" spans="1:11" x14ac:dyDescent="0.2">
      <c r="A68" s="55">
        <v>55</v>
      </c>
      <c r="B68" t="s">
        <v>221</v>
      </c>
      <c r="C68" t="s">
        <v>18</v>
      </c>
      <c r="D68" s="1">
        <v>28</v>
      </c>
      <c r="E68" t="s">
        <v>160</v>
      </c>
      <c r="F68" t="s">
        <v>160</v>
      </c>
      <c r="G68" t="s">
        <v>160</v>
      </c>
      <c r="H68" t="s">
        <v>161</v>
      </c>
      <c r="I68" s="1">
        <v>6</v>
      </c>
      <c r="K68" s="1">
        <v>5</v>
      </c>
    </row>
    <row r="69" spans="1:11" x14ac:dyDescent="0.2">
      <c r="A69" s="55">
        <v>56</v>
      </c>
      <c r="B69" t="s">
        <v>222</v>
      </c>
      <c r="C69" t="s">
        <v>223</v>
      </c>
      <c r="D69" s="1">
        <v>28</v>
      </c>
      <c r="E69" t="s">
        <v>160</v>
      </c>
      <c r="F69" t="s">
        <v>160</v>
      </c>
      <c r="G69" t="s">
        <v>160</v>
      </c>
      <c r="H69" t="s">
        <v>161</v>
      </c>
      <c r="I69" s="1">
        <v>0</v>
      </c>
      <c r="K69" s="1">
        <v>0</v>
      </c>
    </row>
    <row r="70" spans="1:11" x14ac:dyDescent="0.2">
      <c r="A70" s="55">
        <v>57</v>
      </c>
      <c r="B70" t="s">
        <v>224</v>
      </c>
      <c r="C70" t="s">
        <v>24</v>
      </c>
      <c r="D70" s="1">
        <v>29</v>
      </c>
      <c r="E70" t="s">
        <v>160</v>
      </c>
      <c r="F70" t="s">
        <v>160</v>
      </c>
      <c r="G70" t="s">
        <v>160</v>
      </c>
      <c r="H70" t="s">
        <v>161</v>
      </c>
      <c r="I70" s="1">
        <v>0</v>
      </c>
      <c r="K70" s="1">
        <v>0</v>
      </c>
    </row>
    <row r="71" spans="1:11" x14ac:dyDescent="0.2">
      <c r="A71" s="55">
        <v>58</v>
      </c>
      <c r="B71" s="101" t="s">
        <v>225</v>
      </c>
      <c r="C71" s="101" t="s">
        <v>77</v>
      </c>
      <c r="D71" s="1">
        <v>29</v>
      </c>
      <c r="E71" t="s">
        <v>160</v>
      </c>
      <c r="F71" t="s">
        <v>160</v>
      </c>
      <c r="G71" t="s">
        <v>160</v>
      </c>
      <c r="H71" t="s">
        <v>161</v>
      </c>
      <c r="I71" s="1">
        <v>6</v>
      </c>
      <c r="K71" s="1">
        <v>2</v>
      </c>
    </row>
    <row r="72" spans="1:11" x14ac:dyDescent="0.2">
      <c r="A72" s="55">
        <v>59</v>
      </c>
      <c r="B72" t="s">
        <v>226</v>
      </c>
      <c r="C72" t="s">
        <v>70</v>
      </c>
      <c r="D72" s="1">
        <v>30</v>
      </c>
      <c r="E72" t="s">
        <v>160</v>
      </c>
      <c r="F72" t="s">
        <v>160</v>
      </c>
      <c r="G72" t="s">
        <v>160</v>
      </c>
      <c r="H72" t="s">
        <v>161</v>
      </c>
      <c r="I72" s="1">
        <v>0</v>
      </c>
      <c r="K72" s="1">
        <v>2</v>
      </c>
    </row>
    <row r="73" spans="1:11" x14ac:dyDescent="0.2">
      <c r="A73" s="55">
        <v>60</v>
      </c>
      <c r="B73" t="s">
        <v>227</v>
      </c>
      <c r="C73" t="s">
        <v>34</v>
      </c>
      <c r="D73" s="1">
        <v>30</v>
      </c>
      <c r="E73" t="s">
        <v>160</v>
      </c>
      <c r="F73" t="s">
        <v>160</v>
      </c>
      <c r="G73" t="s">
        <v>160</v>
      </c>
      <c r="H73" t="s">
        <v>161</v>
      </c>
      <c r="I73" s="1">
        <v>3</v>
      </c>
      <c r="K73" s="1">
        <v>0</v>
      </c>
    </row>
    <row r="74" spans="1:11" x14ac:dyDescent="0.2">
      <c r="A74" s="55">
        <v>61</v>
      </c>
      <c r="B74" t="s">
        <v>228</v>
      </c>
      <c r="C74" t="s">
        <v>38</v>
      </c>
      <c r="D74" s="1">
        <v>31</v>
      </c>
      <c r="E74" t="s">
        <v>160</v>
      </c>
      <c r="F74" t="s">
        <v>160</v>
      </c>
      <c r="G74" t="s">
        <v>160</v>
      </c>
      <c r="H74" t="s">
        <v>161</v>
      </c>
      <c r="I74" s="1">
        <v>0</v>
      </c>
      <c r="K74" s="1">
        <v>0</v>
      </c>
    </row>
    <row r="75" spans="1:11" x14ac:dyDescent="0.2">
      <c r="A75" s="55">
        <v>62</v>
      </c>
      <c r="B75" t="s">
        <v>229</v>
      </c>
      <c r="C75" t="s">
        <v>11</v>
      </c>
      <c r="D75" s="1">
        <v>31</v>
      </c>
      <c r="E75" t="s">
        <v>160</v>
      </c>
      <c r="F75" t="s">
        <v>160</v>
      </c>
      <c r="G75" t="s">
        <v>160</v>
      </c>
      <c r="H75" t="s">
        <v>161</v>
      </c>
      <c r="I75" s="1">
        <v>1</v>
      </c>
      <c r="K75" s="1">
        <v>2</v>
      </c>
    </row>
    <row r="76" spans="1:11" x14ac:dyDescent="0.2">
      <c r="A76" s="55">
        <v>63</v>
      </c>
      <c r="B76" t="s">
        <v>230</v>
      </c>
      <c r="C76" t="s">
        <v>10</v>
      </c>
      <c r="D76" s="1">
        <v>32</v>
      </c>
      <c r="E76" t="s">
        <v>160</v>
      </c>
      <c r="F76" t="s">
        <v>160</v>
      </c>
      <c r="G76" t="s">
        <v>160</v>
      </c>
      <c r="H76" t="s">
        <v>161</v>
      </c>
      <c r="I76" s="1">
        <v>0</v>
      </c>
      <c r="K76" s="1">
        <v>0</v>
      </c>
    </row>
    <row r="77" spans="1:11" x14ac:dyDescent="0.2">
      <c r="A77" s="55">
        <v>64</v>
      </c>
      <c r="B77" t="s">
        <v>231</v>
      </c>
      <c r="C77" t="s">
        <v>214</v>
      </c>
      <c r="D77" s="1">
        <v>32</v>
      </c>
      <c r="E77" t="s">
        <v>160</v>
      </c>
      <c r="F77" t="s">
        <v>160</v>
      </c>
      <c r="G77" t="s">
        <v>160</v>
      </c>
      <c r="H77" t="s">
        <v>161</v>
      </c>
      <c r="I77" s="1">
        <v>3</v>
      </c>
      <c r="K77" s="1">
        <v>2</v>
      </c>
    </row>
    <row r="78" spans="1:11" x14ac:dyDescent="0.2">
      <c r="A78" s="55">
        <v>65</v>
      </c>
      <c r="B78" t="s">
        <v>232</v>
      </c>
      <c r="C78" t="s">
        <v>36</v>
      </c>
      <c r="D78" s="1">
        <v>33</v>
      </c>
      <c r="E78" t="s">
        <v>160</v>
      </c>
      <c r="F78" t="s">
        <v>160</v>
      </c>
      <c r="G78" t="s">
        <v>160</v>
      </c>
      <c r="H78" t="s">
        <v>161</v>
      </c>
      <c r="I78" s="1">
        <v>0</v>
      </c>
      <c r="K78" s="1">
        <v>3</v>
      </c>
    </row>
    <row r="79" spans="1:11" x14ac:dyDescent="0.2">
      <c r="A79" s="55">
        <v>66</v>
      </c>
      <c r="B79" t="s">
        <v>233</v>
      </c>
      <c r="C79" t="s">
        <v>64</v>
      </c>
      <c r="D79" s="1">
        <v>33</v>
      </c>
      <c r="E79" t="s">
        <v>160</v>
      </c>
      <c r="F79" t="s">
        <v>160</v>
      </c>
      <c r="G79" t="s">
        <v>160</v>
      </c>
      <c r="H79" t="s">
        <v>161</v>
      </c>
      <c r="I79" s="1">
        <v>2</v>
      </c>
      <c r="K79" s="1">
        <v>0</v>
      </c>
    </row>
    <row r="80" spans="1:11" x14ac:dyDescent="0.2">
      <c r="A80" s="55">
        <v>67</v>
      </c>
      <c r="B80" t="s">
        <v>234</v>
      </c>
      <c r="C80" t="s">
        <v>203</v>
      </c>
      <c r="D80" s="1">
        <v>34</v>
      </c>
      <c r="E80" t="s">
        <v>160</v>
      </c>
      <c r="F80" t="s">
        <v>160</v>
      </c>
      <c r="G80" t="s">
        <v>160</v>
      </c>
      <c r="H80" t="s">
        <v>161</v>
      </c>
      <c r="I80" s="1">
        <v>0</v>
      </c>
      <c r="K80" s="1">
        <v>4</v>
      </c>
    </row>
    <row r="81" spans="1:11" x14ac:dyDescent="0.2">
      <c r="A81" s="55">
        <v>68</v>
      </c>
      <c r="B81" t="s">
        <v>235</v>
      </c>
      <c r="C81" t="s">
        <v>44</v>
      </c>
      <c r="D81" s="1">
        <v>34</v>
      </c>
      <c r="E81" t="s">
        <v>160</v>
      </c>
      <c r="F81" t="s">
        <v>160</v>
      </c>
      <c r="G81" t="s">
        <v>160</v>
      </c>
      <c r="H81" t="s">
        <v>161</v>
      </c>
      <c r="I81" s="1">
        <v>6</v>
      </c>
      <c r="K81" s="1">
        <v>0</v>
      </c>
    </row>
    <row r="82" spans="1:11" x14ac:dyDescent="0.2">
      <c r="A82" s="55">
        <v>69</v>
      </c>
      <c r="B82" t="s">
        <v>236</v>
      </c>
      <c r="C82" t="s">
        <v>122</v>
      </c>
      <c r="D82" s="1">
        <v>35</v>
      </c>
      <c r="E82" t="s">
        <v>160</v>
      </c>
      <c r="F82" t="s">
        <v>160</v>
      </c>
      <c r="G82" t="s">
        <v>160</v>
      </c>
      <c r="H82" t="s">
        <v>161</v>
      </c>
      <c r="I82" s="1">
        <v>0</v>
      </c>
      <c r="K82" s="1">
        <v>5</v>
      </c>
    </row>
    <row r="83" spans="1:11" x14ac:dyDescent="0.2">
      <c r="A83" s="55">
        <v>70</v>
      </c>
      <c r="B83" t="s">
        <v>237</v>
      </c>
      <c r="C83" t="s">
        <v>31</v>
      </c>
      <c r="D83" s="1">
        <v>35</v>
      </c>
      <c r="E83" t="s">
        <v>160</v>
      </c>
      <c r="F83" t="s">
        <v>160</v>
      </c>
      <c r="G83" t="s">
        <v>160</v>
      </c>
      <c r="H83" t="s">
        <v>161</v>
      </c>
      <c r="I83" s="1">
        <v>5</v>
      </c>
      <c r="K83" s="1">
        <v>0</v>
      </c>
    </row>
    <row r="84" spans="1:11" x14ac:dyDescent="0.2">
      <c r="A84" s="55">
        <v>71</v>
      </c>
      <c r="B84" t="s">
        <v>238</v>
      </c>
      <c r="C84" t="s">
        <v>26</v>
      </c>
      <c r="D84" s="1">
        <v>36</v>
      </c>
      <c r="E84" t="s">
        <v>160</v>
      </c>
      <c r="F84" t="s">
        <v>160</v>
      </c>
      <c r="G84" t="s">
        <v>160</v>
      </c>
      <c r="H84" t="s">
        <v>161</v>
      </c>
      <c r="I84" s="1">
        <v>0</v>
      </c>
      <c r="K84" s="1">
        <v>5</v>
      </c>
    </row>
    <row r="85" spans="1:11" x14ac:dyDescent="0.2">
      <c r="A85" s="55">
        <v>72</v>
      </c>
      <c r="B85" t="s">
        <v>239</v>
      </c>
      <c r="C85" t="s">
        <v>209</v>
      </c>
      <c r="D85" s="1">
        <v>36</v>
      </c>
      <c r="E85" t="s">
        <v>160</v>
      </c>
      <c r="F85" t="s">
        <v>160</v>
      </c>
      <c r="G85" t="s">
        <v>160</v>
      </c>
      <c r="H85" t="s">
        <v>161</v>
      </c>
      <c r="I85" s="1">
        <v>3</v>
      </c>
      <c r="K85" s="1">
        <v>0</v>
      </c>
    </row>
    <row r="86" spans="1:11" x14ac:dyDescent="0.2">
      <c r="A86" s="55">
        <v>73</v>
      </c>
      <c r="B86" t="s">
        <v>240</v>
      </c>
      <c r="C86" t="s">
        <v>45</v>
      </c>
      <c r="D86" s="1">
        <v>37</v>
      </c>
      <c r="E86" t="s">
        <v>160</v>
      </c>
      <c r="F86" t="s">
        <v>160</v>
      </c>
      <c r="G86" t="s">
        <v>160</v>
      </c>
      <c r="H86" t="s">
        <v>161</v>
      </c>
      <c r="I86" s="1">
        <v>0</v>
      </c>
      <c r="K86" s="1">
        <v>0</v>
      </c>
    </row>
    <row r="87" spans="1:11" x14ac:dyDescent="0.2">
      <c r="A87" s="55">
        <v>74</v>
      </c>
      <c r="B87" t="s">
        <v>241</v>
      </c>
      <c r="C87" t="s">
        <v>223</v>
      </c>
      <c r="D87" s="1">
        <v>37</v>
      </c>
      <c r="E87" t="s">
        <v>160</v>
      </c>
      <c r="F87" t="s">
        <v>160</v>
      </c>
      <c r="G87" t="s">
        <v>160</v>
      </c>
      <c r="H87" t="s">
        <v>161</v>
      </c>
      <c r="I87" s="1">
        <v>2</v>
      </c>
      <c r="K87" s="1">
        <v>4</v>
      </c>
    </row>
    <row r="88" spans="1:11" x14ac:dyDescent="0.2">
      <c r="A88" s="55">
        <v>75</v>
      </c>
      <c r="B88" t="s">
        <v>242</v>
      </c>
      <c r="C88" t="s">
        <v>18</v>
      </c>
      <c r="D88" s="1">
        <v>38</v>
      </c>
      <c r="E88" t="s">
        <v>160</v>
      </c>
      <c r="F88" t="s">
        <v>160</v>
      </c>
      <c r="G88" t="s">
        <v>160</v>
      </c>
      <c r="H88" t="s">
        <v>161</v>
      </c>
      <c r="I88" s="1">
        <v>5</v>
      </c>
      <c r="K88" s="1">
        <v>0</v>
      </c>
    </row>
    <row r="89" spans="1:11" x14ac:dyDescent="0.2">
      <c r="A89" s="55">
        <v>76</v>
      </c>
      <c r="B89" s="100" t="s">
        <v>243</v>
      </c>
      <c r="C89" s="100" t="s">
        <v>116</v>
      </c>
      <c r="D89" s="1">
        <v>38</v>
      </c>
      <c r="E89" t="s">
        <v>160</v>
      </c>
      <c r="F89" t="s">
        <v>160</v>
      </c>
      <c r="G89" t="s">
        <v>160</v>
      </c>
      <c r="H89" t="s">
        <v>161</v>
      </c>
      <c r="I89" s="1">
        <v>0</v>
      </c>
      <c r="K89" s="1">
        <v>2</v>
      </c>
    </row>
    <row r="90" spans="1:11" x14ac:dyDescent="0.2">
      <c r="A90" s="55">
        <v>77</v>
      </c>
      <c r="B90" t="s">
        <v>244</v>
      </c>
      <c r="C90" t="s">
        <v>6</v>
      </c>
      <c r="D90" s="1">
        <v>39</v>
      </c>
      <c r="E90" t="s">
        <v>160</v>
      </c>
      <c r="F90" t="s">
        <v>160</v>
      </c>
      <c r="G90" t="s">
        <v>160</v>
      </c>
      <c r="H90" t="s">
        <v>161</v>
      </c>
      <c r="I90" s="1">
        <v>5</v>
      </c>
      <c r="K90" s="1">
        <v>2</v>
      </c>
    </row>
    <row r="91" spans="1:11" x14ac:dyDescent="0.2">
      <c r="A91" s="55">
        <v>78</v>
      </c>
      <c r="B91" t="s">
        <v>245</v>
      </c>
      <c r="C91" t="s">
        <v>43</v>
      </c>
      <c r="D91" s="1">
        <v>39</v>
      </c>
      <c r="E91" t="s">
        <v>160</v>
      </c>
      <c r="F91" t="s">
        <v>160</v>
      </c>
      <c r="G91" t="s">
        <v>160</v>
      </c>
      <c r="H91" t="s">
        <v>161</v>
      </c>
      <c r="I91" s="1">
        <v>0</v>
      </c>
      <c r="K91" s="1">
        <v>0</v>
      </c>
    </row>
    <row r="92" spans="1:11" x14ac:dyDescent="0.2">
      <c r="A92" s="55">
        <v>79</v>
      </c>
      <c r="B92" t="s">
        <v>246</v>
      </c>
      <c r="C92" t="s">
        <v>121</v>
      </c>
      <c r="D92" s="1">
        <v>40</v>
      </c>
      <c r="E92" t="s">
        <v>160</v>
      </c>
      <c r="F92" t="s">
        <v>160</v>
      </c>
      <c r="G92" t="s">
        <v>160</v>
      </c>
      <c r="H92" t="s">
        <v>161</v>
      </c>
      <c r="I92" s="1">
        <v>1</v>
      </c>
      <c r="K92" s="1">
        <v>0</v>
      </c>
    </row>
    <row r="93" spans="1:11" x14ac:dyDescent="0.2">
      <c r="A93" s="55">
        <v>80</v>
      </c>
      <c r="B93" t="s">
        <v>247</v>
      </c>
      <c r="C93" t="s">
        <v>33</v>
      </c>
      <c r="D93" s="1">
        <v>40</v>
      </c>
      <c r="E93" t="s">
        <v>160</v>
      </c>
      <c r="F93" t="s">
        <v>160</v>
      </c>
      <c r="G93" t="s">
        <v>160</v>
      </c>
      <c r="H93" t="s">
        <v>161</v>
      </c>
      <c r="I93" s="1">
        <v>0</v>
      </c>
      <c r="K93" s="1">
        <v>2</v>
      </c>
    </row>
    <row r="94" spans="1:11" x14ac:dyDescent="0.2">
      <c r="A94" s="55">
        <v>81</v>
      </c>
      <c r="B94" t="s">
        <v>248</v>
      </c>
      <c r="C94" t="s">
        <v>29</v>
      </c>
      <c r="D94" s="1">
        <v>41</v>
      </c>
      <c r="E94" t="s">
        <v>160</v>
      </c>
      <c r="F94" t="s">
        <v>160</v>
      </c>
      <c r="G94" t="s">
        <v>160</v>
      </c>
      <c r="H94" t="s">
        <v>161</v>
      </c>
      <c r="I94" s="1">
        <v>0</v>
      </c>
      <c r="K94" s="1">
        <v>4</v>
      </c>
    </row>
    <row r="95" spans="1:11" x14ac:dyDescent="0.2">
      <c r="A95" s="55">
        <v>82</v>
      </c>
      <c r="B95" t="s">
        <v>249</v>
      </c>
      <c r="C95" t="s">
        <v>20</v>
      </c>
      <c r="D95" s="1">
        <v>41</v>
      </c>
      <c r="E95" t="s">
        <v>160</v>
      </c>
      <c r="F95" t="s">
        <v>160</v>
      </c>
      <c r="G95" t="s">
        <v>160</v>
      </c>
      <c r="H95" t="s">
        <v>161</v>
      </c>
      <c r="I95" s="1">
        <v>3</v>
      </c>
      <c r="K95" s="1">
        <v>0</v>
      </c>
    </row>
    <row r="96" spans="1:11" x14ac:dyDescent="0.2">
      <c r="A96" s="55">
        <v>83</v>
      </c>
      <c r="B96" t="s">
        <v>250</v>
      </c>
      <c r="C96" t="s">
        <v>98</v>
      </c>
      <c r="D96" s="1">
        <v>42</v>
      </c>
      <c r="E96" t="s">
        <v>160</v>
      </c>
      <c r="F96" t="s">
        <v>160</v>
      </c>
      <c r="G96" t="s">
        <v>160</v>
      </c>
      <c r="H96" t="s">
        <v>161</v>
      </c>
      <c r="I96" s="1">
        <v>0</v>
      </c>
      <c r="K96" s="1">
        <v>3</v>
      </c>
    </row>
    <row r="97" spans="1:11" x14ac:dyDescent="0.2">
      <c r="A97" s="55">
        <v>84</v>
      </c>
      <c r="B97" t="s">
        <v>251</v>
      </c>
      <c r="C97" t="s">
        <v>15</v>
      </c>
      <c r="D97" s="1">
        <v>42</v>
      </c>
      <c r="E97" t="s">
        <v>160</v>
      </c>
      <c r="F97" t="s">
        <v>160</v>
      </c>
      <c r="G97" t="s">
        <v>160</v>
      </c>
      <c r="H97" t="s">
        <v>161</v>
      </c>
      <c r="I97" s="1">
        <v>3</v>
      </c>
      <c r="K97" s="1">
        <v>0</v>
      </c>
    </row>
    <row r="98" spans="1:11" x14ac:dyDescent="0.2">
      <c r="A98" s="55">
        <v>85</v>
      </c>
      <c r="B98" t="s">
        <v>252</v>
      </c>
      <c r="C98" t="s">
        <v>67</v>
      </c>
      <c r="D98" s="1">
        <v>43</v>
      </c>
      <c r="E98" t="s">
        <v>160</v>
      </c>
      <c r="F98" t="s">
        <v>160</v>
      </c>
      <c r="G98" t="s">
        <v>160</v>
      </c>
      <c r="H98" t="s">
        <v>161</v>
      </c>
      <c r="I98" s="1">
        <v>0</v>
      </c>
      <c r="K98" s="1">
        <v>4</v>
      </c>
    </row>
    <row r="99" spans="1:11" x14ac:dyDescent="0.2">
      <c r="A99" s="55">
        <v>86</v>
      </c>
      <c r="B99" t="s">
        <v>253</v>
      </c>
      <c r="C99" t="s">
        <v>64</v>
      </c>
      <c r="D99" s="1">
        <v>43</v>
      </c>
      <c r="E99" t="s">
        <v>160</v>
      </c>
      <c r="F99" t="s">
        <v>160</v>
      </c>
      <c r="G99" t="s">
        <v>160</v>
      </c>
      <c r="H99" t="s">
        <v>161</v>
      </c>
      <c r="I99" s="1">
        <v>1</v>
      </c>
      <c r="K99" s="1">
        <v>0</v>
      </c>
    </row>
    <row r="100" spans="1:11" x14ac:dyDescent="0.2">
      <c r="A100" s="55">
        <v>87</v>
      </c>
      <c r="B100" t="s">
        <v>254</v>
      </c>
      <c r="C100" t="s">
        <v>45</v>
      </c>
      <c r="D100" s="1">
        <v>44</v>
      </c>
      <c r="E100" t="s">
        <v>160</v>
      </c>
      <c r="F100" t="s">
        <v>160</v>
      </c>
      <c r="G100" t="s">
        <v>160</v>
      </c>
      <c r="H100" t="s">
        <v>161</v>
      </c>
      <c r="I100" s="1">
        <v>2</v>
      </c>
      <c r="K100" s="1">
        <v>5</v>
      </c>
    </row>
    <row r="101" spans="1:11" x14ac:dyDescent="0.2">
      <c r="A101" s="55">
        <v>88</v>
      </c>
      <c r="B101" s="100" t="s">
        <v>255</v>
      </c>
      <c r="C101" s="100" t="s">
        <v>116</v>
      </c>
      <c r="D101" s="1">
        <v>44</v>
      </c>
      <c r="E101" t="s">
        <v>160</v>
      </c>
      <c r="F101" t="s">
        <v>160</v>
      </c>
      <c r="G101" t="s">
        <v>160</v>
      </c>
      <c r="H101" t="s">
        <v>161</v>
      </c>
      <c r="I101" s="1">
        <v>0</v>
      </c>
      <c r="K101" s="1">
        <v>0</v>
      </c>
    </row>
    <row r="102" spans="1:11" x14ac:dyDescent="0.2">
      <c r="A102" s="55">
        <v>89</v>
      </c>
      <c r="B102" t="s">
        <v>256</v>
      </c>
      <c r="C102" t="s">
        <v>6</v>
      </c>
      <c r="D102" s="1">
        <v>45</v>
      </c>
      <c r="E102" t="s">
        <v>160</v>
      </c>
      <c r="F102" t="s">
        <v>160</v>
      </c>
      <c r="G102" t="s">
        <v>160</v>
      </c>
      <c r="H102" t="s">
        <v>161</v>
      </c>
      <c r="I102" s="1">
        <v>0</v>
      </c>
      <c r="K102" s="1">
        <v>4</v>
      </c>
    </row>
    <row r="103" spans="1:11" x14ac:dyDescent="0.2">
      <c r="A103" s="55">
        <v>90</v>
      </c>
      <c r="B103" t="s">
        <v>257</v>
      </c>
      <c r="C103" t="s">
        <v>25</v>
      </c>
      <c r="D103" s="1">
        <v>45</v>
      </c>
      <c r="E103" t="s">
        <v>160</v>
      </c>
      <c r="F103" t="s">
        <v>160</v>
      </c>
      <c r="G103" t="s">
        <v>160</v>
      </c>
      <c r="H103" t="s">
        <v>161</v>
      </c>
      <c r="I103" s="1">
        <v>6</v>
      </c>
      <c r="K103" s="1">
        <v>0</v>
      </c>
    </row>
    <row r="104" spans="1:11" x14ac:dyDescent="0.2">
      <c r="A104" s="55">
        <v>91</v>
      </c>
      <c r="B104" t="s">
        <v>258</v>
      </c>
      <c r="C104" t="s">
        <v>11</v>
      </c>
      <c r="D104" s="1">
        <v>46</v>
      </c>
      <c r="E104" t="s">
        <v>160</v>
      </c>
      <c r="F104" t="s">
        <v>160</v>
      </c>
      <c r="G104" t="s">
        <v>160</v>
      </c>
      <c r="H104" t="s">
        <v>161</v>
      </c>
      <c r="I104" s="1">
        <v>1</v>
      </c>
      <c r="K104" s="1">
        <v>5</v>
      </c>
    </row>
    <row r="105" spans="1:11" x14ac:dyDescent="0.2">
      <c r="A105" s="55">
        <v>92</v>
      </c>
      <c r="B105" t="s">
        <v>259</v>
      </c>
      <c r="C105" t="s">
        <v>23</v>
      </c>
      <c r="D105" s="1">
        <v>46</v>
      </c>
      <c r="E105" t="s">
        <v>160</v>
      </c>
      <c r="F105" t="s">
        <v>160</v>
      </c>
      <c r="G105" t="s">
        <v>160</v>
      </c>
      <c r="H105" t="s">
        <v>161</v>
      </c>
      <c r="I105" s="1">
        <v>0</v>
      </c>
      <c r="K105" s="1">
        <v>0</v>
      </c>
    </row>
    <row r="106" spans="1:11" x14ac:dyDescent="0.2">
      <c r="A106" s="55">
        <v>93</v>
      </c>
      <c r="B106" t="s">
        <v>260</v>
      </c>
      <c r="C106" t="s">
        <v>43</v>
      </c>
      <c r="D106" s="1">
        <v>47</v>
      </c>
      <c r="E106" t="s">
        <v>160</v>
      </c>
      <c r="F106" t="s">
        <v>160</v>
      </c>
      <c r="G106" t="s">
        <v>160</v>
      </c>
      <c r="H106" t="s">
        <v>161</v>
      </c>
      <c r="I106" s="1">
        <v>0</v>
      </c>
      <c r="K106" s="1">
        <v>2</v>
      </c>
    </row>
    <row r="107" spans="1:11" x14ac:dyDescent="0.2">
      <c r="A107" s="55">
        <v>94</v>
      </c>
      <c r="B107" t="s">
        <v>261</v>
      </c>
      <c r="C107" t="s">
        <v>102</v>
      </c>
      <c r="D107" s="1">
        <v>47</v>
      </c>
      <c r="E107" t="s">
        <v>160</v>
      </c>
      <c r="F107" t="s">
        <v>160</v>
      </c>
      <c r="G107" t="s">
        <v>160</v>
      </c>
      <c r="H107" t="s">
        <v>161</v>
      </c>
      <c r="I107" s="1">
        <v>4</v>
      </c>
      <c r="K107" s="1">
        <v>0</v>
      </c>
    </row>
    <row r="108" spans="1:11" x14ac:dyDescent="0.2">
      <c r="A108" s="55">
        <v>95</v>
      </c>
      <c r="B108" t="s">
        <v>262</v>
      </c>
      <c r="C108" t="s">
        <v>203</v>
      </c>
      <c r="D108" s="1">
        <v>48</v>
      </c>
      <c r="E108" t="s">
        <v>160</v>
      </c>
      <c r="F108" t="s">
        <v>160</v>
      </c>
      <c r="G108" t="s">
        <v>160</v>
      </c>
      <c r="H108" t="s">
        <v>161</v>
      </c>
      <c r="I108" s="1">
        <v>0</v>
      </c>
      <c r="K108" s="1">
        <v>5</v>
      </c>
    </row>
    <row r="109" spans="1:11" x14ac:dyDescent="0.2">
      <c r="A109" s="55">
        <v>96</v>
      </c>
      <c r="B109" t="s">
        <v>263</v>
      </c>
      <c r="C109" t="s">
        <v>100</v>
      </c>
      <c r="D109" s="1">
        <v>48</v>
      </c>
      <c r="E109" t="s">
        <v>160</v>
      </c>
      <c r="F109" t="s">
        <v>160</v>
      </c>
      <c r="G109" t="s">
        <v>160</v>
      </c>
      <c r="H109" t="s">
        <v>161</v>
      </c>
      <c r="I109" s="1">
        <v>3</v>
      </c>
      <c r="K109" s="1">
        <v>0</v>
      </c>
    </row>
    <row r="110" spans="1:11" x14ac:dyDescent="0.2">
      <c r="A110" s="55">
        <v>97</v>
      </c>
      <c r="B110" s="100" t="s">
        <v>264</v>
      </c>
      <c r="C110" s="100" t="s">
        <v>199</v>
      </c>
      <c r="D110" s="1">
        <v>49</v>
      </c>
      <c r="E110" t="s">
        <v>160</v>
      </c>
      <c r="F110" t="s">
        <v>160</v>
      </c>
      <c r="G110" t="s">
        <v>160</v>
      </c>
      <c r="H110" t="s">
        <v>161</v>
      </c>
      <c r="I110" s="1">
        <v>4</v>
      </c>
      <c r="K110" s="1">
        <v>4</v>
      </c>
    </row>
    <row r="111" spans="1:11" x14ac:dyDescent="0.2">
      <c r="A111" s="55">
        <v>98</v>
      </c>
      <c r="B111" t="s">
        <v>265</v>
      </c>
      <c r="C111" t="s">
        <v>12</v>
      </c>
      <c r="D111" s="1">
        <v>49</v>
      </c>
      <c r="E111" t="s">
        <v>160</v>
      </c>
      <c r="F111" t="s">
        <v>160</v>
      </c>
      <c r="G111" t="s">
        <v>160</v>
      </c>
      <c r="H111" t="s">
        <v>161</v>
      </c>
      <c r="I111" s="1">
        <v>0</v>
      </c>
      <c r="K111" s="1">
        <v>0</v>
      </c>
    </row>
    <row r="112" spans="1:11" x14ac:dyDescent="0.2">
      <c r="A112" s="55">
        <v>99</v>
      </c>
      <c r="B112" t="s">
        <v>266</v>
      </c>
      <c r="C112" t="s">
        <v>51</v>
      </c>
      <c r="D112" s="1">
        <v>50</v>
      </c>
      <c r="E112" t="s">
        <v>160</v>
      </c>
      <c r="F112" t="s">
        <v>160</v>
      </c>
      <c r="G112" t="s">
        <v>160</v>
      </c>
      <c r="H112" t="s">
        <v>161</v>
      </c>
      <c r="I112" s="1">
        <v>1</v>
      </c>
      <c r="K112" s="1">
        <v>0</v>
      </c>
    </row>
    <row r="113" spans="1:11" x14ac:dyDescent="0.2">
      <c r="A113" s="55">
        <v>100</v>
      </c>
      <c r="B113" t="s">
        <v>267</v>
      </c>
      <c r="C113" t="s">
        <v>38</v>
      </c>
      <c r="D113" s="1">
        <v>50</v>
      </c>
      <c r="E113" t="s">
        <v>160</v>
      </c>
      <c r="F113" t="s">
        <v>160</v>
      </c>
      <c r="G113" t="s">
        <v>160</v>
      </c>
      <c r="H113" t="s">
        <v>161</v>
      </c>
      <c r="I113" s="1">
        <v>0</v>
      </c>
      <c r="K113" s="1">
        <v>4</v>
      </c>
    </row>
    <row r="114" spans="1:11" x14ac:dyDescent="0.2">
      <c r="A114" s="55">
        <v>101</v>
      </c>
      <c r="B114" t="s">
        <v>268</v>
      </c>
      <c r="C114" t="s">
        <v>13</v>
      </c>
      <c r="D114" s="1">
        <v>51</v>
      </c>
      <c r="E114" t="s">
        <v>160</v>
      </c>
      <c r="F114" t="s">
        <v>160</v>
      </c>
      <c r="G114" t="s">
        <v>160</v>
      </c>
      <c r="H114" t="s">
        <v>161</v>
      </c>
      <c r="I114" s="1">
        <v>0</v>
      </c>
      <c r="K114" s="1">
        <v>0</v>
      </c>
    </row>
    <row r="115" spans="1:11" x14ac:dyDescent="0.2">
      <c r="A115" s="55">
        <v>102</v>
      </c>
      <c r="B115" t="s">
        <v>269</v>
      </c>
      <c r="C115" t="s">
        <v>26</v>
      </c>
      <c r="D115" s="1">
        <v>51</v>
      </c>
      <c r="E115" t="s">
        <v>160</v>
      </c>
      <c r="F115" t="s">
        <v>160</v>
      </c>
      <c r="G115" t="s">
        <v>160</v>
      </c>
      <c r="H115" t="s">
        <v>161</v>
      </c>
      <c r="I115" s="1">
        <v>6</v>
      </c>
      <c r="K115" s="1">
        <v>2</v>
      </c>
    </row>
    <row r="116" spans="1:11" x14ac:dyDescent="0.2">
      <c r="A116" s="55">
        <v>103</v>
      </c>
      <c r="B116" t="s">
        <v>270</v>
      </c>
      <c r="C116" t="s">
        <v>43</v>
      </c>
      <c r="D116" s="1">
        <v>52</v>
      </c>
      <c r="E116" t="s">
        <v>160</v>
      </c>
      <c r="F116" t="s">
        <v>160</v>
      </c>
      <c r="G116" t="s">
        <v>160</v>
      </c>
      <c r="H116" t="s">
        <v>161</v>
      </c>
      <c r="I116" s="1">
        <v>0</v>
      </c>
      <c r="K116" s="1">
        <v>5</v>
      </c>
    </row>
    <row r="117" spans="1:11" x14ac:dyDescent="0.2">
      <c r="A117" s="55">
        <v>104</v>
      </c>
      <c r="B117" t="s">
        <v>271</v>
      </c>
      <c r="C117" t="s">
        <v>10</v>
      </c>
      <c r="D117" s="1">
        <v>52</v>
      </c>
      <c r="E117" t="s">
        <v>160</v>
      </c>
      <c r="F117" t="s">
        <v>160</v>
      </c>
      <c r="G117" t="s">
        <v>160</v>
      </c>
      <c r="H117" t="s">
        <v>161</v>
      </c>
      <c r="I117" s="1">
        <v>5</v>
      </c>
      <c r="K117" s="1">
        <v>0</v>
      </c>
    </row>
    <row r="118" spans="1:11" x14ac:dyDescent="0.2">
      <c r="A118" s="55">
        <v>105</v>
      </c>
      <c r="B118" t="s">
        <v>272</v>
      </c>
      <c r="C118" t="s">
        <v>12</v>
      </c>
      <c r="D118" s="1">
        <v>53</v>
      </c>
      <c r="E118" t="s">
        <v>160</v>
      </c>
      <c r="F118" t="s">
        <v>160</v>
      </c>
      <c r="G118" t="s">
        <v>160</v>
      </c>
      <c r="H118" t="s">
        <v>161</v>
      </c>
      <c r="I118" s="1">
        <v>4</v>
      </c>
      <c r="K118" s="1">
        <v>2</v>
      </c>
    </row>
    <row r="119" spans="1:11" x14ac:dyDescent="0.2">
      <c r="A119" s="55">
        <v>106</v>
      </c>
      <c r="B119" t="s">
        <v>273</v>
      </c>
      <c r="C119" t="s">
        <v>23</v>
      </c>
      <c r="D119" s="1">
        <v>53</v>
      </c>
      <c r="E119" t="s">
        <v>160</v>
      </c>
      <c r="F119" t="s">
        <v>160</v>
      </c>
      <c r="G119" t="s">
        <v>160</v>
      </c>
      <c r="H119" t="s">
        <v>161</v>
      </c>
      <c r="I119" s="1">
        <v>0</v>
      </c>
      <c r="K119" s="1">
        <v>0</v>
      </c>
    </row>
    <row r="120" spans="1:11" x14ac:dyDescent="0.2">
      <c r="A120" s="55">
        <v>107</v>
      </c>
      <c r="B120" t="s">
        <v>274</v>
      </c>
      <c r="C120" t="s">
        <v>25</v>
      </c>
      <c r="D120" s="1">
        <v>54</v>
      </c>
      <c r="E120" t="s">
        <v>160</v>
      </c>
      <c r="F120" t="s">
        <v>160</v>
      </c>
      <c r="G120" t="s">
        <v>160</v>
      </c>
      <c r="H120" t="s">
        <v>161</v>
      </c>
      <c r="I120" s="1">
        <v>1</v>
      </c>
      <c r="K120" s="1">
        <v>4</v>
      </c>
    </row>
    <row r="121" spans="1:11" x14ac:dyDescent="0.2">
      <c r="A121" s="55">
        <v>108</v>
      </c>
      <c r="B121" t="s">
        <v>275</v>
      </c>
      <c r="C121" t="s">
        <v>102</v>
      </c>
      <c r="D121" s="1">
        <v>54</v>
      </c>
      <c r="E121" t="s">
        <v>160</v>
      </c>
      <c r="F121" t="s">
        <v>160</v>
      </c>
      <c r="G121" t="s">
        <v>160</v>
      </c>
      <c r="H121" t="s">
        <v>161</v>
      </c>
      <c r="I121" s="1">
        <v>0</v>
      </c>
      <c r="K121" s="1">
        <v>0</v>
      </c>
    </row>
    <row r="122" spans="1:11" x14ac:dyDescent="0.2">
      <c r="A122" s="55">
        <v>109</v>
      </c>
      <c r="B122" s="100" t="s">
        <v>276</v>
      </c>
      <c r="C122" s="100" t="s">
        <v>116</v>
      </c>
      <c r="D122" s="1">
        <v>55</v>
      </c>
      <c r="E122" t="s">
        <v>160</v>
      </c>
      <c r="F122" t="s">
        <v>160</v>
      </c>
      <c r="G122" t="s">
        <v>160</v>
      </c>
      <c r="H122" t="s">
        <v>161</v>
      </c>
      <c r="I122" s="1">
        <v>0</v>
      </c>
      <c r="K122" s="1">
        <v>4</v>
      </c>
    </row>
    <row r="123" spans="1:11" x14ac:dyDescent="0.2">
      <c r="A123" s="55">
        <v>110</v>
      </c>
      <c r="B123" t="s">
        <v>277</v>
      </c>
      <c r="C123" t="s">
        <v>17</v>
      </c>
      <c r="D123" s="1">
        <v>55</v>
      </c>
      <c r="E123" t="s">
        <v>160</v>
      </c>
      <c r="F123" t="s">
        <v>160</v>
      </c>
      <c r="G123" t="s">
        <v>160</v>
      </c>
      <c r="H123" t="s">
        <v>161</v>
      </c>
      <c r="I123" s="1">
        <v>5</v>
      </c>
      <c r="K123" s="1">
        <v>0</v>
      </c>
    </row>
    <row r="124" spans="1:11" x14ac:dyDescent="0.2">
      <c r="A124" s="55">
        <v>111</v>
      </c>
      <c r="B124" t="s">
        <v>278</v>
      </c>
      <c r="C124" t="s">
        <v>36</v>
      </c>
      <c r="D124" s="1">
        <v>56</v>
      </c>
      <c r="E124" t="s">
        <v>160</v>
      </c>
      <c r="F124" t="s">
        <v>160</v>
      </c>
      <c r="G124" t="s">
        <v>160</v>
      </c>
      <c r="H124" t="s">
        <v>161</v>
      </c>
      <c r="I124" s="1">
        <v>4</v>
      </c>
      <c r="K124" s="1">
        <v>0</v>
      </c>
    </row>
    <row r="125" spans="1:11" x14ac:dyDescent="0.2">
      <c r="A125" s="55">
        <v>112</v>
      </c>
      <c r="B125" t="s">
        <v>279</v>
      </c>
      <c r="C125" t="s">
        <v>96</v>
      </c>
      <c r="D125" s="1">
        <v>56</v>
      </c>
      <c r="E125" t="s">
        <v>160</v>
      </c>
      <c r="F125" t="s">
        <v>160</v>
      </c>
      <c r="G125" t="s">
        <v>160</v>
      </c>
      <c r="H125" t="s">
        <v>161</v>
      </c>
      <c r="I125" s="1">
        <v>0</v>
      </c>
      <c r="K125" s="1">
        <v>4</v>
      </c>
    </row>
    <row r="126" spans="1:11" x14ac:dyDescent="0.2">
      <c r="A126" s="55">
        <v>113</v>
      </c>
      <c r="B126" t="s">
        <v>280</v>
      </c>
      <c r="C126" t="s">
        <v>25</v>
      </c>
      <c r="D126" s="1">
        <v>57</v>
      </c>
      <c r="E126" t="s">
        <v>160</v>
      </c>
      <c r="F126" t="s">
        <v>160</v>
      </c>
      <c r="G126" t="s">
        <v>160</v>
      </c>
      <c r="H126" t="s">
        <v>161</v>
      </c>
      <c r="I126" s="1">
        <v>0</v>
      </c>
      <c r="K126" s="1">
        <v>3</v>
      </c>
    </row>
    <row r="127" spans="1:11" x14ac:dyDescent="0.2">
      <c r="A127" s="55">
        <v>114</v>
      </c>
      <c r="B127" t="s">
        <v>281</v>
      </c>
      <c r="C127" t="s">
        <v>214</v>
      </c>
      <c r="D127" s="1">
        <v>57</v>
      </c>
      <c r="E127" t="s">
        <v>160</v>
      </c>
      <c r="F127" t="s">
        <v>160</v>
      </c>
      <c r="G127" t="s">
        <v>160</v>
      </c>
      <c r="H127" t="s">
        <v>161</v>
      </c>
      <c r="I127" s="1">
        <v>5</v>
      </c>
      <c r="K127" s="1">
        <v>0</v>
      </c>
    </row>
    <row r="128" spans="1:11" x14ac:dyDescent="0.2">
      <c r="A128" s="55">
        <v>115</v>
      </c>
      <c r="B128" t="s">
        <v>282</v>
      </c>
      <c r="C128" t="s">
        <v>122</v>
      </c>
      <c r="D128" s="1">
        <v>58</v>
      </c>
      <c r="E128" t="s">
        <v>160</v>
      </c>
      <c r="F128" t="s">
        <v>160</v>
      </c>
      <c r="G128" t="s">
        <v>160</v>
      </c>
      <c r="H128" t="s">
        <v>161</v>
      </c>
      <c r="I128" s="1">
        <v>4</v>
      </c>
      <c r="K128" s="1">
        <v>2</v>
      </c>
    </row>
    <row r="129" spans="1:11" x14ac:dyDescent="0.2">
      <c r="A129" s="55">
        <v>116</v>
      </c>
      <c r="B129" t="s">
        <v>283</v>
      </c>
      <c r="C129" t="s">
        <v>52</v>
      </c>
      <c r="D129" s="1">
        <v>58</v>
      </c>
      <c r="E129" t="s">
        <v>160</v>
      </c>
      <c r="F129" t="s">
        <v>160</v>
      </c>
      <c r="G129" t="s">
        <v>160</v>
      </c>
      <c r="H129" t="s">
        <v>161</v>
      </c>
      <c r="I129" s="1">
        <v>0</v>
      </c>
      <c r="K129" s="1">
        <v>0</v>
      </c>
    </row>
    <row r="130" spans="1:11" x14ac:dyDescent="0.2">
      <c r="A130" s="55">
        <v>117</v>
      </c>
      <c r="B130" t="s">
        <v>284</v>
      </c>
      <c r="C130" t="s">
        <v>87</v>
      </c>
      <c r="D130" s="1">
        <v>59</v>
      </c>
      <c r="E130" t="s">
        <v>160</v>
      </c>
      <c r="F130" t="s">
        <v>160</v>
      </c>
      <c r="G130" t="s">
        <v>160</v>
      </c>
      <c r="H130" t="s">
        <v>161</v>
      </c>
      <c r="I130" s="1">
        <v>3</v>
      </c>
      <c r="K130" s="1">
        <v>3</v>
      </c>
    </row>
    <row r="131" spans="1:11" x14ac:dyDescent="0.2">
      <c r="A131" s="55">
        <v>118</v>
      </c>
      <c r="B131" t="s">
        <v>285</v>
      </c>
      <c r="C131" t="s">
        <v>121</v>
      </c>
      <c r="D131" s="1">
        <v>59</v>
      </c>
      <c r="E131" t="s">
        <v>160</v>
      </c>
      <c r="F131" t="s">
        <v>160</v>
      </c>
      <c r="G131" t="s">
        <v>160</v>
      </c>
      <c r="H131" t="s">
        <v>161</v>
      </c>
      <c r="I131" s="1">
        <v>0</v>
      </c>
      <c r="K131" s="1">
        <v>0</v>
      </c>
    </row>
    <row r="132" spans="1:11" x14ac:dyDescent="0.2">
      <c r="A132" s="55">
        <v>119</v>
      </c>
      <c r="B132" t="s">
        <v>286</v>
      </c>
      <c r="C132" t="s">
        <v>6</v>
      </c>
      <c r="D132" s="1">
        <v>60</v>
      </c>
      <c r="E132" t="s">
        <v>160</v>
      </c>
      <c r="F132" t="s">
        <v>160</v>
      </c>
      <c r="G132" t="s">
        <v>160</v>
      </c>
      <c r="H132" t="s">
        <v>161</v>
      </c>
      <c r="I132" s="1">
        <v>0</v>
      </c>
      <c r="K132" s="1">
        <v>5</v>
      </c>
    </row>
    <row r="133" spans="1:11" x14ac:dyDescent="0.2">
      <c r="A133" s="55">
        <v>120</v>
      </c>
      <c r="B133" t="s">
        <v>287</v>
      </c>
      <c r="C133" t="s">
        <v>102</v>
      </c>
      <c r="D133" s="1">
        <v>60</v>
      </c>
      <c r="E133" t="s">
        <v>160</v>
      </c>
      <c r="F133" t="s">
        <v>160</v>
      </c>
      <c r="G133" t="s">
        <v>160</v>
      </c>
      <c r="H133" t="s">
        <v>161</v>
      </c>
      <c r="I133" s="1">
        <v>1</v>
      </c>
      <c r="K133" s="1">
        <v>0</v>
      </c>
    </row>
    <row r="134" spans="1:11" x14ac:dyDescent="0.2">
      <c r="A134" s="55">
        <v>121</v>
      </c>
      <c r="B134" t="s">
        <v>288</v>
      </c>
      <c r="C134" t="s">
        <v>15</v>
      </c>
      <c r="D134" s="1">
        <v>61</v>
      </c>
      <c r="E134" t="s">
        <v>160</v>
      </c>
      <c r="F134" t="s">
        <v>160</v>
      </c>
      <c r="G134" t="s">
        <v>160</v>
      </c>
      <c r="H134" t="s">
        <v>161</v>
      </c>
      <c r="I134" s="1">
        <v>0</v>
      </c>
      <c r="K134" s="1">
        <v>4</v>
      </c>
    </row>
    <row r="135" spans="1:11" x14ac:dyDescent="0.2">
      <c r="A135" s="55">
        <v>122</v>
      </c>
      <c r="B135" t="s">
        <v>289</v>
      </c>
      <c r="C135" t="s">
        <v>21</v>
      </c>
      <c r="D135" s="1">
        <v>61</v>
      </c>
      <c r="E135" t="s">
        <v>160</v>
      </c>
      <c r="F135" t="s">
        <v>160</v>
      </c>
      <c r="G135" t="s">
        <v>160</v>
      </c>
      <c r="H135" t="s">
        <v>161</v>
      </c>
      <c r="I135" s="1">
        <v>3</v>
      </c>
      <c r="K135" s="1">
        <v>0</v>
      </c>
    </row>
    <row r="136" spans="1:11" x14ac:dyDescent="0.2">
      <c r="A136" s="55">
        <v>123</v>
      </c>
      <c r="B136" t="s">
        <v>290</v>
      </c>
      <c r="C136" t="s">
        <v>203</v>
      </c>
      <c r="D136" s="1">
        <v>62</v>
      </c>
      <c r="E136" t="s">
        <v>160</v>
      </c>
      <c r="F136" t="s">
        <v>160</v>
      </c>
      <c r="G136" t="s">
        <v>160</v>
      </c>
      <c r="H136" t="s">
        <v>161</v>
      </c>
      <c r="I136" s="1">
        <v>0</v>
      </c>
      <c r="K136" s="1">
        <v>0</v>
      </c>
    </row>
    <row r="137" spans="1:11" x14ac:dyDescent="0.2">
      <c r="A137" s="55">
        <v>124</v>
      </c>
      <c r="B137" t="s">
        <v>291</v>
      </c>
      <c r="C137" t="s">
        <v>48</v>
      </c>
      <c r="D137" s="1">
        <v>62</v>
      </c>
      <c r="E137" t="s">
        <v>160</v>
      </c>
      <c r="F137" t="s">
        <v>160</v>
      </c>
      <c r="G137" t="s">
        <v>160</v>
      </c>
      <c r="H137" t="s">
        <v>161</v>
      </c>
      <c r="I137" s="1">
        <v>4</v>
      </c>
      <c r="K137" s="1">
        <v>3</v>
      </c>
    </row>
    <row r="138" spans="1:11" x14ac:dyDescent="0.2">
      <c r="A138" s="55">
        <v>125</v>
      </c>
      <c r="B138" s="100" t="s">
        <v>292</v>
      </c>
      <c r="C138" s="100" t="s">
        <v>199</v>
      </c>
      <c r="D138" s="1">
        <v>63</v>
      </c>
      <c r="E138" t="s">
        <v>160</v>
      </c>
      <c r="F138" t="s">
        <v>160</v>
      </c>
      <c r="G138" t="s">
        <v>160</v>
      </c>
      <c r="H138" t="s">
        <v>161</v>
      </c>
      <c r="I138" s="1">
        <v>4</v>
      </c>
      <c r="K138" s="1">
        <v>3</v>
      </c>
    </row>
    <row r="139" spans="1:11" x14ac:dyDescent="0.2">
      <c r="A139" s="55">
        <v>126</v>
      </c>
      <c r="B139" t="s">
        <v>293</v>
      </c>
      <c r="C139" t="s">
        <v>23</v>
      </c>
      <c r="D139" s="1">
        <v>63</v>
      </c>
      <c r="E139" t="s">
        <v>160</v>
      </c>
      <c r="F139" t="s">
        <v>160</v>
      </c>
      <c r="G139" t="s">
        <v>160</v>
      </c>
      <c r="H139" t="s">
        <v>161</v>
      </c>
      <c r="I139" s="1">
        <v>0</v>
      </c>
      <c r="K139" s="1">
        <v>0</v>
      </c>
    </row>
    <row r="140" spans="1:11" x14ac:dyDescent="0.2">
      <c r="A140" s="55">
        <v>127</v>
      </c>
      <c r="B140" t="s">
        <v>294</v>
      </c>
      <c r="C140" t="s">
        <v>103</v>
      </c>
      <c r="D140" s="1">
        <v>64</v>
      </c>
      <c r="E140" t="s">
        <v>160</v>
      </c>
      <c r="F140" t="s">
        <v>160</v>
      </c>
      <c r="G140" t="s">
        <v>160</v>
      </c>
      <c r="H140" t="s">
        <v>161</v>
      </c>
      <c r="I140" s="1">
        <v>0</v>
      </c>
      <c r="K140" s="1">
        <v>0</v>
      </c>
    </row>
    <row r="141" spans="1:11" x14ac:dyDescent="0.2">
      <c r="A141" s="55">
        <v>128</v>
      </c>
      <c r="B141" t="s">
        <v>295</v>
      </c>
      <c r="C141" t="s">
        <v>20</v>
      </c>
      <c r="D141" s="1">
        <v>64</v>
      </c>
      <c r="E141" t="s">
        <v>160</v>
      </c>
      <c r="F141" t="s">
        <v>160</v>
      </c>
      <c r="G141" t="s">
        <v>160</v>
      </c>
      <c r="H141" t="s">
        <v>161</v>
      </c>
      <c r="I141" s="1">
        <v>5</v>
      </c>
      <c r="K141" s="1">
        <v>2</v>
      </c>
    </row>
    <row r="142" spans="1:11" x14ac:dyDescent="0.2">
      <c r="A142" s="55">
        <v>129</v>
      </c>
      <c r="B142" t="s">
        <v>296</v>
      </c>
      <c r="C142" t="s">
        <v>29</v>
      </c>
      <c r="D142" s="1">
        <v>65</v>
      </c>
      <c r="E142" t="s">
        <v>160</v>
      </c>
      <c r="F142" t="s">
        <v>160</v>
      </c>
      <c r="G142" t="s">
        <v>160</v>
      </c>
      <c r="H142" t="s">
        <v>161</v>
      </c>
      <c r="I142" s="1">
        <v>3</v>
      </c>
      <c r="K142" s="1">
        <v>2</v>
      </c>
    </row>
    <row r="143" spans="1:11" x14ac:dyDescent="0.2">
      <c r="A143" s="55">
        <v>130</v>
      </c>
      <c r="B143" s="99" t="s">
        <v>297</v>
      </c>
      <c r="C143" s="99" t="s">
        <v>196</v>
      </c>
      <c r="D143" s="1">
        <v>65</v>
      </c>
      <c r="E143" t="s">
        <v>160</v>
      </c>
      <c r="F143" t="s">
        <v>160</v>
      </c>
      <c r="G143" t="s">
        <v>160</v>
      </c>
      <c r="H143" t="s">
        <v>161</v>
      </c>
      <c r="I143" s="1">
        <v>0</v>
      </c>
      <c r="K143" s="1">
        <v>0</v>
      </c>
    </row>
    <row r="144" spans="1:11" x14ac:dyDescent="0.2">
      <c r="A144" s="55">
        <v>131</v>
      </c>
      <c r="B144" t="s">
        <v>298</v>
      </c>
      <c r="C144" t="s">
        <v>51</v>
      </c>
      <c r="D144" s="1">
        <v>66</v>
      </c>
      <c r="E144" t="s">
        <v>160</v>
      </c>
      <c r="F144" t="s">
        <v>160</v>
      </c>
      <c r="G144" t="s">
        <v>160</v>
      </c>
      <c r="H144" t="s">
        <v>161</v>
      </c>
      <c r="I144" s="1">
        <v>0</v>
      </c>
      <c r="K144" s="1">
        <v>4</v>
      </c>
    </row>
    <row r="145" spans="1:11" x14ac:dyDescent="0.2">
      <c r="A145" s="55">
        <v>132</v>
      </c>
      <c r="B145" t="s">
        <v>299</v>
      </c>
      <c r="C145" t="s">
        <v>12</v>
      </c>
      <c r="D145" s="1">
        <v>66</v>
      </c>
      <c r="E145" t="s">
        <v>160</v>
      </c>
      <c r="F145" t="s">
        <v>160</v>
      </c>
      <c r="G145" t="s">
        <v>160</v>
      </c>
      <c r="H145" t="s">
        <v>161</v>
      </c>
      <c r="I145" s="1">
        <v>6</v>
      </c>
      <c r="K145" s="1">
        <v>0</v>
      </c>
    </row>
    <row r="146" spans="1:11" x14ac:dyDescent="0.2">
      <c r="A146" s="55">
        <v>133</v>
      </c>
      <c r="B146" t="s">
        <v>300</v>
      </c>
      <c r="C146" t="s">
        <v>70</v>
      </c>
      <c r="D146" s="1">
        <v>67</v>
      </c>
      <c r="E146" t="s">
        <v>160</v>
      </c>
      <c r="F146" t="s">
        <v>160</v>
      </c>
      <c r="G146" t="s">
        <v>160</v>
      </c>
      <c r="H146" t="s">
        <v>161</v>
      </c>
      <c r="I146" s="1">
        <v>0</v>
      </c>
      <c r="K146" s="1">
        <v>5</v>
      </c>
    </row>
    <row r="147" spans="1:11" x14ac:dyDescent="0.2">
      <c r="A147" s="55">
        <v>134</v>
      </c>
      <c r="B147" t="s">
        <v>301</v>
      </c>
      <c r="C147" t="s">
        <v>21</v>
      </c>
      <c r="D147" s="1">
        <v>67</v>
      </c>
      <c r="E147" t="s">
        <v>160</v>
      </c>
      <c r="F147" t="s">
        <v>160</v>
      </c>
      <c r="G147" t="s">
        <v>160</v>
      </c>
      <c r="H147" t="s">
        <v>161</v>
      </c>
      <c r="I147" s="1">
        <v>1</v>
      </c>
      <c r="K147" s="1">
        <v>0</v>
      </c>
    </row>
    <row r="148" spans="1:11" x14ac:dyDescent="0.2">
      <c r="A148" s="55">
        <v>135</v>
      </c>
      <c r="B148" t="s">
        <v>302</v>
      </c>
      <c r="C148" t="s">
        <v>122</v>
      </c>
      <c r="D148" s="1">
        <v>68</v>
      </c>
      <c r="E148" t="s">
        <v>160</v>
      </c>
      <c r="F148" t="s">
        <v>160</v>
      </c>
      <c r="G148" t="s">
        <v>160</v>
      </c>
      <c r="H148" t="s">
        <v>161</v>
      </c>
      <c r="I148" s="1">
        <v>0</v>
      </c>
      <c r="K148" s="1">
        <v>3</v>
      </c>
    </row>
    <row r="149" spans="1:11" x14ac:dyDescent="0.2">
      <c r="A149" s="55">
        <v>136</v>
      </c>
      <c r="B149" t="s">
        <v>303</v>
      </c>
      <c r="C149" t="s">
        <v>26</v>
      </c>
      <c r="D149" s="1">
        <v>68</v>
      </c>
      <c r="E149" t="s">
        <v>160</v>
      </c>
      <c r="F149" t="s">
        <v>160</v>
      </c>
      <c r="G149" t="s">
        <v>160</v>
      </c>
      <c r="H149" t="s">
        <v>161</v>
      </c>
      <c r="I149" s="1">
        <v>3</v>
      </c>
      <c r="K149" s="1">
        <v>0</v>
      </c>
    </row>
    <row r="150" spans="1:11" x14ac:dyDescent="0.2">
      <c r="A150" s="55">
        <v>137</v>
      </c>
      <c r="B150" t="s">
        <v>304</v>
      </c>
      <c r="C150" t="s">
        <v>108</v>
      </c>
      <c r="D150" s="1">
        <v>69</v>
      </c>
      <c r="E150" t="s">
        <v>160</v>
      </c>
      <c r="F150" t="s">
        <v>160</v>
      </c>
      <c r="G150" t="s">
        <v>160</v>
      </c>
      <c r="H150" t="s">
        <v>161</v>
      </c>
      <c r="I150" s="1">
        <v>4</v>
      </c>
      <c r="K150" s="1">
        <v>4</v>
      </c>
    </row>
    <row r="151" spans="1:11" x14ac:dyDescent="0.2">
      <c r="A151" s="55">
        <v>138</v>
      </c>
      <c r="B151" t="s">
        <v>305</v>
      </c>
      <c r="C151" t="s">
        <v>98</v>
      </c>
      <c r="D151" s="1">
        <v>69</v>
      </c>
      <c r="E151" t="s">
        <v>160</v>
      </c>
      <c r="F151" t="s">
        <v>160</v>
      </c>
      <c r="G151" t="s">
        <v>160</v>
      </c>
      <c r="H151" t="s">
        <v>161</v>
      </c>
      <c r="I151" s="1">
        <v>0</v>
      </c>
      <c r="K151" s="1">
        <v>0</v>
      </c>
    </row>
    <row r="152" spans="1:11" x14ac:dyDescent="0.2">
      <c r="A152" s="55">
        <v>139</v>
      </c>
      <c r="B152" t="s">
        <v>306</v>
      </c>
      <c r="C152" t="s">
        <v>32</v>
      </c>
      <c r="D152" s="1">
        <v>70</v>
      </c>
      <c r="E152" t="s">
        <v>160</v>
      </c>
      <c r="F152" t="s">
        <v>160</v>
      </c>
      <c r="G152" t="s">
        <v>160</v>
      </c>
      <c r="H152" t="s">
        <v>161</v>
      </c>
      <c r="I152" s="1">
        <v>0</v>
      </c>
      <c r="K152" s="1">
        <v>0</v>
      </c>
    </row>
    <row r="153" spans="1:11" x14ac:dyDescent="0.2">
      <c r="A153" s="55">
        <v>140</v>
      </c>
      <c r="B153" t="s">
        <v>307</v>
      </c>
      <c r="C153" t="s">
        <v>40</v>
      </c>
      <c r="D153" s="1">
        <v>70</v>
      </c>
      <c r="E153" t="s">
        <v>160</v>
      </c>
      <c r="F153" t="s">
        <v>160</v>
      </c>
      <c r="G153" t="s">
        <v>160</v>
      </c>
      <c r="H153" t="s">
        <v>161</v>
      </c>
      <c r="I153" s="1">
        <v>3</v>
      </c>
      <c r="K153" s="1">
        <v>2</v>
      </c>
    </row>
    <row r="154" spans="1:11" x14ac:dyDescent="0.2">
      <c r="A154" s="55">
        <v>141</v>
      </c>
      <c r="B154" t="s">
        <v>308</v>
      </c>
      <c r="C154" t="s">
        <v>77</v>
      </c>
      <c r="D154" s="1">
        <v>71</v>
      </c>
      <c r="E154" t="s">
        <v>160</v>
      </c>
      <c r="F154" t="s">
        <v>160</v>
      </c>
      <c r="G154" t="s">
        <v>160</v>
      </c>
      <c r="H154" t="s">
        <v>161</v>
      </c>
      <c r="I154" s="1">
        <v>6</v>
      </c>
      <c r="K154" s="1">
        <v>0</v>
      </c>
    </row>
    <row r="155" spans="1:11" x14ac:dyDescent="0.2">
      <c r="A155" s="55">
        <v>142</v>
      </c>
      <c r="B155" t="s">
        <v>309</v>
      </c>
      <c r="C155" t="s">
        <v>40</v>
      </c>
      <c r="D155" s="1">
        <v>71</v>
      </c>
      <c r="E155" t="s">
        <v>160</v>
      </c>
      <c r="F155" t="s">
        <v>160</v>
      </c>
      <c r="G155" t="s">
        <v>160</v>
      </c>
      <c r="H155" t="s">
        <v>161</v>
      </c>
      <c r="I155" s="1">
        <v>0</v>
      </c>
      <c r="K155" s="1">
        <v>5</v>
      </c>
    </row>
    <row r="156" spans="1:11" x14ac:dyDescent="0.2">
      <c r="A156" s="55">
        <v>143</v>
      </c>
      <c r="B156" t="s">
        <v>310</v>
      </c>
      <c r="C156" t="s">
        <v>25</v>
      </c>
      <c r="D156" s="1">
        <v>72</v>
      </c>
      <c r="E156" t="s">
        <v>160</v>
      </c>
      <c r="F156" t="s">
        <v>160</v>
      </c>
      <c r="G156" t="s">
        <v>160</v>
      </c>
      <c r="H156" t="s">
        <v>161</v>
      </c>
      <c r="I156" s="1">
        <v>5</v>
      </c>
      <c r="K156" s="1">
        <v>2</v>
      </c>
    </row>
    <row r="157" spans="1:11" x14ac:dyDescent="0.2">
      <c r="A157" s="55">
        <v>144</v>
      </c>
      <c r="B157" t="s">
        <v>311</v>
      </c>
      <c r="C157" t="s">
        <v>10</v>
      </c>
      <c r="D157" s="1">
        <v>72</v>
      </c>
      <c r="E157" t="s">
        <v>160</v>
      </c>
      <c r="F157" t="s">
        <v>160</v>
      </c>
      <c r="G157" t="s">
        <v>160</v>
      </c>
      <c r="H157" t="s">
        <v>161</v>
      </c>
      <c r="I157" s="1">
        <v>0</v>
      </c>
      <c r="K157" s="1">
        <v>0</v>
      </c>
    </row>
    <row r="158" spans="1:11" x14ac:dyDescent="0.2">
      <c r="A158" s="55">
        <v>145</v>
      </c>
      <c r="B158" t="s">
        <v>312</v>
      </c>
      <c r="C158" t="s">
        <v>87</v>
      </c>
      <c r="D158" s="1">
        <v>73</v>
      </c>
      <c r="E158" t="s">
        <v>160</v>
      </c>
      <c r="F158" t="s">
        <v>160</v>
      </c>
      <c r="G158" t="s">
        <v>160</v>
      </c>
      <c r="H158" t="s">
        <v>161</v>
      </c>
      <c r="I158" s="1">
        <v>4</v>
      </c>
      <c r="K158" s="1">
        <v>0</v>
      </c>
    </row>
    <row r="159" spans="1:11" x14ac:dyDescent="0.2">
      <c r="A159" s="55">
        <v>146</v>
      </c>
      <c r="B159" t="s">
        <v>313</v>
      </c>
      <c r="C159" t="s">
        <v>17</v>
      </c>
      <c r="D159" s="1">
        <v>73</v>
      </c>
      <c r="E159" t="s">
        <v>160</v>
      </c>
      <c r="F159" t="s">
        <v>160</v>
      </c>
      <c r="G159" t="s">
        <v>160</v>
      </c>
      <c r="H159" t="s">
        <v>161</v>
      </c>
      <c r="I159" s="1">
        <v>0</v>
      </c>
      <c r="K159" s="1">
        <v>5</v>
      </c>
    </row>
    <row r="160" spans="1:11" x14ac:dyDescent="0.2">
      <c r="A160" s="55">
        <v>147</v>
      </c>
      <c r="B160" t="s">
        <v>314</v>
      </c>
      <c r="C160" t="s">
        <v>70</v>
      </c>
      <c r="D160" s="1">
        <v>74</v>
      </c>
      <c r="E160" t="s">
        <v>160</v>
      </c>
      <c r="F160" t="s">
        <v>160</v>
      </c>
      <c r="G160" t="s">
        <v>160</v>
      </c>
      <c r="H160" t="s">
        <v>161</v>
      </c>
      <c r="I160" s="1">
        <v>2</v>
      </c>
      <c r="K160" s="1">
        <v>0</v>
      </c>
    </row>
    <row r="161" spans="1:11" x14ac:dyDescent="0.2">
      <c r="A161" s="55">
        <v>148</v>
      </c>
      <c r="B161" t="s">
        <v>315</v>
      </c>
      <c r="C161" t="s">
        <v>15</v>
      </c>
      <c r="D161" s="1">
        <v>74</v>
      </c>
      <c r="E161" t="s">
        <v>160</v>
      </c>
      <c r="F161" t="s">
        <v>160</v>
      </c>
      <c r="G161" t="s">
        <v>160</v>
      </c>
      <c r="H161" t="s">
        <v>161</v>
      </c>
      <c r="I161" s="1">
        <v>0</v>
      </c>
      <c r="K161" s="1">
        <v>5</v>
      </c>
    </row>
    <row r="162" spans="1:11" x14ac:dyDescent="0.2">
      <c r="A162" s="55">
        <v>149</v>
      </c>
      <c r="B162" t="s">
        <v>316</v>
      </c>
      <c r="C162" t="s">
        <v>64</v>
      </c>
      <c r="D162" s="1">
        <v>75</v>
      </c>
      <c r="E162" t="s">
        <v>160</v>
      </c>
      <c r="F162" t="s">
        <v>160</v>
      </c>
      <c r="G162" t="s">
        <v>160</v>
      </c>
      <c r="H162" t="s">
        <v>161</v>
      </c>
      <c r="I162" s="1">
        <v>0</v>
      </c>
      <c r="K162" s="1">
        <v>0</v>
      </c>
    </row>
    <row r="163" spans="1:11" x14ac:dyDescent="0.2">
      <c r="A163" s="55">
        <v>150</v>
      </c>
      <c r="B163" t="s">
        <v>317</v>
      </c>
      <c r="C163" t="s">
        <v>196</v>
      </c>
      <c r="D163" s="1">
        <v>75</v>
      </c>
      <c r="E163" t="s">
        <v>160</v>
      </c>
      <c r="F163" t="s">
        <v>160</v>
      </c>
      <c r="G163" t="s">
        <v>160</v>
      </c>
      <c r="H163" t="s">
        <v>161</v>
      </c>
      <c r="I163" s="1">
        <v>5</v>
      </c>
      <c r="K163" s="1">
        <v>5</v>
      </c>
    </row>
    <row r="164" spans="1:11" x14ac:dyDescent="0.2">
      <c r="A164" s="55">
        <v>151</v>
      </c>
      <c r="B164" t="s">
        <v>318</v>
      </c>
      <c r="C164" t="s">
        <v>48</v>
      </c>
      <c r="D164" s="1">
        <v>76</v>
      </c>
      <c r="E164" t="s">
        <v>160</v>
      </c>
      <c r="F164" t="s">
        <v>160</v>
      </c>
      <c r="G164" t="s">
        <v>160</v>
      </c>
      <c r="H164" t="s">
        <v>161</v>
      </c>
      <c r="I164" s="1">
        <v>0</v>
      </c>
      <c r="K164" s="1">
        <v>4</v>
      </c>
    </row>
    <row r="165" spans="1:11" x14ac:dyDescent="0.2">
      <c r="A165" s="55">
        <v>152</v>
      </c>
      <c r="B165" t="s">
        <v>319</v>
      </c>
      <c r="C165" t="s">
        <v>44</v>
      </c>
      <c r="D165" s="1">
        <v>76</v>
      </c>
      <c r="E165" t="s">
        <v>160</v>
      </c>
      <c r="F165" t="s">
        <v>160</v>
      </c>
      <c r="G165" t="s">
        <v>160</v>
      </c>
      <c r="H165" t="s">
        <v>161</v>
      </c>
      <c r="I165" s="1">
        <v>2</v>
      </c>
      <c r="K165" s="1">
        <v>0</v>
      </c>
    </row>
    <row r="166" spans="1:11" x14ac:dyDescent="0.2">
      <c r="A166" s="55">
        <v>153</v>
      </c>
      <c r="B166" t="s">
        <v>320</v>
      </c>
      <c r="C166" t="s">
        <v>48</v>
      </c>
      <c r="D166" s="1">
        <v>77</v>
      </c>
      <c r="E166" t="s">
        <v>160</v>
      </c>
      <c r="F166" t="s">
        <v>160</v>
      </c>
      <c r="G166" t="s">
        <v>160</v>
      </c>
      <c r="H166" t="s">
        <v>161</v>
      </c>
      <c r="I166" s="1">
        <v>0</v>
      </c>
      <c r="K166" s="1">
        <v>5</v>
      </c>
    </row>
    <row r="167" spans="1:11" x14ac:dyDescent="0.2">
      <c r="A167" s="55">
        <v>154</v>
      </c>
      <c r="B167" t="s">
        <v>321</v>
      </c>
      <c r="C167" t="s">
        <v>100</v>
      </c>
      <c r="D167" s="1">
        <v>77</v>
      </c>
      <c r="E167" t="s">
        <v>160</v>
      </c>
      <c r="F167" t="s">
        <v>160</v>
      </c>
      <c r="G167" t="s">
        <v>160</v>
      </c>
      <c r="H167" t="s">
        <v>161</v>
      </c>
      <c r="I167" s="1">
        <v>5</v>
      </c>
      <c r="K167" s="1">
        <v>0</v>
      </c>
    </row>
    <row r="168" spans="1:11" x14ac:dyDescent="0.2">
      <c r="A168" s="55">
        <v>155</v>
      </c>
      <c r="B168" t="s">
        <v>322</v>
      </c>
      <c r="C168" t="s">
        <v>87</v>
      </c>
      <c r="D168" s="1">
        <v>78</v>
      </c>
      <c r="E168" t="s">
        <v>160</v>
      </c>
      <c r="F168" t="s">
        <v>160</v>
      </c>
      <c r="G168" t="s">
        <v>160</v>
      </c>
      <c r="H168" t="s">
        <v>161</v>
      </c>
      <c r="I168" s="1">
        <v>1</v>
      </c>
      <c r="K168" s="1">
        <v>2</v>
      </c>
    </row>
    <row r="169" spans="1:11" x14ac:dyDescent="0.2">
      <c r="A169" s="55">
        <v>156</v>
      </c>
      <c r="B169" t="s">
        <v>323</v>
      </c>
      <c r="C169" t="s">
        <v>223</v>
      </c>
      <c r="D169" s="1">
        <v>78</v>
      </c>
      <c r="E169" t="s">
        <v>160</v>
      </c>
      <c r="F169" t="s">
        <v>160</v>
      </c>
      <c r="G169" t="s">
        <v>160</v>
      </c>
      <c r="H169" t="s">
        <v>161</v>
      </c>
      <c r="I169" s="1">
        <v>0</v>
      </c>
      <c r="K169" s="1">
        <v>0</v>
      </c>
    </row>
    <row r="170" spans="1:11" x14ac:dyDescent="0.2">
      <c r="A170" s="55">
        <v>157</v>
      </c>
      <c r="B170" t="s">
        <v>324</v>
      </c>
      <c r="C170" t="s">
        <v>31</v>
      </c>
      <c r="D170" s="1">
        <v>79</v>
      </c>
      <c r="E170" t="s">
        <v>160</v>
      </c>
      <c r="F170" t="s">
        <v>160</v>
      </c>
      <c r="G170" t="s">
        <v>160</v>
      </c>
      <c r="H170" t="s">
        <v>161</v>
      </c>
      <c r="I170" s="1">
        <v>3</v>
      </c>
      <c r="K170" s="1">
        <v>0</v>
      </c>
    </row>
    <row r="171" spans="1:11" x14ac:dyDescent="0.2">
      <c r="A171" s="55">
        <v>158</v>
      </c>
      <c r="B171" t="s">
        <v>325</v>
      </c>
      <c r="C171" t="s">
        <v>209</v>
      </c>
      <c r="D171" s="1">
        <v>79</v>
      </c>
      <c r="E171" t="s">
        <v>160</v>
      </c>
      <c r="F171" t="s">
        <v>160</v>
      </c>
      <c r="G171" t="s">
        <v>160</v>
      </c>
      <c r="H171" t="s">
        <v>161</v>
      </c>
      <c r="I171" s="1">
        <v>0</v>
      </c>
      <c r="K171" s="1">
        <v>4</v>
      </c>
    </row>
    <row r="172" spans="1:11" x14ac:dyDescent="0.2">
      <c r="A172" s="55">
        <v>159</v>
      </c>
      <c r="B172" t="s">
        <v>326</v>
      </c>
      <c r="C172" t="s">
        <v>38</v>
      </c>
      <c r="D172" s="1">
        <v>80</v>
      </c>
      <c r="E172" t="s">
        <v>160</v>
      </c>
      <c r="F172" t="s">
        <v>160</v>
      </c>
      <c r="G172" t="s">
        <v>160</v>
      </c>
      <c r="H172" t="s">
        <v>161</v>
      </c>
      <c r="I172" s="1">
        <v>4</v>
      </c>
      <c r="K172" s="1">
        <v>2</v>
      </c>
    </row>
    <row r="173" spans="1:11" x14ac:dyDescent="0.2">
      <c r="A173" s="55">
        <v>160</v>
      </c>
      <c r="B173" t="s">
        <v>327</v>
      </c>
      <c r="C173" t="s">
        <v>23</v>
      </c>
      <c r="D173" s="1">
        <v>80</v>
      </c>
      <c r="E173" t="s">
        <v>160</v>
      </c>
      <c r="F173" t="s">
        <v>160</v>
      </c>
      <c r="G173" t="s">
        <v>160</v>
      </c>
      <c r="H173" t="s">
        <v>161</v>
      </c>
      <c r="I173" s="1">
        <v>0</v>
      </c>
      <c r="K173" s="1">
        <v>0</v>
      </c>
    </row>
    <row r="174" spans="1:11" x14ac:dyDescent="0.2">
      <c r="A174" s="55">
        <v>161</v>
      </c>
      <c r="B174" t="s">
        <v>328</v>
      </c>
      <c r="C174" t="s">
        <v>122</v>
      </c>
      <c r="D174" s="1">
        <v>81</v>
      </c>
      <c r="E174" t="s">
        <v>160</v>
      </c>
      <c r="F174" t="s">
        <v>160</v>
      </c>
      <c r="G174" t="s">
        <v>160</v>
      </c>
      <c r="H174" t="s">
        <v>161</v>
      </c>
      <c r="I174" s="1">
        <v>0</v>
      </c>
      <c r="K174" s="1">
        <v>0</v>
      </c>
    </row>
    <row r="175" spans="1:11" x14ac:dyDescent="0.2">
      <c r="A175" s="55">
        <v>162</v>
      </c>
      <c r="B175" t="s">
        <v>329</v>
      </c>
      <c r="C175" t="s">
        <v>13</v>
      </c>
      <c r="D175" s="1">
        <v>81</v>
      </c>
      <c r="E175" t="s">
        <v>160</v>
      </c>
      <c r="F175" t="s">
        <v>160</v>
      </c>
      <c r="G175" t="s">
        <v>160</v>
      </c>
      <c r="H175" t="s">
        <v>161</v>
      </c>
      <c r="I175" s="1">
        <v>2</v>
      </c>
      <c r="K175" s="1">
        <v>4</v>
      </c>
    </row>
    <row r="176" spans="1:11" x14ac:dyDescent="0.2">
      <c r="A176" s="55">
        <v>163</v>
      </c>
      <c r="B176" t="s">
        <v>330</v>
      </c>
      <c r="C176" t="s">
        <v>98</v>
      </c>
      <c r="D176" s="1">
        <v>82</v>
      </c>
      <c r="E176" t="s">
        <v>160</v>
      </c>
      <c r="F176" t="s">
        <v>160</v>
      </c>
      <c r="G176" t="s">
        <v>160</v>
      </c>
      <c r="H176" t="s">
        <v>161</v>
      </c>
      <c r="I176" s="1">
        <v>3</v>
      </c>
      <c r="K176" s="1">
        <v>0</v>
      </c>
    </row>
    <row r="177" spans="1:11" x14ac:dyDescent="0.2">
      <c r="A177" s="55">
        <v>164</v>
      </c>
      <c r="B177" t="s">
        <v>331</v>
      </c>
      <c r="C177" t="s">
        <v>20</v>
      </c>
      <c r="D177" s="1">
        <v>82</v>
      </c>
      <c r="E177" t="s">
        <v>160</v>
      </c>
      <c r="F177" t="s">
        <v>160</v>
      </c>
      <c r="G177" t="s">
        <v>160</v>
      </c>
      <c r="H177" t="s">
        <v>161</v>
      </c>
      <c r="I177" s="1">
        <v>0</v>
      </c>
      <c r="K177" s="1">
        <v>3</v>
      </c>
    </row>
    <row r="178" spans="1:11" x14ac:dyDescent="0.2">
      <c r="A178" s="55">
        <v>165</v>
      </c>
      <c r="B178" t="s">
        <v>332</v>
      </c>
      <c r="C178" t="s">
        <v>77</v>
      </c>
      <c r="D178" s="1">
        <v>83</v>
      </c>
      <c r="E178" t="s">
        <v>160</v>
      </c>
      <c r="F178" t="s">
        <v>160</v>
      </c>
      <c r="G178" t="s">
        <v>160</v>
      </c>
      <c r="H178" t="s">
        <v>161</v>
      </c>
      <c r="I178" s="1">
        <v>0</v>
      </c>
      <c r="K178" s="1">
        <v>4</v>
      </c>
    </row>
    <row r="179" spans="1:11" x14ac:dyDescent="0.2">
      <c r="A179" s="55">
        <v>166</v>
      </c>
      <c r="B179" t="s">
        <v>333</v>
      </c>
      <c r="C179" t="s">
        <v>33</v>
      </c>
      <c r="D179" s="1">
        <v>83</v>
      </c>
      <c r="E179" t="s">
        <v>160</v>
      </c>
      <c r="F179" t="s">
        <v>160</v>
      </c>
      <c r="G179" t="s">
        <v>160</v>
      </c>
      <c r="H179" t="s">
        <v>161</v>
      </c>
      <c r="I179" s="1">
        <v>4</v>
      </c>
      <c r="K179" s="1">
        <v>0</v>
      </c>
    </row>
    <row r="180" spans="1:11" x14ac:dyDescent="0.2">
      <c r="A180" s="55">
        <v>167</v>
      </c>
      <c r="B180" t="s">
        <v>334</v>
      </c>
      <c r="C180" t="s">
        <v>29</v>
      </c>
      <c r="D180" s="1">
        <v>84</v>
      </c>
      <c r="E180" t="s">
        <v>160</v>
      </c>
      <c r="F180" t="s">
        <v>160</v>
      </c>
      <c r="G180" t="s">
        <v>160</v>
      </c>
      <c r="H180" t="s">
        <v>161</v>
      </c>
      <c r="I180" s="1">
        <v>0</v>
      </c>
      <c r="K180" s="1">
        <v>5</v>
      </c>
    </row>
    <row r="181" spans="1:11" x14ac:dyDescent="0.2">
      <c r="A181" s="55">
        <v>168</v>
      </c>
      <c r="B181" t="s">
        <v>335</v>
      </c>
      <c r="C181" t="s">
        <v>96</v>
      </c>
      <c r="D181" s="1">
        <v>84</v>
      </c>
      <c r="E181" t="s">
        <v>160</v>
      </c>
      <c r="F181" t="s">
        <v>160</v>
      </c>
      <c r="G181" t="s">
        <v>160</v>
      </c>
      <c r="H181" t="s">
        <v>161</v>
      </c>
      <c r="I181" s="1">
        <v>2</v>
      </c>
      <c r="K181" s="1">
        <v>0</v>
      </c>
    </row>
    <row r="182" spans="1:11" x14ac:dyDescent="0.2">
      <c r="A182" s="55">
        <v>169</v>
      </c>
      <c r="B182" t="s">
        <v>336</v>
      </c>
      <c r="C182" t="s">
        <v>43</v>
      </c>
      <c r="D182" s="1">
        <v>85</v>
      </c>
      <c r="E182" t="s">
        <v>160</v>
      </c>
      <c r="F182" t="s">
        <v>160</v>
      </c>
      <c r="G182" t="s">
        <v>160</v>
      </c>
      <c r="H182" t="s">
        <v>161</v>
      </c>
      <c r="I182" s="1">
        <v>0</v>
      </c>
      <c r="K182" s="1">
        <v>4</v>
      </c>
    </row>
    <row r="183" spans="1:11" x14ac:dyDescent="0.2">
      <c r="A183" s="55">
        <v>170</v>
      </c>
      <c r="B183" t="s">
        <v>337</v>
      </c>
      <c r="C183" t="s">
        <v>214</v>
      </c>
      <c r="D183" s="1">
        <v>85</v>
      </c>
      <c r="E183" t="s">
        <v>160</v>
      </c>
      <c r="F183" t="s">
        <v>160</v>
      </c>
      <c r="G183" t="s">
        <v>160</v>
      </c>
      <c r="H183" t="s">
        <v>161</v>
      </c>
      <c r="I183" s="1">
        <v>5</v>
      </c>
      <c r="K183" s="1">
        <v>0</v>
      </c>
    </row>
    <row r="184" spans="1:11" x14ac:dyDescent="0.2">
      <c r="A184" s="55">
        <v>171</v>
      </c>
      <c r="B184" t="s">
        <v>338</v>
      </c>
      <c r="C184" t="s">
        <v>67</v>
      </c>
      <c r="D184" s="1">
        <v>86</v>
      </c>
      <c r="E184" t="s">
        <v>160</v>
      </c>
      <c r="F184" t="s">
        <v>160</v>
      </c>
      <c r="G184" t="s">
        <v>160</v>
      </c>
      <c r="H184" t="s">
        <v>161</v>
      </c>
      <c r="I184" s="1">
        <v>0</v>
      </c>
      <c r="K184" s="1">
        <v>0</v>
      </c>
    </row>
    <row r="185" spans="1:11" x14ac:dyDescent="0.2">
      <c r="A185" s="55">
        <v>172</v>
      </c>
      <c r="B185" t="s">
        <v>339</v>
      </c>
      <c r="C185" t="s">
        <v>196</v>
      </c>
      <c r="D185" s="1">
        <v>86</v>
      </c>
      <c r="E185" t="s">
        <v>160</v>
      </c>
      <c r="F185" t="s">
        <v>160</v>
      </c>
      <c r="G185" t="s">
        <v>160</v>
      </c>
      <c r="H185" t="s">
        <v>161</v>
      </c>
      <c r="I185" s="1">
        <v>1</v>
      </c>
      <c r="K185" s="1">
        <v>2</v>
      </c>
    </row>
    <row r="186" spans="1:11" x14ac:dyDescent="0.2">
      <c r="A186" s="55">
        <v>173</v>
      </c>
      <c r="B186" t="s">
        <v>340</v>
      </c>
      <c r="C186" t="s">
        <v>103</v>
      </c>
      <c r="D186" s="1">
        <v>87</v>
      </c>
      <c r="E186" t="s">
        <v>160</v>
      </c>
      <c r="F186" t="s">
        <v>160</v>
      </c>
      <c r="G186" t="s">
        <v>160</v>
      </c>
      <c r="H186" t="s">
        <v>161</v>
      </c>
      <c r="I186" s="1">
        <v>0</v>
      </c>
      <c r="K186" s="1">
        <v>4</v>
      </c>
    </row>
    <row r="187" spans="1:11" x14ac:dyDescent="0.2">
      <c r="A187" s="55">
        <v>174</v>
      </c>
      <c r="B187" t="s">
        <v>341</v>
      </c>
      <c r="C187" t="s">
        <v>44</v>
      </c>
      <c r="D187" s="1">
        <v>87</v>
      </c>
      <c r="E187" t="s">
        <v>160</v>
      </c>
      <c r="F187" t="s">
        <v>160</v>
      </c>
      <c r="G187" t="s">
        <v>160</v>
      </c>
      <c r="H187" t="s">
        <v>161</v>
      </c>
      <c r="I187" s="1">
        <v>1</v>
      </c>
      <c r="K187" s="1">
        <v>0</v>
      </c>
    </row>
    <row r="188" spans="1:11" x14ac:dyDescent="0.2">
      <c r="A188" s="55">
        <v>175</v>
      </c>
      <c r="B188" t="s">
        <v>342</v>
      </c>
      <c r="C188" t="s">
        <v>223</v>
      </c>
      <c r="D188" s="1">
        <v>88</v>
      </c>
      <c r="E188" t="s">
        <v>160</v>
      </c>
      <c r="F188" t="s">
        <v>160</v>
      </c>
      <c r="G188" t="s">
        <v>160</v>
      </c>
      <c r="H188" t="s">
        <v>161</v>
      </c>
      <c r="I188" s="1">
        <v>0</v>
      </c>
      <c r="K188" s="1">
        <v>2</v>
      </c>
    </row>
    <row r="189" spans="1:11" x14ac:dyDescent="0.2">
      <c r="A189" s="55">
        <v>176</v>
      </c>
      <c r="B189" t="s">
        <v>343</v>
      </c>
      <c r="C189" t="s">
        <v>17</v>
      </c>
      <c r="D189" s="1">
        <v>88</v>
      </c>
      <c r="E189" t="s">
        <v>160</v>
      </c>
      <c r="F189" t="s">
        <v>160</v>
      </c>
      <c r="G189" t="s">
        <v>160</v>
      </c>
      <c r="H189" t="s">
        <v>161</v>
      </c>
      <c r="I189" s="1">
        <v>3</v>
      </c>
      <c r="K189" s="1">
        <v>0</v>
      </c>
    </row>
    <row r="190" spans="1:11" x14ac:dyDescent="0.2">
      <c r="A190" s="55">
        <v>177</v>
      </c>
      <c r="B190" t="s">
        <v>344</v>
      </c>
      <c r="C190" t="s">
        <v>32</v>
      </c>
      <c r="D190" s="1">
        <v>89</v>
      </c>
      <c r="E190" t="s">
        <v>160</v>
      </c>
      <c r="F190" t="s">
        <v>160</v>
      </c>
      <c r="G190" t="s">
        <v>160</v>
      </c>
      <c r="H190" t="s">
        <v>161</v>
      </c>
      <c r="I190" s="1">
        <v>0</v>
      </c>
      <c r="K190" s="1">
        <v>3</v>
      </c>
    </row>
    <row r="191" spans="1:11" x14ac:dyDescent="0.2">
      <c r="A191" s="55">
        <v>178</v>
      </c>
      <c r="B191" t="s">
        <v>345</v>
      </c>
      <c r="C191" t="s">
        <v>77</v>
      </c>
      <c r="D191" s="1">
        <v>89</v>
      </c>
      <c r="E191" t="s">
        <v>160</v>
      </c>
      <c r="F191" t="s">
        <v>160</v>
      </c>
      <c r="G191" t="s">
        <v>160</v>
      </c>
      <c r="H191" t="s">
        <v>161</v>
      </c>
      <c r="I191" s="1">
        <v>1</v>
      </c>
      <c r="K191" s="1">
        <v>0</v>
      </c>
    </row>
    <row r="192" spans="1:11" x14ac:dyDescent="0.2">
      <c r="A192" s="55">
        <v>179</v>
      </c>
      <c r="B192" t="s">
        <v>346</v>
      </c>
      <c r="C192" t="s">
        <v>21</v>
      </c>
      <c r="D192" s="1">
        <v>90</v>
      </c>
      <c r="E192" t="s">
        <v>160</v>
      </c>
      <c r="F192" t="s">
        <v>160</v>
      </c>
      <c r="G192" t="s">
        <v>160</v>
      </c>
      <c r="H192" t="s">
        <v>161</v>
      </c>
      <c r="I192" s="1">
        <v>0</v>
      </c>
      <c r="K192" s="1">
        <v>5</v>
      </c>
    </row>
    <row r="193" spans="1:11" x14ac:dyDescent="0.2">
      <c r="A193" s="55">
        <v>180</v>
      </c>
      <c r="B193" t="s">
        <v>347</v>
      </c>
      <c r="C193" t="s">
        <v>34</v>
      </c>
      <c r="D193" s="1">
        <v>90</v>
      </c>
      <c r="E193" t="s">
        <v>160</v>
      </c>
      <c r="F193" t="s">
        <v>160</v>
      </c>
      <c r="G193" t="s">
        <v>160</v>
      </c>
      <c r="H193" t="s">
        <v>161</v>
      </c>
      <c r="I193" s="1">
        <v>2</v>
      </c>
      <c r="K193" s="1">
        <v>0</v>
      </c>
    </row>
    <row r="194" spans="1:11" x14ac:dyDescent="0.2">
      <c r="A194" s="55">
        <v>181</v>
      </c>
      <c r="B194" t="s">
        <v>348</v>
      </c>
      <c r="C194" t="s">
        <v>108</v>
      </c>
      <c r="D194" s="1">
        <v>91</v>
      </c>
      <c r="E194" t="s">
        <v>160</v>
      </c>
      <c r="F194" t="s">
        <v>160</v>
      </c>
      <c r="G194" t="s">
        <v>160</v>
      </c>
      <c r="H194" t="s">
        <v>161</v>
      </c>
      <c r="I194" s="1">
        <v>0</v>
      </c>
      <c r="K194" s="1">
        <v>2</v>
      </c>
    </row>
    <row r="195" spans="1:11" x14ac:dyDescent="0.2">
      <c r="A195" s="55">
        <v>182</v>
      </c>
      <c r="B195" t="s">
        <v>349</v>
      </c>
      <c r="C195" t="s">
        <v>70</v>
      </c>
      <c r="D195" s="1">
        <v>91</v>
      </c>
      <c r="E195" t="s">
        <v>160</v>
      </c>
      <c r="F195" t="s">
        <v>160</v>
      </c>
      <c r="G195" t="s">
        <v>160</v>
      </c>
      <c r="H195" t="s">
        <v>161</v>
      </c>
      <c r="I195" s="1">
        <v>3</v>
      </c>
      <c r="K195" s="1">
        <v>0</v>
      </c>
    </row>
    <row r="196" spans="1:11" x14ac:dyDescent="0.2">
      <c r="A196" s="55">
        <v>183</v>
      </c>
      <c r="B196" t="s">
        <v>350</v>
      </c>
      <c r="C196" t="s">
        <v>36</v>
      </c>
      <c r="D196" s="1">
        <v>92</v>
      </c>
      <c r="E196" t="s">
        <v>160</v>
      </c>
      <c r="F196" t="s">
        <v>160</v>
      </c>
      <c r="G196" t="s">
        <v>160</v>
      </c>
      <c r="H196" t="s">
        <v>161</v>
      </c>
      <c r="I196" s="1">
        <v>4</v>
      </c>
      <c r="K196" s="1">
        <v>5</v>
      </c>
    </row>
    <row r="197" spans="1:11" x14ac:dyDescent="0.2">
      <c r="A197" s="55">
        <v>184</v>
      </c>
      <c r="B197" t="s">
        <v>351</v>
      </c>
      <c r="C197" t="s">
        <v>67</v>
      </c>
      <c r="D197" s="1">
        <v>92</v>
      </c>
      <c r="E197" t="s">
        <v>160</v>
      </c>
      <c r="F197" t="s">
        <v>160</v>
      </c>
      <c r="G197" t="s">
        <v>160</v>
      </c>
      <c r="H197" t="s">
        <v>161</v>
      </c>
      <c r="I197" s="1">
        <v>0</v>
      </c>
      <c r="K197" s="1">
        <v>0</v>
      </c>
    </row>
    <row r="198" spans="1:11" x14ac:dyDescent="0.2">
      <c r="A198" s="55">
        <v>185</v>
      </c>
      <c r="B198" t="s">
        <v>352</v>
      </c>
      <c r="C198" t="s">
        <v>100</v>
      </c>
      <c r="D198" s="1">
        <v>93</v>
      </c>
      <c r="E198" t="s">
        <v>160</v>
      </c>
      <c r="F198" t="s">
        <v>160</v>
      </c>
      <c r="G198" t="s">
        <v>160</v>
      </c>
      <c r="H198" t="s">
        <v>161</v>
      </c>
      <c r="I198" s="1">
        <v>0</v>
      </c>
      <c r="K198" s="1">
        <v>0</v>
      </c>
    </row>
    <row r="199" spans="1:11" x14ac:dyDescent="0.2">
      <c r="A199" s="55">
        <v>186</v>
      </c>
      <c r="B199" t="s">
        <v>353</v>
      </c>
      <c r="C199" t="s">
        <v>103</v>
      </c>
      <c r="D199" s="1">
        <v>93</v>
      </c>
      <c r="E199" t="s">
        <v>160</v>
      </c>
      <c r="F199" t="s">
        <v>160</v>
      </c>
      <c r="G199" t="s">
        <v>160</v>
      </c>
      <c r="H199" t="s">
        <v>161</v>
      </c>
      <c r="I199" s="1">
        <v>1</v>
      </c>
      <c r="K199" s="1">
        <v>3</v>
      </c>
    </row>
    <row r="200" spans="1:11" x14ac:dyDescent="0.2">
      <c r="A200" s="55">
        <v>187</v>
      </c>
      <c r="B200" t="s">
        <v>354</v>
      </c>
      <c r="C200" t="s">
        <v>52</v>
      </c>
      <c r="D200" s="1">
        <v>94</v>
      </c>
      <c r="E200" t="s">
        <v>160</v>
      </c>
      <c r="F200" t="s">
        <v>160</v>
      </c>
      <c r="G200" t="s">
        <v>160</v>
      </c>
      <c r="H200" t="s">
        <v>161</v>
      </c>
      <c r="I200" s="1">
        <v>0</v>
      </c>
      <c r="K200" s="1">
        <v>0</v>
      </c>
    </row>
    <row r="201" spans="1:11" x14ac:dyDescent="0.2">
      <c r="A201" s="55">
        <v>188</v>
      </c>
      <c r="B201" t="s">
        <v>355</v>
      </c>
      <c r="C201" t="s">
        <v>209</v>
      </c>
      <c r="D201" s="1">
        <v>94</v>
      </c>
      <c r="E201" t="s">
        <v>160</v>
      </c>
      <c r="F201" t="s">
        <v>160</v>
      </c>
      <c r="G201" t="s">
        <v>160</v>
      </c>
      <c r="H201" t="s">
        <v>161</v>
      </c>
      <c r="I201" s="1">
        <v>1</v>
      </c>
      <c r="K201" s="1">
        <v>3</v>
      </c>
    </row>
    <row r="202" spans="1:11" x14ac:dyDescent="0.2">
      <c r="A202" s="55">
        <v>189</v>
      </c>
      <c r="B202" t="s">
        <v>356</v>
      </c>
      <c r="C202" t="s">
        <v>108</v>
      </c>
      <c r="D202" s="1">
        <v>95</v>
      </c>
      <c r="E202" t="s">
        <v>160</v>
      </c>
      <c r="F202" t="s">
        <v>160</v>
      </c>
      <c r="G202" t="s">
        <v>160</v>
      </c>
      <c r="H202" t="s">
        <v>161</v>
      </c>
      <c r="I202" s="1">
        <v>0</v>
      </c>
      <c r="K202" s="1">
        <v>3</v>
      </c>
    </row>
    <row r="203" spans="1:11" x14ac:dyDescent="0.2">
      <c r="A203" s="55">
        <v>190</v>
      </c>
      <c r="B203" t="s">
        <v>357</v>
      </c>
      <c r="C203" t="s">
        <v>21</v>
      </c>
      <c r="D203" s="1">
        <v>95</v>
      </c>
      <c r="E203" t="s">
        <v>160</v>
      </c>
      <c r="F203" t="s">
        <v>160</v>
      </c>
      <c r="G203" t="s">
        <v>160</v>
      </c>
      <c r="H203" t="s">
        <v>161</v>
      </c>
      <c r="I203" s="1">
        <v>2</v>
      </c>
      <c r="K203" s="1">
        <v>0</v>
      </c>
    </row>
    <row r="204" spans="1:11" x14ac:dyDescent="0.2">
      <c r="A204" s="55">
        <v>191</v>
      </c>
      <c r="B204" t="s">
        <v>358</v>
      </c>
      <c r="C204" t="s">
        <v>38</v>
      </c>
      <c r="D204" s="1">
        <v>96</v>
      </c>
      <c r="E204" t="s">
        <v>160</v>
      </c>
      <c r="F204" t="s">
        <v>160</v>
      </c>
      <c r="G204" t="s">
        <v>160</v>
      </c>
      <c r="H204" t="s">
        <v>161</v>
      </c>
      <c r="I204" s="1">
        <v>0</v>
      </c>
      <c r="K204" s="1">
        <v>5</v>
      </c>
    </row>
    <row r="205" spans="1:11" x14ac:dyDescent="0.2">
      <c r="A205" s="55">
        <v>192</v>
      </c>
      <c r="B205" s="100" t="s">
        <v>359</v>
      </c>
      <c r="C205" s="100" t="s">
        <v>199</v>
      </c>
      <c r="D205" s="1">
        <v>96</v>
      </c>
      <c r="E205" t="s">
        <v>160</v>
      </c>
      <c r="F205" t="s">
        <v>160</v>
      </c>
      <c r="G205" t="s">
        <v>160</v>
      </c>
      <c r="H205" t="s">
        <v>161</v>
      </c>
      <c r="I205" s="1">
        <v>4</v>
      </c>
      <c r="K205" s="1">
        <v>0</v>
      </c>
    </row>
    <row r="206" spans="1:11" x14ac:dyDescent="0.2">
      <c r="A206" s="55">
        <v>193</v>
      </c>
      <c r="B206" t="s">
        <v>360</v>
      </c>
      <c r="C206" t="s">
        <v>18</v>
      </c>
      <c r="D206" s="1">
        <v>97</v>
      </c>
      <c r="E206" t="s">
        <v>160</v>
      </c>
      <c r="F206" t="s">
        <v>160</v>
      </c>
      <c r="G206" t="s">
        <v>160</v>
      </c>
      <c r="H206" t="s">
        <v>361</v>
      </c>
      <c r="I206" s="1">
        <v>0</v>
      </c>
      <c r="K206" s="1">
        <v>2</v>
      </c>
    </row>
    <row r="207" spans="1:11" x14ac:dyDescent="0.2">
      <c r="A207" s="55">
        <v>194</v>
      </c>
      <c r="B207" t="s">
        <v>362</v>
      </c>
      <c r="C207" t="s">
        <v>10</v>
      </c>
      <c r="D207" s="1">
        <v>97</v>
      </c>
      <c r="E207" t="s">
        <v>160</v>
      </c>
      <c r="F207" t="s">
        <v>160</v>
      </c>
      <c r="G207" t="s">
        <v>160</v>
      </c>
      <c r="H207" t="s">
        <v>361</v>
      </c>
      <c r="I207" s="1">
        <v>6</v>
      </c>
      <c r="K207" s="1">
        <v>0</v>
      </c>
    </row>
    <row r="208" spans="1:11" x14ac:dyDescent="0.2">
      <c r="A208" s="55">
        <v>195</v>
      </c>
      <c r="B208" t="s">
        <v>363</v>
      </c>
      <c r="C208" t="s">
        <v>203</v>
      </c>
      <c r="D208" s="1">
        <v>98</v>
      </c>
      <c r="E208" t="s">
        <v>160</v>
      </c>
      <c r="F208" t="s">
        <v>160</v>
      </c>
      <c r="G208" t="s">
        <v>160</v>
      </c>
      <c r="H208" t="s">
        <v>361</v>
      </c>
      <c r="I208" s="1">
        <v>1</v>
      </c>
      <c r="K208" s="1">
        <v>2</v>
      </c>
    </row>
    <row r="209" spans="1:11" x14ac:dyDescent="0.2">
      <c r="A209" s="55">
        <v>196</v>
      </c>
      <c r="B209" t="s">
        <v>364</v>
      </c>
      <c r="C209" t="s">
        <v>51</v>
      </c>
      <c r="D209" s="1">
        <v>98</v>
      </c>
      <c r="E209" t="s">
        <v>160</v>
      </c>
      <c r="F209" t="s">
        <v>160</v>
      </c>
      <c r="G209" t="s">
        <v>160</v>
      </c>
      <c r="H209" t="s">
        <v>361</v>
      </c>
      <c r="I209" s="1">
        <v>0</v>
      </c>
      <c r="K209" s="1">
        <v>0</v>
      </c>
    </row>
    <row r="210" spans="1:11" x14ac:dyDescent="0.2">
      <c r="A210" s="55">
        <v>197</v>
      </c>
      <c r="B210" t="s">
        <v>365</v>
      </c>
      <c r="C210" t="s">
        <v>48</v>
      </c>
      <c r="D210" s="1">
        <v>99</v>
      </c>
      <c r="E210" t="s">
        <v>160</v>
      </c>
      <c r="F210" t="s">
        <v>160</v>
      </c>
      <c r="G210" t="s">
        <v>160</v>
      </c>
      <c r="H210" t="s">
        <v>361</v>
      </c>
      <c r="I210" s="1">
        <v>2</v>
      </c>
      <c r="K210" s="1">
        <v>4</v>
      </c>
    </row>
    <row r="211" spans="1:11" x14ac:dyDescent="0.2">
      <c r="A211" s="55">
        <v>198</v>
      </c>
      <c r="B211" t="s">
        <v>366</v>
      </c>
      <c r="C211" t="s">
        <v>103</v>
      </c>
      <c r="D211" s="1">
        <v>99</v>
      </c>
      <c r="E211" t="s">
        <v>160</v>
      </c>
      <c r="F211" t="s">
        <v>160</v>
      </c>
      <c r="G211" t="s">
        <v>160</v>
      </c>
      <c r="H211" t="s">
        <v>361</v>
      </c>
      <c r="I211" s="1">
        <v>0</v>
      </c>
      <c r="K211" s="1">
        <v>0</v>
      </c>
    </row>
    <row r="212" spans="1:11" x14ac:dyDescent="0.2">
      <c r="A212" s="55">
        <v>199</v>
      </c>
      <c r="B212" t="s">
        <v>367</v>
      </c>
      <c r="C212" t="s">
        <v>45</v>
      </c>
      <c r="D212" s="1">
        <v>100</v>
      </c>
      <c r="E212" t="s">
        <v>160</v>
      </c>
      <c r="F212" t="s">
        <v>160</v>
      </c>
      <c r="G212" t="s">
        <v>160</v>
      </c>
      <c r="H212" t="s">
        <v>361</v>
      </c>
      <c r="I212" s="1">
        <v>0</v>
      </c>
      <c r="K212" s="1">
        <v>0</v>
      </c>
    </row>
    <row r="213" spans="1:11" x14ac:dyDescent="0.2">
      <c r="A213" s="55">
        <v>200</v>
      </c>
      <c r="B213" t="s">
        <v>368</v>
      </c>
      <c r="C213" t="s">
        <v>87</v>
      </c>
      <c r="D213" s="1">
        <v>100</v>
      </c>
      <c r="E213" t="s">
        <v>160</v>
      </c>
      <c r="F213" t="s">
        <v>160</v>
      </c>
      <c r="G213" t="s">
        <v>160</v>
      </c>
      <c r="H213" t="s">
        <v>361</v>
      </c>
      <c r="I213" s="1">
        <v>5</v>
      </c>
      <c r="K213" s="1">
        <v>3</v>
      </c>
    </row>
    <row r="214" spans="1:11" x14ac:dyDescent="0.2">
      <c r="A214" s="55">
        <v>201</v>
      </c>
      <c r="B214" t="s">
        <v>369</v>
      </c>
      <c r="C214" t="s">
        <v>38</v>
      </c>
      <c r="D214" s="1">
        <v>101</v>
      </c>
      <c r="E214" t="s">
        <v>160</v>
      </c>
      <c r="F214" t="s">
        <v>160</v>
      </c>
      <c r="G214" t="s">
        <v>160</v>
      </c>
      <c r="H214" t="s">
        <v>361</v>
      </c>
      <c r="I214" s="1">
        <v>0</v>
      </c>
      <c r="K214" s="1">
        <v>0</v>
      </c>
    </row>
    <row r="215" spans="1:11" x14ac:dyDescent="0.2">
      <c r="A215" s="55">
        <v>202</v>
      </c>
      <c r="B215" t="s">
        <v>370</v>
      </c>
      <c r="C215" t="s">
        <v>12</v>
      </c>
      <c r="D215" s="1">
        <v>101</v>
      </c>
      <c r="E215" t="s">
        <v>160</v>
      </c>
      <c r="F215" t="s">
        <v>160</v>
      </c>
      <c r="G215" t="s">
        <v>160</v>
      </c>
      <c r="H215" t="s">
        <v>361</v>
      </c>
      <c r="I215" s="1">
        <v>2</v>
      </c>
      <c r="K215" s="1">
        <v>4</v>
      </c>
    </row>
    <row r="216" spans="1:11" x14ac:dyDescent="0.2">
      <c r="A216" s="55">
        <v>203</v>
      </c>
      <c r="B216" t="s">
        <v>371</v>
      </c>
      <c r="C216" t="s">
        <v>122</v>
      </c>
      <c r="D216" s="1">
        <v>102</v>
      </c>
      <c r="E216" t="s">
        <v>160</v>
      </c>
      <c r="F216" t="s">
        <v>160</v>
      </c>
      <c r="G216" t="s">
        <v>160</v>
      </c>
      <c r="H216" t="s">
        <v>361</v>
      </c>
      <c r="I216" s="1">
        <v>4</v>
      </c>
      <c r="K216" s="1">
        <v>4</v>
      </c>
    </row>
    <row r="217" spans="1:11" x14ac:dyDescent="0.2">
      <c r="A217" s="55">
        <v>204</v>
      </c>
      <c r="B217" t="s">
        <v>372</v>
      </c>
      <c r="C217" t="s">
        <v>209</v>
      </c>
      <c r="D217" s="1">
        <v>102</v>
      </c>
      <c r="E217" t="s">
        <v>160</v>
      </c>
      <c r="F217" t="s">
        <v>160</v>
      </c>
      <c r="G217" t="s">
        <v>160</v>
      </c>
      <c r="H217" t="s">
        <v>361</v>
      </c>
      <c r="I217" s="1">
        <v>0</v>
      </c>
      <c r="K217" s="1">
        <v>0</v>
      </c>
    </row>
    <row r="218" spans="1:11" x14ac:dyDescent="0.2">
      <c r="A218" s="55">
        <v>205</v>
      </c>
      <c r="B218" t="s">
        <v>373</v>
      </c>
      <c r="C218" t="s">
        <v>29</v>
      </c>
      <c r="D218" s="1">
        <v>103</v>
      </c>
      <c r="E218" t="s">
        <v>160</v>
      </c>
      <c r="F218" t="s">
        <v>160</v>
      </c>
      <c r="G218" t="s">
        <v>160</v>
      </c>
      <c r="H218" t="s">
        <v>361</v>
      </c>
      <c r="I218" s="1">
        <v>0</v>
      </c>
      <c r="K218" s="1">
        <v>2</v>
      </c>
    </row>
    <row r="219" spans="1:11" x14ac:dyDescent="0.2">
      <c r="A219" s="55">
        <v>206</v>
      </c>
      <c r="B219" s="99" t="s">
        <v>374</v>
      </c>
      <c r="C219" s="99" t="s">
        <v>36</v>
      </c>
      <c r="D219" s="1">
        <v>103</v>
      </c>
      <c r="E219" t="s">
        <v>160</v>
      </c>
      <c r="F219" t="s">
        <v>160</v>
      </c>
      <c r="G219" t="s">
        <v>160</v>
      </c>
      <c r="H219" t="s">
        <v>361</v>
      </c>
      <c r="I219" s="1">
        <v>2</v>
      </c>
      <c r="K219" s="1">
        <v>0</v>
      </c>
    </row>
    <row r="220" spans="1:11" x14ac:dyDescent="0.2">
      <c r="A220" s="55">
        <v>207</v>
      </c>
      <c r="B220" t="s">
        <v>375</v>
      </c>
      <c r="C220" t="s">
        <v>26</v>
      </c>
      <c r="D220" s="1">
        <v>104</v>
      </c>
      <c r="E220" t="s">
        <v>160</v>
      </c>
      <c r="F220" t="s">
        <v>160</v>
      </c>
      <c r="G220" t="s">
        <v>160</v>
      </c>
      <c r="H220" t="s">
        <v>361</v>
      </c>
      <c r="I220" s="1">
        <v>2</v>
      </c>
      <c r="K220" s="1">
        <v>0</v>
      </c>
    </row>
    <row r="221" spans="1:11" x14ac:dyDescent="0.2">
      <c r="A221" s="55">
        <v>208</v>
      </c>
      <c r="B221" t="s">
        <v>376</v>
      </c>
      <c r="C221" t="s">
        <v>52</v>
      </c>
      <c r="D221" s="1">
        <v>104</v>
      </c>
      <c r="E221" t="s">
        <v>160</v>
      </c>
      <c r="F221" t="s">
        <v>160</v>
      </c>
      <c r="G221" t="s">
        <v>160</v>
      </c>
      <c r="H221" t="s">
        <v>361</v>
      </c>
      <c r="I221" s="1">
        <v>0</v>
      </c>
      <c r="K221" s="1">
        <v>3</v>
      </c>
    </row>
    <row r="222" spans="1:11" x14ac:dyDescent="0.2">
      <c r="A222" s="55">
        <v>209</v>
      </c>
      <c r="B222" t="s">
        <v>377</v>
      </c>
      <c r="C222" t="s">
        <v>98</v>
      </c>
      <c r="D222" s="1">
        <v>105</v>
      </c>
      <c r="E222" t="s">
        <v>160</v>
      </c>
      <c r="F222" t="s">
        <v>160</v>
      </c>
      <c r="G222" t="s">
        <v>160</v>
      </c>
      <c r="H222" t="s">
        <v>361</v>
      </c>
      <c r="I222" s="1">
        <v>4</v>
      </c>
      <c r="K222" s="1">
        <v>3</v>
      </c>
    </row>
    <row r="223" spans="1:11" x14ac:dyDescent="0.2">
      <c r="A223" s="55">
        <v>210</v>
      </c>
      <c r="B223" t="s">
        <v>378</v>
      </c>
      <c r="C223" t="s">
        <v>21</v>
      </c>
      <c r="D223" s="1">
        <v>105</v>
      </c>
      <c r="E223" t="s">
        <v>160</v>
      </c>
      <c r="F223" t="s">
        <v>160</v>
      </c>
      <c r="G223" t="s">
        <v>160</v>
      </c>
      <c r="H223" t="s">
        <v>361</v>
      </c>
      <c r="I223" s="1">
        <v>0</v>
      </c>
      <c r="K223" s="1">
        <v>0</v>
      </c>
    </row>
    <row r="224" spans="1:11" x14ac:dyDescent="0.2">
      <c r="A224" s="55">
        <v>211</v>
      </c>
      <c r="B224" s="101" t="s">
        <v>379</v>
      </c>
      <c r="C224" s="101" t="s">
        <v>108</v>
      </c>
      <c r="D224" s="1">
        <v>106</v>
      </c>
      <c r="E224" t="s">
        <v>160</v>
      </c>
      <c r="F224" t="s">
        <v>160</v>
      </c>
      <c r="G224" t="s">
        <v>160</v>
      </c>
      <c r="H224" t="s">
        <v>361</v>
      </c>
      <c r="I224" s="1">
        <v>4</v>
      </c>
      <c r="K224" s="1">
        <v>0</v>
      </c>
    </row>
    <row r="225" spans="1:11" x14ac:dyDescent="0.2">
      <c r="A225" s="55">
        <v>212</v>
      </c>
      <c r="B225" t="s">
        <v>380</v>
      </c>
      <c r="C225" t="s">
        <v>15</v>
      </c>
      <c r="D225" s="1">
        <v>106</v>
      </c>
      <c r="E225" t="s">
        <v>160</v>
      </c>
      <c r="F225" t="s">
        <v>160</v>
      </c>
      <c r="G225" t="s">
        <v>160</v>
      </c>
      <c r="H225" t="s">
        <v>361</v>
      </c>
      <c r="I225" s="1">
        <v>0</v>
      </c>
      <c r="K225" s="1">
        <v>3</v>
      </c>
    </row>
    <row r="226" spans="1:11" x14ac:dyDescent="0.2">
      <c r="A226" s="55">
        <v>213</v>
      </c>
      <c r="B226" t="s">
        <v>381</v>
      </c>
      <c r="C226" t="s">
        <v>12</v>
      </c>
      <c r="D226" s="1">
        <v>107</v>
      </c>
      <c r="E226" t="s">
        <v>160</v>
      </c>
      <c r="F226" t="s">
        <v>160</v>
      </c>
      <c r="G226" t="s">
        <v>160</v>
      </c>
      <c r="H226" t="s">
        <v>361</v>
      </c>
      <c r="I226" s="1">
        <v>2</v>
      </c>
      <c r="K226" s="1">
        <v>0</v>
      </c>
    </row>
    <row r="227" spans="1:11" x14ac:dyDescent="0.2">
      <c r="A227" s="55">
        <v>214</v>
      </c>
      <c r="B227" t="s">
        <v>382</v>
      </c>
      <c r="C227" t="s">
        <v>214</v>
      </c>
      <c r="D227" s="1">
        <v>107</v>
      </c>
      <c r="E227" t="s">
        <v>160</v>
      </c>
      <c r="F227" t="s">
        <v>160</v>
      </c>
      <c r="G227" t="s">
        <v>160</v>
      </c>
      <c r="H227" t="s">
        <v>361</v>
      </c>
      <c r="I227" s="1">
        <v>0</v>
      </c>
      <c r="K227" s="1">
        <v>2</v>
      </c>
    </row>
    <row r="228" spans="1:11" x14ac:dyDescent="0.2">
      <c r="A228" s="55">
        <v>215</v>
      </c>
      <c r="B228" s="100" t="s">
        <v>383</v>
      </c>
      <c r="C228" s="100" t="s">
        <v>116</v>
      </c>
      <c r="D228" s="1">
        <v>108</v>
      </c>
      <c r="E228" t="s">
        <v>160</v>
      </c>
      <c r="F228" t="s">
        <v>160</v>
      </c>
      <c r="G228" t="s">
        <v>160</v>
      </c>
      <c r="H228" t="s">
        <v>361</v>
      </c>
      <c r="I228" s="1">
        <v>5</v>
      </c>
      <c r="K228" s="1">
        <v>3</v>
      </c>
    </row>
    <row r="229" spans="1:11" x14ac:dyDescent="0.2">
      <c r="A229" s="55">
        <v>216</v>
      </c>
      <c r="B229" t="s">
        <v>384</v>
      </c>
      <c r="C229" t="s">
        <v>196</v>
      </c>
      <c r="D229" s="1">
        <v>108</v>
      </c>
      <c r="E229" t="s">
        <v>160</v>
      </c>
      <c r="F229" t="s">
        <v>160</v>
      </c>
      <c r="G229" t="s">
        <v>160</v>
      </c>
      <c r="H229" t="s">
        <v>361</v>
      </c>
      <c r="I229" s="1">
        <v>0</v>
      </c>
      <c r="K229" s="1">
        <v>0</v>
      </c>
    </row>
    <row r="230" spans="1:11" x14ac:dyDescent="0.2">
      <c r="A230" s="55">
        <v>217</v>
      </c>
      <c r="B230" t="s">
        <v>385</v>
      </c>
      <c r="C230" t="s">
        <v>122</v>
      </c>
      <c r="D230" s="1">
        <v>109</v>
      </c>
      <c r="E230" t="s">
        <v>160</v>
      </c>
      <c r="F230" t="s">
        <v>160</v>
      </c>
      <c r="G230" t="s">
        <v>160</v>
      </c>
      <c r="H230" t="s">
        <v>361</v>
      </c>
      <c r="I230" s="1">
        <v>2</v>
      </c>
      <c r="K230" s="1">
        <v>0</v>
      </c>
    </row>
    <row r="231" spans="1:11" x14ac:dyDescent="0.2">
      <c r="A231" s="55">
        <v>218</v>
      </c>
      <c r="B231" t="s">
        <v>386</v>
      </c>
      <c r="C231" t="s">
        <v>17</v>
      </c>
      <c r="D231" s="1">
        <v>109</v>
      </c>
      <c r="E231" t="s">
        <v>160</v>
      </c>
      <c r="F231" t="s">
        <v>160</v>
      </c>
      <c r="G231" t="s">
        <v>160</v>
      </c>
      <c r="H231" t="s">
        <v>361</v>
      </c>
      <c r="I231" s="1">
        <v>0</v>
      </c>
      <c r="K231" s="1">
        <v>2</v>
      </c>
    </row>
    <row r="232" spans="1:11" x14ac:dyDescent="0.2">
      <c r="A232" s="55">
        <v>219</v>
      </c>
      <c r="B232" t="s">
        <v>387</v>
      </c>
      <c r="C232" t="s">
        <v>10</v>
      </c>
      <c r="D232" s="1">
        <v>110</v>
      </c>
      <c r="E232" t="s">
        <v>160</v>
      </c>
      <c r="F232" t="s">
        <v>160</v>
      </c>
      <c r="G232" t="s">
        <v>160</v>
      </c>
      <c r="H232" t="s">
        <v>361</v>
      </c>
      <c r="I232" s="1">
        <v>0</v>
      </c>
      <c r="K232" s="1">
        <v>0</v>
      </c>
    </row>
    <row r="233" spans="1:11" x14ac:dyDescent="0.2">
      <c r="A233" s="55">
        <v>220</v>
      </c>
      <c r="B233" t="s">
        <v>388</v>
      </c>
      <c r="C233" t="s">
        <v>209</v>
      </c>
      <c r="D233" s="1">
        <v>110</v>
      </c>
      <c r="E233" t="s">
        <v>160</v>
      </c>
      <c r="F233" t="s">
        <v>160</v>
      </c>
      <c r="G233" t="s">
        <v>160</v>
      </c>
      <c r="H233" t="s">
        <v>361</v>
      </c>
      <c r="I233" s="1">
        <v>6</v>
      </c>
      <c r="K233" s="1">
        <v>3</v>
      </c>
    </row>
    <row r="234" spans="1:11" x14ac:dyDescent="0.2">
      <c r="A234" s="55">
        <v>221</v>
      </c>
      <c r="B234" t="s">
        <v>389</v>
      </c>
      <c r="C234" t="s">
        <v>24</v>
      </c>
      <c r="D234" s="1">
        <v>111</v>
      </c>
      <c r="E234" t="s">
        <v>160</v>
      </c>
      <c r="F234" t="s">
        <v>160</v>
      </c>
      <c r="G234" t="s">
        <v>160</v>
      </c>
      <c r="H234" t="s">
        <v>361</v>
      </c>
      <c r="I234" s="1">
        <v>0</v>
      </c>
      <c r="K234" s="1">
        <v>0</v>
      </c>
    </row>
    <row r="235" spans="1:11" x14ac:dyDescent="0.2">
      <c r="A235" s="55">
        <v>222</v>
      </c>
      <c r="B235" t="s">
        <v>390</v>
      </c>
      <c r="C235" t="s">
        <v>33</v>
      </c>
      <c r="D235" s="1">
        <v>111</v>
      </c>
      <c r="E235" t="s">
        <v>160</v>
      </c>
      <c r="F235" t="s">
        <v>160</v>
      </c>
      <c r="G235" t="s">
        <v>160</v>
      </c>
      <c r="H235" t="s">
        <v>361</v>
      </c>
      <c r="I235" s="1">
        <v>4</v>
      </c>
      <c r="K235" s="1">
        <v>4</v>
      </c>
    </row>
    <row r="236" spans="1:11" x14ac:dyDescent="0.2">
      <c r="A236" s="55">
        <v>223</v>
      </c>
      <c r="B236" t="s">
        <v>391</v>
      </c>
      <c r="C236" t="s">
        <v>29</v>
      </c>
      <c r="D236" s="1">
        <v>112</v>
      </c>
      <c r="E236" t="s">
        <v>160</v>
      </c>
      <c r="F236" t="s">
        <v>160</v>
      </c>
      <c r="G236" t="s">
        <v>160</v>
      </c>
      <c r="H236" t="s">
        <v>361</v>
      </c>
      <c r="I236" s="1">
        <v>6</v>
      </c>
      <c r="K236" s="1">
        <v>4</v>
      </c>
    </row>
    <row r="237" spans="1:11" x14ac:dyDescent="0.2">
      <c r="A237" s="55">
        <v>224</v>
      </c>
      <c r="B237" t="s">
        <v>392</v>
      </c>
      <c r="C237" t="s">
        <v>67</v>
      </c>
      <c r="D237" s="1">
        <v>112</v>
      </c>
      <c r="E237" t="s">
        <v>160</v>
      </c>
      <c r="F237" t="s">
        <v>160</v>
      </c>
      <c r="G237" t="s">
        <v>160</v>
      </c>
      <c r="H237" t="s">
        <v>361</v>
      </c>
      <c r="I237" s="1">
        <v>0</v>
      </c>
      <c r="K237" s="1">
        <v>0</v>
      </c>
    </row>
    <row r="238" spans="1:11" x14ac:dyDescent="0.2">
      <c r="A238" s="55">
        <v>225</v>
      </c>
      <c r="B238" t="s">
        <v>393</v>
      </c>
      <c r="C238" t="s">
        <v>98</v>
      </c>
      <c r="D238" s="1">
        <v>113</v>
      </c>
      <c r="E238" t="s">
        <v>160</v>
      </c>
      <c r="F238" t="s">
        <v>160</v>
      </c>
      <c r="G238" t="s">
        <v>160</v>
      </c>
      <c r="H238" t="s">
        <v>361</v>
      </c>
      <c r="I238" s="1">
        <v>0</v>
      </c>
      <c r="K238" s="1">
        <v>0</v>
      </c>
    </row>
    <row r="239" spans="1:11" x14ac:dyDescent="0.2">
      <c r="A239" s="55">
        <v>226</v>
      </c>
      <c r="B239" t="s">
        <v>394</v>
      </c>
      <c r="C239" t="s">
        <v>70</v>
      </c>
      <c r="D239" s="1">
        <v>113</v>
      </c>
      <c r="E239" t="s">
        <v>160</v>
      </c>
      <c r="F239" t="s">
        <v>160</v>
      </c>
      <c r="G239" t="s">
        <v>160</v>
      </c>
      <c r="H239" t="s">
        <v>361</v>
      </c>
      <c r="I239" s="1">
        <v>4</v>
      </c>
      <c r="K239" s="1">
        <v>4</v>
      </c>
    </row>
    <row r="240" spans="1:11" x14ac:dyDescent="0.2">
      <c r="A240" s="55">
        <v>227</v>
      </c>
      <c r="B240" t="s">
        <v>395</v>
      </c>
      <c r="C240" t="s">
        <v>108</v>
      </c>
      <c r="D240" s="1">
        <v>114</v>
      </c>
      <c r="E240" t="s">
        <v>160</v>
      </c>
      <c r="F240" t="s">
        <v>160</v>
      </c>
      <c r="G240" t="s">
        <v>160</v>
      </c>
      <c r="H240" t="s">
        <v>361</v>
      </c>
      <c r="I240" s="1">
        <v>1</v>
      </c>
      <c r="K240" s="1">
        <v>2</v>
      </c>
    </row>
    <row r="241" spans="1:11" x14ac:dyDescent="0.2">
      <c r="A241" s="55">
        <v>228</v>
      </c>
      <c r="B241" t="s">
        <v>396</v>
      </c>
      <c r="C241" t="s">
        <v>48</v>
      </c>
      <c r="D241" s="1">
        <v>114</v>
      </c>
      <c r="E241" t="s">
        <v>160</v>
      </c>
      <c r="F241" t="s">
        <v>160</v>
      </c>
      <c r="G241" t="s">
        <v>160</v>
      </c>
      <c r="H241" t="s">
        <v>361</v>
      </c>
      <c r="I241" s="1">
        <v>0</v>
      </c>
      <c r="K241" s="1">
        <v>0</v>
      </c>
    </row>
    <row r="242" spans="1:11" x14ac:dyDescent="0.2">
      <c r="A242" s="55">
        <v>229</v>
      </c>
      <c r="B242" t="s">
        <v>397</v>
      </c>
      <c r="C242" t="s">
        <v>25</v>
      </c>
      <c r="D242" s="1">
        <v>115</v>
      </c>
      <c r="E242" t="s">
        <v>160</v>
      </c>
      <c r="F242" t="s">
        <v>160</v>
      </c>
      <c r="G242" t="s">
        <v>160</v>
      </c>
      <c r="H242" t="s">
        <v>361</v>
      </c>
      <c r="I242" s="1">
        <v>1</v>
      </c>
      <c r="K242" s="1">
        <v>2</v>
      </c>
    </row>
    <row r="243" spans="1:11" x14ac:dyDescent="0.2">
      <c r="A243" s="55">
        <v>230</v>
      </c>
      <c r="B243" t="s">
        <v>398</v>
      </c>
      <c r="C243" t="s">
        <v>64</v>
      </c>
      <c r="D243" s="1">
        <v>115</v>
      </c>
      <c r="E243" t="s">
        <v>160</v>
      </c>
      <c r="F243" t="s">
        <v>160</v>
      </c>
      <c r="G243" t="s">
        <v>160</v>
      </c>
      <c r="H243" t="s">
        <v>361</v>
      </c>
      <c r="I243" s="1">
        <v>0</v>
      </c>
      <c r="K243" s="1">
        <v>0</v>
      </c>
    </row>
    <row r="244" spans="1:11" x14ac:dyDescent="0.2">
      <c r="A244" s="55">
        <v>231</v>
      </c>
      <c r="B244" t="s">
        <v>399</v>
      </c>
      <c r="C244" t="s">
        <v>203</v>
      </c>
      <c r="D244" s="1">
        <v>116</v>
      </c>
      <c r="E244" t="s">
        <v>160</v>
      </c>
      <c r="F244" t="s">
        <v>160</v>
      </c>
      <c r="G244" t="s">
        <v>160</v>
      </c>
      <c r="H244" t="s">
        <v>361</v>
      </c>
      <c r="I244" s="1">
        <v>6</v>
      </c>
      <c r="K244" s="1">
        <v>0</v>
      </c>
    </row>
    <row r="245" spans="1:11" x14ac:dyDescent="0.2">
      <c r="A245" s="55">
        <v>232</v>
      </c>
      <c r="B245" t="s">
        <v>400</v>
      </c>
      <c r="C245" t="s">
        <v>103</v>
      </c>
      <c r="D245" s="1">
        <v>116</v>
      </c>
      <c r="E245" t="s">
        <v>160</v>
      </c>
      <c r="F245" t="s">
        <v>160</v>
      </c>
      <c r="G245" t="s">
        <v>160</v>
      </c>
      <c r="H245" t="s">
        <v>361</v>
      </c>
      <c r="I245" s="1">
        <v>0</v>
      </c>
      <c r="K245" s="1">
        <v>4</v>
      </c>
    </row>
    <row r="246" spans="1:11" x14ac:dyDescent="0.2">
      <c r="A246" s="55">
        <v>233</v>
      </c>
      <c r="B246" t="s">
        <v>401</v>
      </c>
      <c r="C246" t="s">
        <v>11</v>
      </c>
      <c r="D246" s="1">
        <v>117</v>
      </c>
      <c r="E246" t="s">
        <v>160</v>
      </c>
      <c r="F246" t="s">
        <v>160</v>
      </c>
      <c r="G246" t="s">
        <v>160</v>
      </c>
      <c r="H246" t="s">
        <v>361</v>
      </c>
      <c r="I246" s="1">
        <v>0</v>
      </c>
      <c r="K246" s="1">
        <v>0</v>
      </c>
    </row>
    <row r="247" spans="1:11" x14ac:dyDescent="0.2">
      <c r="A247" s="55">
        <v>234</v>
      </c>
      <c r="B247" t="s">
        <v>402</v>
      </c>
      <c r="C247" t="s">
        <v>214</v>
      </c>
      <c r="D247" s="1">
        <v>117</v>
      </c>
      <c r="E247" t="s">
        <v>160</v>
      </c>
      <c r="F247" t="s">
        <v>160</v>
      </c>
      <c r="G247" t="s">
        <v>160</v>
      </c>
      <c r="H247" t="s">
        <v>361</v>
      </c>
      <c r="I247" s="1">
        <v>6</v>
      </c>
      <c r="K247" s="1">
        <v>3</v>
      </c>
    </row>
    <row r="248" spans="1:11" x14ac:dyDescent="0.2">
      <c r="A248" s="55">
        <v>235</v>
      </c>
      <c r="B248" t="s">
        <v>403</v>
      </c>
      <c r="C248" t="s">
        <v>102</v>
      </c>
      <c r="D248" s="1">
        <v>118</v>
      </c>
      <c r="E248" t="s">
        <v>160</v>
      </c>
      <c r="F248" t="s">
        <v>160</v>
      </c>
      <c r="G248" t="s">
        <v>160</v>
      </c>
      <c r="H248" t="s">
        <v>361</v>
      </c>
      <c r="I248" s="1">
        <v>4</v>
      </c>
      <c r="K248" s="1">
        <v>0</v>
      </c>
    </row>
    <row r="249" spans="1:11" x14ac:dyDescent="0.2">
      <c r="A249" s="55">
        <v>236</v>
      </c>
      <c r="B249" s="100" t="s">
        <v>404</v>
      </c>
      <c r="C249" s="100" t="s">
        <v>199</v>
      </c>
      <c r="D249" s="1">
        <v>118</v>
      </c>
      <c r="E249" t="s">
        <v>160</v>
      </c>
      <c r="F249" t="s">
        <v>160</v>
      </c>
      <c r="G249" t="s">
        <v>160</v>
      </c>
      <c r="H249" t="s">
        <v>361</v>
      </c>
      <c r="I249" s="1">
        <v>0</v>
      </c>
      <c r="K249" s="1">
        <v>2</v>
      </c>
    </row>
    <row r="250" spans="1:11" x14ac:dyDescent="0.2">
      <c r="A250" s="55">
        <v>239</v>
      </c>
      <c r="B250" t="s">
        <v>405</v>
      </c>
      <c r="C250" t="s">
        <v>13</v>
      </c>
      <c r="D250" s="1">
        <v>119</v>
      </c>
      <c r="E250" t="s">
        <v>160</v>
      </c>
      <c r="F250" t="s">
        <v>160</v>
      </c>
      <c r="G250" t="s">
        <v>160</v>
      </c>
      <c r="H250" t="s">
        <v>361</v>
      </c>
      <c r="I250" s="1">
        <v>6</v>
      </c>
      <c r="K250" s="1">
        <v>4</v>
      </c>
    </row>
    <row r="251" spans="1:11" x14ac:dyDescent="0.2">
      <c r="A251" s="55">
        <v>240</v>
      </c>
      <c r="B251" t="s">
        <v>406</v>
      </c>
      <c r="C251" t="s">
        <v>100</v>
      </c>
      <c r="D251" s="1">
        <f>D250</f>
        <v>119</v>
      </c>
      <c r="E251" t="s">
        <v>160</v>
      </c>
      <c r="F251" t="s">
        <v>160</v>
      </c>
      <c r="G251" t="s">
        <v>160</v>
      </c>
      <c r="H251" t="s">
        <v>361</v>
      </c>
      <c r="I251" s="1">
        <v>0</v>
      </c>
      <c r="K251" s="1">
        <v>0</v>
      </c>
    </row>
    <row r="252" spans="1:11" x14ac:dyDescent="0.2">
      <c r="A252" s="55">
        <v>241</v>
      </c>
      <c r="B252" t="s">
        <v>407</v>
      </c>
      <c r="C252" t="s">
        <v>18</v>
      </c>
      <c r="D252" s="1">
        <v>121</v>
      </c>
      <c r="E252" t="s">
        <v>160</v>
      </c>
      <c r="F252" t="s">
        <v>160</v>
      </c>
      <c r="G252" t="s">
        <v>160</v>
      </c>
      <c r="H252" t="s">
        <v>361</v>
      </c>
      <c r="I252" s="1">
        <v>6</v>
      </c>
      <c r="K252" s="1">
        <v>0</v>
      </c>
    </row>
    <row r="253" spans="1:11" x14ac:dyDescent="0.2">
      <c r="A253" s="55">
        <v>242</v>
      </c>
      <c r="B253" t="s">
        <v>408</v>
      </c>
      <c r="C253" t="s">
        <v>17</v>
      </c>
      <c r="D253" s="1">
        <v>121</v>
      </c>
      <c r="E253" t="s">
        <v>160</v>
      </c>
      <c r="F253" t="s">
        <v>160</v>
      </c>
      <c r="G253" t="s">
        <v>160</v>
      </c>
      <c r="H253" t="s">
        <v>361</v>
      </c>
      <c r="I253" s="1">
        <v>0</v>
      </c>
      <c r="K253" s="1">
        <v>4</v>
      </c>
    </row>
    <row r="254" spans="1:11" x14ac:dyDescent="0.2">
      <c r="A254" s="55">
        <v>243</v>
      </c>
      <c r="B254" t="s">
        <v>409</v>
      </c>
      <c r="C254" t="s">
        <v>108</v>
      </c>
      <c r="D254" s="1">
        <v>122</v>
      </c>
      <c r="E254" t="s">
        <v>160</v>
      </c>
      <c r="F254" t="s">
        <v>160</v>
      </c>
      <c r="G254" t="s">
        <v>160</v>
      </c>
      <c r="H254" t="s">
        <v>361</v>
      </c>
      <c r="I254" s="1">
        <v>0</v>
      </c>
      <c r="K254" s="1">
        <v>0</v>
      </c>
    </row>
    <row r="255" spans="1:11" x14ac:dyDescent="0.2">
      <c r="A255" s="55">
        <v>244</v>
      </c>
      <c r="B255" t="s">
        <v>410</v>
      </c>
      <c r="C255" t="s">
        <v>103</v>
      </c>
      <c r="D255" s="1">
        <v>122</v>
      </c>
      <c r="E255" t="s">
        <v>160</v>
      </c>
      <c r="F255" t="s">
        <v>160</v>
      </c>
      <c r="G255" t="s">
        <v>160</v>
      </c>
      <c r="H255" t="s">
        <v>361</v>
      </c>
      <c r="I255" s="1">
        <v>6</v>
      </c>
      <c r="K255" s="1">
        <v>2</v>
      </c>
    </row>
    <row r="256" spans="1:11" x14ac:dyDescent="0.2">
      <c r="A256" s="55">
        <v>245</v>
      </c>
      <c r="B256" t="s">
        <v>411</v>
      </c>
      <c r="C256" t="s">
        <v>43</v>
      </c>
      <c r="D256" s="1">
        <v>123</v>
      </c>
      <c r="E256" t="s">
        <v>160</v>
      </c>
      <c r="F256" t="s">
        <v>160</v>
      </c>
      <c r="G256" t="s">
        <v>160</v>
      </c>
      <c r="H256" t="s">
        <v>361</v>
      </c>
      <c r="I256" s="1">
        <v>4</v>
      </c>
      <c r="K256" s="1">
        <v>0</v>
      </c>
    </row>
    <row r="257" spans="1:11" x14ac:dyDescent="0.2">
      <c r="A257" s="55">
        <v>246</v>
      </c>
      <c r="B257" t="s">
        <v>412</v>
      </c>
      <c r="C257" t="s">
        <v>25</v>
      </c>
      <c r="D257" s="1">
        <v>123</v>
      </c>
      <c r="E257" t="s">
        <v>160</v>
      </c>
      <c r="F257" t="s">
        <v>160</v>
      </c>
      <c r="G257" t="s">
        <v>160</v>
      </c>
      <c r="H257" t="s">
        <v>361</v>
      </c>
      <c r="I257" s="1">
        <v>0</v>
      </c>
      <c r="K257" s="1">
        <v>4</v>
      </c>
    </row>
    <row r="258" spans="1:11" x14ac:dyDescent="0.2">
      <c r="A258" s="55">
        <v>247</v>
      </c>
      <c r="B258" t="s">
        <v>413</v>
      </c>
      <c r="C258" t="s">
        <v>31</v>
      </c>
      <c r="D258" s="1">
        <v>124</v>
      </c>
      <c r="E258" t="s">
        <v>160</v>
      </c>
      <c r="F258" t="s">
        <v>160</v>
      </c>
      <c r="G258" t="s">
        <v>160</v>
      </c>
      <c r="H258" t="s">
        <v>361</v>
      </c>
      <c r="I258" s="1">
        <v>0</v>
      </c>
      <c r="K258" s="1">
        <v>2</v>
      </c>
    </row>
    <row r="259" spans="1:11" x14ac:dyDescent="0.2">
      <c r="A259" s="55">
        <v>248</v>
      </c>
      <c r="B259" t="s">
        <v>414</v>
      </c>
      <c r="C259" t="s">
        <v>40</v>
      </c>
      <c r="D259" s="1">
        <v>124</v>
      </c>
      <c r="E259" t="s">
        <v>160</v>
      </c>
      <c r="F259" t="s">
        <v>160</v>
      </c>
      <c r="G259" t="s">
        <v>160</v>
      </c>
      <c r="H259" t="s">
        <v>361</v>
      </c>
      <c r="I259" s="1">
        <v>1</v>
      </c>
      <c r="K259" s="1">
        <v>0</v>
      </c>
    </row>
    <row r="260" spans="1:11" x14ac:dyDescent="0.2">
      <c r="A260" s="55">
        <v>249</v>
      </c>
      <c r="B260" t="s">
        <v>415</v>
      </c>
      <c r="C260" t="s">
        <v>223</v>
      </c>
      <c r="D260" s="1">
        <v>125</v>
      </c>
      <c r="E260" t="s">
        <v>160</v>
      </c>
      <c r="F260" t="s">
        <v>160</v>
      </c>
      <c r="G260" t="s">
        <v>160</v>
      </c>
      <c r="H260" t="s">
        <v>361</v>
      </c>
      <c r="I260" s="1">
        <v>0</v>
      </c>
      <c r="K260" s="1">
        <v>2</v>
      </c>
    </row>
    <row r="261" spans="1:11" x14ac:dyDescent="0.2">
      <c r="A261" s="55">
        <v>250</v>
      </c>
      <c r="B261" t="s">
        <v>416</v>
      </c>
      <c r="C261" t="s">
        <v>23</v>
      </c>
      <c r="D261" s="1">
        <v>125</v>
      </c>
      <c r="E261" t="s">
        <v>160</v>
      </c>
      <c r="F261" t="s">
        <v>160</v>
      </c>
      <c r="G261" t="s">
        <v>160</v>
      </c>
      <c r="H261" t="s">
        <v>361</v>
      </c>
      <c r="I261" s="1">
        <v>3</v>
      </c>
      <c r="K261" s="1">
        <v>0</v>
      </c>
    </row>
    <row r="262" spans="1:11" x14ac:dyDescent="0.2">
      <c r="A262" s="55">
        <v>251</v>
      </c>
      <c r="B262" t="s">
        <v>417</v>
      </c>
      <c r="C262" t="s">
        <v>96</v>
      </c>
      <c r="D262" s="1">
        <v>126</v>
      </c>
      <c r="E262" t="s">
        <v>160</v>
      </c>
      <c r="F262" t="s">
        <v>160</v>
      </c>
      <c r="G262" t="s">
        <v>160</v>
      </c>
      <c r="H262" t="s">
        <v>361</v>
      </c>
      <c r="I262" s="1">
        <v>4</v>
      </c>
      <c r="K262" s="1">
        <v>3</v>
      </c>
    </row>
    <row r="263" spans="1:11" x14ac:dyDescent="0.2">
      <c r="A263" s="55">
        <v>252</v>
      </c>
      <c r="B263" t="s">
        <v>418</v>
      </c>
      <c r="C263" t="s">
        <v>196</v>
      </c>
      <c r="D263" s="1">
        <v>126</v>
      </c>
      <c r="E263" t="s">
        <v>160</v>
      </c>
      <c r="F263" t="s">
        <v>160</v>
      </c>
      <c r="G263" t="s">
        <v>160</v>
      </c>
      <c r="H263" t="s">
        <v>361</v>
      </c>
      <c r="I263" s="1">
        <v>0</v>
      </c>
      <c r="K263" s="1">
        <v>0</v>
      </c>
    </row>
    <row r="264" spans="1:11" x14ac:dyDescent="0.2">
      <c r="A264" s="55">
        <v>253</v>
      </c>
      <c r="B264" t="s">
        <v>419</v>
      </c>
      <c r="C264" t="s">
        <v>45</v>
      </c>
      <c r="D264" s="1">
        <v>127</v>
      </c>
      <c r="E264" t="s">
        <v>160</v>
      </c>
      <c r="F264" t="s">
        <v>160</v>
      </c>
      <c r="G264" t="s">
        <v>160</v>
      </c>
      <c r="H264" t="s">
        <v>361</v>
      </c>
      <c r="I264" s="1">
        <v>3</v>
      </c>
      <c r="K264" s="1">
        <v>0</v>
      </c>
    </row>
    <row r="265" spans="1:11" x14ac:dyDescent="0.2">
      <c r="A265" s="55">
        <v>254</v>
      </c>
      <c r="B265" t="s">
        <v>420</v>
      </c>
      <c r="C265" t="s">
        <v>34</v>
      </c>
      <c r="D265" s="1">
        <v>127</v>
      </c>
      <c r="E265" t="s">
        <v>160</v>
      </c>
      <c r="F265" t="s">
        <v>160</v>
      </c>
      <c r="G265" t="s">
        <v>160</v>
      </c>
      <c r="H265" t="s">
        <v>361</v>
      </c>
      <c r="I265" s="1">
        <v>0</v>
      </c>
      <c r="K265" s="1">
        <v>2</v>
      </c>
    </row>
    <row r="266" spans="1:11" x14ac:dyDescent="0.2">
      <c r="A266" s="55">
        <v>255</v>
      </c>
      <c r="B266" t="s">
        <v>421</v>
      </c>
      <c r="C266" t="s">
        <v>18</v>
      </c>
      <c r="D266" s="1">
        <v>128</v>
      </c>
      <c r="E266" t="s">
        <v>160</v>
      </c>
      <c r="F266" t="s">
        <v>160</v>
      </c>
      <c r="G266" t="s">
        <v>160</v>
      </c>
      <c r="H266" t="s">
        <v>361</v>
      </c>
      <c r="I266" s="1">
        <v>0</v>
      </c>
      <c r="K266" s="1">
        <v>0</v>
      </c>
    </row>
    <row r="267" spans="1:11" x14ac:dyDescent="0.2">
      <c r="A267" s="55">
        <v>256</v>
      </c>
      <c r="B267" t="s">
        <v>422</v>
      </c>
      <c r="C267" t="s">
        <v>87</v>
      </c>
      <c r="D267" s="1">
        <v>128</v>
      </c>
      <c r="E267" t="s">
        <v>160</v>
      </c>
      <c r="F267" t="s">
        <v>160</v>
      </c>
      <c r="G267" t="s">
        <v>160</v>
      </c>
      <c r="H267" t="s">
        <v>361</v>
      </c>
      <c r="I267" s="1">
        <v>2</v>
      </c>
      <c r="K267" s="1">
        <v>4</v>
      </c>
    </row>
    <row r="268" spans="1:11" x14ac:dyDescent="0.2">
      <c r="A268" s="55">
        <v>257</v>
      </c>
      <c r="B268" t="s">
        <v>423</v>
      </c>
      <c r="C268" t="s">
        <v>121</v>
      </c>
      <c r="D268" s="1">
        <v>129</v>
      </c>
      <c r="E268" t="s">
        <v>160</v>
      </c>
      <c r="F268" t="s">
        <v>160</v>
      </c>
      <c r="G268" t="s">
        <v>160</v>
      </c>
      <c r="H268" t="s">
        <v>361</v>
      </c>
      <c r="I268" s="1">
        <v>1</v>
      </c>
      <c r="K268" s="1">
        <v>3</v>
      </c>
    </row>
    <row r="269" spans="1:11" x14ac:dyDescent="0.2">
      <c r="A269" s="55">
        <v>258</v>
      </c>
      <c r="B269" t="s">
        <v>424</v>
      </c>
      <c r="C269" t="s">
        <v>77</v>
      </c>
      <c r="D269" s="1">
        <v>129</v>
      </c>
      <c r="E269" t="s">
        <v>160</v>
      </c>
      <c r="F269" t="s">
        <v>160</v>
      </c>
      <c r="G269" t="s">
        <v>160</v>
      </c>
      <c r="H269" t="s">
        <v>361</v>
      </c>
      <c r="I269" s="1">
        <v>0</v>
      </c>
      <c r="K269" s="1">
        <v>0</v>
      </c>
    </row>
    <row r="270" spans="1:11" x14ac:dyDescent="0.2">
      <c r="A270" s="55">
        <v>259</v>
      </c>
      <c r="B270" t="s">
        <v>425</v>
      </c>
      <c r="C270" t="s">
        <v>67</v>
      </c>
      <c r="D270" s="1">
        <v>130</v>
      </c>
      <c r="E270" t="s">
        <v>160</v>
      </c>
      <c r="F270" t="s">
        <v>160</v>
      </c>
      <c r="G270" t="s">
        <v>160</v>
      </c>
      <c r="H270" t="s">
        <v>361</v>
      </c>
      <c r="I270" s="1">
        <v>2</v>
      </c>
      <c r="K270" s="1">
        <v>0</v>
      </c>
    </row>
    <row r="271" spans="1:11" x14ac:dyDescent="0.2">
      <c r="A271" s="55">
        <v>260</v>
      </c>
      <c r="B271" t="s">
        <v>426</v>
      </c>
      <c r="C271" t="s">
        <v>33</v>
      </c>
      <c r="D271" s="1">
        <v>130</v>
      </c>
      <c r="E271" t="s">
        <v>160</v>
      </c>
      <c r="F271" t="s">
        <v>160</v>
      </c>
      <c r="G271" t="s">
        <v>160</v>
      </c>
      <c r="H271" t="s">
        <v>361</v>
      </c>
      <c r="I271" s="1">
        <v>0</v>
      </c>
      <c r="K271" s="1">
        <v>2</v>
      </c>
    </row>
    <row r="272" spans="1:11" x14ac:dyDescent="0.2">
      <c r="A272" s="55">
        <v>261</v>
      </c>
      <c r="B272" s="100" t="s">
        <v>427</v>
      </c>
      <c r="C272" s="100" t="s">
        <v>199</v>
      </c>
      <c r="D272" s="1">
        <v>131</v>
      </c>
      <c r="E272" t="s">
        <v>160</v>
      </c>
      <c r="F272" t="s">
        <v>160</v>
      </c>
      <c r="G272" t="s">
        <v>160</v>
      </c>
      <c r="H272" t="s">
        <v>361</v>
      </c>
      <c r="I272" s="1">
        <v>0</v>
      </c>
      <c r="K272" s="1">
        <v>4</v>
      </c>
    </row>
    <row r="273" spans="1:11" x14ac:dyDescent="0.2">
      <c r="A273" s="55">
        <v>262</v>
      </c>
      <c r="B273" t="s">
        <v>428</v>
      </c>
      <c r="C273" t="s">
        <v>11</v>
      </c>
      <c r="D273" s="1">
        <v>131</v>
      </c>
      <c r="E273" t="s">
        <v>160</v>
      </c>
      <c r="F273" t="s">
        <v>160</v>
      </c>
      <c r="G273" t="s">
        <v>160</v>
      </c>
      <c r="H273" t="s">
        <v>361</v>
      </c>
      <c r="I273" s="1">
        <v>3</v>
      </c>
      <c r="K273" s="1">
        <v>0</v>
      </c>
    </row>
    <row r="274" spans="1:11" x14ac:dyDescent="0.2">
      <c r="A274" s="55">
        <v>263</v>
      </c>
      <c r="B274" s="101" t="s">
        <v>429</v>
      </c>
      <c r="C274" s="101" t="s">
        <v>26</v>
      </c>
      <c r="D274" s="1">
        <v>132</v>
      </c>
      <c r="E274" t="s">
        <v>160</v>
      </c>
      <c r="F274" t="s">
        <v>160</v>
      </c>
      <c r="G274" t="s">
        <v>160</v>
      </c>
      <c r="H274" t="s">
        <v>361</v>
      </c>
      <c r="I274" s="1">
        <v>0</v>
      </c>
      <c r="K274" s="1">
        <v>0</v>
      </c>
    </row>
    <row r="275" spans="1:11" x14ac:dyDescent="0.2">
      <c r="A275" s="55">
        <v>264</v>
      </c>
      <c r="B275" t="s">
        <v>430</v>
      </c>
      <c r="C275" t="s">
        <v>20</v>
      </c>
      <c r="D275" s="1">
        <v>132</v>
      </c>
      <c r="E275" t="s">
        <v>160</v>
      </c>
      <c r="F275" t="s">
        <v>160</v>
      </c>
      <c r="G275" t="s">
        <v>160</v>
      </c>
      <c r="H275" t="s">
        <v>361</v>
      </c>
      <c r="I275" s="1">
        <v>3</v>
      </c>
      <c r="K275" s="1">
        <v>3</v>
      </c>
    </row>
    <row r="276" spans="1:11" x14ac:dyDescent="0.2">
      <c r="A276" s="55">
        <v>265</v>
      </c>
      <c r="B276" t="s">
        <v>431</v>
      </c>
      <c r="C276" t="s">
        <v>203</v>
      </c>
      <c r="D276" s="1">
        <v>133</v>
      </c>
      <c r="E276" t="s">
        <v>160</v>
      </c>
      <c r="F276" t="s">
        <v>160</v>
      </c>
      <c r="G276" t="s">
        <v>160</v>
      </c>
      <c r="H276" t="s">
        <v>361</v>
      </c>
      <c r="I276" s="1">
        <v>0</v>
      </c>
      <c r="K276" s="1">
        <v>0</v>
      </c>
    </row>
    <row r="277" spans="1:11" x14ac:dyDescent="0.2">
      <c r="A277" s="55">
        <v>266</v>
      </c>
      <c r="B277" t="s">
        <v>432</v>
      </c>
      <c r="C277" t="s">
        <v>96</v>
      </c>
      <c r="D277" s="1">
        <v>133</v>
      </c>
      <c r="E277" t="s">
        <v>160</v>
      </c>
      <c r="F277" t="s">
        <v>160</v>
      </c>
      <c r="G277" t="s">
        <v>160</v>
      </c>
      <c r="H277" t="s">
        <v>361</v>
      </c>
      <c r="I277" s="1">
        <v>6</v>
      </c>
      <c r="K277" s="1">
        <v>4</v>
      </c>
    </row>
    <row r="278" spans="1:11" x14ac:dyDescent="0.2">
      <c r="A278" s="55">
        <v>267</v>
      </c>
      <c r="B278" t="s">
        <v>433</v>
      </c>
      <c r="C278" t="s">
        <v>6</v>
      </c>
      <c r="D278" s="1">
        <v>134</v>
      </c>
      <c r="E278" t="s">
        <v>160</v>
      </c>
      <c r="F278" t="s">
        <v>160</v>
      </c>
      <c r="G278" t="s">
        <v>160</v>
      </c>
      <c r="H278" t="s">
        <v>361</v>
      </c>
      <c r="I278" s="1">
        <v>5</v>
      </c>
      <c r="K278" s="1">
        <v>0</v>
      </c>
    </row>
    <row r="279" spans="1:11" x14ac:dyDescent="0.2">
      <c r="A279" s="55">
        <v>268</v>
      </c>
      <c r="B279" t="s">
        <v>434</v>
      </c>
      <c r="C279" t="s">
        <v>214</v>
      </c>
      <c r="D279" s="1">
        <v>134</v>
      </c>
      <c r="E279" t="s">
        <v>160</v>
      </c>
      <c r="F279" t="s">
        <v>160</v>
      </c>
      <c r="G279" t="s">
        <v>160</v>
      </c>
      <c r="H279" t="s">
        <v>361</v>
      </c>
      <c r="I279" s="1">
        <v>0</v>
      </c>
      <c r="K279" s="1">
        <v>4</v>
      </c>
    </row>
    <row r="280" spans="1:11" x14ac:dyDescent="0.2">
      <c r="A280" s="55">
        <v>269</v>
      </c>
      <c r="B280" t="s">
        <v>435</v>
      </c>
      <c r="C280" t="s">
        <v>64</v>
      </c>
      <c r="D280" s="1">
        <v>135</v>
      </c>
      <c r="E280" t="s">
        <v>160</v>
      </c>
      <c r="F280" t="s">
        <v>160</v>
      </c>
      <c r="G280" t="s">
        <v>160</v>
      </c>
      <c r="H280" t="s">
        <v>361</v>
      </c>
      <c r="I280" s="1">
        <v>2</v>
      </c>
      <c r="K280" s="1">
        <v>3</v>
      </c>
    </row>
    <row r="281" spans="1:11" x14ac:dyDescent="0.2">
      <c r="A281" s="55">
        <v>270</v>
      </c>
      <c r="B281" t="s">
        <v>436</v>
      </c>
      <c r="C281" t="s">
        <v>12</v>
      </c>
      <c r="D281" s="1">
        <v>135</v>
      </c>
      <c r="E281" t="s">
        <v>160</v>
      </c>
      <c r="F281" t="s">
        <v>160</v>
      </c>
      <c r="G281" t="s">
        <v>160</v>
      </c>
      <c r="H281" t="s">
        <v>361</v>
      </c>
      <c r="I281" s="1">
        <v>0</v>
      </c>
      <c r="K281" s="1">
        <v>0</v>
      </c>
    </row>
    <row r="282" spans="1:11" x14ac:dyDescent="0.2">
      <c r="A282" s="55">
        <v>271</v>
      </c>
      <c r="B282" t="s">
        <v>437</v>
      </c>
      <c r="C282" t="s">
        <v>45</v>
      </c>
      <c r="D282" s="1">
        <v>136</v>
      </c>
      <c r="E282" t="s">
        <v>160</v>
      </c>
      <c r="F282" t="s">
        <v>160</v>
      </c>
      <c r="G282" t="s">
        <v>160</v>
      </c>
      <c r="H282" t="s">
        <v>361</v>
      </c>
      <c r="I282" s="1">
        <v>1</v>
      </c>
      <c r="K282" s="1">
        <v>2</v>
      </c>
    </row>
    <row r="283" spans="1:11" x14ac:dyDescent="0.2">
      <c r="A283" s="55">
        <v>272</v>
      </c>
      <c r="B283" t="s">
        <v>438</v>
      </c>
      <c r="C283" t="s">
        <v>44</v>
      </c>
      <c r="D283" s="1">
        <v>136</v>
      </c>
      <c r="E283" t="s">
        <v>160</v>
      </c>
      <c r="F283" t="s">
        <v>160</v>
      </c>
      <c r="G283" t="s">
        <v>160</v>
      </c>
      <c r="H283" t="s">
        <v>361</v>
      </c>
      <c r="I283" s="1">
        <v>0</v>
      </c>
      <c r="K283" s="1">
        <v>0</v>
      </c>
    </row>
    <row r="284" spans="1:11" x14ac:dyDescent="0.2">
      <c r="A284" s="55">
        <v>273</v>
      </c>
      <c r="B284" t="s">
        <v>439</v>
      </c>
      <c r="C284" t="s">
        <v>31</v>
      </c>
      <c r="D284" s="1">
        <v>137</v>
      </c>
      <c r="E284" t="s">
        <v>160</v>
      </c>
      <c r="F284" t="s">
        <v>160</v>
      </c>
      <c r="G284" t="s">
        <v>160</v>
      </c>
      <c r="H284" t="s">
        <v>361</v>
      </c>
      <c r="I284" s="1">
        <v>0</v>
      </c>
      <c r="K284" s="1">
        <v>0</v>
      </c>
    </row>
    <row r="285" spans="1:11" x14ac:dyDescent="0.2">
      <c r="A285" s="55">
        <v>274</v>
      </c>
      <c r="B285" t="s">
        <v>440</v>
      </c>
      <c r="C285" t="s">
        <v>52</v>
      </c>
      <c r="D285" s="1">
        <v>137</v>
      </c>
      <c r="E285" t="s">
        <v>160</v>
      </c>
      <c r="F285" t="s">
        <v>160</v>
      </c>
      <c r="G285" t="s">
        <v>160</v>
      </c>
      <c r="H285" t="s">
        <v>361</v>
      </c>
      <c r="I285" s="1">
        <v>3</v>
      </c>
      <c r="K285" s="1">
        <v>4</v>
      </c>
    </row>
    <row r="286" spans="1:11" x14ac:dyDescent="0.2">
      <c r="A286" s="55">
        <v>275</v>
      </c>
      <c r="B286" t="s">
        <v>441</v>
      </c>
      <c r="C286" t="s">
        <v>38</v>
      </c>
      <c r="D286" s="1">
        <v>138</v>
      </c>
      <c r="E286" t="s">
        <v>160</v>
      </c>
      <c r="F286" t="s">
        <v>160</v>
      </c>
      <c r="G286" t="s">
        <v>160</v>
      </c>
      <c r="H286" t="s">
        <v>361</v>
      </c>
      <c r="I286" s="1">
        <v>5</v>
      </c>
      <c r="K286" s="1">
        <v>0</v>
      </c>
    </row>
    <row r="287" spans="1:11" x14ac:dyDescent="0.2">
      <c r="A287" s="55">
        <v>276</v>
      </c>
      <c r="B287" t="s">
        <v>442</v>
      </c>
      <c r="C287" t="s">
        <v>77</v>
      </c>
      <c r="D287" s="1">
        <v>138</v>
      </c>
      <c r="E287" t="s">
        <v>160</v>
      </c>
      <c r="F287" t="s">
        <v>160</v>
      </c>
      <c r="G287" t="s">
        <v>160</v>
      </c>
      <c r="H287" t="s">
        <v>361</v>
      </c>
      <c r="I287" s="1">
        <v>0</v>
      </c>
      <c r="K287" s="1">
        <v>4</v>
      </c>
    </row>
    <row r="288" spans="1:11" x14ac:dyDescent="0.2">
      <c r="A288" s="55">
        <v>277</v>
      </c>
      <c r="B288" t="s">
        <v>443</v>
      </c>
      <c r="C288" t="s">
        <v>25</v>
      </c>
      <c r="D288" s="1">
        <v>139</v>
      </c>
      <c r="E288" t="s">
        <v>160</v>
      </c>
      <c r="F288" t="s">
        <v>160</v>
      </c>
      <c r="G288" t="s">
        <v>160</v>
      </c>
      <c r="H288" t="s">
        <v>361</v>
      </c>
      <c r="I288" s="1">
        <v>5</v>
      </c>
      <c r="K288" s="1">
        <v>3</v>
      </c>
    </row>
    <row r="289" spans="1:11" x14ac:dyDescent="0.2">
      <c r="A289" s="55">
        <v>278</v>
      </c>
      <c r="B289" t="s">
        <v>444</v>
      </c>
      <c r="C289" t="s">
        <v>44</v>
      </c>
      <c r="D289" s="1">
        <v>139</v>
      </c>
      <c r="E289" t="s">
        <v>160</v>
      </c>
      <c r="F289" t="s">
        <v>160</v>
      </c>
      <c r="G289" t="s">
        <v>160</v>
      </c>
      <c r="H289" t="s">
        <v>361</v>
      </c>
      <c r="I289" s="1">
        <v>0</v>
      </c>
      <c r="K289" s="1">
        <v>0</v>
      </c>
    </row>
    <row r="290" spans="1:11" x14ac:dyDescent="0.2">
      <c r="A290" s="55">
        <v>279</v>
      </c>
      <c r="B290" t="s">
        <v>445</v>
      </c>
      <c r="C290" t="s">
        <v>24</v>
      </c>
      <c r="D290" s="1">
        <v>140</v>
      </c>
      <c r="E290" t="s">
        <v>160</v>
      </c>
      <c r="F290" t="s">
        <v>160</v>
      </c>
      <c r="G290" t="s">
        <v>160</v>
      </c>
      <c r="H290" t="s">
        <v>361</v>
      </c>
      <c r="I290" s="1">
        <v>2</v>
      </c>
      <c r="K290" s="1">
        <v>3</v>
      </c>
    </row>
    <row r="291" spans="1:11" x14ac:dyDescent="0.2">
      <c r="A291" s="55">
        <v>280</v>
      </c>
      <c r="B291" t="s">
        <v>446</v>
      </c>
      <c r="C291" t="s">
        <v>32</v>
      </c>
      <c r="D291" s="1">
        <v>140</v>
      </c>
      <c r="E291" t="s">
        <v>160</v>
      </c>
      <c r="F291" t="s">
        <v>160</v>
      </c>
      <c r="G291" t="s">
        <v>160</v>
      </c>
      <c r="H291" t="s">
        <v>361</v>
      </c>
      <c r="I291" s="1">
        <v>0</v>
      </c>
      <c r="K291" s="1">
        <v>0</v>
      </c>
    </row>
    <row r="292" spans="1:11" x14ac:dyDescent="0.2">
      <c r="A292" s="55">
        <v>281</v>
      </c>
      <c r="B292" t="s">
        <v>447</v>
      </c>
      <c r="C292" t="s">
        <v>77</v>
      </c>
      <c r="D292" s="1">
        <v>141</v>
      </c>
      <c r="E292" t="s">
        <v>160</v>
      </c>
      <c r="F292" t="s">
        <v>160</v>
      </c>
      <c r="G292" t="s">
        <v>160</v>
      </c>
      <c r="H292" t="s">
        <v>361</v>
      </c>
      <c r="I292" s="1">
        <v>5</v>
      </c>
      <c r="K292" s="1">
        <v>3</v>
      </c>
    </row>
    <row r="293" spans="1:11" x14ac:dyDescent="0.2">
      <c r="A293" s="55">
        <v>282</v>
      </c>
      <c r="B293" t="s">
        <v>448</v>
      </c>
      <c r="C293" t="s">
        <v>17</v>
      </c>
      <c r="D293" s="1">
        <v>141</v>
      </c>
      <c r="E293" t="s">
        <v>160</v>
      </c>
      <c r="F293" t="s">
        <v>160</v>
      </c>
      <c r="G293" t="s">
        <v>160</v>
      </c>
      <c r="H293" t="s">
        <v>361</v>
      </c>
      <c r="I293" s="1">
        <v>0</v>
      </c>
      <c r="K293" s="1">
        <v>0</v>
      </c>
    </row>
    <row r="294" spans="1:11" x14ac:dyDescent="0.2">
      <c r="A294" s="55">
        <v>283</v>
      </c>
      <c r="B294" t="s">
        <v>449</v>
      </c>
      <c r="C294" t="s">
        <v>121</v>
      </c>
      <c r="D294" s="1">
        <v>142</v>
      </c>
      <c r="E294" t="s">
        <v>160</v>
      </c>
      <c r="F294" t="s">
        <v>160</v>
      </c>
      <c r="G294" t="s">
        <v>160</v>
      </c>
      <c r="H294" t="s">
        <v>361</v>
      </c>
      <c r="I294" s="1">
        <v>3</v>
      </c>
      <c r="K294" s="1">
        <v>0</v>
      </c>
    </row>
    <row r="295" spans="1:11" x14ac:dyDescent="0.2">
      <c r="A295" s="55">
        <v>284</v>
      </c>
      <c r="B295" t="s">
        <v>450</v>
      </c>
      <c r="C295" t="s">
        <v>20</v>
      </c>
      <c r="D295" s="1">
        <v>142</v>
      </c>
      <c r="E295" t="s">
        <v>160</v>
      </c>
      <c r="F295" t="s">
        <v>160</v>
      </c>
      <c r="G295" t="s">
        <v>160</v>
      </c>
      <c r="H295" t="s">
        <v>361</v>
      </c>
      <c r="I295" s="1">
        <v>0</v>
      </c>
      <c r="K295" s="1">
        <v>2</v>
      </c>
    </row>
    <row r="296" spans="1:11" x14ac:dyDescent="0.2">
      <c r="A296" s="55">
        <v>285</v>
      </c>
      <c r="B296" t="s">
        <v>451</v>
      </c>
      <c r="C296" t="s">
        <v>102</v>
      </c>
      <c r="D296" s="1">
        <v>143</v>
      </c>
      <c r="E296" t="s">
        <v>160</v>
      </c>
      <c r="F296" t="s">
        <v>160</v>
      </c>
      <c r="G296" t="s">
        <v>160</v>
      </c>
      <c r="H296" t="s">
        <v>361</v>
      </c>
      <c r="I296" s="1">
        <v>0</v>
      </c>
      <c r="K296" s="1">
        <v>4</v>
      </c>
    </row>
    <row r="297" spans="1:11" x14ac:dyDescent="0.2">
      <c r="A297" s="55">
        <v>286</v>
      </c>
      <c r="B297" t="s">
        <v>452</v>
      </c>
      <c r="C297" t="s">
        <v>10</v>
      </c>
      <c r="D297" s="1">
        <v>143</v>
      </c>
      <c r="E297" t="s">
        <v>160</v>
      </c>
      <c r="F297" t="s">
        <v>160</v>
      </c>
      <c r="G297" t="s">
        <v>160</v>
      </c>
      <c r="H297" t="s">
        <v>361</v>
      </c>
      <c r="I297" s="1">
        <v>1</v>
      </c>
      <c r="K297" s="1">
        <v>0</v>
      </c>
    </row>
    <row r="298" spans="1:11" x14ac:dyDescent="0.2">
      <c r="A298" s="55">
        <v>287</v>
      </c>
      <c r="B298" t="s">
        <v>453</v>
      </c>
      <c r="C298" t="s">
        <v>11</v>
      </c>
      <c r="D298" s="1">
        <v>144</v>
      </c>
      <c r="E298" t="s">
        <v>160</v>
      </c>
      <c r="F298" t="s">
        <v>160</v>
      </c>
      <c r="G298" t="s">
        <v>160</v>
      </c>
      <c r="H298" t="s">
        <v>361</v>
      </c>
      <c r="I298" s="1">
        <v>6</v>
      </c>
      <c r="K298" s="1">
        <v>3</v>
      </c>
    </row>
    <row r="299" spans="1:11" x14ac:dyDescent="0.2">
      <c r="A299" s="55">
        <v>288</v>
      </c>
      <c r="B299" t="s">
        <v>454</v>
      </c>
      <c r="C299" t="s">
        <v>21</v>
      </c>
      <c r="D299" s="1">
        <v>144</v>
      </c>
      <c r="E299" t="s">
        <v>160</v>
      </c>
      <c r="F299" t="s">
        <v>160</v>
      </c>
      <c r="G299" t="s">
        <v>160</v>
      </c>
      <c r="H299" t="s">
        <v>361</v>
      </c>
      <c r="I299" s="1">
        <v>0</v>
      </c>
      <c r="K299" s="1">
        <v>0</v>
      </c>
    </row>
    <row r="300" spans="1:11" x14ac:dyDescent="0.2">
      <c r="A300" s="55">
        <v>289</v>
      </c>
      <c r="B300" t="s">
        <v>455</v>
      </c>
      <c r="C300" t="s">
        <v>48</v>
      </c>
      <c r="D300" s="1">
        <v>145</v>
      </c>
      <c r="E300" t="s">
        <v>160</v>
      </c>
      <c r="F300" t="s">
        <v>160</v>
      </c>
      <c r="G300" t="s">
        <v>160</v>
      </c>
      <c r="H300" t="s">
        <v>361</v>
      </c>
      <c r="I300" s="1">
        <v>0</v>
      </c>
      <c r="K300" s="1">
        <v>0</v>
      </c>
    </row>
    <row r="301" spans="1:11" x14ac:dyDescent="0.2">
      <c r="A301" s="55">
        <v>290</v>
      </c>
      <c r="B301" s="101" t="s">
        <v>456</v>
      </c>
      <c r="C301" s="101" t="s">
        <v>36</v>
      </c>
      <c r="D301" s="1">
        <v>145</v>
      </c>
      <c r="E301" t="s">
        <v>160</v>
      </c>
      <c r="F301" t="s">
        <v>160</v>
      </c>
      <c r="G301" t="s">
        <v>160</v>
      </c>
      <c r="H301" t="s">
        <v>361</v>
      </c>
      <c r="I301" s="1">
        <v>5</v>
      </c>
      <c r="K301" s="1">
        <v>2</v>
      </c>
    </row>
    <row r="302" spans="1:11" x14ac:dyDescent="0.2">
      <c r="A302" s="55">
        <v>291</v>
      </c>
      <c r="B302" t="s">
        <v>457</v>
      </c>
      <c r="C302" t="s">
        <v>43</v>
      </c>
      <c r="D302" s="1">
        <v>146</v>
      </c>
      <c r="E302" t="s">
        <v>160</v>
      </c>
      <c r="F302" t="s">
        <v>160</v>
      </c>
      <c r="G302" t="s">
        <v>160</v>
      </c>
      <c r="H302" t="s">
        <v>361</v>
      </c>
      <c r="I302" s="1">
        <v>0</v>
      </c>
      <c r="K302" s="1">
        <v>2</v>
      </c>
    </row>
    <row r="303" spans="1:11" x14ac:dyDescent="0.2">
      <c r="A303" s="55">
        <v>292</v>
      </c>
      <c r="B303" t="s">
        <v>458</v>
      </c>
      <c r="C303" t="s">
        <v>70</v>
      </c>
      <c r="D303" s="1">
        <v>146</v>
      </c>
      <c r="E303" t="s">
        <v>160</v>
      </c>
      <c r="F303" t="s">
        <v>160</v>
      </c>
      <c r="G303" t="s">
        <v>160</v>
      </c>
      <c r="H303" t="s">
        <v>361</v>
      </c>
      <c r="I303" s="1">
        <v>3</v>
      </c>
      <c r="K303" s="1">
        <v>0</v>
      </c>
    </row>
    <row r="304" spans="1:11" x14ac:dyDescent="0.2">
      <c r="A304" s="55">
        <v>293</v>
      </c>
      <c r="B304" t="s">
        <v>459</v>
      </c>
      <c r="C304" t="s">
        <v>51</v>
      </c>
      <c r="D304" s="1">
        <v>147</v>
      </c>
      <c r="E304" t="s">
        <v>160</v>
      </c>
      <c r="F304" t="s">
        <v>160</v>
      </c>
      <c r="G304" t="s">
        <v>160</v>
      </c>
      <c r="H304" t="s">
        <v>361</v>
      </c>
      <c r="I304" s="1">
        <v>0</v>
      </c>
      <c r="K304" s="1">
        <v>0</v>
      </c>
    </row>
    <row r="305" spans="1:11" x14ac:dyDescent="0.2">
      <c r="A305" s="55">
        <v>294</v>
      </c>
      <c r="B305" t="s">
        <v>460</v>
      </c>
      <c r="C305" t="s">
        <v>96</v>
      </c>
      <c r="D305" s="1">
        <v>147</v>
      </c>
      <c r="E305" t="s">
        <v>160</v>
      </c>
      <c r="F305" t="s">
        <v>160</v>
      </c>
      <c r="G305" t="s">
        <v>160</v>
      </c>
      <c r="H305" t="s">
        <v>361</v>
      </c>
      <c r="I305" s="1">
        <v>5</v>
      </c>
      <c r="K305" s="1">
        <v>2</v>
      </c>
    </row>
    <row r="306" spans="1:11" x14ac:dyDescent="0.2">
      <c r="A306" s="55">
        <v>295</v>
      </c>
      <c r="B306" t="s">
        <v>461</v>
      </c>
      <c r="C306" t="s">
        <v>34</v>
      </c>
      <c r="D306" s="1">
        <v>148</v>
      </c>
      <c r="E306" t="s">
        <v>160</v>
      </c>
      <c r="F306" t="s">
        <v>160</v>
      </c>
      <c r="G306" t="s">
        <v>160</v>
      </c>
      <c r="H306" t="s">
        <v>361</v>
      </c>
      <c r="I306" s="1">
        <v>1</v>
      </c>
      <c r="K306" s="1">
        <v>0</v>
      </c>
    </row>
    <row r="307" spans="1:11" x14ac:dyDescent="0.2">
      <c r="A307" s="55">
        <v>296</v>
      </c>
      <c r="B307" t="s">
        <v>462</v>
      </c>
      <c r="C307" t="s">
        <v>23</v>
      </c>
      <c r="D307" s="1">
        <v>148</v>
      </c>
      <c r="E307" t="s">
        <v>160</v>
      </c>
      <c r="F307" t="s">
        <v>160</v>
      </c>
      <c r="G307" t="s">
        <v>160</v>
      </c>
      <c r="H307" t="s">
        <v>361</v>
      </c>
      <c r="I307" s="1">
        <v>0</v>
      </c>
      <c r="K307" s="1">
        <v>4</v>
      </c>
    </row>
    <row r="308" spans="1:11" x14ac:dyDescent="0.2">
      <c r="A308" s="55">
        <v>297</v>
      </c>
      <c r="B308" t="s">
        <v>463</v>
      </c>
      <c r="C308" t="s">
        <v>223</v>
      </c>
      <c r="D308" s="1">
        <v>149</v>
      </c>
      <c r="E308" t="s">
        <v>160</v>
      </c>
      <c r="F308" t="s">
        <v>160</v>
      </c>
      <c r="G308" t="s">
        <v>160</v>
      </c>
      <c r="H308" t="s">
        <v>361</v>
      </c>
      <c r="I308" s="1">
        <v>4</v>
      </c>
      <c r="K308" s="1">
        <v>0</v>
      </c>
    </row>
    <row r="309" spans="1:11" x14ac:dyDescent="0.2">
      <c r="A309" s="55">
        <v>298</v>
      </c>
      <c r="B309" s="100" t="s">
        <v>464</v>
      </c>
      <c r="C309" s="100" t="s">
        <v>116</v>
      </c>
      <c r="D309" s="1">
        <v>149</v>
      </c>
      <c r="E309" t="s">
        <v>160</v>
      </c>
      <c r="F309" t="s">
        <v>160</v>
      </c>
      <c r="G309" t="s">
        <v>160</v>
      </c>
      <c r="H309" t="s">
        <v>361</v>
      </c>
      <c r="I309" s="1">
        <v>0</v>
      </c>
      <c r="K309" s="1">
        <v>4</v>
      </c>
    </row>
    <row r="310" spans="1:11" x14ac:dyDescent="0.2">
      <c r="A310" s="55">
        <v>299</v>
      </c>
      <c r="B310" t="s">
        <v>465</v>
      </c>
      <c r="C310" t="s">
        <v>32</v>
      </c>
      <c r="D310" s="1">
        <v>150</v>
      </c>
      <c r="E310" t="s">
        <v>160</v>
      </c>
      <c r="F310" t="s">
        <v>160</v>
      </c>
      <c r="G310" t="s">
        <v>160</v>
      </c>
      <c r="H310" t="s">
        <v>361</v>
      </c>
      <c r="I310" s="1">
        <v>0</v>
      </c>
      <c r="K310" s="1">
        <v>0</v>
      </c>
    </row>
    <row r="311" spans="1:11" x14ac:dyDescent="0.2">
      <c r="A311" s="55">
        <v>300</v>
      </c>
      <c r="B311" t="s">
        <v>466</v>
      </c>
      <c r="C311" t="s">
        <v>26</v>
      </c>
      <c r="D311" s="1">
        <v>150</v>
      </c>
      <c r="E311" t="s">
        <v>160</v>
      </c>
      <c r="F311" t="s">
        <v>160</v>
      </c>
      <c r="G311" t="s">
        <v>160</v>
      </c>
      <c r="H311" t="s">
        <v>361</v>
      </c>
      <c r="I311" s="1">
        <v>5</v>
      </c>
      <c r="K311" s="1">
        <v>2</v>
      </c>
    </row>
    <row r="312" spans="1:11" x14ac:dyDescent="0.2">
      <c r="A312" s="55">
        <v>301</v>
      </c>
      <c r="B312" t="s">
        <v>467</v>
      </c>
      <c r="C312" t="s">
        <v>13</v>
      </c>
      <c r="D312" s="1">
        <v>151</v>
      </c>
      <c r="E312" t="s">
        <v>160</v>
      </c>
      <c r="F312" t="s">
        <v>160</v>
      </c>
      <c r="G312" t="s">
        <v>160</v>
      </c>
      <c r="H312" t="s">
        <v>361</v>
      </c>
      <c r="I312" s="1">
        <v>5</v>
      </c>
      <c r="K312" s="1">
        <v>0</v>
      </c>
    </row>
    <row r="313" spans="1:11" x14ac:dyDescent="0.2">
      <c r="A313" s="55">
        <v>302</v>
      </c>
      <c r="B313" t="s">
        <v>468</v>
      </c>
      <c r="C313" t="s">
        <v>209</v>
      </c>
      <c r="D313" s="1">
        <v>151</v>
      </c>
      <c r="E313" t="s">
        <v>160</v>
      </c>
      <c r="F313" t="s">
        <v>160</v>
      </c>
      <c r="G313" t="s">
        <v>160</v>
      </c>
      <c r="H313" t="s">
        <v>361</v>
      </c>
      <c r="I313" s="1">
        <v>0</v>
      </c>
      <c r="K313" s="1">
        <v>2</v>
      </c>
    </row>
    <row r="314" spans="1:11" x14ac:dyDescent="0.2">
      <c r="A314" s="55">
        <v>303</v>
      </c>
      <c r="B314" s="100" t="s">
        <v>469</v>
      </c>
      <c r="C314" s="100" t="s">
        <v>199</v>
      </c>
      <c r="D314" s="1">
        <v>152</v>
      </c>
      <c r="E314" t="s">
        <v>160</v>
      </c>
      <c r="F314" t="s">
        <v>160</v>
      </c>
      <c r="G314" t="s">
        <v>160</v>
      </c>
      <c r="H314" t="s">
        <v>361</v>
      </c>
      <c r="I314" s="1">
        <v>0</v>
      </c>
      <c r="K314" s="1">
        <v>0</v>
      </c>
    </row>
    <row r="315" spans="1:11" x14ac:dyDescent="0.2">
      <c r="A315" s="55">
        <v>304</v>
      </c>
      <c r="B315" t="s">
        <v>470</v>
      </c>
      <c r="C315" t="s">
        <v>15</v>
      </c>
      <c r="D315" s="1">
        <v>152</v>
      </c>
      <c r="E315" t="s">
        <v>160</v>
      </c>
      <c r="F315" t="s">
        <v>160</v>
      </c>
      <c r="G315" t="s">
        <v>160</v>
      </c>
      <c r="H315" t="s">
        <v>361</v>
      </c>
      <c r="I315" s="1">
        <v>4</v>
      </c>
      <c r="K315" s="1">
        <v>2</v>
      </c>
    </row>
    <row r="316" spans="1:11" x14ac:dyDescent="0.2">
      <c r="A316" s="55">
        <v>305</v>
      </c>
      <c r="B316" t="s">
        <v>471</v>
      </c>
      <c r="C316" t="s">
        <v>29</v>
      </c>
      <c r="D316" s="1">
        <v>153</v>
      </c>
      <c r="E316" t="s">
        <v>160</v>
      </c>
      <c r="F316" t="s">
        <v>160</v>
      </c>
      <c r="G316" t="s">
        <v>160</v>
      </c>
      <c r="H316" t="s">
        <v>361</v>
      </c>
      <c r="I316" s="1">
        <v>0</v>
      </c>
      <c r="K316" s="1">
        <v>3</v>
      </c>
    </row>
    <row r="317" spans="1:11" x14ac:dyDescent="0.2">
      <c r="A317" s="55">
        <v>306</v>
      </c>
      <c r="B317" t="s">
        <v>472</v>
      </c>
      <c r="C317" t="s">
        <v>64</v>
      </c>
      <c r="D317" s="1">
        <v>153</v>
      </c>
      <c r="E317" t="s">
        <v>160</v>
      </c>
      <c r="F317" t="s">
        <v>160</v>
      </c>
      <c r="G317" t="s">
        <v>160</v>
      </c>
      <c r="H317" t="s">
        <v>361</v>
      </c>
      <c r="I317" s="1">
        <v>2</v>
      </c>
      <c r="K317" s="1">
        <v>0</v>
      </c>
    </row>
    <row r="318" spans="1:11" x14ac:dyDescent="0.2">
      <c r="A318" s="55">
        <v>307</v>
      </c>
      <c r="B318" t="s">
        <v>473</v>
      </c>
      <c r="C318" t="s">
        <v>121</v>
      </c>
      <c r="D318" s="1">
        <v>154</v>
      </c>
      <c r="E318" t="s">
        <v>160</v>
      </c>
      <c r="F318" t="s">
        <v>160</v>
      </c>
      <c r="G318" t="s">
        <v>160</v>
      </c>
      <c r="H318" t="s">
        <v>361</v>
      </c>
      <c r="I318" s="1">
        <v>0</v>
      </c>
      <c r="K318" s="1">
        <v>0</v>
      </c>
    </row>
    <row r="319" spans="1:11" x14ac:dyDescent="0.2">
      <c r="A319" s="55">
        <v>308</v>
      </c>
      <c r="B319" t="s">
        <v>474</v>
      </c>
      <c r="C319" t="s">
        <v>40</v>
      </c>
      <c r="D319" s="1">
        <v>154</v>
      </c>
      <c r="E319" t="s">
        <v>160</v>
      </c>
      <c r="F319" t="s">
        <v>160</v>
      </c>
      <c r="G319" t="s">
        <v>160</v>
      </c>
      <c r="H319" t="s">
        <v>361</v>
      </c>
      <c r="I319" s="1">
        <v>5</v>
      </c>
      <c r="K319" s="1">
        <v>4</v>
      </c>
    </row>
    <row r="320" spans="1:11" x14ac:dyDescent="0.2">
      <c r="A320" s="55">
        <v>309</v>
      </c>
      <c r="B320" t="s">
        <v>475</v>
      </c>
      <c r="C320" t="s">
        <v>100</v>
      </c>
      <c r="D320" s="1">
        <v>155</v>
      </c>
      <c r="E320" t="s">
        <v>160</v>
      </c>
      <c r="F320" t="s">
        <v>160</v>
      </c>
      <c r="G320" t="s">
        <v>160</v>
      </c>
      <c r="H320" t="s">
        <v>361</v>
      </c>
      <c r="I320" s="1">
        <v>0</v>
      </c>
      <c r="K320" s="1">
        <v>0</v>
      </c>
    </row>
    <row r="321" spans="1:11" x14ac:dyDescent="0.2">
      <c r="A321" s="55">
        <v>310</v>
      </c>
      <c r="B321" s="101" t="s">
        <v>476</v>
      </c>
      <c r="C321" s="101" t="s">
        <v>36</v>
      </c>
      <c r="D321" s="1">
        <v>155</v>
      </c>
      <c r="E321" t="s">
        <v>160</v>
      </c>
      <c r="F321" t="s">
        <v>160</v>
      </c>
      <c r="G321" t="s">
        <v>160</v>
      </c>
      <c r="H321" t="s">
        <v>361</v>
      </c>
      <c r="I321" s="1">
        <v>2</v>
      </c>
      <c r="K321" s="1">
        <v>4</v>
      </c>
    </row>
    <row r="322" spans="1:11" x14ac:dyDescent="0.2">
      <c r="A322" s="55">
        <v>311</v>
      </c>
      <c r="B322" t="s">
        <v>477</v>
      </c>
      <c r="C322" t="s">
        <v>51</v>
      </c>
      <c r="D322" s="1">
        <v>156</v>
      </c>
      <c r="E322" t="s">
        <v>160</v>
      </c>
      <c r="F322" t="s">
        <v>160</v>
      </c>
      <c r="G322" t="s">
        <v>160</v>
      </c>
      <c r="H322" t="s">
        <v>361</v>
      </c>
      <c r="I322" s="1">
        <v>4</v>
      </c>
      <c r="K322" s="1">
        <v>4</v>
      </c>
    </row>
    <row r="323" spans="1:11" x14ac:dyDescent="0.2">
      <c r="A323" s="55">
        <v>312</v>
      </c>
      <c r="B323" t="s">
        <v>478</v>
      </c>
      <c r="C323" t="s">
        <v>23</v>
      </c>
      <c r="D323" s="1">
        <v>156</v>
      </c>
      <c r="E323" t="s">
        <v>160</v>
      </c>
      <c r="F323" t="s">
        <v>160</v>
      </c>
      <c r="G323" t="s">
        <v>160</v>
      </c>
      <c r="H323" t="s">
        <v>361</v>
      </c>
      <c r="I323" s="1">
        <v>0</v>
      </c>
      <c r="K323" s="1">
        <v>0</v>
      </c>
    </row>
    <row r="324" spans="1:11" x14ac:dyDescent="0.2">
      <c r="A324" s="55">
        <v>313</v>
      </c>
      <c r="B324" t="s">
        <v>479</v>
      </c>
      <c r="C324" t="s">
        <v>13</v>
      </c>
      <c r="D324" s="1">
        <v>157</v>
      </c>
      <c r="E324" t="s">
        <v>160</v>
      </c>
      <c r="F324" t="s">
        <v>160</v>
      </c>
      <c r="G324" t="s">
        <v>160</v>
      </c>
      <c r="H324" t="s">
        <v>361</v>
      </c>
      <c r="I324" s="1">
        <v>2</v>
      </c>
      <c r="K324" s="1">
        <v>0</v>
      </c>
    </row>
    <row r="325" spans="1:11" x14ac:dyDescent="0.2">
      <c r="A325" s="55">
        <v>314</v>
      </c>
      <c r="B325" s="100" t="s">
        <v>480</v>
      </c>
      <c r="C325" s="100" t="s">
        <v>116</v>
      </c>
      <c r="D325" s="1">
        <v>157</v>
      </c>
      <c r="E325" t="s">
        <v>160</v>
      </c>
      <c r="F325" t="s">
        <v>160</v>
      </c>
      <c r="G325" t="s">
        <v>160</v>
      </c>
      <c r="H325" t="s">
        <v>361</v>
      </c>
      <c r="I325" s="1">
        <v>0</v>
      </c>
      <c r="K325" s="1">
        <v>2</v>
      </c>
    </row>
    <row r="326" spans="1:11" x14ac:dyDescent="0.2">
      <c r="A326" s="55">
        <v>315</v>
      </c>
      <c r="B326" t="s">
        <v>481</v>
      </c>
      <c r="C326" t="s">
        <v>32</v>
      </c>
      <c r="D326" s="1">
        <v>158</v>
      </c>
      <c r="E326" t="s">
        <v>160</v>
      </c>
      <c r="F326" t="s">
        <v>160</v>
      </c>
      <c r="G326" t="s">
        <v>160</v>
      </c>
      <c r="H326" t="s">
        <v>361</v>
      </c>
      <c r="I326" s="1">
        <v>3</v>
      </c>
      <c r="K326" s="1">
        <v>0</v>
      </c>
    </row>
    <row r="327" spans="1:11" x14ac:dyDescent="0.2">
      <c r="A327" s="55">
        <v>316</v>
      </c>
      <c r="B327" t="s">
        <v>482</v>
      </c>
      <c r="C327" t="s">
        <v>70</v>
      </c>
      <c r="D327" s="1">
        <v>158</v>
      </c>
      <c r="E327" t="s">
        <v>160</v>
      </c>
      <c r="F327" t="s">
        <v>160</v>
      </c>
      <c r="G327" t="s">
        <v>160</v>
      </c>
      <c r="H327" t="s">
        <v>361</v>
      </c>
      <c r="I327" s="1">
        <v>0</v>
      </c>
      <c r="K327" s="1">
        <v>2</v>
      </c>
    </row>
    <row r="328" spans="1:11" x14ac:dyDescent="0.2">
      <c r="A328" s="55">
        <v>317</v>
      </c>
      <c r="B328" t="s">
        <v>483</v>
      </c>
      <c r="C328" t="s">
        <v>122</v>
      </c>
      <c r="D328" s="1">
        <v>159</v>
      </c>
      <c r="E328" t="s">
        <v>160</v>
      </c>
      <c r="F328" t="s">
        <v>160</v>
      </c>
      <c r="G328" t="s">
        <v>160</v>
      </c>
      <c r="H328" t="s">
        <v>361</v>
      </c>
      <c r="I328" s="1">
        <v>1</v>
      </c>
      <c r="K328" s="1">
        <v>0</v>
      </c>
    </row>
    <row r="329" spans="1:11" x14ac:dyDescent="0.2">
      <c r="A329" s="55">
        <v>318</v>
      </c>
      <c r="B329" t="s">
        <v>484</v>
      </c>
      <c r="C329" t="s">
        <v>38</v>
      </c>
      <c r="D329" s="1">
        <v>159</v>
      </c>
      <c r="E329" t="s">
        <v>160</v>
      </c>
      <c r="F329" t="s">
        <v>160</v>
      </c>
      <c r="G329" t="s">
        <v>160</v>
      </c>
      <c r="H329" t="s">
        <v>361</v>
      </c>
      <c r="I329" s="1">
        <v>0</v>
      </c>
      <c r="K329" s="1">
        <v>2</v>
      </c>
    </row>
    <row r="330" spans="1:11" x14ac:dyDescent="0.2">
      <c r="A330" s="55">
        <v>319</v>
      </c>
      <c r="B330" t="s">
        <v>485</v>
      </c>
      <c r="C330" t="s">
        <v>21</v>
      </c>
      <c r="D330" s="1">
        <v>160</v>
      </c>
      <c r="E330" t="s">
        <v>160</v>
      </c>
      <c r="F330" t="s">
        <v>160</v>
      </c>
      <c r="G330" t="s">
        <v>160</v>
      </c>
      <c r="H330" t="s">
        <v>361</v>
      </c>
      <c r="I330" s="1">
        <v>1</v>
      </c>
      <c r="K330" s="1">
        <v>0</v>
      </c>
    </row>
    <row r="331" spans="1:11" x14ac:dyDescent="0.2">
      <c r="A331" s="55">
        <v>320</v>
      </c>
      <c r="B331" t="s">
        <v>486</v>
      </c>
      <c r="C331" t="s">
        <v>223</v>
      </c>
      <c r="D331" s="1">
        <v>160</v>
      </c>
      <c r="E331" t="s">
        <v>160</v>
      </c>
      <c r="F331" t="s">
        <v>160</v>
      </c>
      <c r="G331" t="s">
        <v>160</v>
      </c>
      <c r="H331" t="s">
        <v>361</v>
      </c>
      <c r="I331" s="1">
        <v>0</v>
      </c>
      <c r="K331" s="1">
        <v>3</v>
      </c>
    </row>
    <row r="332" spans="1:11" x14ac:dyDescent="0.2">
      <c r="A332" s="55">
        <v>321</v>
      </c>
      <c r="B332" t="s">
        <v>487</v>
      </c>
      <c r="C332" t="s">
        <v>100</v>
      </c>
      <c r="D332" s="1">
        <v>161</v>
      </c>
      <c r="E332" t="s">
        <v>160</v>
      </c>
      <c r="F332" t="s">
        <v>160</v>
      </c>
      <c r="G332" t="s">
        <v>160</v>
      </c>
      <c r="H332" t="s">
        <v>361</v>
      </c>
      <c r="I332" s="1">
        <v>3</v>
      </c>
      <c r="K332" s="1">
        <v>0</v>
      </c>
    </row>
    <row r="333" spans="1:11" x14ac:dyDescent="0.2">
      <c r="A333" s="55">
        <v>322</v>
      </c>
      <c r="B333" t="s">
        <v>488</v>
      </c>
      <c r="C333" t="s">
        <v>33</v>
      </c>
      <c r="D333" s="1">
        <v>161</v>
      </c>
      <c r="E333" t="s">
        <v>160</v>
      </c>
      <c r="F333" t="s">
        <v>160</v>
      </c>
      <c r="G333" t="s">
        <v>160</v>
      </c>
      <c r="H333" t="s">
        <v>361</v>
      </c>
      <c r="I333" s="1">
        <v>0</v>
      </c>
      <c r="K333" s="1">
        <v>3</v>
      </c>
    </row>
    <row r="334" spans="1:11" x14ac:dyDescent="0.2">
      <c r="A334" s="55">
        <v>323</v>
      </c>
      <c r="B334" t="s">
        <v>489</v>
      </c>
      <c r="C334" t="s">
        <v>15</v>
      </c>
      <c r="D334" s="1">
        <v>162</v>
      </c>
      <c r="E334" t="s">
        <v>160</v>
      </c>
      <c r="F334" t="s">
        <v>160</v>
      </c>
      <c r="G334" t="s">
        <v>160</v>
      </c>
      <c r="H334" t="s">
        <v>361</v>
      </c>
      <c r="I334" s="1">
        <v>2</v>
      </c>
      <c r="K334" s="1">
        <v>0</v>
      </c>
    </row>
    <row r="335" spans="1:11" x14ac:dyDescent="0.2">
      <c r="A335" s="55">
        <v>324</v>
      </c>
      <c r="B335" t="s">
        <v>490</v>
      </c>
      <c r="C335" t="s">
        <v>34</v>
      </c>
      <c r="D335" s="1">
        <v>162</v>
      </c>
      <c r="E335" t="s">
        <v>160</v>
      </c>
      <c r="F335" t="s">
        <v>160</v>
      </c>
      <c r="G335" t="s">
        <v>160</v>
      </c>
      <c r="H335" t="s">
        <v>361</v>
      </c>
      <c r="I335" s="1">
        <v>0</v>
      </c>
      <c r="K335" s="1">
        <v>4</v>
      </c>
    </row>
    <row r="336" spans="1:11" x14ac:dyDescent="0.2">
      <c r="A336" s="55">
        <v>325</v>
      </c>
      <c r="B336" t="s">
        <v>491</v>
      </c>
      <c r="C336" t="s">
        <v>6</v>
      </c>
      <c r="D336" s="1">
        <v>163</v>
      </c>
      <c r="E336" t="s">
        <v>160</v>
      </c>
      <c r="F336" t="s">
        <v>160</v>
      </c>
      <c r="G336" t="s">
        <v>160</v>
      </c>
      <c r="H336" t="s">
        <v>361</v>
      </c>
      <c r="I336" s="1">
        <v>4</v>
      </c>
      <c r="K336" s="1">
        <v>2</v>
      </c>
    </row>
    <row r="337" spans="1:11" x14ac:dyDescent="0.2">
      <c r="A337" s="55">
        <v>326</v>
      </c>
      <c r="B337" t="s">
        <v>492</v>
      </c>
      <c r="C337" t="s">
        <v>31</v>
      </c>
      <c r="D337" s="1">
        <v>163</v>
      </c>
      <c r="E337" t="s">
        <v>160</v>
      </c>
      <c r="F337" t="s">
        <v>160</v>
      </c>
      <c r="G337" t="s">
        <v>160</v>
      </c>
      <c r="H337" t="s">
        <v>361</v>
      </c>
      <c r="I337" s="1">
        <v>0</v>
      </c>
      <c r="K337" s="1">
        <v>0</v>
      </c>
    </row>
    <row r="338" spans="1:11" x14ac:dyDescent="0.2">
      <c r="A338" s="55">
        <v>327</v>
      </c>
      <c r="B338" t="s">
        <v>493</v>
      </c>
      <c r="C338" t="s">
        <v>44</v>
      </c>
      <c r="D338" s="1">
        <v>164</v>
      </c>
      <c r="E338" t="s">
        <v>160</v>
      </c>
      <c r="F338" t="s">
        <v>160</v>
      </c>
      <c r="G338" t="s">
        <v>160</v>
      </c>
      <c r="H338" t="s">
        <v>361</v>
      </c>
      <c r="I338" s="1">
        <v>2</v>
      </c>
      <c r="K338" s="1">
        <v>0</v>
      </c>
    </row>
    <row r="339" spans="1:11" x14ac:dyDescent="0.2">
      <c r="A339" s="55">
        <v>328</v>
      </c>
      <c r="B339" t="s">
        <v>494</v>
      </c>
      <c r="C339" t="s">
        <v>20</v>
      </c>
      <c r="D339" s="1">
        <v>164</v>
      </c>
      <c r="E339" t="s">
        <v>160</v>
      </c>
      <c r="F339" t="s">
        <v>160</v>
      </c>
      <c r="G339" t="s">
        <v>160</v>
      </c>
      <c r="H339" t="s">
        <v>361</v>
      </c>
      <c r="I339" s="1">
        <v>0</v>
      </c>
      <c r="K339" s="1">
        <v>3</v>
      </c>
    </row>
    <row r="340" spans="1:11" x14ac:dyDescent="0.2">
      <c r="A340" s="55">
        <v>329</v>
      </c>
      <c r="B340" t="s">
        <v>495</v>
      </c>
      <c r="C340" t="s">
        <v>102</v>
      </c>
      <c r="D340" s="1">
        <v>165</v>
      </c>
      <c r="E340" t="s">
        <v>160</v>
      </c>
      <c r="F340" t="s">
        <v>160</v>
      </c>
      <c r="G340" t="s">
        <v>160</v>
      </c>
      <c r="H340" t="s">
        <v>361</v>
      </c>
      <c r="I340" s="1">
        <v>0</v>
      </c>
      <c r="K340" s="1">
        <v>0</v>
      </c>
    </row>
    <row r="341" spans="1:11" x14ac:dyDescent="0.2">
      <c r="A341" s="55">
        <v>330</v>
      </c>
      <c r="B341" t="s">
        <v>496</v>
      </c>
      <c r="C341" t="s">
        <v>87</v>
      </c>
      <c r="D341" s="1">
        <v>165</v>
      </c>
      <c r="E341" t="s">
        <v>160</v>
      </c>
      <c r="F341" t="s">
        <v>160</v>
      </c>
      <c r="G341" t="s">
        <v>160</v>
      </c>
      <c r="H341" t="s">
        <v>361</v>
      </c>
      <c r="I341" s="1">
        <v>5</v>
      </c>
      <c r="K341" s="1">
        <v>2</v>
      </c>
    </row>
    <row r="342" spans="1:11" x14ac:dyDescent="0.2">
      <c r="A342" s="55">
        <v>331</v>
      </c>
      <c r="B342" t="s">
        <v>497</v>
      </c>
      <c r="C342" t="s">
        <v>43</v>
      </c>
      <c r="D342" s="1">
        <v>166</v>
      </c>
      <c r="E342" t="s">
        <v>160</v>
      </c>
      <c r="F342" t="s">
        <v>160</v>
      </c>
      <c r="G342" t="s">
        <v>160</v>
      </c>
      <c r="H342" t="s">
        <v>361</v>
      </c>
      <c r="I342" s="1">
        <v>5</v>
      </c>
      <c r="K342" s="1">
        <v>0</v>
      </c>
    </row>
    <row r="343" spans="1:11" x14ac:dyDescent="0.2">
      <c r="A343" s="55">
        <v>332</v>
      </c>
      <c r="B343" t="s">
        <v>498</v>
      </c>
      <c r="C343" t="s">
        <v>24</v>
      </c>
      <c r="D343" s="1">
        <v>166</v>
      </c>
      <c r="E343" t="s">
        <v>160</v>
      </c>
      <c r="F343" t="s">
        <v>160</v>
      </c>
      <c r="G343" t="s">
        <v>160</v>
      </c>
      <c r="H343" t="s">
        <v>361</v>
      </c>
      <c r="I343" s="1">
        <v>0</v>
      </c>
      <c r="K343" s="1">
        <v>2</v>
      </c>
    </row>
    <row r="344" spans="1:11" x14ac:dyDescent="0.2">
      <c r="A344" s="55">
        <v>333</v>
      </c>
      <c r="B344" t="s">
        <v>499</v>
      </c>
      <c r="C344" t="s">
        <v>6</v>
      </c>
      <c r="D344" s="1">
        <v>167</v>
      </c>
      <c r="E344" t="s">
        <v>160</v>
      </c>
      <c r="F344" t="s">
        <v>160</v>
      </c>
      <c r="G344" t="s">
        <v>160</v>
      </c>
      <c r="H344" t="s">
        <v>361</v>
      </c>
      <c r="I344" s="1">
        <v>2</v>
      </c>
      <c r="K344" s="1">
        <v>3</v>
      </c>
    </row>
    <row r="345" spans="1:11" x14ac:dyDescent="0.2">
      <c r="A345" s="55">
        <v>334</v>
      </c>
      <c r="B345" t="s">
        <v>500</v>
      </c>
      <c r="C345" t="s">
        <v>40</v>
      </c>
      <c r="D345" s="1">
        <v>167</v>
      </c>
      <c r="E345" t="s">
        <v>160</v>
      </c>
      <c r="F345" t="s">
        <v>160</v>
      </c>
      <c r="G345" t="s">
        <v>160</v>
      </c>
      <c r="H345" t="s">
        <v>361</v>
      </c>
      <c r="I345" s="1">
        <v>0</v>
      </c>
      <c r="K345" s="1">
        <v>0</v>
      </c>
    </row>
    <row r="346" spans="1:11" x14ac:dyDescent="0.2">
      <c r="A346" s="55">
        <v>335</v>
      </c>
      <c r="B346" t="s">
        <v>501</v>
      </c>
      <c r="C346" t="s">
        <v>67</v>
      </c>
      <c r="D346" s="1">
        <v>168</v>
      </c>
      <c r="E346" t="s">
        <v>160</v>
      </c>
      <c r="F346" t="s">
        <v>160</v>
      </c>
      <c r="G346" t="s">
        <v>160</v>
      </c>
      <c r="H346" t="s">
        <v>361</v>
      </c>
      <c r="I346" s="1">
        <v>5</v>
      </c>
      <c r="K346" s="1">
        <v>2</v>
      </c>
    </row>
    <row r="347" spans="1:11" x14ac:dyDescent="0.2">
      <c r="A347" s="55">
        <v>336</v>
      </c>
      <c r="B347" s="99" t="s">
        <v>502</v>
      </c>
      <c r="C347" s="99" t="s">
        <v>196</v>
      </c>
      <c r="D347" s="1">
        <v>168</v>
      </c>
      <c r="E347" t="s">
        <v>160</v>
      </c>
      <c r="F347" t="s">
        <v>160</v>
      </c>
      <c r="G347" t="s">
        <v>160</v>
      </c>
      <c r="H347" t="s">
        <v>361</v>
      </c>
      <c r="I347" s="1">
        <v>0</v>
      </c>
      <c r="K347" s="1">
        <v>0</v>
      </c>
    </row>
    <row r="348" spans="1:11" x14ac:dyDescent="0.2">
      <c r="A348" s="55">
        <v>337</v>
      </c>
      <c r="B348" t="s">
        <v>503</v>
      </c>
      <c r="C348" t="s">
        <v>98</v>
      </c>
      <c r="D348" s="1">
        <v>169</v>
      </c>
      <c r="E348" t="s">
        <v>160</v>
      </c>
      <c r="F348" t="s">
        <v>160</v>
      </c>
      <c r="G348" t="s">
        <v>160</v>
      </c>
      <c r="H348" t="s">
        <v>361</v>
      </c>
      <c r="I348" s="1">
        <v>0</v>
      </c>
      <c r="K348" s="1">
        <v>2</v>
      </c>
    </row>
    <row r="349" spans="1:11" x14ac:dyDescent="0.2">
      <c r="A349" s="55">
        <v>338</v>
      </c>
      <c r="B349" t="s">
        <v>504</v>
      </c>
      <c r="C349" t="s">
        <v>52</v>
      </c>
      <c r="D349" s="1">
        <v>169</v>
      </c>
      <c r="E349" t="s">
        <v>160</v>
      </c>
      <c r="F349" t="s">
        <v>160</v>
      </c>
      <c r="G349" t="s">
        <v>160</v>
      </c>
      <c r="H349" t="s">
        <v>361</v>
      </c>
      <c r="I349" s="1">
        <v>4</v>
      </c>
      <c r="K349" s="1">
        <v>0</v>
      </c>
    </row>
    <row r="350" spans="1:11" x14ac:dyDescent="0.2">
      <c r="A350" s="55"/>
    </row>
    <row r="351" spans="1:11" x14ac:dyDescent="0.2">
      <c r="D351" s="102" t="s">
        <v>505</v>
      </c>
      <c r="I351" s="102" t="s">
        <v>505</v>
      </c>
      <c r="K351" s="102" t="s">
        <v>505</v>
      </c>
    </row>
    <row r="352" spans="1:11" x14ac:dyDescent="0.2">
      <c r="A352" s="9" t="s">
        <v>506</v>
      </c>
      <c r="D352" s="1" t="e">
        <f>SUM(D19,D43,D58,D98,D107,D115,D305,#REF!,#REF!,#REF!,#REF!)</f>
        <v>#REF!</v>
      </c>
      <c r="F352" t="s">
        <v>507</v>
      </c>
      <c r="G352" s="103" t="s">
        <v>5</v>
      </c>
      <c r="H352" s="104" t="s">
        <v>6</v>
      </c>
      <c r="I352" s="1">
        <f>SUM(I24,I90,I102,I132,I278,I336,I344)</f>
        <v>16</v>
      </c>
      <c r="K352" s="1">
        <f>SUM(K24,K90,K102,K132,K278,K336,K344)</f>
        <v>19</v>
      </c>
    </row>
    <row r="353" spans="4:12" x14ac:dyDescent="0.2">
      <c r="D353" s="1" t="e">
        <f>SUM(D21,D116,D199,D230,D239,D255,D307,#REF!,#REF!,#REF!,#REF!)</f>
        <v>#REF!</v>
      </c>
      <c r="G353" s="103" t="s">
        <v>5</v>
      </c>
      <c r="H353" s="104" t="s">
        <v>10</v>
      </c>
      <c r="I353" s="1">
        <f>SUM(I25,I76,I117,I157,I207,I232,I297)</f>
        <v>18</v>
      </c>
      <c r="K353" s="1">
        <f>SUM(K25,K76,K117,K157,K207,K232,K297)</f>
        <v>0</v>
      </c>
    </row>
    <row r="354" spans="4:12" x14ac:dyDescent="0.2">
      <c r="D354" s="1" t="e">
        <f>SUM(D25,D118,D203,D261,D266,D288,D311,#REF!,#REF!,#REF!,#REF!)</f>
        <v>#REF!</v>
      </c>
      <c r="G354" s="103" t="s">
        <v>5</v>
      </c>
      <c r="H354" s="104" t="s">
        <v>12</v>
      </c>
      <c r="I354" s="1">
        <f>SUM(I45,I111,I118,I145,I215,I226,I281)</f>
        <v>14</v>
      </c>
      <c r="K354" s="1">
        <f>SUM(K45,K111,K118,K145,K215,K226,K281)</f>
        <v>9</v>
      </c>
    </row>
    <row r="355" spans="4:12" x14ac:dyDescent="0.2">
      <c r="D355" s="1" t="e">
        <f>SUM(D29,D37,D44,D84,D93,D109,D306,D315,D339,D347,#REF!)</f>
        <v>#REF!</v>
      </c>
      <c r="G355" t="s">
        <v>14</v>
      </c>
      <c r="H355" s="7" t="s">
        <v>15</v>
      </c>
      <c r="I355" s="1">
        <f>SUM(I23,I97,I134,I161,I225,I315,I334)</f>
        <v>9</v>
      </c>
      <c r="K355" s="1">
        <f>SUM(K23,K97,K134,K161,K225,K315,K334)</f>
        <v>17</v>
      </c>
    </row>
    <row r="356" spans="4:12" x14ac:dyDescent="0.2">
      <c r="D356" s="1" t="e">
        <f>SUM(D14,D39,D70,D86,D103,D110,D300,D332,D348,#REF!,#REF!)</f>
        <v>#REF!</v>
      </c>
      <c r="G356" t="s">
        <v>14</v>
      </c>
      <c r="H356" s="7" t="s">
        <v>18</v>
      </c>
      <c r="I356" s="1">
        <f>SUM(I14,I31,I68,I88,I206,I252,I266)</f>
        <v>20</v>
      </c>
      <c r="J356">
        <f>AVERAGE(I358:I360)</f>
        <v>11.333333333333334</v>
      </c>
      <c r="K356" s="1">
        <f>SUM(K14,K31,K68,K88,K206,K252,K266)</f>
        <v>7</v>
      </c>
      <c r="L356">
        <f>AVERAGE(K358:K360)</f>
        <v>11</v>
      </c>
    </row>
    <row r="357" spans="4:12" x14ac:dyDescent="0.2">
      <c r="D357" s="1" t="e">
        <f>SUM(D16,D112,D197,D289,D290,D294,D303,#REF!,#REF!,#REF!,#REF!)</f>
        <v>#REF!</v>
      </c>
      <c r="G357" t="s">
        <v>14</v>
      </c>
      <c r="H357" s="7" t="s">
        <v>20</v>
      </c>
      <c r="I357" s="1">
        <f>SUM(I53,I95,I141,I177,I275,I295,I339)</f>
        <v>11</v>
      </c>
      <c r="K357" s="1">
        <f>SUM(K53,K95,K141,K177,K275,K295,K339)</f>
        <v>17</v>
      </c>
    </row>
    <row r="358" spans="4:12" x14ac:dyDescent="0.2">
      <c r="D358" s="1" t="e">
        <f>SUM(D15,D22,D30,D46,D62,D94,D308,D341,#REF!,#REF!,#REF!)</f>
        <v>#REF!</v>
      </c>
      <c r="G358" s="103" t="s">
        <v>47</v>
      </c>
      <c r="H358" s="104" t="s">
        <v>48</v>
      </c>
      <c r="I358" s="1">
        <f>SUM(I22,I137,I164,I166,I210,I241,I300)</f>
        <v>8</v>
      </c>
      <c r="K358" s="1">
        <f>SUM(K22,K137,K164,K166,K210,K241,K300)</f>
        <v>16</v>
      </c>
    </row>
    <row r="359" spans="4:12" x14ac:dyDescent="0.2">
      <c r="D359" s="1" t="e">
        <f>SUM(D26,D91,D121,D114,D164,D172,D312,D344,#REF!,#REF!,#REF!)</f>
        <v>#REF!</v>
      </c>
      <c r="G359" s="103" t="s">
        <v>47</v>
      </c>
      <c r="H359" s="104" t="s">
        <v>51</v>
      </c>
      <c r="I359" s="1">
        <f>SUM(I26,I48,I112,I144,I209,I304,I322)</f>
        <v>11</v>
      </c>
      <c r="K359" s="1">
        <f>SUM(K26,K48,K112,K144,K209,K304,K322)</f>
        <v>8</v>
      </c>
    </row>
    <row r="360" spans="4:12" x14ac:dyDescent="0.2">
      <c r="D360" s="1" t="e">
        <f>SUM(D45,D137,D189,D198,D209,D214,D331,#REF!,#REF!,#REF!,#REF!)</f>
        <v>#REF!</v>
      </c>
      <c r="G360" s="103" t="s">
        <v>47</v>
      </c>
      <c r="H360" s="104" t="s">
        <v>45</v>
      </c>
      <c r="I360" s="1">
        <f>SUM(I30,I66,I86,I100,I212,I264,I282)</f>
        <v>15</v>
      </c>
      <c r="K360" s="1">
        <f>SUM(K30,K66,K86,K100,K212,K264,K282)</f>
        <v>9</v>
      </c>
    </row>
    <row r="361" spans="4:12" x14ac:dyDescent="0.2">
      <c r="D361" s="1" t="e">
        <f>SUM(D102,D190,D251,D256,D257,D296,D319,#REF!,#REF!,#REF!,#REF!)</f>
        <v>#REF!</v>
      </c>
      <c r="G361" t="s">
        <v>28</v>
      </c>
      <c r="H361" s="7" t="s">
        <v>29</v>
      </c>
      <c r="I361" s="1">
        <f>SUM(I36,I94,I142,I180,I218,I236,I316)</f>
        <v>9</v>
      </c>
      <c r="K361" s="1">
        <f>SUM(K36,K94,K142,K180,K218,K236,K316)</f>
        <v>23</v>
      </c>
    </row>
    <row r="362" spans="4:12" x14ac:dyDescent="0.2">
      <c r="D362" s="1" t="e">
        <f>SUM(D32,D41,D119,D125,D155,D184,#REF!,#REF!,#REF!,#REF!,#REF!)</f>
        <v>#REF!</v>
      </c>
      <c r="G362" t="s">
        <v>28</v>
      </c>
      <c r="H362" s="7" t="s">
        <v>31</v>
      </c>
      <c r="I362" s="1">
        <f>SUM(I42,I63,I83,I170,I258,I284,I337)</f>
        <v>12</v>
      </c>
      <c r="K362" s="1">
        <f>SUM(K42,K63,K83,K170,K258,K284,K337)</f>
        <v>5</v>
      </c>
    </row>
    <row r="363" spans="4:12" x14ac:dyDescent="0.2">
      <c r="D363" s="1" t="e">
        <f>SUM(D42,D135,D207,D265,D270,D274,D329,#REF!,#REF!,#REF!,#REF!)</f>
        <v>#REF!</v>
      </c>
      <c r="G363" t="s">
        <v>28</v>
      </c>
      <c r="H363" s="7" t="s">
        <v>33</v>
      </c>
      <c r="I363" s="1">
        <f>SUM(I41,I55,I93,I179,I235,I271,I333)</f>
        <v>8</v>
      </c>
      <c r="K363" s="1">
        <f>SUM(K41,K55,K93,K179,K235,K271,K333)</f>
        <v>11</v>
      </c>
    </row>
    <row r="364" spans="4:12" x14ac:dyDescent="0.2">
      <c r="D364" s="1" t="e">
        <f>SUM(D79,D111,D122,D131,D152,D182,D309,D318,D324,#REF!,#REF!)</f>
        <v>#REF!</v>
      </c>
      <c r="G364" s="103" t="s">
        <v>35</v>
      </c>
      <c r="H364" s="104" t="s">
        <v>39</v>
      </c>
      <c r="I364" s="1">
        <f>SUM(I49,I110,I138,I205,I249,I272,I314)</f>
        <v>12</v>
      </c>
      <c r="K364" s="1">
        <f>SUM(K49,K110,K138,K205,K249,K272,K314)</f>
        <v>15</v>
      </c>
    </row>
    <row r="365" spans="4:12" x14ac:dyDescent="0.2">
      <c r="D365" s="1" t="e">
        <f>SUM(D59,D126,D148,D157,D220,D229,D336,D345,#REF!,#REF!,#REF!)</f>
        <v>#REF!</v>
      </c>
      <c r="G365" s="103" t="s">
        <v>35</v>
      </c>
      <c r="H365" s="104" t="s">
        <v>36</v>
      </c>
      <c r="I365" s="1">
        <f>SUM(I46,I78,I124,I196,I219,I301,I321)</f>
        <v>17</v>
      </c>
      <c r="K365" s="1">
        <f>SUM(K46,K78,K124,K196,K219,K301,K321)</f>
        <v>16</v>
      </c>
    </row>
    <row r="366" spans="4:12" x14ac:dyDescent="0.2">
      <c r="D366" s="1" t="e">
        <f>SUM(D40,D105,D132,D204,D263,D291,D326,#REF!,#REF!,#REF!,#REF!)</f>
        <v>#REF!</v>
      </c>
      <c r="G366" s="103" t="s">
        <v>35</v>
      </c>
      <c r="H366" s="104" t="s">
        <v>196</v>
      </c>
      <c r="I366" s="1">
        <f>SUM(I47,I143,I163,I185,I229,I263,I347)</f>
        <v>11</v>
      </c>
      <c r="K366" s="1">
        <f>SUM(K47,K143,K163,K185,K229,K263,K347)</f>
        <v>7</v>
      </c>
    </row>
    <row r="367" spans="4:12" x14ac:dyDescent="0.2">
      <c r="D367" s="1" t="e">
        <f>SUM(D47,D130,D138,D210,D240,D250,D316,D333,#REF!,#REF!,#REF!)</f>
        <v>#REF!</v>
      </c>
      <c r="G367" t="s">
        <v>56</v>
      </c>
      <c r="H367" s="7" t="s">
        <v>13</v>
      </c>
      <c r="I367" s="1">
        <f>SUM(I38,I62,I114,I175,I250,I312,I324)</f>
        <v>15</v>
      </c>
      <c r="K367" s="1">
        <f>SUM(K38,K62,K114,K175,K250,K312,K324)</f>
        <v>16</v>
      </c>
    </row>
    <row r="368" spans="4:12" x14ac:dyDescent="0.2">
      <c r="D368" s="1" t="e">
        <f>SUM(D56,D147,D205,D218,D247,D260,D343,#REF!,#REF!,#REF!,#REF!)</f>
        <v>#REF!</v>
      </c>
      <c r="G368" t="s">
        <v>56</v>
      </c>
      <c r="H368" s="7" t="s">
        <v>11</v>
      </c>
      <c r="I368" s="1">
        <f>SUM(I27,I44,I75,I104,I246,I273,I298)</f>
        <v>16</v>
      </c>
      <c r="K368" s="1">
        <f>SUM(K27,K44,K75,K104,K246,K273,K298)</f>
        <v>13</v>
      </c>
    </row>
    <row r="369" spans="4:11" x14ac:dyDescent="0.2">
      <c r="D369" s="1" t="e">
        <f>SUM(D67,D120,D156,D224,D252,D264,#REF!,#REF!,#REF!,#REF!,#REF!)</f>
        <v>#REF!</v>
      </c>
      <c r="G369" t="s">
        <v>56</v>
      </c>
      <c r="H369" s="7" t="s">
        <v>64</v>
      </c>
      <c r="I369" s="1">
        <f>SUM(I16,I79,I99,I162,I243,I280,I317)</f>
        <v>7</v>
      </c>
      <c r="K369" s="1">
        <f>SUM(K16,K79,K99,K162,K243,K280,K317)</f>
        <v>3</v>
      </c>
    </row>
    <row r="370" spans="4:11" x14ac:dyDescent="0.2">
      <c r="D370" s="1" t="e">
        <f>SUM(D65,D154,D170,D196,D213,D219,#REF!,#REF!,#REF!,#REF!,#REF!)</f>
        <v>#REF!</v>
      </c>
      <c r="G370" s="103" t="s">
        <v>66</v>
      </c>
      <c r="H370" s="104" t="s">
        <v>67</v>
      </c>
      <c r="I370" s="1">
        <f>SUM(I58,I98,I184,I197,I237,I270,I346)</f>
        <v>10</v>
      </c>
      <c r="K370" s="1">
        <f>SUM(K58,K98,K184,K197,K237,K270,K346)</f>
        <v>6</v>
      </c>
    </row>
    <row r="371" spans="4:11" x14ac:dyDescent="0.2">
      <c r="D371" s="1" t="e">
        <f>SUM(D38,D54,D139,D145,D169,D217,D325,D340,#REF!,#REF!,#REF!)</f>
        <v>#REF!</v>
      </c>
      <c r="G371" s="103" t="s">
        <v>66</v>
      </c>
      <c r="H371" s="104" t="s">
        <v>70</v>
      </c>
      <c r="I371" s="1">
        <f>SUM(I72,I146,I160,I195,I239,I303,I327)</f>
        <v>12</v>
      </c>
      <c r="K371" s="1">
        <f>SUM(K72,K146,K160,K195,K239,K303,K327)</f>
        <v>13</v>
      </c>
    </row>
    <row r="372" spans="4:11" x14ac:dyDescent="0.2">
      <c r="D372" s="1" t="e">
        <f>SUM(D74,D165,D228,D248,D271,D299,#REF!,#REF!,#REF!,#REF!,#REF!)</f>
        <v>#REF!</v>
      </c>
      <c r="G372" s="103" t="s">
        <v>66</v>
      </c>
      <c r="H372" s="104" t="s">
        <v>17</v>
      </c>
      <c r="I372" s="1">
        <f>SUM(I67,I123,I159,I189,I231,I253,I293)</f>
        <v>8</v>
      </c>
      <c r="K372" s="1">
        <f>SUM(K67,K123,K159,K189,K231,K253,K293)</f>
        <v>14</v>
      </c>
    </row>
    <row r="373" spans="4:11" x14ac:dyDescent="0.2">
      <c r="D373" s="1" t="e">
        <f>SUM(D27,D35,D127,D134,D187,D192,D304,#REF!,#REF!,#REF!,#REF!)</f>
        <v>#REF!</v>
      </c>
      <c r="G373" t="s">
        <v>91</v>
      </c>
      <c r="H373" s="7" t="s">
        <v>98</v>
      </c>
      <c r="I373" s="1">
        <f>SUM(I50,I96,I151,I176,I222,I238,I348)</f>
        <v>7</v>
      </c>
      <c r="K373" s="1">
        <f>SUM(K50,K96,K151,K176,K222,K238,K348)</f>
        <v>8</v>
      </c>
    </row>
    <row r="374" spans="4:11" x14ac:dyDescent="0.2">
      <c r="D374" s="1" t="e">
        <f>SUM(D73,D113,D124,D141,D146,D162,D320,#REF!,#REF!,#REF!,#REF!)</f>
        <v>#REF!</v>
      </c>
      <c r="G374" t="s">
        <v>91</v>
      </c>
      <c r="H374" s="7" t="s">
        <v>100</v>
      </c>
      <c r="I374" s="1">
        <f>SUM(I32,I109,I167,I198,I251,I320,I332)</f>
        <v>11</v>
      </c>
      <c r="K374" s="1">
        <f>SUM(K32,K109,K167,K198,K251,K320,K332)</f>
        <v>5</v>
      </c>
    </row>
    <row r="375" spans="4:11" x14ac:dyDescent="0.2">
      <c r="D375" s="1" t="e">
        <f>SUM(D60,D151,D167,D175,D195,D208,D346,#REF!,#REF!,#REF!,#REF!)</f>
        <v>#REF!</v>
      </c>
      <c r="G375" t="s">
        <v>91</v>
      </c>
      <c r="H375" s="7" t="s">
        <v>102</v>
      </c>
      <c r="I375" s="1">
        <f>SUM(I60,I107,I121,I133,I248,I296,I340)</f>
        <v>15</v>
      </c>
      <c r="K375" s="1">
        <f>SUM(K60,K107,K121,K133,K248,K296,K340)</f>
        <v>4</v>
      </c>
    </row>
    <row r="376" spans="4:11" x14ac:dyDescent="0.2">
      <c r="D376" s="1" t="e">
        <f>SUM(D69,D76,D129,D136,D158,D201,D314,#REF!,#REF!,#REF!,#REF!)</f>
        <v>#REF!</v>
      </c>
      <c r="G376" s="103" t="s">
        <v>73</v>
      </c>
      <c r="H376" s="104" t="s">
        <v>38</v>
      </c>
      <c r="I376" s="1">
        <f>SUM(I74,I113,I172,I204,I214,I286,I329)</f>
        <v>9</v>
      </c>
      <c r="K376" s="1">
        <f>SUM(K74,K113,K172,K204,K214,K286,K329)</f>
        <v>13</v>
      </c>
    </row>
    <row r="377" spans="4:11" x14ac:dyDescent="0.2">
      <c r="D377" s="1" t="e">
        <f>SUM(D80,D133,D163,D171,D202,D235,#REF!,#REF!,#REF!,#REF!,#REF!)</f>
        <v>#REF!</v>
      </c>
      <c r="G377" s="103" t="s">
        <v>73</v>
      </c>
      <c r="H377" s="104" t="s">
        <v>25</v>
      </c>
      <c r="I377" s="1">
        <f>SUM(I103,I120,I126,I156,I242,I257,I288)</f>
        <v>18</v>
      </c>
      <c r="K377" s="1">
        <f>SUM(K103,K120,K126,K156,K242,K257,K288)</f>
        <v>18</v>
      </c>
    </row>
    <row r="378" spans="4:11" x14ac:dyDescent="0.2">
      <c r="D378" s="1" t="e">
        <f>SUM(D71,D161,D211,D222,D227,D232,#REF!,#REF!,#REF!,#REF!,#REF!)</f>
        <v>#REF!</v>
      </c>
      <c r="G378" s="103" t="s">
        <v>73</v>
      </c>
      <c r="H378" s="104" t="s">
        <v>77</v>
      </c>
      <c r="I378" s="1">
        <f>SUM(I71,I154,I178,I191,I269,I287,I292)</f>
        <v>18</v>
      </c>
      <c r="K378" s="1">
        <f>SUM(K71,K154,K178,K191,K269,K287,K292)</f>
        <v>13</v>
      </c>
    </row>
    <row r="379" spans="4:11" x14ac:dyDescent="0.2">
      <c r="D379" s="1" t="e">
        <f>SUM(D63,D144,D153,D223,D279,D293,D349,#REF!,#REF!,#REF!,#REF!)</f>
        <v>#REF!</v>
      </c>
      <c r="G379" t="s">
        <v>92</v>
      </c>
      <c r="H379" s="7" t="s">
        <v>87</v>
      </c>
      <c r="I379" s="1">
        <f>SUM(I15,I130,I158,I168,I213,I267,I341)</f>
        <v>20</v>
      </c>
      <c r="K379" s="1">
        <f>SUM(K15,K130,K158,K168,K213,K267,K341)</f>
        <v>18</v>
      </c>
    </row>
    <row r="380" spans="4:11" x14ac:dyDescent="0.2">
      <c r="D380" s="1" t="e">
        <f>SUM(D49,D140,D212,D262,D267,D281,D334,#REF!,#REF!,#REF!,#REF!)</f>
        <v>#REF!</v>
      </c>
      <c r="G380" t="s">
        <v>92</v>
      </c>
      <c r="H380" s="7" t="s">
        <v>103</v>
      </c>
      <c r="I380" s="1">
        <f>SUM(I37,I140,I186,I199,I211,I245,I255)</f>
        <v>13</v>
      </c>
      <c r="K380" s="1">
        <f>SUM(K37,K140,K186,K199,K211,K245,K255)</f>
        <v>13</v>
      </c>
    </row>
    <row r="381" spans="4:11" x14ac:dyDescent="0.2">
      <c r="D381" s="1" t="e">
        <f>SUM(D83,D173,D221,D237,D275,D284,#REF!,#REF!,#REF!,#REF!,#REF!,#REF!)</f>
        <v>#REF!</v>
      </c>
      <c r="G381" t="s">
        <v>92</v>
      </c>
      <c r="H381" s="7" t="s">
        <v>23</v>
      </c>
      <c r="I381" s="1">
        <f>SUM(I105,I119,I139,I173,I261,I307,I323)</f>
        <v>3</v>
      </c>
      <c r="K381" s="1">
        <f>SUM(K105,K119,K139,K173,K261,K307,K323)</f>
        <v>4</v>
      </c>
    </row>
    <row r="382" spans="4:11" x14ac:dyDescent="0.2">
      <c r="D382" s="1" t="e">
        <f>SUM(D50,D90,D149,D179,D206,D243,#REF!,#REF!,#REF!,#REF!,#REF!)</f>
        <v>#REF!</v>
      </c>
      <c r="G382" s="103" t="s">
        <v>508</v>
      </c>
      <c r="H382" s="104" t="s">
        <v>509</v>
      </c>
      <c r="I382" s="1">
        <f>SUM(I43,I84,I115,I149,I220,I274,I311)</f>
        <v>17</v>
      </c>
      <c r="K382" s="1">
        <f>SUM(K43,K84,K115,K149,K220,K274,K311)</f>
        <v>9</v>
      </c>
    </row>
    <row r="383" spans="4:11" x14ac:dyDescent="0.2">
      <c r="D383" s="1" t="e">
        <f>SUM(D28,D77,D166,D231,#REF!,D268,#REF!,#REF!,#REF!,#REF!,#REF!)</f>
        <v>#REF!</v>
      </c>
      <c r="G383" s="103" t="s">
        <v>508</v>
      </c>
      <c r="H383" s="104" t="s">
        <v>223</v>
      </c>
      <c r="I383" s="1">
        <f>SUM(I69,I87,I169,I188,I260,I308,I331)</f>
        <v>6</v>
      </c>
      <c r="K383" s="1">
        <f>SUM(K69,K87,K169,K188,K260,K308,K331)</f>
        <v>11</v>
      </c>
    </row>
    <row r="384" spans="4:11" x14ac:dyDescent="0.2">
      <c r="D384" s="1" t="e">
        <f>SUM(D23,D78,D168,D233,D273,D292,#REF!,#REF!,#REF!,#REF!,#REF!)</f>
        <v>#REF!</v>
      </c>
      <c r="G384" s="103" t="s">
        <v>508</v>
      </c>
      <c r="H384" s="104" t="s">
        <v>214</v>
      </c>
      <c r="I384" s="1">
        <f>SUM(I61,I77,I127,I183,I227,I247,I279)</f>
        <v>19</v>
      </c>
      <c r="K384" s="1">
        <f>SUM(K61,K77,K127,K183,K227,K247,K279)</f>
        <v>16</v>
      </c>
    </row>
    <row r="385" spans="4:11" x14ac:dyDescent="0.2">
      <c r="D385" s="1" t="e">
        <f>SUM(D17,D33,D48,D57,D81,D88,D310,D321,D327,#REF!,#REF!)</f>
        <v>#REF!</v>
      </c>
      <c r="G385" t="s">
        <v>76</v>
      </c>
      <c r="H385" s="7" t="s">
        <v>24</v>
      </c>
      <c r="I385" s="1">
        <f>SUM(I20,I35,I56,I70,I234,I290,I343)</f>
        <v>11</v>
      </c>
      <c r="K385" s="1">
        <f>SUM(K20,K35,K56,K70,K234,K290,K343)</f>
        <v>14</v>
      </c>
    </row>
    <row r="386" spans="4:11" x14ac:dyDescent="0.2">
      <c r="D386" s="1" t="e">
        <f>SUM(D99,D178,D186,D225,D236,D249,#REF!,#REF!,#REF!,#REF!,#REF!)</f>
        <v>#REF!</v>
      </c>
      <c r="G386" t="s">
        <v>76</v>
      </c>
      <c r="H386" s="7" t="s">
        <v>21</v>
      </c>
      <c r="I386" s="1">
        <f>SUM(I135,I147,I192,I203,I223,I299,I330)</f>
        <v>7</v>
      </c>
      <c r="K386" s="1">
        <f>SUM(K135,K147,K192,K203,K223,K299,K330)</f>
        <v>5</v>
      </c>
    </row>
    <row r="387" spans="4:11" x14ac:dyDescent="0.2">
      <c r="D387" s="1" t="e">
        <f>SUM(D85,D159,D174,D238,D277,D282,#REF!,#REF!,#REF!,#REF!,#REF!)</f>
        <v>#REF!</v>
      </c>
      <c r="G387" t="s">
        <v>76</v>
      </c>
      <c r="H387" s="7" t="s">
        <v>96</v>
      </c>
      <c r="I387" s="1">
        <f>SUM(I17,I59,I125,I181,I262,I277,I305)</f>
        <v>19</v>
      </c>
      <c r="K387" s="1">
        <f>SUM(K17,K59,K125,K181,K262,K277,K305)</f>
        <v>18</v>
      </c>
    </row>
    <row r="388" spans="4:11" x14ac:dyDescent="0.2">
      <c r="D388" s="1" t="e">
        <f>SUM(D68,D92,D117,D142,D150,D181,D322,#REF!,#REF!,#REF!,#REF!)</f>
        <v>#REF!</v>
      </c>
      <c r="G388" s="103" t="s">
        <v>110</v>
      </c>
      <c r="H388" s="104" t="s">
        <v>32</v>
      </c>
      <c r="I388" s="1">
        <f>SUM(I54,I64,I152,I190,I291,I310,I326)</f>
        <v>9</v>
      </c>
      <c r="K388" s="1">
        <f>SUM(K54,K64,K152,K190,K291,K310,K326)</f>
        <v>12</v>
      </c>
    </row>
    <row r="389" spans="4:11" x14ac:dyDescent="0.2">
      <c r="D389" s="1" t="e">
        <f>SUM(D87,D177,D241,D244,D272,D278,#REF!,#REF!,#REF!,#REF!,#REF!)</f>
        <v>#REF!</v>
      </c>
      <c r="G389" s="103" t="s">
        <v>110</v>
      </c>
      <c r="H389" s="104" t="s">
        <v>44</v>
      </c>
      <c r="I389" s="1">
        <f>SUM(I33,I81,I165,I187,I283,I289,I338)</f>
        <v>12</v>
      </c>
      <c r="K389" s="1">
        <f>SUM(K33,K81,K165,K187,K283,K289,K338)</f>
        <v>0</v>
      </c>
    </row>
    <row r="390" spans="4:11" x14ac:dyDescent="0.2">
      <c r="D390" s="1" t="e">
        <f>SUM(D97,D185,D234,D246,D280,D295,#REF!,#REF!,#REF!,#REF!,#REF!)</f>
        <v>#REF!</v>
      </c>
      <c r="G390" s="103" t="s">
        <v>110</v>
      </c>
      <c r="H390" s="104" t="s">
        <v>40</v>
      </c>
      <c r="I390" s="1">
        <f>SUM(I21,I40,I153,I155,I259,I319,I345)</f>
        <v>12</v>
      </c>
      <c r="K390" s="1">
        <f>SUM(K21,K40,K153,K155,K259,K319,K345)</f>
        <v>18</v>
      </c>
    </row>
    <row r="391" spans="4:11" x14ac:dyDescent="0.2">
      <c r="D391" s="1" t="e">
        <f>SUM(D101,D180,D188,#REF!,D276,D287,#REF!,#REF!,#REF!,#REF!,#REF!)</f>
        <v>#REF!</v>
      </c>
      <c r="G391" t="s">
        <v>510</v>
      </c>
      <c r="H391" t="s">
        <v>116</v>
      </c>
      <c r="I391" s="1">
        <f>SUM(I34,I89,I101,I122,I228,I309,I325)</f>
        <v>5</v>
      </c>
      <c r="K391" s="1">
        <f>SUM(K34,K89,K101,K122,K228,K309,K325)</f>
        <v>15</v>
      </c>
    </row>
    <row r="392" spans="4:11" x14ac:dyDescent="0.2">
      <c r="D392" s="1" t="e">
        <f>SUM(D108,D194,D200,D254,D259,D286,#REF!,#REF!,#REF!,#REF!,#REF!)</f>
        <v>#REF!</v>
      </c>
      <c r="G392" t="s">
        <v>510</v>
      </c>
      <c r="H392" s="7" t="s">
        <v>52</v>
      </c>
      <c r="I392" s="1">
        <f>SUM(I19,I39,I129,I200,I221,I285,I349)</f>
        <v>14</v>
      </c>
      <c r="K392" s="1">
        <f>SUM(K19,K39,K129,K200,K221,K285,K349)</f>
        <v>7</v>
      </c>
    </row>
    <row r="393" spans="4:11" x14ac:dyDescent="0.2">
      <c r="D393" s="1" t="e">
        <f>SUM(D20,D36,D53,D61,D100,D128,D323,D330,#REF!,#REF!,#REF!)</f>
        <v>#REF!</v>
      </c>
      <c r="G393" t="s">
        <v>510</v>
      </c>
      <c r="H393" s="7" t="s">
        <v>108</v>
      </c>
      <c r="I393" s="1">
        <f>SUM(I28,I150,I194,I202,I224,I240,I254)</f>
        <v>9</v>
      </c>
      <c r="K393" s="1">
        <f>SUM(K28,K150,K194,K202,K224,K240,K254)</f>
        <v>16</v>
      </c>
    </row>
    <row r="394" spans="4:11" x14ac:dyDescent="0.2">
      <c r="D394" s="1" t="e">
        <f>SUM(D24,D64,D72,D89,D96,D104,D302,D335,D342,#REF!,#REF!)</f>
        <v>#REF!</v>
      </c>
      <c r="G394" s="103" t="s">
        <v>74</v>
      </c>
      <c r="H394" s="104" t="s">
        <v>43</v>
      </c>
      <c r="I394" s="1">
        <f>SUM(I91,I106,I116,I182,I256,I302,I342)</f>
        <v>9</v>
      </c>
      <c r="K394" s="1">
        <f>SUM(K91,K106,K116,K182,K256,K302,K342)</f>
        <v>13</v>
      </c>
    </row>
    <row r="395" spans="4:11" x14ac:dyDescent="0.2">
      <c r="D395" s="1" t="e">
        <f>SUM(D95,D183,D216,D226,D245,D297,#REF!,#REF!,#REF!,#REF!,#REF!)</f>
        <v>#REF!</v>
      </c>
      <c r="G395" s="103" t="s">
        <v>74</v>
      </c>
      <c r="H395" s="104" t="s">
        <v>121</v>
      </c>
      <c r="I395" s="1">
        <f>SUM(I18,I65,I92,I131,I268,I294,I318)</f>
        <v>5</v>
      </c>
      <c r="K395" s="1">
        <f>SUM(K18,K65,K92,K131,K268,K294,K318)</f>
        <v>6</v>
      </c>
    </row>
    <row r="396" spans="4:11" x14ac:dyDescent="0.2">
      <c r="D396" s="1" t="e">
        <f>SUM(D106,D193,D242,D253,D285,D298,#REF!,#REF!,#REF!,#REF!,#REF!)</f>
        <v>#REF!</v>
      </c>
      <c r="G396" s="103" t="s">
        <v>74</v>
      </c>
      <c r="H396" s="104" t="s">
        <v>9</v>
      </c>
      <c r="I396" s="1">
        <f>SUM(I57,I85,I171,I201,I217,I233,I313)</f>
        <v>14</v>
      </c>
      <c r="K396" s="1">
        <f>SUM(K57,K85,K171,K201,K217,K233,K313)</f>
        <v>12</v>
      </c>
    </row>
    <row r="397" spans="4:11" x14ac:dyDescent="0.2">
      <c r="D397" s="1" t="e">
        <f>SUM(D18,D34,D51,D66,D75,D82,D313,D328,D337,#REF!,#REF!)</f>
        <v>#REF!</v>
      </c>
      <c r="G397" s="105" t="s">
        <v>511</v>
      </c>
      <c r="H397" s="106" t="s">
        <v>122</v>
      </c>
      <c r="I397" s="1">
        <f>SUM(I82,I128,I148,I174,I216,I230,I328)</f>
        <v>11</v>
      </c>
      <c r="K397" s="1">
        <f>SUM(K82,K128,K148,K174,K216,K230,K328)</f>
        <v>14</v>
      </c>
    </row>
    <row r="398" spans="4:11" x14ac:dyDescent="0.2">
      <c r="D398" s="1" t="e">
        <f>SUM(D31,D55,D123,D160,D176,D191,D301,D317,#REF!,#REF!,#REF!)</f>
        <v>#REF!</v>
      </c>
      <c r="G398" s="105" t="s">
        <v>511</v>
      </c>
      <c r="H398" s="106" t="s">
        <v>30</v>
      </c>
      <c r="I398" s="1">
        <f>SUM(I52,I80,I108,I136,I208,I244,I276)</f>
        <v>8</v>
      </c>
      <c r="K398" s="1">
        <f>SUM(K52,K80,K108,K136,K208,K244,K276)</f>
        <v>11</v>
      </c>
    </row>
    <row r="399" spans="4:11" x14ac:dyDescent="0.2">
      <c r="D399" s="1" t="e">
        <f>SUM(D52,D143,D215,D258,D269,D283,D338,#REF!,#REF!,#REF!)</f>
        <v>#REF!</v>
      </c>
      <c r="G399" s="105" t="s">
        <v>511</v>
      </c>
      <c r="H399" s="106" t="s">
        <v>34</v>
      </c>
      <c r="I399" s="1">
        <f>SUM(I29,I51,I73,I193,I265,I306,I335)</f>
        <v>10</v>
      </c>
      <c r="K399" s="1">
        <f>SUM(K29,K51,K73,K193,K265,K306,K335)</f>
        <v>9</v>
      </c>
    </row>
    <row r="400" spans="4:11" x14ac:dyDescent="0.2">
      <c r="D400" s="1"/>
      <c r="I400" s="1" t="s">
        <v>4</v>
      </c>
      <c r="K400" s="1" t="s">
        <v>4</v>
      </c>
    </row>
    <row r="401" spans="1:11" x14ac:dyDescent="0.2">
      <c r="A401" s="9" t="s">
        <v>512</v>
      </c>
      <c r="G401" t="s">
        <v>42</v>
      </c>
      <c r="H401" s="7" t="s">
        <v>45</v>
      </c>
      <c r="I401" s="1">
        <f>I360</f>
        <v>15</v>
      </c>
      <c r="K401" s="1">
        <f>K360</f>
        <v>9</v>
      </c>
    </row>
    <row r="402" spans="1:11" x14ac:dyDescent="0.2">
      <c r="G402" t="s">
        <v>42</v>
      </c>
      <c r="H402" s="7" t="s">
        <v>38</v>
      </c>
      <c r="I402" s="1">
        <f>I376</f>
        <v>9</v>
      </c>
      <c r="K402" s="1">
        <f>K376</f>
        <v>13</v>
      </c>
    </row>
    <row r="403" spans="1:11" x14ac:dyDescent="0.2">
      <c r="G403" t="s">
        <v>42</v>
      </c>
      <c r="H403" s="7" t="s">
        <v>513</v>
      </c>
      <c r="I403" s="1">
        <f>I394</f>
        <v>9</v>
      </c>
      <c r="K403" s="1">
        <f>K394</f>
        <v>13</v>
      </c>
    </row>
    <row r="404" spans="1:11" x14ac:dyDescent="0.2">
      <c r="G404" s="103" t="s">
        <v>514</v>
      </c>
      <c r="H404" s="104" t="s">
        <v>20</v>
      </c>
      <c r="I404" s="1">
        <f>I357</f>
        <v>11</v>
      </c>
      <c r="K404" s="1">
        <f>K357</f>
        <v>17</v>
      </c>
    </row>
    <row r="405" spans="1:11" x14ac:dyDescent="0.2">
      <c r="G405" s="103" t="s">
        <v>514</v>
      </c>
      <c r="H405" s="104" t="s">
        <v>17</v>
      </c>
      <c r="I405" s="1">
        <f>I372</f>
        <v>8</v>
      </c>
      <c r="K405" s="1">
        <f>K372</f>
        <v>14</v>
      </c>
    </row>
    <row r="406" spans="1:11" x14ac:dyDescent="0.2">
      <c r="G406" s="103" t="s">
        <v>514</v>
      </c>
      <c r="H406" s="104" t="s">
        <v>48</v>
      </c>
      <c r="I406" s="1">
        <f>I358</f>
        <v>8</v>
      </c>
      <c r="K406" s="1">
        <f>K358</f>
        <v>16</v>
      </c>
    </row>
    <row r="407" spans="1:11" x14ac:dyDescent="0.2">
      <c r="G407" t="s">
        <v>515</v>
      </c>
      <c r="H407" s="7" t="s">
        <v>103</v>
      </c>
      <c r="I407" s="1">
        <f>I380</f>
        <v>13</v>
      </c>
      <c r="K407" s="1">
        <f>K380</f>
        <v>13</v>
      </c>
    </row>
    <row r="408" spans="1:11" x14ac:dyDescent="0.2">
      <c r="G408" t="s">
        <v>515</v>
      </c>
      <c r="H408" s="7" t="s">
        <v>214</v>
      </c>
      <c r="I408" s="1">
        <f>I384</f>
        <v>19</v>
      </c>
      <c r="K408" s="1">
        <f>K384</f>
        <v>16</v>
      </c>
    </row>
    <row r="409" spans="1:11" x14ac:dyDescent="0.2">
      <c r="G409" t="s">
        <v>515</v>
      </c>
      <c r="H409" s="7" t="s">
        <v>107</v>
      </c>
      <c r="I409" s="1">
        <f>I354</f>
        <v>14</v>
      </c>
      <c r="K409" s="1">
        <f>K354</f>
        <v>9</v>
      </c>
    </row>
    <row r="410" spans="1:11" x14ac:dyDescent="0.2">
      <c r="G410" s="103" t="s">
        <v>516</v>
      </c>
      <c r="H410" s="104" t="s">
        <v>24</v>
      </c>
      <c r="I410" s="1">
        <f>I385</f>
        <v>11</v>
      </c>
      <c r="K410" s="1">
        <f>K385</f>
        <v>14</v>
      </c>
    </row>
    <row r="411" spans="1:11" x14ac:dyDescent="0.2">
      <c r="G411" s="103" t="s">
        <v>516</v>
      </c>
      <c r="H411" s="104" t="s">
        <v>509</v>
      </c>
      <c r="I411" s="1">
        <f>I382</f>
        <v>17</v>
      </c>
      <c r="K411" s="1">
        <f>K382</f>
        <v>9</v>
      </c>
    </row>
    <row r="412" spans="1:11" x14ac:dyDescent="0.2">
      <c r="G412" s="103" t="s">
        <v>516</v>
      </c>
      <c r="H412" s="104" t="s">
        <v>6</v>
      </c>
      <c r="I412" s="1">
        <f>I352</f>
        <v>16</v>
      </c>
      <c r="K412" s="1">
        <f>K352</f>
        <v>19</v>
      </c>
    </row>
    <row r="413" spans="1:11" x14ac:dyDescent="0.2">
      <c r="G413" t="s">
        <v>517</v>
      </c>
      <c r="H413" s="7" t="s">
        <v>196</v>
      </c>
      <c r="I413" s="1">
        <f>I366</f>
        <v>11</v>
      </c>
      <c r="K413" s="1">
        <f>K366</f>
        <v>7</v>
      </c>
    </row>
    <row r="414" spans="1:11" x14ac:dyDescent="0.2">
      <c r="G414" t="s">
        <v>517</v>
      </c>
      <c r="H414" s="7" t="s">
        <v>10</v>
      </c>
      <c r="I414" s="1">
        <f>I353</f>
        <v>18</v>
      </c>
      <c r="K414" s="1">
        <f>K353</f>
        <v>0</v>
      </c>
    </row>
    <row r="415" spans="1:11" x14ac:dyDescent="0.2">
      <c r="G415" t="s">
        <v>517</v>
      </c>
      <c r="H415" s="7" t="s">
        <v>87</v>
      </c>
      <c r="I415" s="1">
        <f>I379</f>
        <v>20</v>
      </c>
      <c r="K415" s="1">
        <f>K379</f>
        <v>18</v>
      </c>
    </row>
    <row r="416" spans="1:11" x14ac:dyDescent="0.2">
      <c r="G416" s="103" t="s">
        <v>518</v>
      </c>
      <c r="H416" s="104" t="s">
        <v>13</v>
      </c>
      <c r="I416" s="1">
        <f>I367</f>
        <v>15</v>
      </c>
      <c r="K416" s="1">
        <f>K367</f>
        <v>16</v>
      </c>
    </row>
    <row r="417" spans="7:11" x14ac:dyDescent="0.2">
      <c r="G417" s="103" t="s">
        <v>518</v>
      </c>
      <c r="H417" s="104" t="s">
        <v>95</v>
      </c>
      <c r="I417" s="1">
        <f>I374</f>
        <v>11</v>
      </c>
      <c r="K417" s="1">
        <f>K374</f>
        <v>5</v>
      </c>
    </row>
    <row r="418" spans="7:11" x14ac:dyDescent="0.2">
      <c r="G418" s="103" t="s">
        <v>518</v>
      </c>
      <c r="H418" s="104" t="s">
        <v>96</v>
      </c>
      <c r="I418" s="1">
        <f>I387</f>
        <v>19</v>
      </c>
      <c r="K418" s="1">
        <f>K387</f>
        <v>18</v>
      </c>
    </row>
    <row r="419" spans="7:11" x14ac:dyDescent="0.2">
      <c r="G419" t="s">
        <v>519</v>
      </c>
      <c r="H419" s="7" t="s">
        <v>34</v>
      </c>
      <c r="I419" s="1">
        <f>I399</f>
        <v>10</v>
      </c>
      <c r="K419" s="1">
        <f>K399</f>
        <v>9</v>
      </c>
    </row>
    <row r="420" spans="7:11" x14ac:dyDescent="0.2">
      <c r="G420" t="s">
        <v>519</v>
      </c>
      <c r="H420" s="7" t="s">
        <v>21</v>
      </c>
      <c r="I420" s="1">
        <f>I386</f>
        <v>7</v>
      </c>
      <c r="K420" s="1">
        <f>K386</f>
        <v>5</v>
      </c>
    </row>
    <row r="421" spans="7:11" x14ac:dyDescent="0.2">
      <c r="G421" t="s">
        <v>519</v>
      </c>
      <c r="H421" s="7" t="s">
        <v>223</v>
      </c>
      <c r="I421" s="1">
        <f>I383</f>
        <v>6</v>
      </c>
      <c r="K421" s="1">
        <f>K383</f>
        <v>11</v>
      </c>
    </row>
    <row r="422" spans="7:11" x14ac:dyDescent="0.2">
      <c r="G422" s="103" t="s">
        <v>79</v>
      </c>
      <c r="H422" s="104" t="s">
        <v>32</v>
      </c>
      <c r="I422" s="1">
        <f>I388</f>
        <v>9</v>
      </c>
      <c r="K422" s="1">
        <f>K388</f>
        <v>12</v>
      </c>
    </row>
    <row r="423" spans="7:11" x14ac:dyDescent="0.2">
      <c r="G423" s="103" t="s">
        <v>79</v>
      </c>
      <c r="H423" s="104" t="s">
        <v>15</v>
      </c>
      <c r="I423" s="1">
        <f>I355</f>
        <v>9</v>
      </c>
      <c r="K423" s="1">
        <f>K355</f>
        <v>17</v>
      </c>
    </row>
    <row r="424" spans="7:11" x14ac:dyDescent="0.2">
      <c r="G424" s="103" t="s">
        <v>79</v>
      </c>
      <c r="H424" s="104" t="s">
        <v>51</v>
      </c>
      <c r="I424" s="1">
        <f>I359</f>
        <v>11</v>
      </c>
      <c r="K424" s="1">
        <f>K359</f>
        <v>8</v>
      </c>
    </row>
    <row r="425" spans="7:11" x14ac:dyDescent="0.2">
      <c r="G425" t="s">
        <v>520</v>
      </c>
      <c r="H425" s="7" t="s">
        <v>102</v>
      </c>
      <c r="I425" s="1">
        <f>I375</f>
        <v>15</v>
      </c>
      <c r="K425" s="1">
        <f>K375</f>
        <v>4</v>
      </c>
    </row>
    <row r="426" spans="7:11" x14ac:dyDescent="0.2">
      <c r="G426" t="s">
        <v>520</v>
      </c>
      <c r="H426" s="7" t="s">
        <v>108</v>
      </c>
      <c r="I426" s="1">
        <f>I393</f>
        <v>9</v>
      </c>
      <c r="K426" s="1">
        <f>K393</f>
        <v>16</v>
      </c>
    </row>
    <row r="427" spans="7:11" x14ac:dyDescent="0.2">
      <c r="G427" t="s">
        <v>520</v>
      </c>
      <c r="H427" s="7" t="s">
        <v>23</v>
      </c>
      <c r="I427" s="1">
        <f>I381</f>
        <v>3</v>
      </c>
      <c r="K427" s="1">
        <f>K381</f>
        <v>4</v>
      </c>
    </row>
    <row r="428" spans="7:11" x14ac:dyDescent="0.2">
      <c r="G428" s="103" t="s">
        <v>88</v>
      </c>
      <c r="H428" s="104" t="s">
        <v>521</v>
      </c>
      <c r="I428" s="1">
        <f>I389</f>
        <v>12</v>
      </c>
      <c r="K428" s="1">
        <f>K389</f>
        <v>0</v>
      </c>
    </row>
    <row r="429" spans="7:11" x14ac:dyDescent="0.2">
      <c r="G429" s="103" t="s">
        <v>88</v>
      </c>
      <c r="H429" s="104" t="s">
        <v>17</v>
      </c>
      <c r="I429" s="1">
        <f>I372</f>
        <v>8</v>
      </c>
      <c r="K429" s="1">
        <f>K372</f>
        <v>14</v>
      </c>
    </row>
    <row r="430" spans="7:11" x14ac:dyDescent="0.2">
      <c r="G430" s="103" t="s">
        <v>88</v>
      </c>
      <c r="H430" s="104" t="s">
        <v>38</v>
      </c>
      <c r="I430" s="1">
        <f>I376</f>
        <v>9</v>
      </c>
      <c r="K430" s="1">
        <f>K376</f>
        <v>13</v>
      </c>
    </row>
    <row r="431" spans="7:11" x14ac:dyDescent="0.2">
      <c r="G431" t="s">
        <v>94</v>
      </c>
      <c r="H431" s="7" t="s">
        <v>45</v>
      </c>
      <c r="I431" s="1">
        <f>I360</f>
        <v>15</v>
      </c>
      <c r="K431" s="1">
        <f>K360</f>
        <v>9</v>
      </c>
    </row>
    <row r="432" spans="7:11" x14ac:dyDescent="0.2">
      <c r="G432" t="s">
        <v>94</v>
      </c>
      <c r="H432" s="7" t="s">
        <v>24</v>
      </c>
      <c r="I432" s="1">
        <f>I385</f>
        <v>11</v>
      </c>
      <c r="K432" s="1">
        <f>K385</f>
        <v>14</v>
      </c>
    </row>
    <row r="433" spans="7:11" x14ac:dyDescent="0.2">
      <c r="G433" t="s">
        <v>94</v>
      </c>
      <c r="H433" s="7" t="s">
        <v>223</v>
      </c>
      <c r="I433" s="1">
        <f>I383</f>
        <v>6</v>
      </c>
      <c r="K433" s="1">
        <f>K383</f>
        <v>11</v>
      </c>
    </row>
    <row r="434" spans="7:11" x14ac:dyDescent="0.2">
      <c r="G434" s="107" t="s">
        <v>83</v>
      </c>
      <c r="H434" s="108" t="s">
        <v>36</v>
      </c>
      <c r="I434" s="109">
        <f>I365</f>
        <v>17</v>
      </c>
      <c r="K434" s="109">
        <f>K365</f>
        <v>16</v>
      </c>
    </row>
    <row r="435" spans="7:11" x14ac:dyDescent="0.2">
      <c r="G435" s="107" t="s">
        <v>83</v>
      </c>
      <c r="H435" s="108" t="s">
        <v>31</v>
      </c>
      <c r="I435" s="109">
        <f>I362</f>
        <v>12</v>
      </c>
      <c r="K435" s="109">
        <f>K362</f>
        <v>5</v>
      </c>
    </row>
    <row r="436" spans="7:11" x14ac:dyDescent="0.2">
      <c r="G436" s="107" t="s">
        <v>83</v>
      </c>
      <c r="H436" s="108" t="s">
        <v>122</v>
      </c>
      <c r="I436" s="109">
        <f>I397</f>
        <v>11</v>
      </c>
      <c r="K436" s="109">
        <f>K397</f>
        <v>14</v>
      </c>
    </row>
    <row r="437" spans="7:11" x14ac:dyDescent="0.2">
      <c r="G437" t="s">
        <v>97</v>
      </c>
      <c r="H437" s="7" t="s">
        <v>522</v>
      </c>
      <c r="I437" s="1">
        <f>I356</f>
        <v>20</v>
      </c>
      <c r="K437" s="1">
        <f>K356</f>
        <v>7</v>
      </c>
    </row>
    <row r="438" spans="7:11" x14ac:dyDescent="0.2">
      <c r="G438" t="s">
        <v>97</v>
      </c>
      <c r="H438" s="7" t="s">
        <v>11</v>
      </c>
      <c r="I438" s="1">
        <f>I368</f>
        <v>16</v>
      </c>
      <c r="K438" s="1">
        <f>K368</f>
        <v>13</v>
      </c>
    </row>
    <row r="439" spans="7:11" x14ac:dyDescent="0.2">
      <c r="G439" t="s">
        <v>97</v>
      </c>
      <c r="H439" s="7" t="s">
        <v>98</v>
      </c>
      <c r="I439" s="1">
        <f>I373</f>
        <v>7</v>
      </c>
      <c r="K439" s="1">
        <f>K373</f>
        <v>8</v>
      </c>
    </row>
    <row r="440" spans="7:11" x14ac:dyDescent="0.2">
      <c r="G440" t="s">
        <v>109</v>
      </c>
      <c r="H440" s="7" t="s">
        <v>108</v>
      </c>
      <c r="I440" s="1">
        <f>I393</f>
        <v>9</v>
      </c>
      <c r="K440" s="1">
        <f>K393</f>
        <v>16</v>
      </c>
    </row>
    <row r="441" spans="7:11" x14ac:dyDescent="0.2">
      <c r="G441" t="s">
        <v>109</v>
      </c>
      <c r="H441" s="7" t="s">
        <v>509</v>
      </c>
      <c r="I441" s="1">
        <f>I382</f>
        <v>17</v>
      </c>
      <c r="K441" s="1">
        <f>K382</f>
        <v>9</v>
      </c>
    </row>
    <row r="442" spans="7:11" x14ac:dyDescent="0.2">
      <c r="G442" t="s">
        <v>109</v>
      </c>
      <c r="H442" s="7" t="s">
        <v>107</v>
      </c>
      <c r="I442" s="1">
        <f>I354</f>
        <v>14</v>
      </c>
      <c r="K442" s="1">
        <f>K354</f>
        <v>9</v>
      </c>
    </row>
    <row r="443" spans="7:11" x14ac:dyDescent="0.2">
      <c r="G443" s="103" t="s">
        <v>523</v>
      </c>
      <c r="H443" s="104" t="s">
        <v>9</v>
      </c>
      <c r="I443" s="1">
        <f>I396</f>
        <v>14</v>
      </c>
      <c r="K443" s="1">
        <f>K396</f>
        <v>12</v>
      </c>
    </row>
    <row r="444" spans="7:11" x14ac:dyDescent="0.2">
      <c r="G444" s="103" t="s">
        <v>523</v>
      </c>
      <c r="H444" s="104" t="s">
        <v>11</v>
      </c>
      <c r="I444" s="1">
        <f>I368</f>
        <v>16</v>
      </c>
      <c r="K444" s="1">
        <f>K368</f>
        <v>13</v>
      </c>
    </row>
    <row r="445" spans="7:11" x14ac:dyDescent="0.2">
      <c r="G445" s="103" t="s">
        <v>523</v>
      </c>
      <c r="H445" s="104" t="s">
        <v>13</v>
      </c>
      <c r="I445" s="1">
        <f>I367</f>
        <v>15</v>
      </c>
      <c r="K445" s="1">
        <f>K367</f>
        <v>16</v>
      </c>
    </row>
    <row r="446" spans="7:11" x14ac:dyDescent="0.2">
      <c r="G446" s="103" t="s">
        <v>523</v>
      </c>
      <c r="H446" s="104" t="s">
        <v>17</v>
      </c>
      <c r="I446" s="1">
        <f>I372</f>
        <v>8</v>
      </c>
      <c r="K446" s="1">
        <f>K372</f>
        <v>14</v>
      </c>
    </row>
    <row r="447" spans="7:11" x14ac:dyDescent="0.2">
      <c r="G447" t="s">
        <v>524</v>
      </c>
      <c r="H447" s="7" t="s">
        <v>10</v>
      </c>
      <c r="I447" s="1">
        <f>I353</f>
        <v>18</v>
      </c>
      <c r="K447" s="1">
        <f>K353</f>
        <v>0</v>
      </c>
    </row>
    <row r="448" spans="7:11" x14ac:dyDescent="0.2">
      <c r="G448" t="s">
        <v>524</v>
      </c>
      <c r="H448" s="7" t="s">
        <v>21</v>
      </c>
      <c r="I448" s="1">
        <f>I386</f>
        <v>7</v>
      </c>
      <c r="K448" s="1">
        <f>K386</f>
        <v>5</v>
      </c>
    </row>
    <row r="449" spans="7:11" x14ac:dyDescent="0.2">
      <c r="G449" t="s">
        <v>524</v>
      </c>
      <c r="H449" s="7" t="s">
        <v>23</v>
      </c>
      <c r="I449" s="1">
        <f>I381</f>
        <v>3</v>
      </c>
      <c r="K449" s="1">
        <f>K381</f>
        <v>4</v>
      </c>
    </row>
    <row r="450" spans="7:11" x14ac:dyDescent="0.2">
      <c r="G450" t="s">
        <v>524</v>
      </c>
      <c r="H450" s="7" t="s">
        <v>25</v>
      </c>
      <c r="I450" s="1">
        <f>I377</f>
        <v>18</v>
      </c>
      <c r="K450" s="1">
        <f>K377</f>
        <v>18</v>
      </c>
    </row>
    <row r="451" spans="7:11" x14ac:dyDescent="0.2">
      <c r="G451" s="103" t="s">
        <v>27</v>
      </c>
      <c r="H451" s="104" t="s">
        <v>9</v>
      </c>
      <c r="I451" s="1">
        <f>I396</f>
        <v>14</v>
      </c>
      <c r="K451" s="1">
        <f>K396</f>
        <v>12</v>
      </c>
    </row>
    <row r="452" spans="7:11" x14ac:dyDescent="0.2">
      <c r="G452" s="103" t="s">
        <v>27</v>
      </c>
      <c r="H452" s="104" t="s">
        <v>30</v>
      </c>
      <c r="I452" s="1">
        <f>I398</f>
        <v>8</v>
      </c>
      <c r="K452" s="1">
        <f>K398</f>
        <v>11</v>
      </c>
    </row>
    <row r="453" spans="7:11" x14ac:dyDescent="0.2">
      <c r="G453" s="103" t="s">
        <v>27</v>
      </c>
      <c r="H453" s="104" t="s">
        <v>32</v>
      </c>
      <c r="I453" s="1">
        <f>I388</f>
        <v>9</v>
      </c>
      <c r="K453" s="1">
        <f>K388</f>
        <v>12</v>
      </c>
    </row>
    <row r="454" spans="7:11" x14ac:dyDescent="0.2">
      <c r="G454" s="103" t="s">
        <v>27</v>
      </c>
      <c r="H454" s="104" t="s">
        <v>34</v>
      </c>
      <c r="I454" s="1">
        <f>I399</f>
        <v>10</v>
      </c>
      <c r="K454" s="1">
        <f>K399</f>
        <v>9</v>
      </c>
    </row>
    <row r="455" spans="7:11" x14ac:dyDescent="0.2">
      <c r="G455" t="s">
        <v>82</v>
      </c>
      <c r="H455" s="7" t="s">
        <v>38</v>
      </c>
      <c r="I455" s="1">
        <f>I376</f>
        <v>9</v>
      </c>
      <c r="K455" s="1">
        <f>K376</f>
        <v>13</v>
      </c>
    </row>
    <row r="456" spans="7:11" x14ac:dyDescent="0.2">
      <c r="G456" t="s">
        <v>82</v>
      </c>
      <c r="H456" s="7" t="s">
        <v>40</v>
      </c>
      <c r="I456" s="1">
        <f>I390</f>
        <v>12</v>
      </c>
      <c r="K456" s="1">
        <f>K390</f>
        <v>18</v>
      </c>
    </row>
    <row r="457" spans="7:11" x14ac:dyDescent="0.2">
      <c r="G457" t="s">
        <v>82</v>
      </c>
      <c r="H457" s="7" t="s">
        <v>17</v>
      </c>
      <c r="I457" s="1">
        <f>I372</f>
        <v>8</v>
      </c>
      <c r="K457" s="1">
        <f>K372</f>
        <v>14</v>
      </c>
    </row>
    <row r="458" spans="7:11" x14ac:dyDescent="0.2">
      <c r="G458" t="s">
        <v>82</v>
      </c>
      <c r="H458" s="7" t="s">
        <v>44</v>
      </c>
      <c r="I458" s="1">
        <f>I389</f>
        <v>12</v>
      </c>
      <c r="K458" s="1">
        <f>K389</f>
        <v>0</v>
      </c>
    </row>
    <row r="459" spans="7:11" x14ac:dyDescent="0.2">
      <c r="G459" s="103" t="s">
        <v>46</v>
      </c>
      <c r="H459" s="104" t="s">
        <v>49</v>
      </c>
      <c r="I459" s="1">
        <f>I391</f>
        <v>5</v>
      </c>
      <c r="K459" s="1">
        <f>K391</f>
        <v>15</v>
      </c>
    </row>
    <row r="460" spans="7:11" x14ac:dyDescent="0.2">
      <c r="G460" s="103" t="s">
        <v>46</v>
      </c>
      <c r="H460" s="104" t="s">
        <v>52</v>
      </c>
      <c r="I460" s="1">
        <f>I392</f>
        <v>14</v>
      </c>
      <c r="K460" s="1">
        <f>K392</f>
        <v>7</v>
      </c>
    </row>
    <row r="461" spans="7:11" x14ac:dyDescent="0.2">
      <c r="H461" s="7"/>
      <c r="I461" s="110" t="s">
        <v>4</v>
      </c>
      <c r="K461" s="110" t="s">
        <v>4</v>
      </c>
    </row>
    <row r="462" spans="7:11" x14ac:dyDescent="0.2">
      <c r="G462" s="111" t="s">
        <v>27</v>
      </c>
      <c r="H462" s="112" t="s">
        <v>27</v>
      </c>
      <c r="I462" s="110">
        <f>SUM(I451,I452,I453,I454)/4</f>
        <v>10.25</v>
      </c>
      <c r="K462" s="110">
        <f>SUM(K451,K452,K453,K454)/4</f>
        <v>11</v>
      </c>
    </row>
    <row r="463" spans="7:11" x14ac:dyDescent="0.2">
      <c r="G463" s="111" t="s">
        <v>523</v>
      </c>
      <c r="H463" s="112" t="s">
        <v>523</v>
      </c>
      <c r="I463" s="110">
        <f>SUM(I443,I444,I445,I446)/4</f>
        <v>13.25</v>
      </c>
      <c r="K463" s="110">
        <f>SUM(K443,K444,K445,K446)/4</f>
        <v>13.75</v>
      </c>
    </row>
    <row r="464" spans="7:11" x14ac:dyDescent="0.2">
      <c r="G464" s="111" t="s">
        <v>19</v>
      </c>
      <c r="H464" s="112" t="s">
        <v>19</v>
      </c>
      <c r="I464" s="110">
        <f>SUM(I447,I448,I449,I450)/4</f>
        <v>11.5</v>
      </c>
      <c r="K464" s="110">
        <f>SUM(K447,K448,K449,K450)/4</f>
        <v>6.75</v>
      </c>
    </row>
    <row r="465" spans="1:11" x14ac:dyDescent="0.2">
      <c r="G465" s="111" t="s">
        <v>82</v>
      </c>
      <c r="H465" s="112" t="s">
        <v>82</v>
      </c>
      <c r="I465" s="110">
        <f>SUM(I363,I353,I375)/3</f>
        <v>13.666666666666666</v>
      </c>
      <c r="K465" s="110">
        <f>SUM(K363,K353,K375)/3</f>
        <v>5</v>
      </c>
    </row>
    <row r="466" spans="1:11" x14ac:dyDescent="0.2">
      <c r="I466" s="1" t="s">
        <v>4</v>
      </c>
      <c r="K466" s="1" t="s">
        <v>4</v>
      </c>
    </row>
    <row r="467" spans="1:11" x14ac:dyDescent="0.2">
      <c r="A467" s="9" t="s">
        <v>525</v>
      </c>
      <c r="E467" t="s">
        <v>124</v>
      </c>
      <c r="G467" s="19"/>
      <c r="H467" s="113" t="s">
        <v>5</v>
      </c>
      <c r="I467" s="110">
        <f>AVERAGE(I352:I354)</f>
        <v>16</v>
      </c>
      <c r="K467" s="110">
        <f>AVERAGE(K352:K354)</f>
        <v>9.3333333333333339</v>
      </c>
    </row>
    <row r="468" spans="1:11" x14ac:dyDescent="0.2">
      <c r="E468" t="s">
        <v>129</v>
      </c>
      <c r="G468" s="19"/>
      <c r="H468" s="114" t="s">
        <v>14</v>
      </c>
      <c r="I468" s="110">
        <f>AVERAGE(I355:I357)</f>
        <v>13.333333333333334</v>
      </c>
      <c r="K468" s="110">
        <f>AVERAGE(K355:K357)</f>
        <v>13.666666666666666</v>
      </c>
    </row>
    <row r="469" spans="1:11" x14ac:dyDescent="0.2">
      <c r="G469" s="19"/>
      <c r="H469" s="113" t="s">
        <v>526</v>
      </c>
      <c r="I469" s="110">
        <f>AVERAGE(I358:I360)</f>
        <v>11.333333333333334</v>
      </c>
      <c r="K469" s="110">
        <f>AVERAGE(K358:K360)</f>
        <v>11</v>
      </c>
    </row>
    <row r="470" spans="1:11" x14ac:dyDescent="0.2">
      <c r="G470" s="19"/>
      <c r="H470" s="113" t="s">
        <v>28</v>
      </c>
      <c r="I470" s="110">
        <f t="shared" ref="I470:K470" si="0">AVERAGE(I361:I363)</f>
        <v>9.6666666666666661</v>
      </c>
      <c r="K470" s="110">
        <f t="shared" si="0"/>
        <v>13</v>
      </c>
    </row>
    <row r="471" spans="1:11" x14ac:dyDescent="0.2">
      <c r="G471" s="19"/>
      <c r="H471" s="113" t="s">
        <v>35</v>
      </c>
      <c r="I471" s="110">
        <f t="shared" ref="I471:K471" si="1">AVERAGE(I364:I366)</f>
        <v>13.333333333333334</v>
      </c>
      <c r="K471" s="110">
        <f t="shared" si="1"/>
        <v>12.666666666666666</v>
      </c>
    </row>
    <row r="472" spans="1:11" x14ac:dyDescent="0.2">
      <c r="G472" s="19"/>
      <c r="H472" s="113" t="s">
        <v>56</v>
      </c>
      <c r="I472" s="110">
        <f>AVERAGE(I367:I369)</f>
        <v>12.666666666666666</v>
      </c>
      <c r="K472" s="110">
        <f>AVERAGE(K367:K369)</f>
        <v>10.666666666666666</v>
      </c>
    </row>
    <row r="473" spans="1:11" x14ac:dyDescent="0.2">
      <c r="G473" s="19"/>
      <c r="H473" s="19" t="s">
        <v>66</v>
      </c>
      <c r="I473" s="110">
        <f t="shared" ref="I473:K473" si="2">AVERAGE(I370:I372)</f>
        <v>10</v>
      </c>
      <c r="K473" s="110">
        <f t="shared" si="2"/>
        <v>11</v>
      </c>
    </row>
    <row r="474" spans="1:11" x14ac:dyDescent="0.2">
      <c r="G474" s="19"/>
      <c r="H474" s="113" t="s">
        <v>91</v>
      </c>
      <c r="I474" s="110">
        <f t="shared" ref="I474:K474" si="3">AVERAGE(I373:I375)</f>
        <v>11</v>
      </c>
      <c r="K474" s="110">
        <f t="shared" si="3"/>
        <v>5.666666666666667</v>
      </c>
    </row>
    <row r="475" spans="1:11" x14ac:dyDescent="0.2">
      <c r="G475" s="113"/>
      <c r="H475" s="113" t="s">
        <v>73</v>
      </c>
      <c r="I475" s="110">
        <f t="shared" ref="I475:K475" si="4">AVERAGE(I376:I378)</f>
        <v>15</v>
      </c>
      <c r="K475" s="110">
        <f t="shared" si="4"/>
        <v>14.666666666666666</v>
      </c>
    </row>
    <row r="476" spans="1:11" x14ac:dyDescent="0.2">
      <c r="G476" s="19"/>
      <c r="H476" s="113" t="s">
        <v>92</v>
      </c>
      <c r="I476" s="110">
        <f t="shared" ref="I476:K476" si="5">AVERAGE(I379:I381)</f>
        <v>12</v>
      </c>
      <c r="K476" s="110">
        <f t="shared" si="5"/>
        <v>11.666666666666666</v>
      </c>
    </row>
    <row r="477" spans="1:11" x14ac:dyDescent="0.2">
      <c r="G477" s="19"/>
      <c r="H477" s="113" t="s">
        <v>508</v>
      </c>
      <c r="I477" s="110">
        <f t="shared" ref="I477:K477" si="6">AVERAGE(I382:I384)</f>
        <v>14</v>
      </c>
      <c r="K477" s="110">
        <f t="shared" si="6"/>
        <v>12</v>
      </c>
    </row>
    <row r="478" spans="1:11" x14ac:dyDescent="0.2">
      <c r="G478" s="19"/>
      <c r="H478" s="113" t="s">
        <v>76</v>
      </c>
      <c r="I478" s="110">
        <f t="shared" ref="I478:K478" si="7">AVERAGE(I385:I387)</f>
        <v>12.333333333333334</v>
      </c>
      <c r="K478" s="110">
        <f t="shared" si="7"/>
        <v>12.333333333333334</v>
      </c>
    </row>
    <row r="479" spans="1:11" x14ac:dyDescent="0.2">
      <c r="G479" s="19"/>
      <c r="H479" s="113" t="s">
        <v>110</v>
      </c>
      <c r="I479" s="110">
        <f t="shared" ref="I479:K479" si="8">AVERAGE(I388:I390)</f>
        <v>11</v>
      </c>
      <c r="K479" s="110">
        <f t="shared" si="8"/>
        <v>10</v>
      </c>
    </row>
    <row r="480" spans="1:11" x14ac:dyDescent="0.2">
      <c r="G480" s="19"/>
      <c r="H480" s="113" t="s">
        <v>510</v>
      </c>
      <c r="I480" s="110">
        <f t="shared" ref="I480:K480" si="9">AVERAGE(I391:I393)</f>
        <v>9.3333333333333339</v>
      </c>
      <c r="K480" s="110">
        <f t="shared" si="9"/>
        <v>12.666666666666666</v>
      </c>
    </row>
    <row r="481" spans="7:12" x14ac:dyDescent="0.2">
      <c r="G481" s="19"/>
      <c r="H481" s="113" t="s">
        <v>74</v>
      </c>
      <c r="I481" s="110">
        <f>AVERAGE(I394:I396)</f>
        <v>9.3333333333333339</v>
      </c>
      <c r="K481" s="110">
        <f>AVERAGE(K394:K396)</f>
        <v>10.333333333333334</v>
      </c>
    </row>
    <row r="482" spans="7:12" x14ac:dyDescent="0.2">
      <c r="G482" s="19"/>
      <c r="H482" s="113" t="s">
        <v>511</v>
      </c>
      <c r="I482" s="110">
        <f>AVERAGE(I397:I399)</f>
        <v>9.6666666666666661</v>
      </c>
      <c r="K482" s="110">
        <f>AVERAGE(K397:K399)</f>
        <v>11.333333333333334</v>
      </c>
    </row>
    <row r="483" spans="7:12" x14ac:dyDescent="0.2">
      <c r="G483" s="19"/>
      <c r="H483" s="113"/>
      <c r="I483" s="110" t="s">
        <v>4</v>
      </c>
      <c r="K483" s="110" t="s">
        <v>4</v>
      </c>
    </row>
    <row r="484" spans="7:12" x14ac:dyDescent="0.2">
      <c r="G484" s="113"/>
      <c r="H484" s="113" t="s">
        <v>42</v>
      </c>
      <c r="I484" s="110">
        <f>AVERAGE(I401:I403)</f>
        <v>11</v>
      </c>
      <c r="K484" s="110">
        <f>AVERAGE(K401:K403)</f>
        <v>11.666666666666666</v>
      </c>
    </row>
    <row r="485" spans="7:12" x14ac:dyDescent="0.2">
      <c r="G485" s="113"/>
      <c r="H485" s="113" t="s">
        <v>84</v>
      </c>
      <c r="I485" s="110">
        <f>AVERAGE(I404:I406)</f>
        <v>9</v>
      </c>
      <c r="K485" s="110">
        <f>AVERAGE(K404:K406)</f>
        <v>15.666666666666666</v>
      </c>
    </row>
    <row r="486" spans="7:12" x14ac:dyDescent="0.2">
      <c r="G486" s="19"/>
      <c r="H486" s="113" t="s">
        <v>515</v>
      </c>
      <c r="I486" s="110">
        <f>AVERAGE(I407:I409)</f>
        <v>15.333333333333334</v>
      </c>
      <c r="K486" s="110">
        <f>AVERAGE(K407:K409)</f>
        <v>12.666666666666666</v>
      </c>
    </row>
    <row r="487" spans="7:12" x14ac:dyDescent="0.2">
      <c r="G487" s="19"/>
      <c r="H487" s="113" t="s">
        <v>22</v>
      </c>
      <c r="I487" s="110">
        <f>AVERAGE(I410:I412)</f>
        <v>14.666666666666666</v>
      </c>
      <c r="K487" s="110">
        <f>AVERAGE(K410:K412)</f>
        <v>14</v>
      </c>
    </row>
    <row r="488" spans="7:12" x14ac:dyDescent="0.2">
      <c r="G488" s="19"/>
      <c r="H488" s="113" t="s">
        <v>86</v>
      </c>
      <c r="I488" s="110">
        <f>AVERAGE(I413:I415)</f>
        <v>16.333333333333332</v>
      </c>
      <c r="K488" s="110">
        <f>AVERAGE(K413:K415)</f>
        <v>8.3333333333333339</v>
      </c>
    </row>
    <row r="489" spans="7:12" x14ac:dyDescent="0.2">
      <c r="G489" s="19"/>
      <c r="H489" s="113" t="s">
        <v>89</v>
      </c>
      <c r="I489" s="110">
        <f t="shared" ref="I489:K489" si="10">AVERAGE(I416:I418)</f>
        <v>15</v>
      </c>
      <c r="K489" s="110">
        <f t="shared" si="10"/>
        <v>13</v>
      </c>
    </row>
    <row r="490" spans="7:12" x14ac:dyDescent="0.2">
      <c r="G490" s="19"/>
      <c r="H490" s="113" t="s">
        <v>78</v>
      </c>
      <c r="I490" s="110">
        <f t="shared" ref="I490:K490" si="11">AVERAGE(I419:I421)</f>
        <v>7.666666666666667</v>
      </c>
      <c r="K490" s="110">
        <f t="shared" si="11"/>
        <v>8.3333333333333339</v>
      </c>
    </row>
    <row r="491" spans="7:12" x14ac:dyDescent="0.2">
      <c r="G491" s="113"/>
      <c r="H491" s="113" t="s">
        <v>79</v>
      </c>
      <c r="I491" s="110">
        <f>AVERAGE(I422:I424)</f>
        <v>9.6666666666666661</v>
      </c>
      <c r="K491" s="110">
        <f>AVERAGE(K422:K424)</f>
        <v>12.333333333333334</v>
      </c>
    </row>
    <row r="492" spans="7:12" x14ac:dyDescent="0.2">
      <c r="G492" s="113"/>
      <c r="H492" s="113" t="s">
        <v>101</v>
      </c>
      <c r="I492" s="110">
        <f t="shared" ref="I492:K492" si="12">AVERAGE(I425:I427)</f>
        <v>9</v>
      </c>
      <c r="J492" s="110"/>
      <c r="K492" s="110">
        <f t="shared" si="12"/>
        <v>8</v>
      </c>
      <c r="L492" s="110"/>
    </row>
    <row r="493" spans="7:12" x14ac:dyDescent="0.2">
      <c r="G493" s="113"/>
      <c r="H493" s="113" t="s">
        <v>88</v>
      </c>
      <c r="I493" s="110">
        <f>AVERAGE(I428:I430)</f>
        <v>9.6666666666666661</v>
      </c>
      <c r="K493" s="110">
        <f>AVERAGE(K428:K430)</f>
        <v>9</v>
      </c>
    </row>
    <row r="494" spans="7:12" x14ac:dyDescent="0.2">
      <c r="G494" s="19"/>
      <c r="H494" s="113" t="s">
        <v>94</v>
      </c>
      <c r="I494" s="110">
        <f t="shared" ref="I494:K494" si="13">AVERAGE(I431:I433)</f>
        <v>10.666666666666666</v>
      </c>
      <c r="K494" s="110">
        <f t="shared" si="13"/>
        <v>11.333333333333334</v>
      </c>
    </row>
    <row r="495" spans="7:12" x14ac:dyDescent="0.2">
      <c r="G495" s="19"/>
      <c r="H495" s="113" t="s">
        <v>83</v>
      </c>
      <c r="I495" s="110">
        <f t="shared" ref="I495:K495" si="14">AVERAGE(I434:I436)</f>
        <v>13.333333333333334</v>
      </c>
      <c r="K495" s="110">
        <f t="shared" si="14"/>
        <v>11.666666666666666</v>
      </c>
    </row>
    <row r="496" spans="7:12" x14ac:dyDescent="0.2">
      <c r="H496" s="7" t="s">
        <v>97</v>
      </c>
      <c r="I496" s="110">
        <f t="shared" ref="I496:K496" si="15">AVERAGE(I437:I439)</f>
        <v>14.333333333333334</v>
      </c>
      <c r="K496" s="110">
        <f t="shared" si="15"/>
        <v>9.3333333333333339</v>
      </c>
    </row>
    <row r="497" spans="7:11" x14ac:dyDescent="0.2">
      <c r="H497" s="115" t="s">
        <v>109</v>
      </c>
      <c r="I497" s="110">
        <f>AVERAGE(I440:I442)</f>
        <v>13.333333333333334</v>
      </c>
      <c r="K497" s="110">
        <f>AVERAGE(K440:K442)</f>
        <v>11.333333333333334</v>
      </c>
    </row>
    <row r="498" spans="7:11" x14ac:dyDescent="0.2">
      <c r="H498" t="s">
        <v>523</v>
      </c>
      <c r="I498" s="110">
        <f>AVERAGE(I443:I446)</f>
        <v>13.25</v>
      </c>
      <c r="K498" s="110">
        <f>AVERAGE(K443:K446)</f>
        <v>13.75</v>
      </c>
    </row>
    <row r="499" spans="7:11" x14ac:dyDescent="0.2">
      <c r="H499" t="s">
        <v>19</v>
      </c>
      <c r="I499" s="110">
        <f t="shared" ref="I499:K499" si="16">AVERAGE(I447:I450)</f>
        <v>11.5</v>
      </c>
      <c r="K499" s="110">
        <f t="shared" si="16"/>
        <v>6.75</v>
      </c>
    </row>
    <row r="500" spans="7:11" x14ac:dyDescent="0.2">
      <c r="H500" t="s">
        <v>27</v>
      </c>
      <c r="I500" s="110">
        <f t="shared" ref="I500:K500" si="17">AVERAGE(I451:I454)</f>
        <v>10.25</v>
      </c>
      <c r="K500" s="110">
        <f t="shared" si="17"/>
        <v>11</v>
      </c>
    </row>
    <row r="501" spans="7:11" x14ac:dyDescent="0.2">
      <c r="H501" t="s">
        <v>82</v>
      </c>
      <c r="I501" s="110">
        <f>I465</f>
        <v>13.666666666666666</v>
      </c>
      <c r="K501" s="110">
        <f>K465</f>
        <v>5</v>
      </c>
    </row>
    <row r="502" spans="7:11" x14ac:dyDescent="0.2">
      <c r="H502" t="s">
        <v>46</v>
      </c>
      <c r="I502" s="110">
        <f>AVERAGE(I459:I460)</f>
        <v>9.5</v>
      </c>
      <c r="K502" s="110">
        <f>AVERAGE(K459:K460)</f>
        <v>11</v>
      </c>
    </row>
    <row r="503" spans="7:11" x14ac:dyDescent="0.2">
      <c r="I503" s="110" t="s">
        <v>4</v>
      </c>
      <c r="K503" s="110" t="s">
        <v>4</v>
      </c>
    </row>
    <row r="504" spans="7:11" x14ac:dyDescent="0.2">
      <c r="I504" s="1">
        <f>I2</f>
        <v>0</v>
      </c>
      <c r="K504" s="1" t="str">
        <f>K2</f>
        <v>Caso 1</v>
      </c>
    </row>
    <row r="505" spans="7:11" x14ac:dyDescent="0.2">
      <c r="I505" s="55" t="s">
        <v>1</v>
      </c>
      <c r="K505" s="55" t="s">
        <v>1</v>
      </c>
    </row>
    <row r="506" spans="7:11" x14ac:dyDescent="0.2">
      <c r="I506" s="1" t="s">
        <v>4</v>
      </c>
      <c r="K506" s="1" t="s">
        <v>4</v>
      </c>
    </row>
    <row r="507" spans="7:11" x14ac:dyDescent="0.2">
      <c r="G507" s="103" t="s">
        <v>5</v>
      </c>
      <c r="H507" s="104" t="s">
        <v>6</v>
      </c>
      <c r="I507" s="1" t="e">
        <f>LOOKUP(VLOOKUP($H507,$H$352:J$460,4,0),[1]Equivalencias!$V$3:$W$12)</f>
        <v>#REF!</v>
      </c>
      <c r="K507" s="1">
        <f>LOOKUP(VLOOKUP($H507,$H$352:L$460,4,0),[1]Equivalencias!$V$3:$W$12)</f>
        <v>10</v>
      </c>
    </row>
    <row r="508" spans="7:11" x14ac:dyDescent="0.2">
      <c r="G508" s="103" t="s">
        <v>5</v>
      </c>
      <c r="H508" s="104" t="s">
        <v>10</v>
      </c>
      <c r="I508" s="1" t="e">
        <f>LOOKUP(VLOOKUP($H508,$H$352:J$460,4,0),[1]Equivalencias!$X$3:$Y$12)</f>
        <v>#REF!</v>
      </c>
      <c r="K508" s="1">
        <f>LOOKUP(VLOOKUP($H508,$H$352:L$460,4,0),[1]Equivalencias!$X$3:$Y$12)</f>
        <v>1</v>
      </c>
    </row>
    <row r="509" spans="7:11" x14ac:dyDescent="0.2">
      <c r="G509" s="103" t="s">
        <v>5</v>
      </c>
      <c r="H509" s="104" t="s">
        <v>12</v>
      </c>
      <c r="I509" s="1" t="e">
        <f>LOOKUP(VLOOKUP($H509,$H$352:J$460,4,0),[1]Equivalencias!$Z$3:$AA$12)</f>
        <v>#REF!</v>
      </c>
      <c r="K509" s="1">
        <f>LOOKUP(VLOOKUP($H509,$H$352:L$460,4,0),[1]Equivalencias!$Z$3:$AA$12)</f>
        <v>5</v>
      </c>
    </row>
    <row r="510" spans="7:11" x14ac:dyDescent="0.2">
      <c r="G510" t="s">
        <v>14</v>
      </c>
      <c r="H510" s="116" t="s">
        <v>15</v>
      </c>
      <c r="I510" s="1" t="e">
        <f>LOOKUP(VLOOKUP($H510,$H$352:J$460,4,0),[1]Equivalencias!$AB$3:$AC$12)</f>
        <v>#REF!</v>
      </c>
      <c r="K510" s="1">
        <f>LOOKUP(VLOOKUP($H510,$H$352:L$460,4,0),[1]Equivalencias!$AB$3:$AC$12)</f>
        <v>8</v>
      </c>
    </row>
    <row r="511" spans="7:11" x14ac:dyDescent="0.2">
      <c r="G511" t="s">
        <v>14</v>
      </c>
      <c r="H511" s="7" t="s">
        <v>18</v>
      </c>
      <c r="I511" s="1" t="e">
        <f>LOOKUP(VLOOKUP($H511,$H$352:J$460,4,0),[1]Equivalencias!$AD$3:$AE$12)</f>
        <v>#REF!</v>
      </c>
      <c r="K511" s="1">
        <f>LOOKUP(VLOOKUP($H511,$H$352:L$460,4,0),[1]Equivalencias!$AD$3:$AE$12)</f>
        <v>2</v>
      </c>
    </row>
    <row r="512" spans="7:11" x14ac:dyDescent="0.2">
      <c r="G512" t="s">
        <v>14</v>
      </c>
      <c r="H512" s="7" t="s">
        <v>20</v>
      </c>
      <c r="I512" s="1" t="e">
        <f>LOOKUP(VLOOKUP($H512,$H$352:J$460,4,0),[1]Equivalencias!$AF$3:$AG$12)</f>
        <v>#REF!</v>
      </c>
      <c r="K512" s="1">
        <f>LOOKUP(VLOOKUP($H512,$H$352:L$460,4,0),[1]Equivalencias!$AF$3:$AG$12)</f>
        <v>10</v>
      </c>
    </row>
    <row r="513" spans="7:11" x14ac:dyDescent="0.2">
      <c r="G513" s="103" t="s">
        <v>516</v>
      </c>
      <c r="H513" s="104" t="s">
        <v>527</v>
      </c>
      <c r="I513" s="1" t="e">
        <f>LOOKUP(VLOOKUP($H513,$H$352:J$460,4,0),[1]Equivalencias!$V$3:$W$12)</f>
        <v>#REF!</v>
      </c>
      <c r="K513" s="1">
        <f>LOOKUP(VLOOKUP($H513,$H$352:L$460,4,0),[1]Equivalencias!$V$3:$W$12)</f>
        <v>10</v>
      </c>
    </row>
    <row r="514" spans="7:11" x14ac:dyDescent="0.2">
      <c r="G514" s="103" t="s">
        <v>516</v>
      </c>
      <c r="H514" s="104" t="s">
        <v>528</v>
      </c>
      <c r="I514" s="1" t="e">
        <f>LOOKUP(VLOOKUP($H514,$H$352:J$460,4,0),[1]Equivalencias!$CJ$3:$CK$12)</f>
        <v>#REF!</v>
      </c>
      <c r="K514" s="1">
        <f>LOOKUP(VLOOKUP($H514,$H$352:L$460,4,0),[1]Equivalencias!$CJ$3:$CK$12)</f>
        <v>7</v>
      </c>
    </row>
    <row r="515" spans="7:11" x14ac:dyDescent="0.2">
      <c r="G515" s="103" t="s">
        <v>516</v>
      </c>
      <c r="H515" s="104" t="s">
        <v>529</v>
      </c>
      <c r="I515" s="1" t="e">
        <f>LOOKUP(VLOOKUP($H515,$H$352:J$460,4,0),[1]Equivalencias!$CD$3:$CE$12)</f>
        <v>#REF!</v>
      </c>
      <c r="K515" s="1">
        <f>LOOKUP(VLOOKUP($H515,$H$352:L$460,4,0),[1]Equivalencias!$CD$3:$CE$12)</f>
        <v>6</v>
      </c>
    </row>
    <row r="516" spans="7:11" x14ac:dyDescent="0.2">
      <c r="G516" t="s">
        <v>28</v>
      </c>
      <c r="H516" s="7" t="s">
        <v>29</v>
      </c>
      <c r="I516" s="1" t="e">
        <f>LOOKUP(VLOOKUP($H516,$H$352:J$460,4,0),[1]Equivalencias!$AN$3:$AO$12)</f>
        <v>#REF!</v>
      </c>
      <c r="K516" s="1">
        <f>LOOKUP(VLOOKUP($H516,$H$352:L$460,4,0),[1]Equivalencias!$AN$3:$AO$12)</f>
        <v>10</v>
      </c>
    </row>
    <row r="517" spans="7:11" x14ac:dyDescent="0.2">
      <c r="G517" t="s">
        <v>28</v>
      </c>
      <c r="H517" s="7" t="s">
        <v>31</v>
      </c>
      <c r="I517" s="1" t="e">
        <f>LOOKUP(VLOOKUP($H517,$H$352:J$460,4,0),[1]Equivalencias!$AP$3:$AQ$12)</f>
        <v>#REF!</v>
      </c>
      <c r="K517" s="1">
        <f>LOOKUP(VLOOKUP($H517,$H$352:L$460,4,0),[1]Equivalencias!$AP$3:$AQ$12)</f>
        <v>2</v>
      </c>
    </row>
    <row r="518" spans="7:11" x14ac:dyDescent="0.2">
      <c r="G518" t="s">
        <v>28</v>
      </c>
      <c r="H518" s="7" t="s">
        <v>33</v>
      </c>
      <c r="I518" s="1" t="e">
        <f>LOOKUP(VLOOKUP($H518,$H$352:J$460,4,0),[1]Equivalencias!$AR$3:$AS$12)</f>
        <v>#REF!</v>
      </c>
      <c r="K518" s="1">
        <f>LOOKUP(VLOOKUP($H518,$H$352:L$460,4,0),[1]Equivalencias!$AR$3:$AS$12)</f>
        <v>6</v>
      </c>
    </row>
    <row r="519" spans="7:11" x14ac:dyDescent="0.2">
      <c r="G519" s="103" t="s">
        <v>35</v>
      </c>
      <c r="H519" s="104" t="s">
        <v>36</v>
      </c>
      <c r="I519" s="1" t="e">
        <f>LOOKUP(VLOOKUP($H519,$H$352:J$460,4,0),[1]Equivalencias!$AV$3:$AW$12)</f>
        <v>#REF!</v>
      </c>
      <c r="K519" s="1">
        <f>LOOKUP(VLOOKUP($H519,$H$352:L$460,4,0),[1]Equivalencias!$AV$3:$AW$12)</f>
        <v>6</v>
      </c>
    </row>
    <row r="520" spans="7:11" x14ac:dyDescent="0.2">
      <c r="G520" s="103" t="s">
        <v>35</v>
      </c>
      <c r="H520" s="104" t="s">
        <v>39</v>
      </c>
      <c r="I520" s="1" t="e">
        <f>LOOKUP(VLOOKUP($H520,$H$352:J$460,4,0),[1]Equivalencias!$AT$3:$AU$12)</f>
        <v>#REF!</v>
      </c>
      <c r="K520" s="1">
        <f>LOOKUP(VLOOKUP($H520,$H$352:L$460,4,0),[1]Equivalencias!$AT$3:$AU$12)</f>
        <v>9</v>
      </c>
    </row>
    <row r="521" spans="7:11" x14ac:dyDescent="0.2">
      <c r="G521" s="103" t="s">
        <v>35</v>
      </c>
      <c r="H521" s="104" t="s">
        <v>41</v>
      </c>
      <c r="I521" s="1" t="e">
        <f>LOOKUP(VLOOKUP($H521,$H$352:J$460,4,0),[1]Equivalencias!$AX$3:$AY$12)</f>
        <v>#REF!</v>
      </c>
      <c r="K521" s="1">
        <f>LOOKUP(VLOOKUP($H521,$H$352:L$460,4,0),[1]Equivalencias!$AX$3:$AY$12)</f>
        <v>2</v>
      </c>
    </row>
    <row r="522" spans="7:11" x14ac:dyDescent="0.2">
      <c r="G522" t="s">
        <v>42</v>
      </c>
      <c r="H522" s="7" t="s">
        <v>43</v>
      </c>
      <c r="I522" s="1" t="e">
        <f>LOOKUP(VLOOKUP($H522,$H$352:J$460,4,0),[1]Equivalencias!$DB$3:$DC$12)</f>
        <v>#REF!</v>
      </c>
      <c r="K522" s="1">
        <f>LOOKUP(VLOOKUP($H522,$H$352:L$460,4,0),[1]Equivalencias!$DB$3:$DC$12)</f>
        <v>8</v>
      </c>
    </row>
    <row r="523" spans="7:11" x14ac:dyDescent="0.2">
      <c r="G523" t="s">
        <v>42</v>
      </c>
      <c r="H523" s="7" t="s">
        <v>38</v>
      </c>
      <c r="I523" s="1" t="e">
        <f>LOOKUP(VLOOKUP($H523,$H$352:J$460,4,0),[1]Equivalencias!$BR$3:$BS$12)</f>
        <v>#REF!</v>
      </c>
      <c r="K523" s="1">
        <f>LOOKUP(VLOOKUP($H523,$H$352:L$460,4,0),[1]Equivalencias!$BR$3:$BS$12)</f>
        <v>5</v>
      </c>
    </row>
    <row r="524" spans="7:11" x14ac:dyDescent="0.2">
      <c r="G524" t="s">
        <v>42</v>
      </c>
      <c r="H524" s="7" t="s">
        <v>45</v>
      </c>
      <c r="I524" s="1" t="e">
        <f>LOOKUP(VLOOKUP($H524,$H$352:J$460,4,0),[1]Equivalencias!$AL$3:$AM$12)</f>
        <v>#REF!</v>
      </c>
      <c r="K524" s="1">
        <f>LOOKUP(VLOOKUP($H524,$H$352:L$460,4,0),[1]Equivalencias!$AL$3:$AM$12)</f>
        <v>2</v>
      </c>
    </row>
    <row r="525" spans="7:11" x14ac:dyDescent="0.2">
      <c r="G525" s="103" t="s">
        <v>47</v>
      </c>
      <c r="H525" s="104" t="s">
        <v>48</v>
      </c>
      <c r="I525" s="1" t="e">
        <f>LOOKUP(VLOOKUP($H525,$H$352:J$460,4,0),[1]Equivalencias!$AH$3:$AI$12)</f>
        <v>#REF!</v>
      </c>
      <c r="K525" s="1">
        <f>LOOKUP(VLOOKUP($H525,$H$352:L$460,4,0),[1]Equivalencias!$AH$3:$AI$12)</f>
        <v>7</v>
      </c>
    </row>
    <row r="526" spans="7:11" x14ac:dyDescent="0.2">
      <c r="G526" s="103" t="s">
        <v>47</v>
      </c>
      <c r="H526" s="104" t="s">
        <v>51</v>
      </c>
      <c r="I526" s="1" t="e">
        <f>LOOKUP(VLOOKUP($H526,$H$352:J$460,4,0),[1]Equivalencias!$AJ$3:$AK$12)</f>
        <v>#REF!</v>
      </c>
      <c r="K526" s="1">
        <f>LOOKUP(VLOOKUP($H526,$H$352:L$460,4,0),[1]Equivalencias!$AJ$3:$AK$12)</f>
        <v>3</v>
      </c>
    </row>
    <row r="527" spans="7:11" x14ac:dyDescent="0.2">
      <c r="G527" s="103" t="s">
        <v>47</v>
      </c>
      <c r="H527" s="104" t="s">
        <v>45</v>
      </c>
      <c r="I527" s="1" t="e">
        <f>LOOKUP(VLOOKUP($H527,$H$352:J$460,4,0),[1]Equivalencias!$AL$3:$AM$12)</f>
        <v>#REF!</v>
      </c>
      <c r="K527" s="1">
        <f>LOOKUP(VLOOKUP($H527,$H$352:L$460,4,0),[1]Equivalencias!$AL$3:$AM$12)</f>
        <v>2</v>
      </c>
    </row>
    <row r="528" spans="7:11" x14ac:dyDescent="0.2">
      <c r="G528" t="s">
        <v>56</v>
      </c>
      <c r="H528" s="7" t="s">
        <v>13</v>
      </c>
      <c r="I528" s="1" t="e">
        <f>LOOKUP(VLOOKUP($H528,$H$352:J$460,4,0),[1]Equivalencias!$AZ$3:$BA$12)</f>
        <v>#REF!</v>
      </c>
      <c r="K528" s="1">
        <f>LOOKUP(VLOOKUP($H528,$H$352:L$460,4,0),[1]Equivalencias!$AZ$3:$BA$12)</f>
        <v>8</v>
      </c>
    </row>
    <row r="529" spans="7:11" x14ac:dyDescent="0.2">
      <c r="G529" t="s">
        <v>56</v>
      </c>
      <c r="H529" s="7" t="s">
        <v>11</v>
      </c>
      <c r="I529" s="1" t="e">
        <f>LOOKUP(VLOOKUP($H529,$H$352:J$460,4,0),[1]Equivalencias!$BB$3:$BC$12)</f>
        <v>#REF!</v>
      </c>
      <c r="K529" s="1">
        <f>LOOKUP(VLOOKUP($H529,$H$352:L$460,4,0),[1]Equivalencias!$BB$3:$BC$12)</f>
        <v>5</v>
      </c>
    </row>
    <row r="530" spans="7:11" x14ac:dyDescent="0.2">
      <c r="G530" t="s">
        <v>56</v>
      </c>
      <c r="H530" s="7" t="s">
        <v>64</v>
      </c>
      <c r="I530" s="1" t="e">
        <f>LOOKUP(VLOOKUP($H530,$H$352:J$460,4,0),[1]Equivalencias!$BD$3:$BE$12)</f>
        <v>#REF!</v>
      </c>
      <c r="K530" s="1">
        <f>LOOKUP(VLOOKUP($H530,$H$352:L$460,4,0),[1]Equivalencias!$BD$3:$BE$12)</f>
        <v>2</v>
      </c>
    </row>
    <row r="531" spans="7:11" x14ac:dyDescent="0.2">
      <c r="G531" s="103" t="s">
        <v>66</v>
      </c>
      <c r="H531" s="104" t="s">
        <v>67</v>
      </c>
      <c r="I531" s="1" t="e">
        <f>LOOKUP(VLOOKUP($H531,$H$352:J$460,4,0),[1]Equivalencias!$BF$3:$BG$12)</f>
        <v>#REF!</v>
      </c>
      <c r="K531" s="1">
        <f>LOOKUP(VLOOKUP($H531,$H$352:L$460,4,0),[1]Equivalencias!$BF$3:$BG$12)</f>
        <v>2</v>
      </c>
    </row>
    <row r="532" spans="7:11" x14ac:dyDescent="0.2">
      <c r="G532" s="103" t="s">
        <v>66</v>
      </c>
      <c r="H532" s="104" t="s">
        <v>70</v>
      </c>
      <c r="I532" s="1" t="e">
        <f>LOOKUP(VLOOKUP($H532,$H$352:J$460,4,0),[1]Equivalencias!$BH$3:$BI$12)</f>
        <v>#REF!</v>
      </c>
      <c r="K532" s="1">
        <f>LOOKUP(VLOOKUP($H532,$H$352:L$460,4,0),[1]Equivalencias!$BH$3:$BI$12)</f>
        <v>4</v>
      </c>
    </row>
    <row r="533" spans="7:11" x14ac:dyDescent="0.2">
      <c r="G533" s="103" t="s">
        <v>66</v>
      </c>
      <c r="H533" s="104" t="s">
        <v>17</v>
      </c>
      <c r="I533" s="1" t="e">
        <f>LOOKUP(VLOOKUP($H533,$H$352:J$460,4,0),[1]Equivalencias!$BJ$3:$BK$12)</f>
        <v>#REF!</v>
      </c>
      <c r="K533" s="1">
        <f>LOOKUP(VLOOKUP($H533,$H$352:L$460,4,0),[1]Equivalencias!$BJ$3:$BK$12)</f>
        <v>8</v>
      </c>
    </row>
    <row r="534" spans="7:11" x14ac:dyDescent="0.2">
      <c r="G534" t="s">
        <v>73</v>
      </c>
      <c r="H534" s="7" t="s">
        <v>38</v>
      </c>
      <c r="I534" s="1" t="e">
        <f>LOOKUP(VLOOKUP($H534,$H$352:J$460,4,0),[1]Equivalencias!$BR$3:$BS$12)</f>
        <v>#REF!</v>
      </c>
      <c r="K534" s="1">
        <f>LOOKUP(VLOOKUP($H534,$H$352:L$460,4,0),[1]Equivalencias!$BR$3:$BS$12)</f>
        <v>5</v>
      </c>
    </row>
    <row r="535" spans="7:11" x14ac:dyDescent="0.2">
      <c r="G535" t="s">
        <v>73</v>
      </c>
      <c r="H535" s="7" t="s">
        <v>25</v>
      </c>
      <c r="I535" s="1" t="e">
        <f>LOOKUP(VLOOKUP($H535,$H$352:J$460,4,0),[1]Equivalencias!$BT$3:$BU$12)</f>
        <v>#REF!</v>
      </c>
      <c r="K535" s="1">
        <f>LOOKUP(VLOOKUP($H535,$H$352:L$460,4,0),[1]Equivalencias!$BT$3:$BU$12)</f>
        <v>8</v>
      </c>
    </row>
    <row r="536" spans="7:11" x14ac:dyDescent="0.2">
      <c r="G536" t="s">
        <v>73</v>
      </c>
      <c r="H536" s="7" t="s">
        <v>77</v>
      </c>
      <c r="I536" s="1" t="e">
        <f>LOOKUP(VLOOKUP($H536,$H$352:J$460,4,0),[1]Equivalencias!$BV$3:$BW$12)</f>
        <v>#REF!</v>
      </c>
      <c r="K536" s="1">
        <f>LOOKUP(VLOOKUP($H536,$H$352:L$460,4,0),[1]Equivalencias!$BV$3:$BW$12)</f>
        <v>5</v>
      </c>
    </row>
    <row r="537" spans="7:11" x14ac:dyDescent="0.2">
      <c r="G537" s="103" t="s">
        <v>79</v>
      </c>
      <c r="H537" s="104" t="s">
        <v>15</v>
      </c>
      <c r="I537" s="1" t="e">
        <f>LOOKUP(VLOOKUP($H537,$H$352:J$460,4,0),[1]Equivalencias!$AB$3:$AC$12)</f>
        <v>#REF!</v>
      </c>
      <c r="K537" s="1">
        <f>LOOKUP(VLOOKUP($H537,$H$352:L$460,4,0),[1]Equivalencias!$AB$3:$AC$12)</f>
        <v>8</v>
      </c>
    </row>
    <row r="538" spans="7:11" x14ac:dyDescent="0.2">
      <c r="G538" s="103" t="s">
        <v>79</v>
      </c>
      <c r="H538" s="104" t="s">
        <v>530</v>
      </c>
      <c r="I538" s="1" t="e">
        <f>LOOKUP(VLOOKUP($H538,$H$352:J$460,4,0),[1]Equivalencias!$CP$3:$CQ$12)</f>
        <v>#REF!</v>
      </c>
      <c r="K538" s="1">
        <f>LOOKUP(VLOOKUP($H538,$H$352:L$460,4,0),[1]Equivalencias!$CP$3:$CQ$12)</f>
        <v>4</v>
      </c>
    </row>
    <row r="539" spans="7:11" x14ac:dyDescent="0.2">
      <c r="G539" s="103" t="s">
        <v>79</v>
      </c>
      <c r="H539" s="104" t="s">
        <v>531</v>
      </c>
      <c r="I539" s="1" t="e">
        <f>LOOKUP(VLOOKUP($H539,$H$352:J$460,4,0),[1]Equivalencias!$AJ$3:$AK$12)</f>
        <v>#REF!</v>
      </c>
      <c r="K539" s="1">
        <f>LOOKUP(VLOOKUP($H539,$H$352:L$460,4,0),[1]Equivalencias!$AJ$3:$AK$12)</f>
        <v>3</v>
      </c>
    </row>
    <row r="540" spans="7:11" x14ac:dyDescent="0.2">
      <c r="G540" t="s">
        <v>532</v>
      </c>
      <c r="H540" s="7" t="s">
        <v>533</v>
      </c>
      <c r="I540" s="1" t="e">
        <f>LOOKUP(VLOOKUP($H540,$H$352:J$460,4,0),[1]Equivalencias!$BX$3:$BY$12)</f>
        <v>#REF!</v>
      </c>
      <c r="K540" s="1">
        <f>LOOKUP(VLOOKUP($H540,$H$352:L$460,4,0),[1]Equivalencias!$BX$3:$BY$12)</f>
        <v>10</v>
      </c>
    </row>
    <row r="541" spans="7:11" x14ac:dyDescent="0.2">
      <c r="G541" t="s">
        <v>532</v>
      </c>
      <c r="H541" s="7" t="s">
        <v>534</v>
      </c>
      <c r="I541" s="1" t="e">
        <f>LOOKUP(VLOOKUP($H541,$H$352:J$460,4,0),[1]Equivalencias!$X$3:$Y$12)</f>
        <v>#REF!</v>
      </c>
      <c r="K541" s="1">
        <f>LOOKUP(VLOOKUP($H541,$H$352:L$460,4,0),[1]Equivalencias!$X$3:$Y$12)</f>
        <v>1</v>
      </c>
    </row>
    <row r="542" spans="7:11" x14ac:dyDescent="0.2">
      <c r="G542" t="s">
        <v>532</v>
      </c>
      <c r="H542" s="7" t="s">
        <v>535</v>
      </c>
      <c r="I542" s="1" t="e">
        <f>LOOKUP(VLOOKUP($H542,$H$352:J$460,4,0),[1]Equivalencias!$AX$3:$AY$12)</f>
        <v>#REF!</v>
      </c>
      <c r="K542" s="1">
        <f>LOOKUP(VLOOKUP($H542,$H$352:L$460,4,0),[1]Equivalencias!$AX$3:$AY$12)</f>
        <v>2</v>
      </c>
    </row>
    <row r="543" spans="7:11" x14ac:dyDescent="0.2">
      <c r="G543" s="103" t="s">
        <v>518</v>
      </c>
      <c r="H543" s="104" t="s">
        <v>536</v>
      </c>
      <c r="I543" s="1" t="e">
        <f>LOOKUP(VLOOKUP($H543,$H$352:J$460,4,0),[1]Equivalencias!$AZ$3:$BA$12)</f>
        <v>#REF!</v>
      </c>
      <c r="K543" s="1">
        <f>LOOKUP(VLOOKUP($H543,$H$352:L$460,4,0),[1]Equivalencias!$AZ$3:$BA$12)</f>
        <v>8</v>
      </c>
    </row>
    <row r="544" spans="7:11" x14ac:dyDescent="0.2">
      <c r="G544" s="103" t="s">
        <v>518</v>
      </c>
      <c r="H544" s="104" t="s">
        <v>537</v>
      </c>
      <c r="I544" s="1" t="e">
        <f>LOOKUP(VLOOKUP($H544,$H$352:J$460,4,0),[1]Equivalencias!$BN$3:$BO$12)</f>
        <v>#REF!</v>
      </c>
      <c r="K544" s="1">
        <f>LOOKUP(VLOOKUP($H544,$H$352:L$460,4,0),[1]Equivalencias!$BN$3:$BO$12)</f>
        <v>3</v>
      </c>
    </row>
    <row r="545" spans="7:11" x14ac:dyDescent="0.2">
      <c r="G545" s="103" t="s">
        <v>518</v>
      </c>
      <c r="H545" s="104" t="s">
        <v>538</v>
      </c>
      <c r="I545" s="1" t="e">
        <f>LOOKUP(VLOOKUP($H545,$H$352:J$460,4,0),[1]Equivalencias!$CN$3:$CO$12)</f>
        <v>#REF!</v>
      </c>
      <c r="K545" s="1">
        <f>LOOKUP(VLOOKUP($H545,$H$352:L$460,4,0),[1]Equivalencias!$CN$3:$CO$12)</f>
        <v>9</v>
      </c>
    </row>
    <row r="546" spans="7:11" x14ac:dyDescent="0.2">
      <c r="G546" t="s">
        <v>91</v>
      </c>
      <c r="H546" s="7" t="s">
        <v>98</v>
      </c>
      <c r="I546" s="1" t="e">
        <f>LOOKUP(VLOOKUP($H546,$H$352:J$460,4,0),[1]Equivalencias!$BL$3:$BM$12)</f>
        <v>#REF!</v>
      </c>
      <c r="K546" s="1">
        <f>LOOKUP(VLOOKUP($H546,$H$352:L$460,4,0),[1]Equivalencias!$BL$3:$BM$12)</f>
        <v>2</v>
      </c>
    </row>
    <row r="547" spans="7:11" x14ac:dyDescent="0.2">
      <c r="G547" t="s">
        <v>91</v>
      </c>
      <c r="H547" s="7" t="s">
        <v>100</v>
      </c>
      <c r="I547" s="1" t="e">
        <f>LOOKUP(VLOOKUP($H547,$H$352:J$460,4,0),[1]Equivalencias!$BN$3:$BO$12)</f>
        <v>#REF!</v>
      </c>
      <c r="K547" s="1">
        <f>LOOKUP(VLOOKUP($H547,$H$352:L$460,4,0),[1]Equivalencias!$BN$3:$BO$12)</f>
        <v>3</v>
      </c>
    </row>
    <row r="548" spans="7:11" x14ac:dyDescent="0.2">
      <c r="G548" t="s">
        <v>91</v>
      </c>
      <c r="H548" s="7" t="s">
        <v>102</v>
      </c>
      <c r="I548" s="1" t="e">
        <f>LOOKUP(VLOOKUP($H548,$H$352:J$460,4,0),[1]Equivalencias!$BP$3:$BQ$12)</f>
        <v>#REF!</v>
      </c>
      <c r="K548" s="1">
        <f>LOOKUP(VLOOKUP($H548,$H$352:L$460,4,0),[1]Equivalencias!$BP$3:$BQ$12)</f>
        <v>3</v>
      </c>
    </row>
    <row r="549" spans="7:11" x14ac:dyDescent="0.2">
      <c r="G549" s="103" t="s">
        <v>92</v>
      </c>
      <c r="H549" s="104" t="s">
        <v>87</v>
      </c>
      <c r="I549" s="1" t="e">
        <f>LOOKUP(VLOOKUP($H549,$H$352:J$460,4,0),[1]Equivalencias!$BX$2:$BY$12)</f>
        <v>#REF!</v>
      </c>
      <c r="K549" s="1">
        <f>LOOKUP(VLOOKUP($H549,$H$352:L$460,4,0),[1]Equivalencias!$BX$2:$BY$12)</f>
        <v>10</v>
      </c>
    </row>
    <row r="550" spans="7:11" x14ac:dyDescent="0.2">
      <c r="G550" s="103" t="s">
        <v>92</v>
      </c>
      <c r="H550" s="104" t="s">
        <v>103</v>
      </c>
      <c r="I550" s="1" t="e">
        <f>LOOKUP(VLOOKUP($H550,$H$352:J$460,4,0),[1]Equivalencias!$BZ$3:$CA$12)</f>
        <v>#REF!</v>
      </c>
      <c r="K550" s="1">
        <f>LOOKUP(VLOOKUP($H550,$H$352:L$460,4,0),[1]Equivalencias!$BZ$3:$CA$12)</f>
        <v>9</v>
      </c>
    </row>
    <row r="551" spans="7:11" x14ac:dyDescent="0.2">
      <c r="G551" s="103" t="s">
        <v>92</v>
      </c>
      <c r="H551" s="104" t="s">
        <v>23</v>
      </c>
      <c r="I551" s="1" t="e">
        <f>LOOKUP(VLOOKUP($H551,$H$352:J$460,4,0),[1]Equivalencias!$CB$3:$CC$12)</f>
        <v>#REF!</v>
      </c>
      <c r="K551" s="1">
        <f>LOOKUP(VLOOKUP($H551,$H$352:L$460,4,0),[1]Equivalencias!$CB$3:$CC$12)</f>
        <v>2</v>
      </c>
    </row>
    <row r="552" spans="7:11" x14ac:dyDescent="0.2">
      <c r="G552" t="s">
        <v>519</v>
      </c>
      <c r="H552" s="7" t="s">
        <v>539</v>
      </c>
      <c r="I552" s="1" t="e">
        <f>LOOKUP(VLOOKUP($H552,$H$352:J$460,4,0),[1]Equivalencias!$CF$3:$CG$12)</f>
        <v>#REF!</v>
      </c>
      <c r="K552" s="1">
        <f>LOOKUP(VLOOKUP($H552,$H$352:L$460,4,0),[1]Equivalencias!$CF$3:$CG$12)</f>
        <v>5</v>
      </c>
    </row>
    <row r="553" spans="7:11" x14ac:dyDescent="0.2">
      <c r="G553" t="s">
        <v>519</v>
      </c>
      <c r="H553" s="7" t="s">
        <v>540</v>
      </c>
      <c r="I553" s="1" t="e">
        <f>LOOKUP(VLOOKUP($H553,$H$352:J$460,4,0),[1]Equivalencias!$CL$3:$CM$12)</f>
        <v>#REF!</v>
      </c>
      <c r="K553" s="1">
        <f>LOOKUP(VLOOKUP($H553,$H$352:L$460,4,0),[1]Equivalencias!$CL$3:$CM$12)</f>
        <v>1</v>
      </c>
    </row>
    <row r="554" spans="7:11" x14ac:dyDescent="0.2">
      <c r="G554" t="s">
        <v>519</v>
      </c>
      <c r="H554" s="7" t="s">
        <v>541</v>
      </c>
      <c r="I554" s="1" t="e">
        <f>LOOKUP(VLOOKUP($H554,$H$352:J$460,4,0),[1]Equivalencias!$DL$3:$DM$12)</f>
        <v>#REF!</v>
      </c>
      <c r="K554" s="1">
        <f>LOOKUP(VLOOKUP($H554,$H$352:L$460,4,0),[1]Equivalencias!$DL$3:$DM$12)</f>
        <v>6</v>
      </c>
    </row>
    <row r="555" spans="7:11" x14ac:dyDescent="0.2">
      <c r="G555" s="103" t="s">
        <v>72</v>
      </c>
      <c r="H555" s="104" t="s">
        <v>542</v>
      </c>
      <c r="I555" s="1" t="e">
        <f>LOOKUP(VLOOKUP($H555,$H$352:J$460,4,0),[1]Equivalencias!$CH$3:$CI$12)</f>
        <v>#REF!</v>
      </c>
      <c r="K555" s="1">
        <f>LOOKUP(VLOOKUP($H555,$H$352:L$460,4,0),[1]Equivalencias!$CH$3:$CI$12)</f>
        <v>10</v>
      </c>
    </row>
    <row r="556" spans="7:11" x14ac:dyDescent="0.2">
      <c r="G556" s="103" t="s">
        <v>72</v>
      </c>
      <c r="H556" s="104" t="s">
        <v>543</v>
      </c>
      <c r="I556" s="1" t="e">
        <f>LOOKUP(VLOOKUP($H556,$H$352:J$460,4,0),[1]Equivalencias!$Z$3:$AA$12)</f>
        <v>#REF!</v>
      </c>
      <c r="K556" s="1">
        <f>LOOKUP(VLOOKUP($H556,$H$352:L$460,4,0),[1]Equivalencias!$Z$3:$AA$12)</f>
        <v>5</v>
      </c>
    </row>
    <row r="557" spans="7:11" x14ac:dyDescent="0.2">
      <c r="G557" s="103" t="s">
        <v>72</v>
      </c>
      <c r="H557" s="104" t="s">
        <v>544</v>
      </c>
      <c r="I557" s="1" t="e">
        <f>LOOKUP(VLOOKUP($H557,$H$352:J$460,4,0),[1]Equivalencias!$BZ$3:$CA$12)</f>
        <v>#REF!</v>
      </c>
      <c r="K557" s="1">
        <f>LOOKUP(VLOOKUP($H557,$H$352:L$460,4,0),[1]Equivalencias!$BZ$3:$CA$12)</f>
        <v>9</v>
      </c>
    </row>
    <row r="558" spans="7:11" x14ac:dyDescent="0.2">
      <c r="G558" t="s">
        <v>520</v>
      </c>
      <c r="H558" s="7" t="s">
        <v>108</v>
      </c>
      <c r="I558" s="1" t="e">
        <f>LOOKUP(VLOOKUP($H558,$H$352:J$460,4,0),[1]Equivalencias!$CZ$3:$DA$12)</f>
        <v>#REF!</v>
      </c>
      <c r="K558" s="1">
        <f>LOOKUP(VLOOKUP($H558,$H$352:L$460,4,0),[1]Equivalencias!$CZ$3:$DA$12)</f>
        <v>9</v>
      </c>
    </row>
    <row r="559" spans="7:11" x14ac:dyDescent="0.2">
      <c r="G559" t="s">
        <v>520</v>
      </c>
      <c r="H559" s="7" t="s">
        <v>545</v>
      </c>
      <c r="I559" s="1" t="e">
        <f>LOOKUP(VLOOKUP($H559,$H$352:J$460,4,0),[1]Equivalencias!$BP$3:$BQ$12)</f>
        <v>#REF!</v>
      </c>
      <c r="K559" s="1">
        <f>LOOKUP(VLOOKUP($H559,$H$352:L$460,4,0),[1]Equivalencias!$BP$3:$BQ$12)</f>
        <v>3</v>
      </c>
    </row>
    <row r="560" spans="7:11" x14ac:dyDescent="0.2">
      <c r="G560" t="s">
        <v>520</v>
      </c>
      <c r="H560" s="7" t="s">
        <v>546</v>
      </c>
      <c r="I560" s="1" t="e">
        <f>LOOKUP(VLOOKUP($H560,$H$352:J$460,4,0),[1]Equivalencias!$CB$3:$CC$12)</f>
        <v>#REF!</v>
      </c>
      <c r="K560" s="1">
        <f>LOOKUP(VLOOKUP($H560,$H$352:L$460,4,0),[1]Equivalencias!$CB$3:$CC$12)</f>
        <v>2</v>
      </c>
    </row>
    <row r="561" spans="7:11" x14ac:dyDescent="0.2">
      <c r="G561" s="103" t="s">
        <v>69</v>
      </c>
      <c r="H561" s="104" t="s">
        <v>26</v>
      </c>
      <c r="I561" s="1" t="e">
        <f>LOOKUP(VLOOKUP($H561,$H$352:J$460,4,0),[1]Equivalencias!$CD$3:$CE$12)</f>
        <v>#REF!</v>
      </c>
      <c r="K561" s="1">
        <f>LOOKUP(VLOOKUP($H561,$H$352:L$460,4,0),[1]Equivalencias!$CD$3:$CE$12)</f>
        <v>6</v>
      </c>
    </row>
    <row r="562" spans="7:11" x14ac:dyDescent="0.2">
      <c r="G562" s="103" t="s">
        <v>69</v>
      </c>
      <c r="H562" s="104" t="s">
        <v>104</v>
      </c>
      <c r="I562" s="1" t="e">
        <f>LOOKUP(VLOOKUP($H562,$H$352:J$460,4,0),[1]Equivalencias!$CF$3:$CG$12)</f>
        <v>#REF!</v>
      </c>
      <c r="K562" s="1">
        <f>LOOKUP(VLOOKUP($H562,$H$352:L$460,4,0),[1]Equivalencias!$CF$3:$CG$12)</f>
        <v>5</v>
      </c>
    </row>
    <row r="563" spans="7:11" x14ac:dyDescent="0.2">
      <c r="G563" s="103" t="s">
        <v>69</v>
      </c>
      <c r="H563" s="104" t="s">
        <v>106</v>
      </c>
      <c r="I563" s="1" t="e">
        <f>LOOKUP(VLOOKUP($H563,$H$352:J$460,4,0),[1]Equivalencias!$CH$3:$CI$12)</f>
        <v>#REF!</v>
      </c>
      <c r="K563" s="1">
        <f>LOOKUP(VLOOKUP($H563,$H$352:L$460,4,0),[1]Equivalencias!$CH$3:$CI$12)</f>
        <v>10</v>
      </c>
    </row>
    <row r="564" spans="7:11" x14ac:dyDescent="0.2">
      <c r="G564" t="s">
        <v>88</v>
      </c>
      <c r="H564" s="7" t="s">
        <v>547</v>
      </c>
      <c r="I564" s="1" t="e">
        <f>LOOKUP(VLOOKUP($H564,$H$352:J$460,4,0),[1]Equivalencias!$BR$3:$BS$12)</f>
        <v>#REF!</v>
      </c>
      <c r="K564" s="1">
        <f>LOOKUP(VLOOKUP($H564,$H$352:L$460,4,0),[1]Equivalencias!$BR$3:$BS$12)</f>
        <v>5</v>
      </c>
    </row>
    <row r="565" spans="7:11" x14ac:dyDescent="0.2">
      <c r="G565" t="s">
        <v>88</v>
      </c>
      <c r="H565" s="7" t="s">
        <v>548</v>
      </c>
      <c r="I565" s="1" t="e">
        <f>LOOKUP(VLOOKUP($H565,$H$352:J$460,4,0),[1]Equivalencias!$GR$3:$GS$12)</f>
        <v>#REF!</v>
      </c>
      <c r="K565" s="1">
        <f>LOOKUP(VLOOKUP($H565,$H$352:L$460,4,0),[1]Equivalencias!$GR$3:$GS$12)</f>
        <v>1</v>
      </c>
    </row>
    <row r="566" spans="7:11" x14ac:dyDescent="0.2">
      <c r="G566" t="s">
        <v>88</v>
      </c>
      <c r="H566" s="7" t="s">
        <v>549</v>
      </c>
      <c r="I566" s="1" t="e">
        <f>LOOKUP(VLOOKUP($H566,$H$352:J$460,4,0),[1]Equivalencias!$BJ$3:$BK$12)</f>
        <v>#REF!</v>
      </c>
      <c r="K566" s="1">
        <f>LOOKUP(VLOOKUP($H566,$H$352:L$460,4,0),[1]Equivalencias!$BJ$3:$BK$12)</f>
        <v>8</v>
      </c>
    </row>
    <row r="567" spans="7:11" x14ac:dyDescent="0.2">
      <c r="G567" s="103" t="s">
        <v>94</v>
      </c>
      <c r="H567" s="104" t="s">
        <v>528</v>
      </c>
      <c r="I567" s="1" t="e">
        <f>LOOKUP(VLOOKUP($H567,$H$352:J$460,4,0),[1]Equivalencias!$CJ$3:$CK$12)</f>
        <v>#REF!</v>
      </c>
      <c r="K567" s="1">
        <f>LOOKUP(VLOOKUP($H567,$H$352:L$460,4,0),[1]Equivalencias!$CJ$3:$CK$12)</f>
        <v>7</v>
      </c>
    </row>
    <row r="568" spans="7:11" x14ac:dyDescent="0.2">
      <c r="G568" s="103" t="s">
        <v>94</v>
      </c>
      <c r="H568" s="104" t="s">
        <v>45</v>
      </c>
      <c r="I568" s="1" t="e">
        <f>LOOKUP(VLOOKUP($H568,$H$352:J$460,4,0),[1]Equivalencias!$AL$3:$AM$12)</f>
        <v>#REF!</v>
      </c>
      <c r="K568" s="1">
        <f>LOOKUP(VLOOKUP($H568,$H$352:L$460,4,0),[1]Equivalencias!$AL$3:$AM$12)</f>
        <v>2</v>
      </c>
    </row>
    <row r="569" spans="7:11" x14ac:dyDescent="0.2">
      <c r="G569" s="103" t="s">
        <v>94</v>
      </c>
      <c r="H569" s="104" t="s">
        <v>539</v>
      </c>
      <c r="I569" s="1" t="e">
        <f>LOOKUP(VLOOKUP($H569,$H$352:J$460,4,0),[1]Equivalencias!$CF$3:$CG$12)</f>
        <v>#REF!</v>
      </c>
      <c r="K569" s="1">
        <f>LOOKUP(VLOOKUP($H569,$H$352:L$460,4,0),[1]Equivalencias!$CF$3:$CG$12)</f>
        <v>5</v>
      </c>
    </row>
    <row r="570" spans="7:11" x14ac:dyDescent="0.2">
      <c r="G570" t="s">
        <v>76</v>
      </c>
      <c r="H570" s="7" t="s">
        <v>24</v>
      </c>
      <c r="I570" s="1" t="e">
        <f>LOOKUP(VLOOKUP($H570,$H$352:J$460,4,0),[1]Equivalencias!$CJ$3:$CK$12)</f>
        <v>#REF!</v>
      </c>
      <c r="K570" s="1">
        <f>LOOKUP(VLOOKUP($H570,$H$352:L$460,4,0),[1]Equivalencias!$CJ$3:$CK$12)</f>
        <v>7</v>
      </c>
    </row>
    <row r="571" spans="7:11" x14ac:dyDescent="0.2">
      <c r="G571" t="s">
        <v>76</v>
      </c>
      <c r="H571" s="7" t="s">
        <v>21</v>
      </c>
      <c r="I571" s="1" t="e">
        <f>LOOKUP(VLOOKUP($H571,$H$352:J$460,4,0),[1]Equivalencias!$CL$3:$CM$12)</f>
        <v>#REF!</v>
      </c>
      <c r="K571" s="1">
        <f>LOOKUP(VLOOKUP($H571,$H$352:L$460,4,0),[1]Equivalencias!$CL$3:$CM$12)</f>
        <v>1</v>
      </c>
    </row>
    <row r="572" spans="7:11" x14ac:dyDescent="0.2">
      <c r="G572" t="s">
        <v>76</v>
      </c>
      <c r="H572" s="7" t="s">
        <v>96</v>
      </c>
      <c r="I572" s="1" t="e">
        <f>LOOKUP(VLOOKUP($H572,$H$352:J$460,4,0),[1]Equivalencias!$CN$3:$CO$12)</f>
        <v>#REF!</v>
      </c>
      <c r="K572" s="1">
        <f>LOOKUP(VLOOKUP($H572,$H$352:L$460,4,0),[1]Equivalencias!$CN$3:$CO$12)</f>
        <v>9</v>
      </c>
    </row>
    <row r="573" spans="7:11" x14ac:dyDescent="0.2">
      <c r="G573" s="103" t="s">
        <v>110</v>
      </c>
      <c r="H573" s="104" t="s">
        <v>32</v>
      </c>
      <c r="I573" s="1" t="e">
        <f>LOOKUP(VLOOKUP($H573,$H$352:J$460,4,0),[1]Equivalencias!$CP$3:$CQ$12)</f>
        <v>#REF!</v>
      </c>
      <c r="K573" s="1">
        <f>LOOKUP(VLOOKUP($H573,$H$352:L$460,4,0),[1]Equivalencias!$CP$3:$CQ$12)</f>
        <v>4</v>
      </c>
    </row>
    <row r="574" spans="7:11" x14ac:dyDescent="0.2">
      <c r="G574" s="103" t="s">
        <v>110</v>
      </c>
      <c r="H574" s="104" t="s">
        <v>44</v>
      </c>
      <c r="I574" s="1" t="e">
        <f>LOOKUP(VLOOKUP($H574,$H$352:J$460,4,0),[1]Equivalencias!$CR$3:$CS$12)</f>
        <v>#REF!</v>
      </c>
      <c r="K574" s="1">
        <f>LOOKUP(VLOOKUP($H574,$H$352:L$460,4,0),[1]Equivalencias!$CR$3:$CS$12)</f>
        <v>1</v>
      </c>
    </row>
    <row r="575" spans="7:11" x14ac:dyDescent="0.2">
      <c r="G575" s="103" t="s">
        <v>110</v>
      </c>
      <c r="H575" s="104" t="s">
        <v>40</v>
      </c>
      <c r="I575" s="1" t="e">
        <f>LOOKUP(VLOOKUP($H575,$H$352:J$460,4,0),[1]Equivalencias!$CT$3:$CU$12)</f>
        <v>#REF!</v>
      </c>
      <c r="K575" s="1">
        <f>LOOKUP(VLOOKUP($H575,$H$352:L$460,4,0),[1]Equivalencias!$CT$3:$CU$12)</f>
        <v>9</v>
      </c>
    </row>
    <row r="576" spans="7:11" x14ac:dyDescent="0.2">
      <c r="G576" t="s">
        <v>59</v>
      </c>
      <c r="H576" s="7" t="s">
        <v>108</v>
      </c>
      <c r="I576" s="1" t="e">
        <f>LOOKUP(VLOOKUP($H576,$H$352:J$460,4,0),[1]Equivalencias!$CZ$3:$DA$12)</f>
        <v>#REF!</v>
      </c>
      <c r="K576" s="1">
        <f>LOOKUP(VLOOKUP($H576,$H$352:L$460,4,0),[1]Equivalencias!$CZ$3:$DA$12)</f>
        <v>9</v>
      </c>
    </row>
    <row r="577" spans="7:11" x14ac:dyDescent="0.2">
      <c r="G577" t="s">
        <v>59</v>
      </c>
      <c r="H577" t="s">
        <v>116</v>
      </c>
      <c r="I577" s="1" t="e">
        <f>LOOKUP(VLOOKUP($H577,$H$352:J$460,4,0),[1]Equivalencias!$CV$3:$CW$12)</f>
        <v>#REF!</v>
      </c>
      <c r="K577" s="1">
        <f>LOOKUP(VLOOKUP($H577,$H$352:L$460,4,0),[1]Equivalencias!$CV$3:$CW$12)</f>
        <v>9</v>
      </c>
    </row>
    <row r="578" spans="7:11" x14ac:dyDescent="0.2">
      <c r="G578" t="s">
        <v>59</v>
      </c>
      <c r="H578" s="7" t="s">
        <v>52</v>
      </c>
      <c r="I578" s="1" t="e">
        <f>LOOKUP(VLOOKUP($H578,$H$352:J$460,4,0),[1]Equivalencias!$CX$3:$CY$12)</f>
        <v>#REF!</v>
      </c>
      <c r="K578" s="1">
        <f>LOOKUP(VLOOKUP($H578,$H$352:L$460,4,0),[1]Equivalencias!$CX$3:$CY$12)</f>
        <v>3</v>
      </c>
    </row>
    <row r="579" spans="7:11" x14ac:dyDescent="0.2">
      <c r="G579" s="103" t="s">
        <v>514</v>
      </c>
      <c r="H579" s="104" t="s">
        <v>550</v>
      </c>
      <c r="I579" s="1" t="e">
        <f>LOOKUP(VLOOKUP($H579,$H$352:J$460,4,0),[1]Equivalencias!$AH$3:$AI$12)</f>
        <v>#REF!</v>
      </c>
      <c r="K579" s="1">
        <f>LOOKUP(VLOOKUP($H579,$H$352:L$460,4,0),[1]Equivalencias!$AH$3:$AI$12)</f>
        <v>7</v>
      </c>
    </row>
    <row r="580" spans="7:11" x14ac:dyDescent="0.2">
      <c r="G580" s="103" t="s">
        <v>514</v>
      </c>
      <c r="H580" s="104" t="s">
        <v>551</v>
      </c>
      <c r="I580" s="1" t="e">
        <f>LOOKUP(VLOOKUP($H580,$H$352:J$460,4,0),[1]Equivalencias!$AF$3:$AG$12)</f>
        <v>#REF!</v>
      </c>
      <c r="K580" s="1">
        <f>LOOKUP(VLOOKUP($H580,$H$352:L$460,4,0),[1]Equivalencias!$AF$3:$AG$12)</f>
        <v>10</v>
      </c>
    </row>
    <row r="581" spans="7:11" x14ac:dyDescent="0.2">
      <c r="G581" s="103" t="s">
        <v>514</v>
      </c>
      <c r="H581" s="104" t="s">
        <v>549</v>
      </c>
      <c r="I581" s="1" t="e">
        <f>LOOKUP(VLOOKUP($H581,$H$352:J$460,4,0),[1]Equivalencias!$BJ$3:$BK$12)</f>
        <v>#REF!</v>
      </c>
      <c r="K581" s="1">
        <f>LOOKUP(VLOOKUP($H581,$H$352:L$460,4,0),[1]Equivalencias!$BJ$3:$BK$12)</f>
        <v>8</v>
      </c>
    </row>
    <row r="582" spans="7:11" x14ac:dyDescent="0.2">
      <c r="G582" t="s">
        <v>552</v>
      </c>
      <c r="H582" s="7" t="s">
        <v>43</v>
      </c>
      <c r="I582" s="1" t="e">
        <f>LOOKUP(VLOOKUP($H582,$H$352:J$460,4,0),[1]Equivalencias!$DB$3:$DC$12)</f>
        <v>#REF!</v>
      </c>
      <c r="K582" s="1">
        <f>LOOKUP(VLOOKUP($H582,$H$352:L$460,4,0),[1]Equivalencias!$DB$3:$DC$12)</f>
        <v>8</v>
      </c>
    </row>
    <row r="583" spans="7:11" x14ac:dyDescent="0.2">
      <c r="G583" t="s">
        <v>552</v>
      </c>
      <c r="H583" s="7" t="s">
        <v>121</v>
      </c>
      <c r="I583" s="1" t="e">
        <f>LOOKUP(VLOOKUP($H583,$H$352:J$460,4,0),[1]Equivalencias!$DD$3:$DE$12)</f>
        <v>#REF!</v>
      </c>
      <c r="K583" s="1">
        <f>LOOKUP(VLOOKUP($H583,$H$352:L$460,4,0),[1]Equivalencias!$DD$3:$DE$12)</f>
        <v>4</v>
      </c>
    </row>
    <row r="584" spans="7:11" x14ac:dyDescent="0.2">
      <c r="G584" t="s">
        <v>552</v>
      </c>
      <c r="H584" s="7" t="s">
        <v>9</v>
      </c>
      <c r="I584" s="1" t="e">
        <f>LOOKUP(VLOOKUP($H584,$H$352:J$460,4,0),[1]Equivalencias!$DF$3:$DG$12)</f>
        <v>#REF!</v>
      </c>
      <c r="K584" s="1">
        <f>LOOKUP(VLOOKUP($H584,$H$352:L$460,4,0),[1]Equivalencias!$DF$3:$DG$12)</f>
        <v>6</v>
      </c>
    </row>
    <row r="585" spans="7:11" x14ac:dyDescent="0.2">
      <c r="G585" s="103" t="s">
        <v>83</v>
      </c>
      <c r="H585" s="104" t="s">
        <v>36</v>
      </c>
      <c r="I585" s="1" t="e">
        <f>LOOKUP(VLOOKUP($H585,$H$352:J$460,4,0),[1]Equivalencias!$AV$3:$AW$12)</f>
        <v>#REF!</v>
      </c>
      <c r="K585" s="1">
        <f>LOOKUP(VLOOKUP($H585,$H$352:L$460,4,0),[1]Equivalencias!$AV$3:$AW$12)</f>
        <v>6</v>
      </c>
    </row>
    <row r="586" spans="7:11" x14ac:dyDescent="0.2">
      <c r="G586" s="103" t="s">
        <v>83</v>
      </c>
      <c r="H586" s="104" t="s">
        <v>31</v>
      </c>
      <c r="I586" s="1" t="e">
        <f>LOOKUP(VLOOKUP($H586,$H$352:J$460,4,0),[1]Equivalencias!$AP$3:$AQ$12)</f>
        <v>#REF!</v>
      </c>
      <c r="K586" s="1">
        <f>LOOKUP(VLOOKUP($H586,$H$352:L$460,4,0),[1]Equivalencias!$AP$3:$AQ$12)</f>
        <v>2</v>
      </c>
    </row>
    <row r="587" spans="7:11" x14ac:dyDescent="0.2">
      <c r="G587" s="103" t="s">
        <v>83</v>
      </c>
      <c r="H587" s="104" t="s">
        <v>553</v>
      </c>
      <c r="I587" s="1" t="e">
        <f>LOOKUP(VLOOKUP($H587,$H$352:J$460,4,0),[1]Equivalencias!$DH$3:$DI$12)</f>
        <v>#REF!</v>
      </c>
      <c r="K587" s="1">
        <f>LOOKUP(VLOOKUP($H587,$H$352:L$460,4,0),[1]Equivalencias!$DH$3:$DI$12)</f>
        <v>9</v>
      </c>
    </row>
    <row r="588" spans="7:11" x14ac:dyDescent="0.2">
      <c r="G588" t="s">
        <v>97</v>
      </c>
      <c r="H588" s="7" t="s">
        <v>18</v>
      </c>
      <c r="I588" s="1" t="e">
        <f>LOOKUP(VLOOKUP($H588,$H$352:J$460,4,0),[1]Equivalencias!$AD$3:$AE$12)</f>
        <v>#REF!</v>
      </c>
      <c r="K588" s="1">
        <f>LOOKUP(VLOOKUP($H588,$H$352:L$460,4,0),[1]Equivalencias!$AD$3:$AE$12)</f>
        <v>2</v>
      </c>
    </row>
    <row r="589" spans="7:11" x14ac:dyDescent="0.2">
      <c r="G589" t="s">
        <v>97</v>
      </c>
      <c r="H589" s="7" t="s">
        <v>11</v>
      </c>
      <c r="I589" s="1" t="e">
        <f>LOOKUP(VLOOKUP($H589,$H$352:J$460,4,0),[1]Equivalencias!$BB$3:$BC$12)</f>
        <v>#REF!</v>
      </c>
      <c r="K589" s="1">
        <f>LOOKUP(VLOOKUP($H589,$H$352:L$460,4,0),[1]Equivalencias!$BB$3:$BC$12)</f>
        <v>5</v>
      </c>
    </row>
    <row r="590" spans="7:11" x14ac:dyDescent="0.2">
      <c r="G590" t="s">
        <v>97</v>
      </c>
      <c r="H590" s="7" t="s">
        <v>98</v>
      </c>
      <c r="I590" s="1" t="e">
        <f>LOOKUP(VLOOKUP($H590,$H$352:J$460,4,0),[1]Equivalencias!$BL$3:$BM$12)</f>
        <v>#REF!</v>
      </c>
      <c r="K590" s="1">
        <f>LOOKUP(VLOOKUP($H590,$H$352:L$460,4,0),[1]Equivalencias!$BL$3:$BM$12)</f>
        <v>2</v>
      </c>
    </row>
    <row r="591" spans="7:11" x14ac:dyDescent="0.2">
      <c r="G591" s="103" t="s">
        <v>109</v>
      </c>
      <c r="H591" s="104" t="s">
        <v>108</v>
      </c>
      <c r="I591" s="1" t="e">
        <f>LOOKUP(VLOOKUP($H591,$H$352:J$460,4,0),[1]Equivalencias!$CZ$3:$DA$12)</f>
        <v>#REF!</v>
      </c>
      <c r="K591" s="1">
        <f>LOOKUP(VLOOKUP($H591,$H$352:L$460,4,0),[1]Equivalencias!$CZ$3:$DA$12)</f>
        <v>9</v>
      </c>
    </row>
    <row r="592" spans="7:11" x14ac:dyDescent="0.2">
      <c r="G592" s="103" t="s">
        <v>109</v>
      </c>
      <c r="H592" s="104" t="s">
        <v>26</v>
      </c>
      <c r="I592" s="1" t="e">
        <f>LOOKUP(VLOOKUP($H592,$H$352:J$460,4,0),[1]Equivalencias!$CD$3:$CE$12)</f>
        <v>#REF!</v>
      </c>
      <c r="K592" s="1">
        <f>LOOKUP(VLOOKUP($H592,$H$352:L$460,4,0),[1]Equivalencias!$CD$3:$CE$12)</f>
        <v>6</v>
      </c>
    </row>
    <row r="593" spans="7:11" x14ac:dyDescent="0.2">
      <c r="G593" s="103" t="s">
        <v>109</v>
      </c>
      <c r="H593" s="104" t="s">
        <v>107</v>
      </c>
      <c r="I593" s="1" t="e">
        <f>LOOKUP(VLOOKUP($H593,$H$352:J$460,4,0),[1]Equivalencias!$Z$3:$AA$12)</f>
        <v>#REF!</v>
      </c>
      <c r="K593" s="1">
        <f>LOOKUP(VLOOKUP($H593,$H$352:L$460,4,0),[1]Equivalencias!$Z$3:$AA$12)</f>
        <v>5</v>
      </c>
    </row>
    <row r="594" spans="7:11" x14ac:dyDescent="0.2">
      <c r="H594" s="7"/>
      <c r="K594" s="1"/>
    </row>
    <row r="595" spans="7:11" x14ac:dyDescent="0.2">
      <c r="G595" s="103" t="s">
        <v>554</v>
      </c>
      <c r="H595" s="104" t="s">
        <v>555</v>
      </c>
      <c r="I595" s="1" t="e">
        <f>LOOKUP(VLOOKUP($H595,$H$352:J$460,4,0),[1]Equivalencias!$DF$3:$DG$12)</f>
        <v>#REF!</v>
      </c>
      <c r="K595" s="1">
        <f>LOOKUP(VLOOKUP($H595,$H$352:L$460,4,0),[1]Equivalencias!$DF$3:$DG$12)</f>
        <v>6</v>
      </c>
    </row>
    <row r="596" spans="7:11" x14ac:dyDescent="0.2">
      <c r="G596" s="103" t="s">
        <v>554</v>
      </c>
      <c r="H596" s="104" t="s">
        <v>556</v>
      </c>
      <c r="I596" s="1" t="e">
        <f>LOOKUP(VLOOKUP($H596,$H$352:J$460,4,0),[1]Equivalencias!$BB$3:$BC$12)</f>
        <v>#REF!</v>
      </c>
      <c r="K596" s="1">
        <f>LOOKUP(VLOOKUP($H596,$H$352:L$460,4,0),[1]Equivalencias!$BB$3:$BC$12)</f>
        <v>5</v>
      </c>
    </row>
    <row r="597" spans="7:11" x14ac:dyDescent="0.2">
      <c r="G597" s="103" t="s">
        <v>554</v>
      </c>
      <c r="H597" s="104" t="s">
        <v>536</v>
      </c>
      <c r="I597" s="1" t="e">
        <f>LOOKUP(VLOOKUP($H597,$H$352:J$460,4,0),[1]Equivalencias!$AZ$3:$BA$12)</f>
        <v>#REF!</v>
      </c>
      <c r="K597" s="1">
        <f>LOOKUP(VLOOKUP($H597,$H$352:L$460,4,0),[1]Equivalencias!$AZ$3:$BA$12)</f>
        <v>8</v>
      </c>
    </row>
    <row r="598" spans="7:11" x14ac:dyDescent="0.2">
      <c r="G598" s="103" t="s">
        <v>554</v>
      </c>
      <c r="H598" s="104" t="s">
        <v>549</v>
      </c>
      <c r="I598" s="1" t="e">
        <f>LOOKUP(VLOOKUP($H598,$H$352:J$460,4,0),[1]Equivalencias!$BJ$3:$BK$12)</f>
        <v>#REF!</v>
      </c>
      <c r="K598" s="1">
        <f>LOOKUP(VLOOKUP($H598,$H$352:L$460,4,0),[1]Equivalencias!$BJ$3:$BK$12)</f>
        <v>8</v>
      </c>
    </row>
    <row r="599" spans="7:11" x14ac:dyDescent="0.2">
      <c r="G599" t="s">
        <v>524</v>
      </c>
      <c r="H599" s="7" t="s">
        <v>534</v>
      </c>
      <c r="I599" s="1" t="e">
        <f>LOOKUP(VLOOKUP($H599,$H$352:J$460,4,0),[1]Equivalencias!$X$3:$Y$12)</f>
        <v>#REF!</v>
      </c>
      <c r="K599" s="1">
        <f>LOOKUP(VLOOKUP($H599,$H$352:L$460,4,0),[1]Equivalencias!$X$3:$Y$12)</f>
        <v>1</v>
      </c>
    </row>
    <row r="600" spans="7:11" x14ac:dyDescent="0.2">
      <c r="G600" t="s">
        <v>524</v>
      </c>
      <c r="H600" s="7" t="s">
        <v>540</v>
      </c>
      <c r="I600" s="1" t="e">
        <f>LOOKUP(VLOOKUP($H600,$H$352:J$460,4,0),[1]Equivalencias!$CL$3:$CM$12)</f>
        <v>#REF!</v>
      </c>
      <c r="K600" s="1">
        <f>LOOKUP(VLOOKUP($H600,$H$352:L$460,4,0),[1]Equivalencias!$CL$3:$CM$12)</f>
        <v>1</v>
      </c>
    </row>
    <row r="601" spans="7:11" x14ac:dyDescent="0.2">
      <c r="G601" t="s">
        <v>524</v>
      </c>
      <c r="H601" s="7" t="s">
        <v>546</v>
      </c>
      <c r="I601" s="1" t="e">
        <f>LOOKUP(VLOOKUP($H601,$H$352:J$460,4,0),[1]Equivalencias!$CB$3:$CC$12)</f>
        <v>#REF!</v>
      </c>
      <c r="K601" s="1">
        <f>LOOKUP(VLOOKUP($H601,$H$352:L$460,4,0),[1]Equivalencias!$CB$3:$CC$12)</f>
        <v>2</v>
      </c>
    </row>
    <row r="602" spans="7:11" x14ac:dyDescent="0.2">
      <c r="G602" t="s">
        <v>524</v>
      </c>
      <c r="H602" s="7" t="s">
        <v>557</v>
      </c>
      <c r="I602" s="1" t="e">
        <f>LOOKUP(VLOOKUP($H602,$H$352:J$460,4,0),[1]Equivalencias!$BT$3:$BU$12)</f>
        <v>#REF!</v>
      </c>
      <c r="K602" s="1">
        <f>LOOKUP(VLOOKUP($H602,$H$352:L$460,4,0),[1]Equivalencias!$BT$3:$BU$12)</f>
        <v>8</v>
      </c>
    </row>
    <row r="603" spans="7:11" x14ac:dyDescent="0.2">
      <c r="G603" s="103" t="s">
        <v>27</v>
      </c>
      <c r="H603" s="104" t="s">
        <v>555</v>
      </c>
      <c r="I603" s="1" t="e">
        <f>LOOKUP(VLOOKUP($H603,$H$352:J$460,4,0),[1]Equivalencias!$DF$3:$DG$12)</f>
        <v>#REF!</v>
      </c>
      <c r="K603" s="1">
        <f>LOOKUP(VLOOKUP($H603,$H$352:L$460,4,0),[1]Equivalencias!$DF$3:$DG$12)</f>
        <v>6</v>
      </c>
    </row>
    <row r="604" spans="7:11" x14ac:dyDescent="0.2">
      <c r="G604" s="103" t="s">
        <v>27</v>
      </c>
      <c r="H604" s="104" t="s">
        <v>558</v>
      </c>
      <c r="I604" s="1" t="e">
        <f>LOOKUP(VLOOKUP($H604,$H$352:J$460,4,0),[1]Equivalencias!$DJ$3:$DK$12)</f>
        <v>#REF!</v>
      </c>
      <c r="K604" s="1">
        <f>LOOKUP(VLOOKUP($H604,$H$352:L$460,4,0),[1]Equivalencias!$DJ$3:$DK$12)</f>
        <v>4</v>
      </c>
    </row>
    <row r="605" spans="7:11" x14ac:dyDescent="0.2">
      <c r="G605" s="103" t="s">
        <v>27</v>
      </c>
      <c r="H605" s="104" t="s">
        <v>530</v>
      </c>
      <c r="I605" s="1" t="e">
        <f>LOOKUP(VLOOKUP($H605,$H$352:J$460,4,0),[1]Equivalencias!$CP$3:$CQ$12)</f>
        <v>#REF!</v>
      </c>
      <c r="K605" s="1">
        <f>LOOKUP(VLOOKUP($H605,$H$352:L$460,4,0),[1]Equivalencias!$CP$3:$CQ$12)</f>
        <v>4</v>
      </c>
    </row>
    <row r="606" spans="7:11" x14ac:dyDescent="0.2">
      <c r="G606" s="103" t="s">
        <v>27</v>
      </c>
      <c r="H606" s="104" t="s">
        <v>541</v>
      </c>
      <c r="I606" s="1" t="e">
        <f>LOOKUP(VLOOKUP($H606,$H$352:J$460,4,0),[1]Equivalencias!$DL$3:$DM$12)</f>
        <v>#REF!</v>
      </c>
      <c r="K606" s="1">
        <f>LOOKUP(VLOOKUP($H606,$H$352:L$460,4,0),[1]Equivalencias!$DL$3:$DM$12)</f>
        <v>6</v>
      </c>
    </row>
    <row r="607" spans="7:11" x14ac:dyDescent="0.2">
      <c r="G607" t="s">
        <v>37</v>
      </c>
      <c r="H607" s="7" t="s">
        <v>547</v>
      </c>
      <c r="I607" s="1" t="e">
        <f>LOOKUP(VLOOKUP($H607,$H$352:J$460,4,0),[1]Equivalencias!$BR$3:$BS$12)</f>
        <v>#REF!</v>
      </c>
      <c r="K607" s="1">
        <f>LOOKUP(VLOOKUP($H607,$H$352:L$460,4,0),[1]Equivalencias!$BR$3:$BS$12)</f>
        <v>5</v>
      </c>
    </row>
    <row r="608" spans="7:11" x14ac:dyDescent="0.2">
      <c r="G608" t="s">
        <v>37</v>
      </c>
      <c r="H608" s="7" t="s">
        <v>559</v>
      </c>
      <c r="I608" s="1" t="e">
        <f>LOOKUP(VLOOKUP($H608,$H$352:J$460,4,0),[1]Equivalencias!$CT$3:$CU$12)</f>
        <v>#REF!</v>
      </c>
      <c r="K608" s="1">
        <f>LOOKUP(VLOOKUP($H608,$H$352:L$460,4,0),[1]Equivalencias!$CT$3:$CU$12)</f>
        <v>9</v>
      </c>
    </row>
    <row r="609" spans="1:11" x14ac:dyDescent="0.2">
      <c r="G609" t="s">
        <v>37</v>
      </c>
      <c r="H609" s="7" t="s">
        <v>549</v>
      </c>
      <c r="I609" s="1" t="e">
        <f>LOOKUP(VLOOKUP($H609,$H$352:J$460,4,0),[1]Equivalencias!$BJ$3:$BK$12)</f>
        <v>#REF!</v>
      </c>
      <c r="K609" s="1">
        <f>LOOKUP(VLOOKUP($H609,$H$352:L$460,4,0),[1]Equivalencias!$BJ$3:$BK$12)</f>
        <v>8</v>
      </c>
    </row>
    <row r="610" spans="1:11" x14ac:dyDescent="0.2">
      <c r="G610" t="s">
        <v>37</v>
      </c>
      <c r="H610" s="7" t="s">
        <v>548</v>
      </c>
      <c r="I610" s="1" t="e">
        <f>LOOKUP(VLOOKUP($H610,$H$352:J$460,4,0),[1]Equivalencias!$CR$3:$CS$12)</f>
        <v>#REF!</v>
      </c>
      <c r="K610" s="1">
        <f>LOOKUP(VLOOKUP($H610,$H$352:L$460,4,0),[1]Equivalencias!$CR$3:$CS$12)</f>
        <v>1</v>
      </c>
    </row>
    <row r="611" spans="1:11" x14ac:dyDescent="0.2">
      <c r="H611" s="7"/>
      <c r="K611" s="1"/>
    </row>
    <row r="612" spans="1:11" x14ac:dyDescent="0.2">
      <c r="G612" s="103" t="s">
        <v>46</v>
      </c>
      <c r="H612" s="104" t="s">
        <v>116</v>
      </c>
      <c r="I612" s="1" t="e">
        <f>LOOKUP(VLOOKUP($H612,$H$352:J$460,4,0),[1]Equivalencias!$CV$3:$CW$12)</f>
        <v>#REF!</v>
      </c>
      <c r="K612" s="1">
        <f>LOOKUP(VLOOKUP($H612,$H$352:L$460,4,0),[1]Equivalencias!$CV$3:$CW$12)</f>
        <v>9</v>
      </c>
    </row>
    <row r="613" spans="1:11" x14ac:dyDescent="0.2">
      <c r="G613" s="103" t="s">
        <v>46</v>
      </c>
      <c r="H613" s="104" t="s">
        <v>52</v>
      </c>
      <c r="I613" s="1" t="e">
        <f>LOOKUP(VLOOKUP($H613,$H$352:J$460,4,0),[1]Equivalencias!$CX$3:$CY$12)</f>
        <v>#REF!</v>
      </c>
      <c r="K613" s="1">
        <f>LOOKUP(VLOOKUP($H613,$H$352:L$460,4,0),[1]Equivalencias!$CX$3:$CY$12)</f>
        <v>3</v>
      </c>
    </row>
    <row r="614" spans="1:11" x14ac:dyDescent="0.2">
      <c r="K614" s="1"/>
    </row>
    <row r="615" spans="1:11" x14ac:dyDescent="0.2">
      <c r="K615" s="1"/>
    </row>
    <row r="616" spans="1:11" x14ac:dyDescent="0.2">
      <c r="A616" s="9" t="s">
        <v>525</v>
      </c>
      <c r="E616" s="117" t="s">
        <v>560</v>
      </c>
      <c r="G616" s="118" t="s">
        <v>60</v>
      </c>
      <c r="H616" s="119" t="s">
        <v>5</v>
      </c>
      <c r="I616" s="110">
        <f>AVERAGE(I352:I354)</f>
        <v>16</v>
      </c>
      <c r="K616" s="110">
        <f>AVERAGE(K352:K354)</f>
        <v>9.3333333333333339</v>
      </c>
    </row>
    <row r="617" spans="1:11" x14ac:dyDescent="0.2">
      <c r="E617" s="117" t="s">
        <v>561</v>
      </c>
      <c r="G617" s="118" t="s">
        <v>60</v>
      </c>
      <c r="H617" s="119" t="s">
        <v>56</v>
      </c>
      <c r="I617" s="1">
        <f>AVERAGE(I367:I369)</f>
        <v>12.666666666666666</v>
      </c>
      <c r="K617" s="1">
        <f>AVERAGE(K367:K369)</f>
        <v>10.666666666666666</v>
      </c>
    </row>
    <row r="618" spans="1:11" x14ac:dyDescent="0.2">
      <c r="G618" s="19" t="s">
        <v>68</v>
      </c>
      <c r="H618" s="113" t="s">
        <v>69</v>
      </c>
      <c r="I618" s="110">
        <f>AVERAGE(I382:I384)</f>
        <v>14</v>
      </c>
      <c r="K618" s="110">
        <f>AVERAGE(K382:K384)</f>
        <v>12</v>
      </c>
    </row>
    <row r="619" spans="1:11" x14ac:dyDescent="0.2">
      <c r="G619" s="19" t="s">
        <v>68</v>
      </c>
      <c r="H619" s="113" t="s">
        <v>22</v>
      </c>
      <c r="I619" s="110">
        <f>AVERAGE(I410:I412)</f>
        <v>14.666666666666666</v>
      </c>
      <c r="K619" s="110">
        <f>AVERAGE(K410:K412)</f>
        <v>14</v>
      </c>
    </row>
    <row r="620" spans="1:11" x14ac:dyDescent="0.2">
      <c r="G620" s="118" t="s">
        <v>71</v>
      </c>
      <c r="H620" s="119" t="s">
        <v>72</v>
      </c>
      <c r="I620" s="110">
        <f>AVERAGE(I407:I409)</f>
        <v>15.333333333333334</v>
      </c>
      <c r="K620" s="110">
        <f>AVERAGE(K407:K409)</f>
        <v>12.666666666666666</v>
      </c>
    </row>
    <row r="621" spans="1:11" x14ac:dyDescent="0.2">
      <c r="G621" s="118" t="s">
        <v>71</v>
      </c>
      <c r="H621" s="119" t="s">
        <v>74</v>
      </c>
      <c r="I621" s="110">
        <f>AVERAGE(I394:I396)</f>
        <v>9.3333333333333339</v>
      </c>
      <c r="K621" s="110">
        <f>AVERAGE(K394:K396)</f>
        <v>10.333333333333334</v>
      </c>
    </row>
    <row r="622" spans="1:11" x14ac:dyDescent="0.2">
      <c r="G622" s="19" t="s">
        <v>75</v>
      </c>
      <c r="H622" s="113" t="s">
        <v>76</v>
      </c>
      <c r="I622" s="110">
        <f>AVERAGE(I385:I387)</f>
        <v>12.333333333333334</v>
      </c>
      <c r="K622" s="110">
        <f>AVERAGE(K385:K387)</f>
        <v>12.333333333333334</v>
      </c>
    </row>
    <row r="623" spans="1:11" x14ac:dyDescent="0.2">
      <c r="G623" s="19" t="s">
        <v>75</v>
      </c>
      <c r="H623" s="113" t="s">
        <v>78</v>
      </c>
      <c r="I623" s="110">
        <f>AVERAGE(I419:I421)</f>
        <v>7.666666666666667</v>
      </c>
      <c r="K623" s="110">
        <f>AVERAGE(K419:K421)</f>
        <v>8.3333333333333339</v>
      </c>
    </row>
    <row r="624" spans="1:11" x14ac:dyDescent="0.2">
      <c r="G624" s="118" t="s">
        <v>80</v>
      </c>
      <c r="H624" s="119" t="s">
        <v>81</v>
      </c>
      <c r="I624" s="110">
        <f>AVERAGE(I376:I378)</f>
        <v>15</v>
      </c>
      <c r="K624" s="110">
        <f>AVERAGE(K376:K378)</f>
        <v>14.666666666666666</v>
      </c>
    </row>
    <row r="625" spans="7:11" x14ac:dyDescent="0.2">
      <c r="G625" s="118" t="s">
        <v>80</v>
      </c>
      <c r="H625" s="119" t="s">
        <v>83</v>
      </c>
      <c r="I625" s="110">
        <f>AVERAGE(I434:I436)</f>
        <v>13.333333333333334</v>
      </c>
      <c r="K625" s="110">
        <f>AVERAGE(K434:K436)</f>
        <v>11.666666666666666</v>
      </c>
    </row>
    <row r="626" spans="7:11" x14ac:dyDescent="0.2">
      <c r="G626" s="19" t="s">
        <v>85</v>
      </c>
      <c r="H626" s="113" t="s">
        <v>66</v>
      </c>
      <c r="I626" s="110">
        <f>AVERAGE(I370:I372)</f>
        <v>10</v>
      </c>
      <c r="K626" s="110">
        <f>AVERAGE(K370:K372)</f>
        <v>11</v>
      </c>
    </row>
    <row r="627" spans="7:11" x14ac:dyDescent="0.2">
      <c r="G627" s="19" t="s">
        <v>85</v>
      </c>
      <c r="H627" s="113" t="s">
        <v>88</v>
      </c>
      <c r="I627" s="110">
        <f>AVERAGE(I428:I430)</f>
        <v>9.6666666666666661</v>
      </c>
      <c r="K627" s="110">
        <f>AVERAGE(K428:K430)</f>
        <v>9</v>
      </c>
    </row>
    <row r="628" spans="7:11" x14ac:dyDescent="0.2">
      <c r="G628" s="118" t="s">
        <v>90</v>
      </c>
      <c r="H628" s="119" t="s">
        <v>91</v>
      </c>
      <c r="I628" s="110">
        <f>AVERAGE(I373:I375)</f>
        <v>11</v>
      </c>
      <c r="K628" s="110">
        <f>AVERAGE(K373:K375)</f>
        <v>5.666666666666667</v>
      </c>
    </row>
    <row r="629" spans="7:11" x14ac:dyDescent="0.2">
      <c r="G629" s="118" t="s">
        <v>90</v>
      </c>
      <c r="H629" s="119" t="s">
        <v>89</v>
      </c>
      <c r="I629" s="110">
        <f>AVERAGE(I416:I418)</f>
        <v>15</v>
      </c>
      <c r="K629" s="110">
        <f>AVERAGE(K416:K418)</f>
        <v>13</v>
      </c>
    </row>
    <row r="630" spans="7:11" x14ac:dyDescent="0.2">
      <c r="G630" s="19" t="s">
        <v>93</v>
      </c>
      <c r="H630" s="113" t="s">
        <v>94</v>
      </c>
      <c r="I630" s="71">
        <f>AVERAGE(I431:I433)</f>
        <v>10.666666666666666</v>
      </c>
      <c r="K630" s="71">
        <f>AVERAGE(K431:K433)</f>
        <v>11.333333333333334</v>
      </c>
    </row>
    <row r="631" spans="7:11" x14ac:dyDescent="0.2">
      <c r="G631" s="19" t="s">
        <v>93</v>
      </c>
      <c r="H631" s="114" t="s">
        <v>42</v>
      </c>
      <c r="I631" s="110">
        <f>AVERAGE(I401:I403)</f>
        <v>11</v>
      </c>
      <c r="K631" s="110">
        <f>AVERAGE(K401:K403)</f>
        <v>11.666666666666666</v>
      </c>
    </row>
    <row r="632" spans="7:11" x14ac:dyDescent="0.2">
      <c r="H632" s="7"/>
      <c r="I632" s="110" t="s">
        <v>4</v>
      </c>
      <c r="K632" s="110" t="s">
        <v>4</v>
      </c>
    </row>
    <row r="633" spans="7:11" x14ac:dyDescent="0.2">
      <c r="H633" s="7"/>
      <c r="I633" s="110" t="s">
        <v>4</v>
      </c>
      <c r="K633" s="110" t="s">
        <v>4</v>
      </c>
    </row>
    <row r="634" spans="7:11" x14ac:dyDescent="0.2">
      <c r="G634" s="111" t="s">
        <v>27</v>
      </c>
      <c r="H634" s="112" t="s">
        <v>27</v>
      </c>
      <c r="I634" s="110">
        <f>AVERAGE(I451:I454)</f>
        <v>10.25</v>
      </c>
      <c r="K634" s="110">
        <f>AVERAGE(K451:K454)</f>
        <v>11</v>
      </c>
    </row>
    <row r="635" spans="7:11" x14ac:dyDescent="0.2">
      <c r="G635" s="111" t="s">
        <v>8</v>
      </c>
      <c r="H635" s="112" t="s">
        <v>8</v>
      </c>
      <c r="I635" s="110">
        <f>AVERAGE(I443:I446)</f>
        <v>13.25</v>
      </c>
      <c r="K635" s="110">
        <f>AVERAGE(K443:K446)</f>
        <v>13.75</v>
      </c>
    </row>
    <row r="636" spans="7:11" x14ac:dyDescent="0.2">
      <c r="G636" s="111" t="s">
        <v>19</v>
      </c>
      <c r="H636" s="112" t="s">
        <v>19</v>
      </c>
      <c r="I636" s="110">
        <f>AVERAGE(I447:I450)</f>
        <v>11.5</v>
      </c>
      <c r="K636" s="110">
        <f>AVERAGE(K447:K450)</f>
        <v>6.75</v>
      </c>
    </row>
    <row r="637" spans="7:11" x14ac:dyDescent="0.2">
      <c r="G637" s="111" t="s">
        <v>82</v>
      </c>
      <c r="H637" s="112" t="s">
        <v>82</v>
      </c>
      <c r="I637" s="110">
        <f>I465</f>
        <v>13.666666666666666</v>
      </c>
      <c r="K637" s="110">
        <f>K465</f>
        <v>5</v>
      </c>
    </row>
    <row r="638" spans="7:11" x14ac:dyDescent="0.2">
      <c r="H638" s="7"/>
      <c r="I638" s="110" t="s">
        <v>4</v>
      </c>
      <c r="K638" s="110" t="s">
        <v>4</v>
      </c>
    </row>
    <row r="639" spans="7:11" x14ac:dyDescent="0.2">
      <c r="G639" s="120" t="s">
        <v>105</v>
      </c>
      <c r="H639" s="120" t="s">
        <v>105</v>
      </c>
      <c r="I639" s="110">
        <f>AVERAGE(I361:I363)</f>
        <v>9.6666666666666661</v>
      </c>
      <c r="K639" s="110">
        <f>AVERAGE(K361:K363)</f>
        <v>13</v>
      </c>
    </row>
    <row r="640" spans="7:11" x14ac:dyDescent="0.2">
      <c r="G640" s="120" t="s">
        <v>47</v>
      </c>
      <c r="H640" s="121" t="s">
        <v>47</v>
      </c>
      <c r="I640" s="110">
        <f>AVERAGE(I358:I360)</f>
        <v>11.333333333333334</v>
      </c>
      <c r="K640" s="110">
        <f>AVERAGE(K358:K360)</f>
        <v>11</v>
      </c>
    </row>
    <row r="641" spans="7:12" x14ac:dyDescent="0.2">
      <c r="G641" s="120" t="s">
        <v>86</v>
      </c>
      <c r="H641" s="121" t="s">
        <v>86</v>
      </c>
      <c r="I641" s="110">
        <f>AVERAGE(I413:I415)</f>
        <v>16.333333333333332</v>
      </c>
      <c r="K641" s="110">
        <f>AVERAGE(K413:K415)</f>
        <v>8.3333333333333339</v>
      </c>
    </row>
    <row r="642" spans="7:12" x14ac:dyDescent="0.2">
      <c r="G642" s="120" t="s">
        <v>92</v>
      </c>
      <c r="H642" s="121" t="s">
        <v>92</v>
      </c>
      <c r="I642" s="110">
        <f>AVERAGE(I379:I381)</f>
        <v>12</v>
      </c>
      <c r="K642" s="110">
        <f>AVERAGE(K379:K381)</f>
        <v>11.666666666666666</v>
      </c>
    </row>
    <row r="643" spans="7:12" x14ac:dyDescent="0.2">
      <c r="G643" s="121" t="s">
        <v>59</v>
      </c>
      <c r="H643" s="121" t="s">
        <v>59</v>
      </c>
      <c r="I643" s="110">
        <f>AVERAGE(I391:I393)</f>
        <v>9.3333333333333339</v>
      </c>
      <c r="K643" s="110">
        <f>AVERAGE(K391:K393)</f>
        <v>12.666666666666666</v>
      </c>
    </row>
    <row r="644" spans="7:12" x14ac:dyDescent="0.2">
      <c r="G644" s="121" t="s">
        <v>84</v>
      </c>
      <c r="H644" s="121" t="s">
        <v>84</v>
      </c>
      <c r="I644" s="110">
        <f>AVERAGE(I404:I406)</f>
        <v>9</v>
      </c>
      <c r="J644" s="110"/>
      <c r="K644" s="110">
        <f>AVERAGE(K404:K406)</f>
        <v>15.666666666666666</v>
      </c>
      <c r="L644" s="110"/>
    </row>
    <row r="645" spans="7:12" x14ac:dyDescent="0.2">
      <c r="G645" s="121" t="s">
        <v>97</v>
      </c>
      <c r="H645" s="121" t="s">
        <v>97</v>
      </c>
      <c r="I645" s="110">
        <f>AVERAGE(I437:I439)</f>
        <v>14.333333333333334</v>
      </c>
      <c r="K645" s="110">
        <f>AVERAGE(K437:K439)</f>
        <v>9.3333333333333339</v>
      </c>
    </row>
    <row r="646" spans="7:12" x14ac:dyDescent="0.2">
      <c r="G646" s="121" t="s">
        <v>101</v>
      </c>
      <c r="H646" s="121" t="s">
        <v>101</v>
      </c>
      <c r="I646" s="110">
        <f>AVERAGE(I425:I427)</f>
        <v>9</v>
      </c>
      <c r="K646" s="110">
        <f>AVERAGE(K425:K427)</f>
        <v>8</v>
      </c>
    </row>
    <row r="647" spans="7:12" x14ac:dyDescent="0.2">
      <c r="G647" s="120" t="s">
        <v>14</v>
      </c>
      <c r="H647" s="121" t="s">
        <v>14</v>
      </c>
      <c r="I647" s="110">
        <f>AVERAGE(I355:I357)</f>
        <v>13.333333333333334</v>
      </c>
      <c r="K647" s="110">
        <f>AVERAGE(K355:K357)</f>
        <v>13.666666666666666</v>
      </c>
    </row>
    <row r="648" spans="7:12" x14ac:dyDescent="0.2">
      <c r="G648" s="121" t="s">
        <v>109</v>
      </c>
      <c r="H648" s="121" t="s">
        <v>109</v>
      </c>
      <c r="I648" s="110">
        <f>AVERAGE(I440:I442)</f>
        <v>13.333333333333334</v>
      </c>
      <c r="K648" s="110">
        <f>AVERAGE(K440:K442)</f>
        <v>11.333333333333334</v>
      </c>
    </row>
    <row r="649" spans="7:12" x14ac:dyDescent="0.2">
      <c r="G649" s="121" t="s">
        <v>35</v>
      </c>
      <c r="H649" s="121" t="s">
        <v>35</v>
      </c>
      <c r="I649" s="110">
        <f>AVERAGE(I364:I366)</f>
        <v>13.333333333333334</v>
      </c>
      <c r="K649" s="110">
        <f>AVERAGE(K364:K366)</f>
        <v>12.666666666666666</v>
      </c>
    </row>
    <row r="650" spans="7:12" x14ac:dyDescent="0.2">
      <c r="G650" s="120" t="s">
        <v>79</v>
      </c>
      <c r="H650" s="121" t="s">
        <v>79</v>
      </c>
      <c r="I650" s="110">
        <f>AVERAGE(I422:I424)</f>
        <v>9.6666666666666661</v>
      </c>
      <c r="K650" s="110">
        <f>AVERAGE(K422:K424)</f>
        <v>12.333333333333334</v>
      </c>
    </row>
    <row r="651" spans="7:12" x14ac:dyDescent="0.2">
      <c r="G651" s="121" t="s">
        <v>110</v>
      </c>
      <c r="H651" s="121" t="s">
        <v>110</v>
      </c>
      <c r="I651" s="110">
        <f>AVERAGE(I388:I390)</f>
        <v>11</v>
      </c>
      <c r="K651" s="110">
        <f>AVERAGE(K388:K390)</f>
        <v>10</v>
      </c>
    </row>
    <row r="652" spans="7:12" x14ac:dyDescent="0.2">
      <c r="K652" s="1"/>
    </row>
    <row r="653" spans="7:12" x14ac:dyDescent="0.2">
      <c r="K653" s="1"/>
    </row>
    <row r="654" spans="7:12" x14ac:dyDescent="0.2">
      <c r="G654">
        <v>0</v>
      </c>
      <c r="H654" s="7">
        <v>1</v>
      </c>
      <c r="I654" s="110">
        <f>MIN(I616:I651)</f>
        <v>7.666666666666667</v>
      </c>
      <c r="J654" s="1">
        <v>1</v>
      </c>
      <c r="K654" s="110">
        <f>MIN(K616:K651)</f>
        <v>5</v>
      </c>
      <c r="L654" s="1">
        <v>1</v>
      </c>
    </row>
    <row r="655" spans="7:12" x14ac:dyDescent="0.2">
      <c r="G655">
        <v>0.1</v>
      </c>
      <c r="H655" s="7">
        <v>2</v>
      </c>
      <c r="I655" s="110" t="e">
        <f t="shared" ref="I655:K663" si="18">_xlfn.PERCENTILE.EXC(I$752:I$787,$G655)</f>
        <v>#NUM!</v>
      </c>
      <c r="J655" s="1">
        <v>2</v>
      </c>
      <c r="K655" s="110" t="e">
        <f t="shared" si="18"/>
        <v>#NUM!</v>
      </c>
      <c r="L655" s="1">
        <v>2</v>
      </c>
    </row>
    <row r="656" spans="7:12" x14ac:dyDescent="0.2">
      <c r="G656">
        <v>0.2</v>
      </c>
      <c r="H656" s="7">
        <v>3</v>
      </c>
      <c r="I656" s="110" t="e">
        <f t="shared" si="18"/>
        <v>#NUM!</v>
      </c>
      <c r="J656" s="1">
        <v>3</v>
      </c>
      <c r="K656" s="110" t="e">
        <f t="shared" si="18"/>
        <v>#NUM!</v>
      </c>
      <c r="L656" s="1">
        <v>3</v>
      </c>
    </row>
    <row r="657" spans="3:12" x14ac:dyDescent="0.2">
      <c r="G657">
        <v>0.3</v>
      </c>
      <c r="H657" s="7">
        <v>4</v>
      </c>
      <c r="I657" s="110" t="e">
        <f t="shared" si="18"/>
        <v>#NUM!</v>
      </c>
      <c r="J657" s="1">
        <v>4</v>
      </c>
      <c r="K657" s="110" t="e">
        <f t="shared" si="18"/>
        <v>#NUM!</v>
      </c>
      <c r="L657" s="1">
        <v>4</v>
      </c>
    </row>
    <row r="658" spans="3:12" x14ac:dyDescent="0.2">
      <c r="G658">
        <v>0.4</v>
      </c>
      <c r="H658" s="7">
        <v>5</v>
      </c>
      <c r="I658" s="110" t="e">
        <f t="shared" si="18"/>
        <v>#NUM!</v>
      </c>
      <c r="J658" s="1">
        <v>5</v>
      </c>
      <c r="K658" s="110" t="e">
        <f t="shared" si="18"/>
        <v>#NUM!</v>
      </c>
      <c r="L658" s="1">
        <v>5</v>
      </c>
    </row>
    <row r="659" spans="3:12" x14ac:dyDescent="0.2">
      <c r="G659">
        <v>0.5</v>
      </c>
      <c r="H659" s="7">
        <v>6</v>
      </c>
      <c r="I659" s="110" t="e">
        <f t="shared" si="18"/>
        <v>#NUM!</v>
      </c>
      <c r="J659" s="1">
        <v>6</v>
      </c>
      <c r="K659" s="110" t="e">
        <f t="shared" si="18"/>
        <v>#NUM!</v>
      </c>
      <c r="L659" s="1">
        <v>6</v>
      </c>
    </row>
    <row r="660" spans="3:12" x14ac:dyDescent="0.2">
      <c r="G660">
        <v>0.6</v>
      </c>
      <c r="H660" s="7">
        <v>7</v>
      </c>
      <c r="I660" s="110" t="e">
        <f t="shared" si="18"/>
        <v>#NUM!</v>
      </c>
      <c r="J660" s="1">
        <v>7</v>
      </c>
      <c r="K660" s="110" t="e">
        <f t="shared" si="18"/>
        <v>#NUM!</v>
      </c>
      <c r="L660" s="1">
        <v>7</v>
      </c>
    </row>
    <row r="661" spans="3:12" x14ac:dyDescent="0.2">
      <c r="G661">
        <v>0.7</v>
      </c>
      <c r="H661" s="7">
        <v>8</v>
      </c>
      <c r="I661" s="110" t="e">
        <f t="shared" si="18"/>
        <v>#NUM!</v>
      </c>
      <c r="J661" s="1">
        <v>8</v>
      </c>
      <c r="K661" s="110" t="e">
        <f t="shared" si="18"/>
        <v>#NUM!</v>
      </c>
      <c r="L661" s="1">
        <v>8</v>
      </c>
    </row>
    <row r="662" spans="3:12" x14ac:dyDescent="0.2">
      <c r="G662">
        <v>0.8</v>
      </c>
      <c r="H662" s="7">
        <v>9</v>
      </c>
      <c r="I662" s="110" t="e">
        <f t="shared" si="18"/>
        <v>#NUM!</v>
      </c>
      <c r="J662" s="1">
        <v>9</v>
      </c>
      <c r="K662" s="110" t="e">
        <f t="shared" si="18"/>
        <v>#NUM!</v>
      </c>
      <c r="L662" s="1">
        <v>9</v>
      </c>
    </row>
    <row r="663" spans="3:12" x14ac:dyDescent="0.2">
      <c r="G663">
        <v>0.9</v>
      </c>
      <c r="H663" s="7">
        <v>10</v>
      </c>
      <c r="I663" s="110" t="e">
        <f t="shared" si="18"/>
        <v>#NUM!</v>
      </c>
      <c r="J663" s="1">
        <v>10</v>
      </c>
      <c r="K663" s="110" t="e">
        <f t="shared" si="18"/>
        <v>#NUM!</v>
      </c>
      <c r="L663" s="1">
        <v>10</v>
      </c>
    </row>
    <row r="664" spans="3:12" x14ac:dyDescent="0.2">
      <c r="K664" s="1"/>
    </row>
    <row r="665" spans="3:12" x14ac:dyDescent="0.2">
      <c r="K665" s="1"/>
    </row>
    <row r="666" spans="3:12" x14ac:dyDescent="0.2">
      <c r="G666" s="118" t="s">
        <v>60</v>
      </c>
      <c r="H666" s="119" t="s">
        <v>5</v>
      </c>
      <c r="I666" s="1" t="e">
        <f>LOOKUP(VLOOKUP($H666,$H$616:J$651,4,0),[1]Equivalencias!$AX$16:$AY$25)</f>
        <v>#REF!</v>
      </c>
      <c r="K666" s="1">
        <f>LOOKUP(VLOOKUP($H666,$H$616:L$651,4,0),[1]Equivalencias!$AX$16:$AY$25)</f>
        <v>4</v>
      </c>
    </row>
    <row r="667" spans="3:12" x14ac:dyDescent="0.2">
      <c r="G667" s="118" t="s">
        <v>60</v>
      </c>
      <c r="H667" s="119" t="s">
        <v>56</v>
      </c>
      <c r="I667" s="1" t="e">
        <f>LOOKUP(VLOOKUP($H667,$H$616:J$651,4,0),[1]Equivalencias!$BZ$16:$CA$25)</f>
        <v>#REF!</v>
      </c>
      <c r="K667" s="1">
        <f>LOOKUP(VLOOKUP($H667,$H$616:L$651,4,0),[1]Equivalencias!$BZ$16:$CA$25)</f>
        <v>4</v>
      </c>
    </row>
    <row r="668" spans="3:12" x14ac:dyDescent="0.2">
      <c r="G668" s="19" t="s">
        <v>68</v>
      </c>
      <c r="H668" s="113" t="s">
        <v>69</v>
      </c>
      <c r="I668" s="1" t="e">
        <f>LOOKUP(VLOOKUP($H668,$H$616:J$651,4,0),[1]Equivalencias!$AN$16:$AO$25)</f>
        <v>#REF!</v>
      </c>
      <c r="K668" s="1">
        <f>LOOKUP(VLOOKUP($H668,$H$616:L$651,4,0),[1]Equivalencias!$AN$16:$AO$25)</f>
        <v>8</v>
      </c>
    </row>
    <row r="669" spans="3:12" x14ac:dyDescent="0.2">
      <c r="G669" s="19" t="s">
        <v>68</v>
      </c>
      <c r="H669" s="113" t="s">
        <v>22</v>
      </c>
      <c r="I669" s="1" t="e">
        <f>LOOKUP(VLOOKUP($H669,$H$616:J$651,4,0),[1]Equivalencias!$AZ$16:$BA$25)</f>
        <v>#REF!</v>
      </c>
      <c r="K669" s="1">
        <f>LOOKUP(VLOOKUP($H669,$H$616:L$651,4,0),[1]Equivalencias!$AZ$16:$BA$25)</f>
        <v>8</v>
      </c>
    </row>
    <row r="670" spans="3:12" x14ac:dyDescent="0.2">
      <c r="E670" t="s">
        <v>562</v>
      </c>
      <c r="G670" s="118" t="s">
        <v>71</v>
      </c>
      <c r="H670" s="119" t="s">
        <v>72</v>
      </c>
      <c r="I670" s="1" t="e">
        <f>LOOKUP(VLOOKUP($H670,$H$616:J$651,4,0),[1]Equivalencias!$AL$16:$AM$25)</f>
        <v>#REF!</v>
      </c>
      <c r="K670" s="1">
        <f>LOOKUP(VLOOKUP($H670,$H$616:L$651,4,0),[1]Equivalencias!$AL$16:$AM$25)</f>
        <v>9</v>
      </c>
    </row>
    <row r="671" spans="3:12" x14ac:dyDescent="0.2">
      <c r="C671" t="s">
        <v>563</v>
      </c>
      <c r="G671" s="118" t="s">
        <v>71</v>
      </c>
      <c r="H671" s="119" t="s">
        <v>74</v>
      </c>
      <c r="I671" s="1" t="e">
        <f>LOOKUP(VLOOKUP($H671,$H$616:J$651,4,0),[1]Equivalencias!$AV$16:$AW$25)</f>
        <v>#REF!</v>
      </c>
      <c r="K671" s="1">
        <f>LOOKUP(VLOOKUP($H671,$H$616:L$651,4,0),[1]Equivalencias!$AV$16:$AW$25)</f>
        <v>6</v>
      </c>
    </row>
    <row r="672" spans="3:12" x14ac:dyDescent="0.2">
      <c r="C672" t="s">
        <v>564</v>
      </c>
      <c r="G672" s="19" t="s">
        <v>75</v>
      </c>
      <c r="H672" s="113" t="s">
        <v>76</v>
      </c>
      <c r="I672" s="1" t="e">
        <f>LOOKUP(VLOOKUP($H672,$H$616:J$651,4,0),[1]Equivalencias!$V$16:$W$25)</f>
        <v>#REF!</v>
      </c>
      <c r="K672" s="1">
        <f>LOOKUP(VLOOKUP($H672,$H$616:L$651,4,0),[1]Equivalencias!$V$16:$W$25)</f>
        <v>5</v>
      </c>
    </row>
    <row r="673" spans="3:11" x14ac:dyDescent="0.2">
      <c r="C673" t="s">
        <v>565</v>
      </c>
      <c r="G673" s="19" t="s">
        <v>75</v>
      </c>
      <c r="H673" s="113" t="s">
        <v>78</v>
      </c>
      <c r="I673" s="1" t="e">
        <f>LOOKUP(VLOOKUP($H673,$H$616:J$651,4,0),[1]Equivalencias!$X$16:$Y$25)</f>
        <v>#REF!</v>
      </c>
      <c r="K673" s="1">
        <f>LOOKUP(VLOOKUP($H673,$H$616:L$651,4,0),[1]Equivalencias!$X$16:$Y$25)</f>
        <v>2</v>
      </c>
    </row>
    <row r="674" spans="3:11" x14ac:dyDescent="0.2">
      <c r="G674" s="118" t="s">
        <v>80</v>
      </c>
      <c r="H674" s="119" t="s">
        <v>81</v>
      </c>
      <c r="I674" s="1" t="e">
        <f>LOOKUP(VLOOKUP($H674,$H$616:J$651,4,0),[1]Equivalencias!$AL$16:$AM$25)</f>
        <v>#REF!</v>
      </c>
      <c r="K674" s="1">
        <f>LOOKUP(VLOOKUP($H674,$H$616:L$651,4,0),[1]Equivalencias!$AL$16:$AM$25)</f>
        <v>10</v>
      </c>
    </row>
    <row r="675" spans="3:11" x14ac:dyDescent="0.2">
      <c r="G675" s="118" t="s">
        <v>80</v>
      </c>
      <c r="H675" s="119" t="s">
        <v>83</v>
      </c>
      <c r="I675" s="1" t="e">
        <f>LOOKUP(VLOOKUP($H675,$H$616:J$651,4,0),[1]Equivalencias!$AP$16:$AQ$25)</f>
        <v>#REF!</v>
      </c>
      <c r="K675" s="1">
        <f>LOOKUP(VLOOKUP($H675,$H$616:L$651,4,0),[1]Equivalencias!$AP$16:$AQ$25)</f>
        <v>7</v>
      </c>
    </row>
    <row r="676" spans="3:11" x14ac:dyDescent="0.2">
      <c r="G676" s="19" t="s">
        <v>85</v>
      </c>
      <c r="H676" s="113" t="s">
        <v>66</v>
      </c>
      <c r="I676" s="1" t="e">
        <f>LOOKUP(VLOOKUP($H676,$H$616:J$651,4,0),[1]Equivalencias!$AJ$16:$AK$25)</f>
        <v>#REF!</v>
      </c>
      <c r="K676" s="1">
        <f>LOOKUP(VLOOKUP($H676,$H$616:L$651,4,0),[1]Equivalencias!$AJ$16:$AK$25)</f>
        <v>4</v>
      </c>
    </row>
    <row r="677" spans="3:11" x14ac:dyDescent="0.2">
      <c r="G677" s="19" t="s">
        <v>85</v>
      </c>
      <c r="H677" s="113" t="s">
        <v>88</v>
      </c>
      <c r="I677" s="1" t="e">
        <f>LOOKUP(VLOOKUP($H677,$H$616:J$651,4,0),[1]Equivalencias!$AH$16:$AI$25)</f>
        <v>#REF!</v>
      </c>
      <c r="K677" s="1">
        <f>LOOKUP(VLOOKUP($H677,$H$616:L$651,4,0),[1]Equivalencias!$AH$16:$AI$25)</f>
        <v>2</v>
      </c>
    </row>
    <row r="678" spans="3:11" x14ac:dyDescent="0.2">
      <c r="G678" s="118" t="s">
        <v>90</v>
      </c>
      <c r="H678" s="119" t="s">
        <v>91</v>
      </c>
      <c r="I678" s="1" t="e">
        <f>LOOKUP(VLOOKUP($H678,$H$616:J$651,4,0),[1]Equivalencias!$AF$16:$AG$25)</f>
        <v>#REF!</v>
      </c>
      <c r="K678" s="1">
        <f>LOOKUP(VLOOKUP($H678,$H$616:L$651,4,0),[1]Equivalencias!$AF$16:$AG$25)</f>
        <v>1</v>
      </c>
    </row>
    <row r="679" spans="3:11" x14ac:dyDescent="0.2">
      <c r="G679" s="118" t="s">
        <v>90</v>
      </c>
      <c r="H679" s="119" t="s">
        <v>89</v>
      </c>
      <c r="I679" s="1" t="e">
        <f>LOOKUP(VLOOKUP($H679,$H$616:J$651,4,0),[1]Equivalencias!$AD$16:$AE$25)</f>
        <v>#REF!</v>
      </c>
      <c r="K679" s="1">
        <f>LOOKUP(VLOOKUP($H679,$H$616:L$651,4,0),[1]Equivalencias!$AD$16:$AE$25)</f>
        <v>8</v>
      </c>
    </row>
    <row r="680" spans="3:11" x14ac:dyDescent="0.2">
      <c r="G680" s="19" t="s">
        <v>93</v>
      </c>
      <c r="H680" s="113" t="s">
        <v>94</v>
      </c>
      <c r="I680" s="1" t="e">
        <f>LOOKUP(VLOOKUP($H680,$H$616:J$651,4,0),[1]Equivalencias!$CF$16:$CG$25)</f>
        <v>#REF!</v>
      </c>
      <c r="K680" s="1">
        <f>LOOKUP(VLOOKUP($H680,$H$616:L$651,4,0),[1]Equivalencias!$CF$16:$CG$25)</f>
        <v>2</v>
      </c>
    </row>
    <row r="681" spans="3:11" x14ac:dyDescent="0.2">
      <c r="G681" s="19" t="s">
        <v>93</v>
      </c>
      <c r="H681" s="114" t="s">
        <v>42</v>
      </c>
      <c r="I681" s="1" t="e">
        <f>LOOKUP(VLOOKUP($H681,$H$616:J$651,4,0),[1]Equivalencias!$AT$16:$AU$25)</f>
        <v>#REF!</v>
      </c>
      <c r="K681" s="1">
        <f>LOOKUP(VLOOKUP($H681,$H$616:L$651,4,0),[1]Equivalencias!$AT$16:$AU$25)</f>
        <v>4</v>
      </c>
    </row>
    <row r="682" spans="3:11" x14ac:dyDescent="0.2">
      <c r="H682" s="7"/>
      <c r="I682" s="1" t="s">
        <v>4</v>
      </c>
      <c r="K682" s="1" t="s">
        <v>4</v>
      </c>
    </row>
    <row r="683" spans="3:11" x14ac:dyDescent="0.2">
      <c r="H683" s="7"/>
      <c r="I683" s="1" t="s">
        <v>4</v>
      </c>
      <c r="K683" s="1" t="s">
        <v>4</v>
      </c>
    </row>
    <row r="684" spans="3:11" x14ac:dyDescent="0.2">
      <c r="G684" s="111" t="s">
        <v>27</v>
      </c>
      <c r="H684" s="112" t="s">
        <v>27</v>
      </c>
      <c r="I684" s="1" t="e">
        <f>LOOKUP(VLOOKUP($H684,$H$616:J$651,4,0),[1]Equivalencias!$BB$16:$BC$25)</f>
        <v>#REF!</v>
      </c>
      <c r="K684" s="1">
        <f>LOOKUP(VLOOKUP($H684,$H$616:L$651,4,0),[1]Equivalencias!$BB$16:$BC$25)</f>
        <v>4</v>
      </c>
    </row>
    <row r="685" spans="3:11" x14ac:dyDescent="0.2">
      <c r="G685" s="111" t="s">
        <v>8</v>
      </c>
      <c r="H685" s="112" t="s">
        <v>8</v>
      </c>
      <c r="I685" s="1" t="e">
        <f>LOOKUP(VLOOKUP($H685,$H$616:J$651,4,0),[1]Equivalencias!$BD$16:$BE$25)</f>
        <v>#REF!</v>
      </c>
      <c r="K685" s="1">
        <f>LOOKUP(VLOOKUP($H685,$H$616:L$651,4,0),[1]Equivalencias!$BD$16:$BE$25)</f>
        <v>7</v>
      </c>
    </row>
    <row r="686" spans="3:11" x14ac:dyDescent="0.2">
      <c r="G686" s="111" t="s">
        <v>19</v>
      </c>
      <c r="H686" s="112" t="s">
        <v>19</v>
      </c>
      <c r="I686" s="1" t="e">
        <f>LOOKUP(VLOOKUP($H686,$H$616:J$651,4,0),[1]Equivalencias!$BF$16:$BG$25)</f>
        <v>#REF!</v>
      </c>
      <c r="K686" s="1">
        <f>LOOKUP(VLOOKUP($H686,$H$616:L$651,4,0),[1]Equivalencias!$BF$16:$BG$25)</f>
        <v>1</v>
      </c>
    </row>
    <row r="687" spans="3:11" x14ac:dyDescent="0.2">
      <c r="G687" s="111" t="s">
        <v>82</v>
      </c>
      <c r="H687" s="112" t="s">
        <v>82</v>
      </c>
      <c r="I687" s="1" t="e">
        <f>LOOKUP(VLOOKUP($H687,$H$616:J$651,4,0),[1]Equivalencias!$BH$16:$BI$25)</f>
        <v>#REF!</v>
      </c>
      <c r="K687" s="1">
        <f>LOOKUP(VLOOKUP($H687,$H$616:L$651,4,0),[1]Equivalencias!$BH$16:$BI$25)</f>
        <v>1</v>
      </c>
    </row>
    <row r="688" spans="3:11" x14ac:dyDescent="0.2">
      <c r="H688" s="7"/>
      <c r="I688" s="1" t="s">
        <v>4</v>
      </c>
      <c r="K688" s="1" t="s">
        <v>4</v>
      </c>
    </row>
    <row r="689" spans="6:11" x14ac:dyDescent="0.2">
      <c r="G689" s="120" t="s">
        <v>105</v>
      </c>
      <c r="H689" s="120" t="s">
        <v>105</v>
      </c>
      <c r="I689" s="1" t="e">
        <f>LOOKUP(VLOOKUP($H689,$H$616:J$651,4,0),[1]Equivalencias!$AR$16:$AS$25)</f>
        <v>#REF!</v>
      </c>
      <c r="K689" s="1">
        <f>LOOKUP(VLOOKUP($H689,$H$616:L$651,4,0),[1]Equivalencias!$AR$16:$AS$25)</f>
        <v>8</v>
      </c>
    </row>
    <row r="690" spans="6:11" x14ac:dyDescent="0.2">
      <c r="G690" s="120" t="s">
        <v>47</v>
      </c>
      <c r="H690" s="121" t="s">
        <v>47</v>
      </c>
      <c r="I690" s="1" t="e">
        <f>LOOKUP(VLOOKUP($H690,$H$616:J$651,4,0),[1]Equivalencias!$BL$16:$BM$25)</f>
        <v>#REF!</v>
      </c>
      <c r="K690" s="1">
        <f>LOOKUP(VLOOKUP($H690,$H$616:L$651,4,0),[1]Equivalencias!$BL$16:$BM$25)</f>
        <v>2</v>
      </c>
    </row>
    <row r="691" spans="6:11" x14ac:dyDescent="0.2">
      <c r="G691" s="120" t="s">
        <v>86</v>
      </c>
      <c r="H691" s="121" t="s">
        <v>86</v>
      </c>
      <c r="I691" s="1" t="e">
        <f>LOOKUP(VLOOKUP($H691,$H$616:J$651,4,0),[1]Equivalencias!$BN$16:$BO$25)</f>
        <v>#REF!</v>
      </c>
      <c r="K691" s="1">
        <f>LOOKUP(VLOOKUP($H691,$H$616:L$651,4,0),[1]Equivalencias!$BN$16:$BO$25)</f>
        <v>4</v>
      </c>
    </row>
    <row r="692" spans="6:11" x14ac:dyDescent="0.2">
      <c r="G692" s="120" t="s">
        <v>92</v>
      </c>
      <c r="H692" s="121" t="s">
        <v>92</v>
      </c>
      <c r="I692" s="1" t="e">
        <f>LOOKUP(VLOOKUP($H692,$H$616:J$651,4,0),[1]Equivalencias!$BP$16:$BQ$25)</f>
        <v>#REF!</v>
      </c>
      <c r="K692" s="1">
        <f>LOOKUP(VLOOKUP($H692,$H$616:L$651,4,0),[1]Equivalencias!$BP$16:$BQ$25)</f>
        <v>8</v>
      </c>
    </row>
    <row r="693" spans="6:11" x14ac:dyDescent="0.2">
      <c r="G693" s="120" t="s">
        <v>59</v>
      </c>
      <c r="H693" s="121" t="s">
        <v>59</v>
      </c>
      <c r="I693" s="1" t="e">
        <f>LOOKUP(VLOOKUP($H693,$H$616:J$651,4,0),[1]Equivalencias!$BR$16:$BS$25)</f>
        <v>#REF!</v>
      </c>
      <c r="K693" s="1">
        <f>LOOKUP(VLOOKUP($H693,$H$616:L$651,4,0),[1]Equivalencias!$BR$16:$BS$25)</f>
        <v>8</v>
      </c>
    </row>
    <row r="694" spans="6:11" x14ac:dyDescent="0.2">
      <c r="G694" s="121" t="s">
        <v>84</v>
      </c>
      <c r="H694" s="121" t="s">
        <v>84</v>
      </c>
      <c r="I694" s="1" t="e">
        <f>LOOKUP(VLOOKUP($H694,$H$616:J$651,4,0),[1]Equivalencias!$BT$16:$BU$25)</f>
        <v>#REF!</v>
      </c>
      <c r="K694" s="1">
        <f>LOOKUP(VLOOKUP($H694,$H$616:L$651,4,0),[1]Equivalencias!$BT$16:$BU$25)</f>
        <v>10</v>
      </c>
    </row>
    <row r="695" spans="6:11" x14ac:dyDescent="0.2">
      <c r="G695" s="121" t="s">
        <v>97</v>
      </c>
      <c r="H695" s="121" t="s">
        <v>97</v>
      </c>
      <c r="I695" s="1" t="e">
        <f>LOOKUP(VLOOKUP($H695,$H$616:J$651,4,0),[1]Equivalencias!$BV$16:$BW$25)</f>
        <v>#REF!</v>
      </c>
      <c r="K695" s="1">
        <f>LOOKUP(VLOOKUP($H695,$H$616:L$651,4,0),[1]Equivalencias!$BV$16:$BW$25)</f>
        <v>2</v>
      </c>
    </row>
    <row r="696" spans="6:11" x14ac:dyDescent="0.2">
      <c r="G696" s="121" t="s">
        <v>101</v>
      </c>
      <c r="H696" s="121" t="s">
        <v>101</v>
      </c>
      <c r="I696" s="1" t="e">
        <f>LOOKUP(VLOOKUP($H696,$H$616:J$651,4,0),[1]Equivalencias!$BX$16:$BY$25)</f>
        <v>#REF!</v>
      </c>
      <c r="K696" s="1">
        <f>LOOKUP(VLOOKUP($H696,$H$616:L$651,4,0),[1]Equivalencias!$BX$16:$BY$25)</f>
        <v>4</v>
      </c>
    </row>
    <row r="697" spans="6:11" x14ac:dyDescent="0.2">
      <c r="G697" s="120" t="s">
        <v>14</v>
      </c>
      <c r="H697" s="121" t="s">
        <v>14</v>
      </c>
      <c r="I697" s="1" t="e">
        <f>LOOKUP(VLOOKUP($H697,$H$616:J$651,4,0),[1]Equivalencias!$AB$16:$AC$25)</f>
        <v>#REF!</v>
      </c>
      <c r="K697" s="1">
        <f>LOOKUP(VLOOKUP($H697,$H$616:L$651,4,0),[1]Equivalencias!$AB$16:$AC$25)</f>
        <v>7</v>
      </c>
    </row>
    <row r="698" spans="6:11" x14ac:dyDescent="0.2">
      <c r="G698" s="121" t="s">
        <v>109</v>
      </c>
      <c r="H698" s="121" t="s">
        <v>109</v>
      </c>
      <c r="I698" s="1" t="e">
        <f>LOOKUP(VLOOKUP($H698,$H$616:J$651,4,0),[1]Equivalencias!$CB$16:$CC$25)</f>
        <v>#REF!</v>
      </c>
      <c r="K698" s="1">
        <f>LOOKUP(VLOOKUP($H698,$H$616:L$651,4,0),[1]Equivalencias!$CB$16:$CC$25)</f>
        <v>7</v>
      </c>
    </row>
    <row r="699" spans="6:11" x14ac:dyDescent="0.2">
      <c r="G699" s="121" t="s">
        <v>35</v>
      </c>
      <c r="H699" s="121" t="s">
        <v>35</v>
      </c>
      <c r="I699" s="1" t="e">
        <f>LOOKUP(VLOOKUP($H699,$H$616:J$651,4,0),[1]Equivalencias!$CD$16:$CE$25)</f>
        <v>#REF!</v>
      </c>
      <c r="K699" s="1">
        <f>LOOKUP(VLOOKUP($H699,$H$616:L$651,4,0),[1]Equivalencias!$CD$16:$CE$25)</f>
        <v>7</v>
      </c>
    </row>
    <row r="700" spans="6:11" x14ac:dyDescent="0.2">
      <c r="G700" s="120" t="s">
        <v>79</v>
      </c>
      <c r="H700" s="121" t="s">
        <v>79</v>
      </c>
      <c r="I700" s="1" t="e">
        <f>LOOKUP(VLOOKUP($H700,$H$616:J$651,4,0),[1]Equivalencias!$Z$16:$AA$25)</f>
        <v>#REF!</v>
      </c>
      <c r="K700" s="1">
        <f>LOOKUP(VLOOKUP($H700,$H$616:L$651,4,0),[1]Equivalencias!$Z$16:$AA$25)</f>
        <v>5</v>
      </c>
    </row>
    <row r="701" spans="6:11" x14ac:dyDescent="0.2">
      <c r="G701" s="121" t="s">
        <v>110</v>
      </c>
      <c r="H701" s="121" t="s">
        <v>110</v>
      </c>
      <c r="I701" s="1" t="e">
        <f>LOOKUP(VLOOKUP($H701,$H$616:J$651,4,0),[1]Equivalencias!$CH$16:$CI$25)</f>
        <v>#REF!</v>
      </c>
      <c r="K701" s="1">
        <f>LOOKUP(VLOOKUP($H701,$H$616:L$651,4,0),[1]Equivalencias!$CH$16:$CI$25)</f>
        <v>2</v>
      </c>
    </row>
    <row r="702" spans="6:11" x14ac:dyDescent="0.2">
      <c r="G702" s="1"/>
      <c r="H702" s="1"/>
      <c r="K702" s="1"/>
    </row>
    <row r="703" spans="6:11" x14ac:dyDescent="0.2">
      <c r="I703" s="1" t="s">
        <v>4</v>
      </c>
      <c r="K703" s="1" t="s">
        <v>4</v>
      </c>
    </row>
    <row r="704" spans="6:11" x14ac:dyDescent="0.2">
      <c r="F704" t="s">
        <v>566</v>
      </c>
      <c r="H704" t="s">
        <v>124</v>
      </c>
      <c r="I704" s="110" t="e">
        <f>I666</f>
        <v>#REF!</v>
      </c>
      <c r="K704" s="110">
        <f>K666</f>
        <v>4</v>
      </c>
    </row>
    <row r="705" spans="8:11" x14ac:dyDescent="0.2">
      <c r="H705" t="s">
        <v>68</v>
      </c>
      <c r="I705" s="110" t="e">
        <f>I668</f>
        <v>#REF!</v>
      </c>
      <c r="K705" s="110">
        <f>K668</f>
        <v>8</v>
      </c>
    </row>
    <row r="706" spans="8:11" x14ac:dyDescent="0.2">
      <c r="H706" t="s">
        <v>125</v>
      </c>
      <c r="I706" s="110" t="e">
        <f>I674</f>
        <v>#REF!</v>
      </c>
      <c r="K706" s="110">
        <f>K674</f>
        <v>10</v>
      </c>
    </row>
    <row r="707" spans="8:11" x14ac:dyDescent="0.2">
      <c r="H707" s="9" t="s">
        <v>567</v>
      </c>
      <c r="I707" s="110" t="e">
        <f>I696</f>
        <v>#REF!</v>
      </c>
      <c r="K707" s="110">
        <f>K696</f>
        <v>4</v>
      </c>
    </row>
    <row r="708" spans="8:11" x14ac:dyDescent="0.2">
      <c r="H708" t="s">
        <v>127</v>
      </c>
      <c r="I708" s="110" t="e">
        <f>I676</f>
        <v>#REF!</v>
      </c>
      <c r="K708" s="110">
        <f>K676</f>
        <v>4</v>
      </c>
    </row>
    <row r="709" spans="8:11" x14ac:dyDescent="0.2">
      <c r="H709" t="s">
        <v>568</v>
      </c>
      <c r="I709" s="110" t="e">
        <f>I692</f>
        <v>#REF!</v>
      </c>
      <c r="K709" s="110">
        <f>K692</f>
        <v>8</v>
      </c>
    </row>
    <row r="710" spans="8:11" x14ac:dyDescent="0.2">
      <c r="H710" t="s">
        <v>71</v>
      </c>
      <c r="I710" s="110" t="e">
        <f>I670</f>
        <v>#REF!</v>
      </c>
      <c r="K710" s="110">
        <f>K670</f>
        <v>9</v>
      </c>
    </row>
    <row r="711" spans="8:11" x14ac:dyDescent="0.2">
      <c r="H711" t="s">
        <v>85</v>
      </c>
      <c r="I711" s="110" t="e">
        <f>I677</f>
        <v>#REF!</v>
      </c>
      <c r="K711" s="110">
        <f>K677</f>
        <v>2</v>
      </c>
    </row>
    <row r="712" spans="8:11" x14ac:dyDescent="0.2">
      <c r="H712" t="s">
        <v>93</v>
      </c>
      <c r="I712" s="110" t="e">
        <f>I680</f>
        <v>#REF!</v>
      </c>
      <c r="K712" s="110">
        <f>K680</f>
        <v>2</v>
      </c>
    </row>
    <row r="713" spans="8:11" x14ac:dyDescent="0.2">
      <c r="H713" t="s">
        <v>129</v>
      </c>
      <c r="I713" s="110" t="e">
        <f>I694</f>
        <v>#REF!</v>
      </c>
      <c r="K713" s="110">
        <f>K694</f>
        <v>10</v>
      </c>
    </row>
    <row r="714" spans="8:11" x14ac:dyDescent="0.2">
      <c r="K714" s="1"/>
    </row>
    <row r="715" spans="8:11" x14ac:dyDescent="0.2">
      <c r="K715" s="1"/>
    </row>
    <row r="716" spans="8:11" x14ac:dyDescent="0.2">
      <c r="K716" s="1"/>
    </row>
    <row r="717" spans="8:11" x14ac:dyDescent="0.2">
      <c r="K717" s="1"/>
    </row>
    <row r="718" spans="8:11" x14ac:dyDescent="0.2">
      <c r="K718" s="1"/>
    </row>
    <row r="719" spans="8:11" x14ac:dyDescent="0.2">
      <c r="K719" s="1"/>
    </row>
    <row r="720" spans="8:11" x14ac:dyDescent="0.2">
      <c r="K720" s="1"/>
    </row>
    <row r="721" spans="11:11" x14ac:dyDescent="0.2">
      <c r="K721" s="1"/>
    </row>
    <row r="722" spans="11:11" x14ac:dyDescent="0.2">
      <c r="K722" s="1"/>
    </row>
    <row r="723" spans="11:11" x14ac:dyDescent="0.2">
      <c r="K723" s="1"/>
    </row>
    <row r="724" spans="11:11" x14ac:dyDescent="0.2">
      <c r="K724" s="1"/>
    </row>
    <row r="725" spans="11:11" x14ac:dyDescent="0.2">
      <c r="K725" s="1"/>
    </row>
    <row r="726" spans="11:11" x14ac:dyDescent="0.2">
      <c r="K726" s="1"/>
    </row>
    <row r="727" spans="11:11" x14ac:dyDescent="0.2">
      <c r="K727" s="1"/>
    </row>
    <row r="728" spans="11:11" x14ac:dyDescent="0.2">
      <c r="K728" s="1"/>
    </row>
    <row r="729" spans="11:11" x14ac:dyDescent="0.2">
      <c r="K729" s="1"/>
    </row>
    <row r="730" spans="11:11" x14ac:dyDescent="0.2">
      <c r="K730" s="1"/>
    </row>
    <row r="731" spans="11:11" x14ac:dyDescent="0.2">
      <c r="K731" s="1"/>
    </row>
    <row r="732" spans="11:11" x14ac:dyDescent="0.2">
      <c r="K732" s="1"/>
    </row>
    <row r="733" spans="11:11" x14ac:dyDescent="0.2">
      <c r="K733" s="1"/>
    </row>
    <row r="734" spans="11:11" x14ac:dyDescent="0.2">
      <c r="K734" s="1"/>
    </row>
    <row r="735" spans="11:11" x14ac:dyDescent="0.2">
      <c r="K735" s="1"/>
    </row>
    <row r="736" spans="11:11" x14ac:dyDescent="0.2">
      <c r="K736" s="1"/>
    </row>
    <row r="737" spans="11:11" x14ac:dyDescent="0.2">
      <c r="K737" s="1"/>
    </row>
    <row r="738" spans="11:11" x14ac:dyDescent="0.2">
      <c r="K738" s="1"/>
    </row>
    <row r="739" spans="11:11" x14ac:dyDescent="0.2">
      <c r="K739" s="1"/>
    </row>
    <row r="740" spans="11:11" x14ac:dyDescent="0.2">
      <c r="K740" s="1"/>
    </row>
    <row r="741" spans="11:11" x14ac:dyDescent="0.2">
      <c r="K741" s="1"/>
    </row>
    <row r="742" spans="11:11" x14ac:dyDescent="0.2">
      <c r="K742" s="1"/>
    </row>
    <row r="743" spans="11:11" x14ac:dyDescent="0.2">
      <c r="K743" s="1"/>
    </row>
    <row r="744" spans="11:11" x14ac:dyDescent="0.2">
      <c r="K744" s="1"/>
    </row>
    <row r="745" spans="11:11" x14ac:dyDescent="0.2">
      <c r="K745" s="1"/>
    </row>
    <row r="746" spans="11:11" x14ac:dyDescent="0.2">
      <c r="K746" s="1"/>
    </row>
    <row r="747" spans="11:11" x14ac:dyDescent="0.2">
      <c r="K747" s="1"/>
    </row>
    <row r="748" spans="11:11" x14ac:dyDescent="0.2">
      <c r="K748" s="1"/>
    </row>
    <row r="749" spans="11:11" x14ac:dyDescent="0.2">
      <c r="K749" s="1"/>
    </row>
    <row r="750" spans="11:11" x14ac:dyDescent="0.2">
      <c r="K750" s="1"/>
    </row>
    <row r="751" spans="11:11" x14ac:dyDescent="0.2">
      <c r="K751" s="1"/>
    </row>
    <row r="752" spans="11:11" x14ac:dyDescent="0.2">
      <c r="K752" s="1"/>
    </row>
    <row r="753" spans="11:11" x14ac:dyDescent="0.2">
      <c r="K753" s="1"/>
    </row>
    <row r="754" spans="11:11" x14ac:dyDescent="0.2">
      <c r="K754" s="1"/>
    </row>
    <row r="755" spans="11:11" x14ac:dyDescent="0.2">
      <c r="K755" s="1"/>
    </row>
    <row r="756" spans="11:11" x14ac:dyDescent="0.2">
      <c r="K756" s="1"/>
    </row>
    <row r="757" spans="11:11" x14ac:dyDescent="0.2">
      <c r="K757" s="1"/>
    </row>
    <row r="758" spans="11:11" x14ac:dyDescent="0.2">
      <c r="K758" s="1"/>
    </row>
    <row r="759" spans="11:11" x14ac:dyDescent="0.2">
      <c r="K759" s="1"/>
    </row>
    <row r="760" spans="11:11" x14ac:dyDescent="0.2">
      <c r="K760" s="1"/>
    </row>
    <row r="761" spans="11:11" x14ac:dyDescent="0.2">
      <c r="K761" s="1"/>
    </row>
    <row r="762" spans="11:11" x14ac:dyDescent="0.2">
      <c r="K762" s="1"/>
    </row>
    <row r="763" spans="11:11" x14ac:dyDescent="0.2">
      <c r="K763" s="1"/>
    </row>
    <row r="764" spans="11:11" x14ac:dyDescent="0.2">
      <c r="K764" s="1"/>
    </row>
    <row r="765" spans="11:11" x14ac:dyDescent="0.2">
      <c r="K765" s="1"/>
    </row>
    <row r="766" spans="11:11" x14ac:dyDescent="0.2">
      <c r="K766" s="1"/>
    </row>
    <row r="767" spans="11:11" x14ac:dyDescent="0.2">
      <c r="K767" s="1"/>
    </row>
    <row r="768" spans="11:11" x14ac:dyDescent="0.2">
      <c r="K768" s="1"/>
    </row>
    <row r="769" spans="11:11" x14ac:dyDescent="0.2">
      <c r="K769" s="1"/>
    </row>
    <row r="770" spans="11:11" x14ac:dyDescent="0.2">
      <c r="K770" s="1"/>
    </row>
    <row r="771" spans="11:11" x14ac:dyDescent="0.2">
      <c r="K771" s="1"/>
    </row>
    <row r="772" spans="11:11" x14ac:dyDescent="0.2">
      <c r="K772" s="1"/>
    </row>
    <row r="773" spans="11:11" x14ac:dyDescent="0.2">
      <c r="K773" s="1"/>
    </row>
    <row r="774" spans="11:11" x14ac:dyDescent="0.2">
      <c r="K774" s="1"/>
    </row>
    <row r="775" spans="11:11" x14ac:dyDescent="0.2">
      <c r="K775" s="1"/>
    </row>
    <row r="776" spans="11:11" x14ac:dyDescent="0.2">
      <c r="K776" s="1"/>
    </row>
    <row r="777" spans="11:11" x14ac:dyDescent="0.2">
      <c r="K777" s="1"/>
    </row>
    <row r="778" spans="11:11" x14ac:dyDescent="0.2">
      <c r="K778" s="1"/>
    </row>
    <row r="779" spans="11:11" x14ac:dyDescent="0.2">
      <c r="K779" s="1"/>
    </row>
    <row r="780" spans="11:11" x14ac:dyDescent="0.2">
      <c r="K780" s="1"/>
    </row>
    <row r="781" spans="11:11" x14ac:dyDescent="0.2">
      <c r="K781" s="1"/>
    </row>
    <row r="782" spans="11:11" x14ac:dyDescent="0.2">
      <c r="K782" s="1"/>
    </row>
    <row r="783" spans="11:11" x14ac:dyDescent="0.2">
      <c r="K783" s="1"/>
    </row>
    <row r="784" spans="11:11" x14ac:dyDescent="0.2">
      <c r="K784" s="1"/>
    </row>
    <row r="785" spans="11:11" x14ac:dyDescent="0.2">
      <c r="K785" s="1"/>
    </row>
    <row r="786" spans="11:11" x14ac:dyDescent="0.2">
      <c r="K786" s="1"/>
    </row>
    <row r="787" spans="11:11" x14ac:dyDescent="0.2">
      <c r="K787" s="1"/>
    </row>
    <row r="788" spans="11:11" x14ac:dyDescent="0.2">
      <c r="K788" s="1"/>
    </row>
    <row r="789" spans="11:11" x14ac:dyDescent="0.2">
      <c r="K789" s="1"/>
    </row>
    <row r="790" spans="11:11" x14ac:dyDescent="0.2">
      <c r="K790" s="1"/>
    </row>
    <row r="791" spans="11:11" x14ac:dyDescent="0.2">
      <c r="K791" s="1"/>
    </row>
    <row r="792" spans="11:11" x14ac:dyDescent="0.2">
      <c r="K792" s="1"/>
    </row>
    <row r="793" spans="11:11" x14ac:dyDescent="0.2">
      <c r="K793" s="1"/>
    </row>
    <row r="794" spans="11:11" x14ac:dyDescent="0.2">
      <c r="K794" s="1"/>
    </row>
    <row r="795" spans="11:11" x14ac:dyDescent="0.2">
      <c r="K795" s="1"/>
    </row>
    <row r="796" spans="11:11" x14ac:dyDescent="0.2">
      <c r="K796" s="1"/>
    </row>
    <row r="797" spans="11:11" x14ac:dyDescent="0.2">
      <c r="K797" s="1"/>
    </row>
    <row r="798" spans="11:11" x14ac:dyDescent="0.2">
      <c r="K798" s="1"/>
    </row>
    <row r="799" spans="11:11" x14ac:dyDescent="0.2">
      <c r="K799" s="1"/>
    </row>
    <row r="800" spans="11:11" x14ac:dyDescent="0.2">
      <c r="K800" s="1"/>
    </row>
    <row r="801" spans="11:11" x14ac:dyDescent="0.2">
      <c r="K801" s="1"/>
    </row>
    <row r="802" spans="11:11" x14ac:dyDescent="0.2">
      <c r="K802" s="1"/>
    </row>
    <row r="803" spans="11:11" x14ac:dyDescent="0.2">
      <c r="K803" s="1"/>
    </row>
    <row r="804" spans="11:11" x14ac:dyDescent="0.2">
      <c r="K804" s="1"/>
    </row>
    <row r="805" spans="11:11" x14ac:dyDescent="0.2">
      <c r="K805" s="1"/>
    </row>
    <row r="806" spans="11:11" x14ac:dyDescent="0.2">
      <c r="K806" s="1"/>
    </row>
    <row r="807" spans="11:11" x14ac:dyDescent="0.2">
      <c r="K807" s="1"/>
    </row>
    <row r="808" spans="11:11" x14ac:dyDescent="0.2">
      <c r="K808" s="1"/>
    </row>
    <row r="809" spans="11:11" x14ac:dyDescent="0.2">
      <c r="K809" s="1"/>
    </row>
    <row r="810" spans="11:11" x14ac:dyDescent="0.2">
      <c r="K810" s="1"/>
    </row>
    <row r="811" spans="11:11" x14ac:dyDescent="0.2">
      <c r="K811" s="1"/>
    </row>
    <row r="812" spans="11:11" x14ac:dyDescent="0.2">
      <c r="K812" s="1"/>
    </row>
    <row r="813" spans="11:11" x14ac:dyDescent="0.2">
      <c r="K813" s="1"/>
    </row>
    <row r="814" spans="11:11" x14ac:dyDescent="0.2">
      <c r="K814" s="1"/>
    </row>
    <row r="815" spans="11:11" x14ac:dyDescent="0.2">
      <c r="K815" s="1"/>
    </row>
    <row r="816" spans="11:11" x14ac:dyDescent="0.2">
      <c r="K816" s="1"/>
    </row>
    <row r="817" spans="11:11" x14ac:dyDescent="0.2">
      <c r="K817" s="1"/>
    </row>
    <row r="818" spans="11:11" x14ac:dyDescent="0.2">
      <c r="K818" s="1"/>
    </row>
    <row r="819" spans="11:11" x14ac:dyDescent="0.2">
      <c r="K819" s="1"/>
    </row>
    <row r="820" spans="11:11" x14ac:dyDescent="0.2">
      <c r="K820" s="1"/>
    </row>
    <row r="821" spans="11:11" x14ac:dyDescent="0.2">
      <c r="K821" s="1"/>
    </row>
    <row r="822" spans="11:11" x14ac:dyDescent="0.2">
      <c r="K822" s="1"/>
    </row>
    <row r="823" spans="11:11" x14ac:dyDescent="0.2">
      <c r="K823" s="1"/>
    </row>
    <row r="824" spans="11:11" x14ac:dyDescent="0.2">
      <c r="K824" s="1"/>
    </row>
    <row r="825" spans="11:11" x14ac:dyDescent="0.2">
      <c r="K825" s="1"/>
    </row>
    <row r="826" spans="11:11" x14ac:dyDescent="0.2">
      <c r="K826" s="1"/>
    </row>
    <row r="827" spans="11:11" x14ac:dyDescent="0.2">
      <c r="K827" s="1"/>
    </row>
    <row r="828" spans="11:11" x14ac:dyDescent="0.2">
      <c r="K828" s="1"/>
    </row>
    <row r="829" spans="11:11" x14ac:dyDescent="0.2">
      <c r="K829" s="1"/>
    </row>
    <row r="830" spans="11:11" x14ac:dyDescent="0.2">
      <c r="K830" s="1"/>
    </row>
    <row r="831" spans="11:11" x14ac:dyDescent="0.2">
      <c r="K831" s="1"/>
    </row>
    <row r="832" spans="11:11" x14ac:dyDescent="0.2">
      <c r="K832" s="1"/>
    </row>
    <row r="833" spans="11:11" x14ac:dyDescent="0.2">
      <c r="K833" s="1"/>
    </row>
    <row r="834" spans="11:11" x14ac:dyDescent="0.2">
      <c r="K834" s="1"/>
    </row>
    <row r="835" spans="11:11" x14ac:dyDescent="0.2">
      <c r="K835" s="1"/>
    </row>
    <row r="836" spans="11:11" x14ac:dyDescent="0.2">
      <c r="K836" s="1"/>
    </row>
    <row r="837" spans="11:11" x14ac:dyDescent="0.2">
      <c r="K837" s="1"/>
    </row>
    <row r="838" spans="11:11" x14ac:dyDescent="0.2">
      <c r="K838" s="1"/>
    </row>
    <row r="839" spans="11:11" x14ac:dyDescent="0.2">
      <c r="K839" s="1"/>
    </row>
    <row r="840" spans="11:11" x14ac:dyDescent="0.2">
      <c r="K840" s="1"/>
    </row>
    <row r="841" spans="11:11" x14ac:dyDescent="0.2">
      <c r="K841" s="1"/>
    </row>
    <row r="842" spans="11:11" x14ac:dyDescent="0.2">
      <c r="K842" s="1"/>
    </row>
    <row r="843" spans="11:11" x14ac:dyDescent="0.2">
      <c r="K843" s="1"/>
    </row>
    <row r="844" spans="11:11" x14ac:dyDescent="0.2">
      <c r="K844" s="1"/>
    </row>
    <row r="845" spans="11:11" x14ac:dyDescent="0.2">
      <c r="K845" s="1"/>
    </row>
    <row r="846" spans="11:11" x14ac:dyDescent="0.2">
      <c r="K846" s="1"/>
    </row>
    <row r="847" spans="11:11" x14ac:dyDescent="0.2">
      <c r="K847" s="1"/>
    </row>
    <row r="848" spans="11:11" x14ac:dyDescent="0.2">
      <c r="K848" s="1"/>
    </row>
    <row r="849" spans="11:11" x14ac:dyDescent="0.2">
      <c r="K849" s="1"/>
    </row>
    <row r="850" spans="11:11" x14ac:dyDescent="0.2">
      <c r="K850" s="1"/>
    </row>
    <row r="851" spans="11:11" x14ac:dyDescent="0.2">
      <c r="K851" s="1"/>
    </row>
    <row r="852" spans="11:11" x14ac:dyDescent="0.2">
      <c r="K852" s="1"/>
    </row>
    <row r="853" spans="11:11" x14ac:dyDescent="0.2">
      <c r="K853" s="1"/>
    </row>
    <row r="854" spans="11:11" x14ac:dyDescent="0.2">
      <c r="K854" s="1"/>
    </row>
    <row r="855" spans="11:11" x14ac:dyDescent="0.2">
      <c r="K855" s="1"/>
    </row>
    <row r="856" spans="11:11" x14ac:dyDescent="0.2">
      <c r="K856" s="1"/>
    </row>
    <row r="857" spans="11:11" x14ac:dyDescent="0.2">
      <c r="K857" s="1"/>
    </row>
    <row r="858" spans="11:11" x14ac:dyDescent="0.2">
      <c r="K858" s="1"/>
    </row>
    <row r="859" spans="11:11" x14ac:dyDescent="0.2">
      <c r="K859" s="1"/>
    </row>
    <row r="860" spans="11:11" x14ac:dyDescent="0.2">
      <c r="K860" s="1"/>
    </row>
    <row r="861" spans="11:11" x14ac:dyDescent="0.2">
      <c r="K861" s="1"/>
    </row>
    <row r="862" spans="11:11" x14ac:dyDescent="0.2">
      <c r="K862" s="1"/>
    </row>
    <row r="863" spans="11:11" x14ac:dyDescent="0.2">
      <c r="K863" s="1"/>
    </row>
    <row r="864" spans="11:11" x14ac:dyDescent="0.2">
      <c r="K864" s="1"/>
    </row>
    <row r="865" spans="11:11" x14ac:dyDescent="0.2">
      <c r="K865" s="1"/>
    </row>
    <row r="866" spans="11:11" x14ac:dyDescent="0.2">
      <c r="K866" s="1"/>
    </row>
    <row r="867" spans="11:11" x14ac:dyDescent="0.2">
      <c r="K867" s="1"/>
    </row>
    <row r="868" spans="11:11" x14ac:dyDescent="0.2">
      <c r="K868" s="1"/>
    </row>
    <row r="869" spans="11:11" x14ac:dyDescent="0.2">
      <c r="K869" s="1"/>
    </row>
    <row r="870" spans="11:11" x14ac:dyDescent="0.2">
      <c r="K870" s="1"/>
    </row>
    <row r="871" spans="11:11" x14ac:dyDescent="0.2">
      <c r="K871" s="1"/>
    </row>
    <row r="872" spans="11:11" x14ac:dyDescent="0.2">
      <c r="K872" s="1"/>
    </row>
    <row r="873" spans="11:11" x14ac:dyDescent="0.2">
      <c r="K873" s="1"/>
    </row>
    <row r="874" spans="11:11" x14ac:dyDescent="0.2">
      <c r="K874" s="1"/>
    </row>
    <row r="875" spans="11:11" x14ac:dyDescent="0.2">
      <c r="K875" s="1"/>
    </row>
    <row r="876" spans="11:11" x14ac:dyDescent="0.2">
      <c r="K876" s="1"/>
    </row>
    <row r="877" spans="11:11" x14ac:dyDescent="0.2">
      <c r="K877" s="1"/>
    </row>
    <row r="878" spans="11:11" x14ac:dyDescent="0.2">
      <c r="K878" s="1"/>
    </row>
    <row r="879" spans="11:11" x14ac:dyDescent="0.2">
      <c r="K879" s="1"/>
    </row>
    <row r="880" spans="11:11" x14ac:dyDescent="0.2">
      <c r="K880" s="1"/>
    </row>
    <row r="881" spans="11:11" x14ac:dyDescent="0.2">
      <c r="K881" s="1"/>
    </row>
    <row r="882" spans="11:11" x14ac:dyDescent="0.2">
      <c r="K882" s="1"/>
    </row>
    <row r="883" spans="11:11" x14ac:dyDescent="0.2">
      <c r="K883" s="1"/>
    </row>
    <row r="884" spans="11:11" x14ac:dyDescent="0.2">
      <c r="K884" s="1"/>
    </row>
    <row r="885" spans="11:11" x14ac:dyDescent="0.2">
      <c r="K885" s="1"/>
    </row>
    <row r="886" spans="11:11" x14ac:dyDescent="0.2">
      <c r="K886" s="1"/>
    </row>
    <row r="887" spans="11:11" x14ac:dyDescent="0.2">
      <c r="K887" s="1"/>
    </row>
    <row r="888" spans="11:11" x14ac:dyDescent="0.2">
      <c r="K888" s="1"/>
    </row>
    <row r="889" spans="11:11" x14ac:dyDescent="0.2">
      <c r="K889" s="1"/>
    </row>
    <row r="890" spans="11:11" x14ac:dyDescent="0.2">
      <c r="K890" s="1"/>
    </row>
    <row r="891" spans="11:11" x14ac:dyDescent="0.2">
      <c r="K891" s="1"/>
    </row>
    <row r="892" spans="11:11" x14ac:dyDescent="0.2">
      <c r="K892" s="1"/>
    </row>
    <row r="893" spans="11:11" x14ac:dyDescent="0.2">
      <c r="K893" s="1"/>
    </row>
    <row r="894" spans="11:11" x14ac:dyDescent="0.2">
      <c r="K894" s="1"/>
    </row>
    <row r="895" spans="11:11" x14ac:dyDescent="0.2">
      <c r="K895" s="1"/>
    </row>
    <row r="896" spans="11:11" x14ac:dyDescent="0.2">
      <c r="K896" s="1"/>
    </row>
    <row r="897" spans="11:11" x14ac:dyDescent="0.2">
      <c r="K897" s="1"/>
    </row>
    <row r="898" spans="11:11" x14ac:dyDescent="0.2">
      <c r="K898" s="1"/>
    </row>
    <row r="899" spans="11:11" x14ac:dyDescent="0.2">
      <c r="K899" s="1"/>
    </row>
    <row r="900" spans="11:11" x14ac:dyDescent="0.2">
      <c r="K9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ADE2-46A7-154A-803D-AC2E48D4E5FC}">
  <dimension ref="A1:AR124"/>
  <sheetViews>
    <sheetView tabSelected="1" workbookViewId="0">
      <selection activeCell="D2" sqref="D2"/>
    </sheetView>
  </sheetViews>
  <sheetFormatPr baseColWidth="10" defaultRowHeight="16" x14ac:dyDescent="0.2"/>
  <cols>
    <col min="1" max="1" width="5.6640625" style="1" customWidth="1"/>
    <col min="2" max="2" width="38.5" style="58" bestFit="1" customWidth="1"/>
    <col min="3" max="3" width="29" style="58" bestFit="1" customWidth="1"/>
    <col min="4" max="4" width="3.6640625" customWidth="1"/>
    <col min="5" max="14" width="2.6640625" customWidth="1"/>
    <col min="15" max="18" width="2.6640625" hidden="1" customWidth="1"/>
    <col min="19" max="19" width="8.6640625" customWidth="1"/>
    <col min="20" max="20" width="35.6640625" customWidth="1"/>
    <col min="21" max="21" width="4.6640625" customWidth="1"/>
    <col min="22" max="22" width="37" customWidth="1"/>
    <col min="23" max="23" width="4.6640625" customWidth="1"/>
    <col min="24" max="25" width="2.6640625" customWidth="1"/>
    <col min="26" max="27" width="5.5" bestFit="1" customWidth="1"/>
    <col min="28" max="34" width="2.6640625" customWidth="1"/>
    <col min="40" max="41" width="10.83203125" style="1"/>
    <col min="42" max="42" width="10.83203125" style="7"/>
  </cols>
  <sheetData>
    <row r="1" spans="2:34" x14ac:dyDescent="0.2">
      <c r="B1" s="2"/>
      <c r="C1" s="3"/>
      <c r="D1" s="4" t="s">
        <v>979</v>
      </c>
      <c r="E1" s="5"/>
      <c r="F1" s="5"/>
      <c r="G1" s="5"/>
      <c r="H1" s="6"/>
      <c r="I1" s="6"/>
      <c r="J1" s="6"/>
      <c r="K1" s="6"/>
      <c r="L1" s="5"/>
      <c r="M1" s="5"/>
      <c r="N1" s="5"/>
      <c r="W1" s="4" t="s">
        <v>0</v>
      </c>
    </row>
    <row r="2" spans="2:34" x14ac:dyDescent="0.2">
      <c r="B2" s="2"/>
      <c r="C2" s="3"/>
      <c r="D2" s="4" t="s">
        <v>1</v>
      </c>
      <c r="E2" s="5"/>
      <c r="F2" s="5"/>
      <c r="G2" s="5"/>
      <c r="H2" s="6"/>
      <c r="I2" s="6"/>
      <c r="J2" s="6"/>
      <c r="K2" s="6"/>
      <c r="L2" s="5"/>
      <c r="M2" s="5"/>
      <c r="N2" s="5"/>
    </row>
    <row r="3" spans="2:34" x14ac:dyDescent="0.2">
      <c r="B3" s="2" t="s">
        <v>2</v>
      </c>
      <c r="C3" s="2" t="s">
        <v>3</v>
      </c>
      <c r="D3" s="8" t="s">
        <v>4</v>
      </c>
      <c r="E3" s="5"/>
      <c r="F3" s="5"/>
      <c r="G3" s="5"/>
      <c r="H3" s="6"/>
      <c r="I3" s="6"/>
      <c r="J3" s="6"/>
      <c r="K3" s="6"/>
      <c r="L3" s="5"/>
      <c r="M3" s="5"/>
      <c r="N3" s="5"/>
      <c r="T3" s="9" t="s">
        <v>2</v>
      </c>
      <c r="U3" s="9"/>
      <c r="V3" s="9" t="s">
        <v>3</v>
      </c>
    </row>
    <row r="4" spans="2:34" x14ac:dyDescent="0.2">
      <c r="B4" s="10" t="s">
        <v>5</v>
      </c>
      <c r="C4" s="11" t="s">
        <v>6</v>
      </c>
      <c r="D4" s="12">
        <v>10</v>
      </c>
      <c r="E4" s="13" t="str">
        <f t="shared" ref="E4:E67" si="0">IF($D4=1,"=","")</f>
        <v/>
      </c>
      <c r="F4" s="14" t="str">
        <f t="shared" ref="F4:F67" si="1">IF($D4=2,"=","")</f>
        <v/>
      </c>
      <c r="G4" s="15" t="str">
        <f t="shared" ref="G4:G67" si="2">IF($D4=3,"=","")</f>
        <v/>
      </c>
      <c r="H4" s="16" t="str">
        <f t="shared" ref="H4:H67" si="3">IF($D4=4,"=","")</f>
        <v/>
      </c>
      <c r="I4" s="17" t="str">
        <f t="shared" ref="I4:I67" si="4">IF($D4=5,"=","")</f>
        <v/>
      </c>
      <c r="J4" s="17" t="str">
        <f t="shared" ref="J4:J67" si="5">IF($D4=6,"=","")</f>
        <v/>
      </c>
      <c r="K4" s="18" t="str">
        <f t="shared" ref="K4:K67" si="6">IF($D4=7,"=","")</f>
        <v/>
      </c>
      <c r="L4" s="13" t="str">
        <f t="shared" ref="L4:L67" si="7">IF($D4=8,"=","")</f>
        <v/>
      </c>
      <c r="M4" s="14" t="str">
        <f t="shared" ref="M4:M67" si="8">IF($D4=9,"=","")</f>
        <v/>
      </c>
      <c r="N4" s="15" t="str">
        <f t="shared" ref="N4:N67" si="9">IF($D4=10,"=","")</f>
        <v>=</v>
      </c>
      <c r="O4" s="19">
        <f t="shared" ref="O4:O67" si="10">IF(L4="=",1,IF(M4="=",1,IF(N4="=",1,"")))</f>
        <v>1</v>
      </c>
      <c r="P4" s="20" t="s">
        <v>7</v>
      </c>
      <c r="Q4" s="19" t="str">
        <f t="shared" ref="Q4:Q67" si="11">IF(E4="=",1,IF(F4="=",1,IF(G4="=",1,"")))</f>
        <v/>
      </c>
      <c r="R4" s="20" t="s">
        <v>7</v>
      </c>
      <c r="S4" s="19"/>
      <c r="T4" s="21" t="s">
        <v>8</v>
      </c>
      <c r="U4" s="22"/>
      <c r="V4" s="22" t="s">
        <v>9</v>
      </c>
      <c r="W4" s="12">
        <v>6</v>
      </c>
      <c r="X4" s="13" t="str">
        <f>IF($W4=1,"=","")</f>
        <v/>
      </c>
      <c r="Y4" s="14" t="str">
        <f>IF($W4=2,"=","")</f>
        <v/>
      </c>
      <c r="Z4" s="14" t="str">
        <f>IF($W4=3,"=","")</f>
        <v/>
      </c>
      <c r="AA4" s="16" t="str">
        <f>IF($W4=4,"=","")</f>
        <v/>
      </c>
      <c r="AB4" s="17" t="str">
        <f>IF($W4=5,"=","")</f>
        <v/>
      </c>
      <c r="AC4" s="17" t="str">
        <f>IF($W4=6,"=","")</f>
        <v>=</v>
      </c>
      <c r="AD4" s="17" t="str">
        <f>IF($W4=7,"=","")</f>
        <v/>
      </c>
      <c r="AE4" s="23" t="str">
        <f>IF($W4=8,"=","")</f>
        <v/>
      </c>
      <c r="AF4" s="14" t="str">
        <f>IF($W4=9,"=","")</f>
        <v/>
      </c>
      <c r="AG4" s="15" t="str">
        <f>IF($W4=10,"=","")</f>
        <v/>
      </c>
      <c r="AH4" s="5"/>
    </row>
    <row r="5" spans="2:34" x14ac:dyDescent="0.2">
      <c r="B5" s="24" t="s">
        <v>5</v>
      </c>
      <c r="C5" s="3" t="s">
        <v>10</v>
      </c>
      <c r="D5" s="4">
        <v>1</v>
      </c>
      <c r="E5" s="25" t="str">
        <f t="shared" si="0"/>
        <v>=</v>
      </c>
      <c r="F5" s="26" t="str">
        <f t="shared" si="1"/>
        <v/>
      </c>
      <c r="G5" s="27" t="str">
        <f t="shared" si="2"/>
        <v/>
      </c>
      <c r="H5" s="28" t="str">
        <f t="shared" si="3"/>
        <v/>
      </c>
      <c r="I5" s="29" t="str">
        <f t="shared" si="4"/>
        <v/>
      </c>
      <c r="J5" s="29" t="str">
        <f t="shared" si="5"/>
        <v/>
      </c>
      <c r="K5" s="30" t="str">
        <f t="shared" si="6"/>
        <v/>
      </c>
      <c r="L5" s="25" t="str">
        <f t="shared" si="7"/>
        <v/>
      </c>
      <c r="M5" s="26" t="str">
        <f t="shared" si="8"/>
        <v/>
      </c>
      <c r="N5" s="27" t="str">
        <f t="shared" si="9"/>
        <v/>
      </c>
      <c r="O5" s="19" t="str">
        <f t="shared" si="10"/>
        <v/>
      </c>
      <c r="P5" s="20"/>
      <c r="Q5" s="19">
        <f t="shared" si="11"/>
        <v>1</v>
      </c>
      <c r="R5" s="20"/>
      <c r="S5" s="19"/>
      <c r="T5" s="31" t="s">
        <v>8</v>
      </c>
      <c r="U5" s="19"/>
      <c r="V5" s="19" t="s">
        <v>11</v>
      </c>
      <c r="W5" s="4">
        <v>5</v>
      </c>
      <c r="X5" s="25" t="str">
        <f t="shared" ref="X5:X19" si="12">IF($W5=1,"=","")</f>
        <v/>
      </c>
      <c r="Y5" s="26" t="str">
        <f t="shared" ref="Y5:Y19" si="13">IF($W5=2,"=","")</f>
        <v/>
      </c>
      <c r="Z5" s="26" t="str">
        <f t="shared" ref="Z5:Z19" si="14">IF($W5=3,"=","")</f>
        <v/>
      </c>
      <c r="AA5" s="28" t="str">
        <f t="shared" ref="AA5:AA19" si="15">IF($W5=4,"=","")</f>
        <v/>
      </c>
      <c r="AB5" s="29" t="str">
        <f t="shared" ref="AB5:AB19" si="16">IF($W5=5,"=","")</f>
        <v>=</v>
      </c>
      <c r="AC5" s="29" t="str">
        <f t="shared" ref="AC5:AC19" si="17">IF($W5=6,"=","")</f>
        <v/>
      </c>
      <c r="AD5" s="29" t="str">
        <f t="shared" ref="AD5:AD19" si="18">IF($W5=7,"=","")</f>
        <v/>
      </c>
      <c r="AE5" s="32" t="str">
        <f t="shared" ref="AE5:AE19" si="19">IF($W5=8,"=","")</f>
        <v/>
      </c>
      <c r="AF5" s="26" t="str">
        <f t="shared" ref="AF5:AF19" si="20">IF($W5=9,"=","")</f>
        <v/>
      </c>
      <c r="AG5" s="27" t="str">
        <f t="shared" ref="AG5:AG19" si="21">IF($W5=10,"=","")</f>
        <v/>
      </c>
      <c r="AH5" s="5"/>
    </row>
    <row r="6" spans="2:34" x14ac:dyDescent="0.2">
      <c r="B6" s="33" t="s">
        <v>5</v>
      </c>
      <c r="C6" s="34" t="s">
        <v>12</v>
      </c>
      <c r="D6" s="35">
        <v>5</v>
      </c>
      <c r="E6" s="36" t="str">
        <f t="shared" si="0"/>
        <v/>
      </c>
      <c r="F6" s="37" t="str">
        <f t="shared" si="1"/>
        <v/>
      </c>
      <c r="G6" s="38" t="str">
        <f t="shared" si="2"/>
        <v/>
      </c>
      <c r="H6" s="39" t="str">
        <f t="shared" si="3"/>
        <v/>
      </c>
      <c r="I6" s="40" t="str">
        <f t="shared" si="4"/>
        <v>=</v>
      </c>
      <c r="J6" s="40" t="str">
        <f t="shared" si="5"/>
        <v/>
      </c>
      <c r="K6" s="41" t="str">
        <f t="shared" si="6"/>
        <v/>
      </c>
      <c r="L6" s="36" t="str">
        <f t="shared" si="7"/>
        <v/>
      </c>
      <c r="M6" s="37" t="str">
        <f t="shared" si="8"/>
        <v/>
      </c>
      <c r="N6" s="38" t="str">
        <f t="shared" si="9"/>
        <v/>
      </c>
      <c r="O6" s="19" t="str">
        <f t="shared" si="10"/>
        <v/>
      </c>
      <c r="P6" s="20"/>
      <c r="Q6" s="19" t="str">
        <f t="shared" si="11"/>
        <v/>
      </c>
      <c r="R6" s="20"/>
      <c r="S6" s="19"/>
      <c r="T6" s="31" t="s">
        <v>8</v>
      </c>
      <c r="U6" s="19"/>
      <c r="V6" s="19" t="s">
        <v>13</v>
      </c>
      <c r="W6" s="4">
        <v>8</v>
      </c>
      <c r="X6" s="25" t="str">
        <f t="shared" si="12"/>
        <v/>
      </c>
      <c r="Y6" s="26" t="str">
        <f t="shared" si="13"/>
        <v/>
      </c>
      <c r="Z6" s="26" t="str">
        <f t="shared" si="14"/>
        <v/>
      </c>
      <c r="AA6" s="28" t="str">
        <f t="shared" si="15"/>
        <v/>
      </c>
      <c r="AB6" s="29" t="str">
        <f t="shared" si="16"/>
        <v/>
      </c>
      <c r="AC6" s="29" t="str">
        <f t="shared" si="17"/>
        <v/>
      </c>
      <c r="AD6" s="29" t="str">
        <f t="shared" si="18"/>
        <v/>
      </c>
      <c r="AE6" s="32" t="str">
        <f t="shared" si="19"/>
        <v>=</v>
      </c>
      <c r="AF6" s="26" t="str">
        <f t="shared" si="20"/>
        <v/>
      </c>
      <c r="AG6" s="27" t="str">
        <f t="shared" si="21"/>
        <v/>
      </c>
      <c r="AH6" s="5"/>
    </row>
    <row r="7" spans="2:34" x14ac:dyDescent="0.2">
      <c r="B7" s="10" t="s">
        <v>14</v>
      </c>
      <c r="C7" s="11" t="s">
        <v>15</v>
      </c>
      <c r="D7" s="12">
        <v>8</v>
      </c>
      <c r="E7" s="13" t="str">
        <f t="shared" si="0"/>
        <v/>
      </c>
      <c r="F7" s="14" t="str">
        <f t="shared" si="1"/>
        <v/>
      </c>
      <c r="G7" s="15" t="str">
        <f t="shared" si="2"/>
        <v/>
      </c>
      <c r="H7" s="16" t="str">
        <f t="shared" si="3"/>
        <v/>
      </c>
      <c r="I7" s="17" t="str">
        <f t="shared" si="4"/>
        <v/>
      </c>
      <c r="J7" s="17" t="str">
        <f t="shared" si="5"/>
        <v/>
      </c>
      <c r="K7" s="18" t="str">
        <f t="shared" si="6"/>
        <v/>
      </c>
      <c r="L7" s="13" t="str">
        <f t="shared" si="7"/>
        <v>=</v>
      </c>
      <c r="M7" s="14" t="str">
        <f t="shared" si="8"/>
        <v/>
      </c>
      <c r="N7" s="15" t="str">
        <f t="shared" si="9"/>
        <v/>
      </c>
      <c r="O7" s="19">
        <f t="shared" si="10"/>
        <v>1</v>
      </c>
      <c r="P7" s="20" t="s">
        <v>16</v>
      </c>
      <c r="Q7" s="19" t="str">
        <f t="shared" si="11"/>
        <v/>
      </c>
      <c r="R7" s="20" t="s">
        <v>7</v>
      </c>
      <c r="S7" s="19"/>
      <c r="T7" s="42" t="s">
        <v>8</v>
      </c>
      <c r="U7" s="43"/>
      <c r="V7" s="43" t="s">
        <v>17</v>
      </c>
      <c r="W7" s="35">
        <v>8</v>
      </c>
      <c r="X7" s="25" t="str">
        <f t="shared" si="12"/>
        <v/>
      </c>
      <c r="Y7" s="26" t="str">
        <f t="shared" si="13"/>
        <v/>
      </c>
      <c r="Z7" s="26" t="str">
        <f t="shared" si="14"/>
        <v/>
      </c>
      <c r="AA7" s="28" t="str">
        <f t="shared" si="15"/>
        <v/>
      </c>
      <c r="AB7" s="29" t="str">
        <f t="shared" si="16"/>
        <v/>
      </c>
      <c r="AC7" s="29" t="str">
        <f t="shared" si="17"/>
        <v/>
      </c>
      <c r="AD7" s="29" t="str">
        <f t="shared" si="18"/>
        <v/>
      </c>
      <c r="AE7" s="32" t="str">
        <f t="shared" si="19"/>
        <v>=</v>
      </c>
      <c r="AF7" s="26" t="str">
        <f t="shared" si="20"/>
        <v/>
      </c>
      <c r="AG7" s="27" t="str">
        <f t="shared" si="21"/>
        <v/>
      </c>
      <c r="AH7" s="5"/>
    </row>
    <row r="8" spans="2:34" x14ac:dyDescent="0.2">
      <c r="B8" s="24" t="s">
        <v>14</v>
      </c>
      <c r="C8" s="3" t="s">
        <v>18</v>
      </c>
      <c r="D8" s="4">
        <v>2</v>
      </c>
      <c r="E8" s="25" t="str">
        <f t="shared" si="0"/>
        <v/>
      </c>
      <c r="F8" s="26" t="str">
        <f t="shared" si="1"/>
        <v>=</v>
      </c>
      <c r="G8" s="27" t="str">
        <f t="shared" si="2"/>
        <v/>
      </c>
      <c r="H8" s="28" t="str">
        <f t="shared" si="3"/>
        <v/>
      </c>
      <c r="I8" s="29" t="str">
        <f t="shared" si="4"/>
        <v/>
      </c>
      <c r="J8" s="29" t="str">
        <f t="shared" si="5"/>
        <v/>
      </c>
      <c r="K8" s="30" t="str">
        <f t="shared" si="6"/>
        <v/>
      </c>
      <c r="L8" s="25" t="str">
        <f t="shared" si="7"/>
        <v/>
      </c>
      <c r="M8" s="26" t="str">
        <f t="shared" si="8"/>
        <v/>
      </c>
      <c r="N8" s="27" t="str">
        <f t="shared" si="9"/>
        <v/>
      </c>
      <c r="O8" s="19" t="str">
        <f t="shared" si="10"/>
        <v/>
      </c>
      <c r="P8" s="20"/>
      <c r="Q8" s="19">
        <f t="shared" si="11"/>
        <v>1</v>
      </c>
      <c r="R8" s="20"/>
      <c r="S8" s="19"/>
      <c r="T8" s="44" t="s">
        <v>19</v>
      </c>
      <c r="U8" s="22"/>
      <c r="V8" s="22" t="s">
        <v>10</v>
      </c>
      <c r="W8" s="12">
        <v>1</v>
      </c>
      <c r="X8" s="13" t="str">
        <f t="shared" si="12"/>
        <v>=</v>
      </c>
      <c r="Y8" s="14" t="str">
        <f t="shared" si="13"/>
        <v/>
      </c>
      <c r="Z8" s="14" t="str">
        <f t="shared" si="14"/>
        <v/>
      </c>
      <c r="AA8" s="16" t="str">
        <f t="shared" si="15"/>
        <v/>
      </c>
      <c r="AB8" s="17" t="str">
        <f t="shared" si="16"/>
        <v/>
      </c>
      <c r="AC8" s="17" t="str">
        <f t="shared" si="17"/>
        <v/>
      </c>
      <c r="AD8" s="17" t="str">
        <f t="shared" si="18"/>
        <v/>
      </c>
      <c r="AE8" s="23" t="str">
        <f t="shared" si="19"/>
        <v/>
      </c>
      <c r="AF8" s="14" t="str">
        <f t="shared" si="20"/>
        <v/>
      </c>
      <c r="AG8" s="15" t="str">
        <f t="shared" si="21"/>
        <v/>
      </c>
      <c r="AH8" s="5"/>
    </row>
    <row r="9" spans="2:34" x14ac:dyDescent="0.2">
      <c r="B9" s="33" t="s">
        <v>14</v>
      </c>
      <c r="C9" s="34" t="s">
        <v>20</v>
      </c>
      <c r="D9" s="35">
        <v>10</v>
      </c>
      <c r="E9" s="36" t="str">
        <f t="shared" si="0"/>
        <v/>
      </c>
      <c r="F9" s="37" t="str">
        <f t="shared" si="1"/>
        <v/>
      </c>
      <c r="G9" s="38" t="str">
        <f t="shared" si="2"/>
        <v/>
      </c>
      <c r="H9" s="39" t="str">
        <f t="shared" si="3"/>
        <v/>
      </c>
      <c r="I9" s="40" t="str">
        <f t="shared" si="4"/>
        <v/>
      </c>
      <c r="J9" s="40" t="str">
        <f t="shared" si="5"/>
        <v/>
      </c>
      <c r="K9" s="41" t="str">
        <f t="shared" si="6"/>
        <v/>
      </c>
      <c r="L9" s="36" t="str">
        <f t="shared" si="7"/>
        <v/>
      </c>
      <c r="M9" s="37" t="str">
        <f t="shared" si="8"/>
        <v/>
      </c>
      <c r="N9" s="38" t="str">
        <f t="shared" si="9"/>
        <v>=</v>
      </c>
      <c r="O9" s="19">
        <f t="shared" si="10"/>
        <v>1</v>
      </c>
      <c r="P9" s="20"/>
      <c r="Q9" s="19" t="str">
        <f t="shared" si="11"/>
        <v/>
      </c>
      <c r="R9" s="20"/>
      <c r="S9" s="19"/>
      <c r="T9" s="45" t="s">
        <v>19</v>
      </c>
      <c r="U9" s="19"/>
      <c r="V9" s="19" t="s">
        <v>21</v>
      </c>
      <c r="W9" s="4">
        <v>1</v>
      </c>
      <c r="X9" s="25" t="str">
        <f t="shared" si="12"/>
        <v>=</v>
      </c>
      <c r="Y9" s="26" t="str">
        <f t="shared" si="13"/>
        <v/>
      </c>
      <c r="Z9" s="26" t="str">
        <f t="shared" si="14"/>
        <v/>
      </c>
      <c r="AA9" s="28" t="str">
        <f t="shared" si="15"/>
        <v/>
      </c>
      <c r="AB9" s="29" t="str">
        <f t="shared" si="16"/>
        <v/>
      </c>
      <c r="AC9" s="29" t="str">
        <f t="shared" si="17"/>
        <v/>
      </c>
      <c r="AD9" s="29" t="str">
        <f t="shared" si="18"/>
        <v/>
      </c>
      <c r="AE9" s="32" t="str">
        <f t="shared" si="19"/>
        <v/>
      </c>
      <c r="AF9" s="26" t="str">
        <f t="shared" si="20"/>
        <v/>
      </c>
      <c r="AG9" s="27" t="str">
        <f t="shared" si="21"/>
        <v/>
      </c>
      <c r="AH9" s="5"/>
    </row>
    <row r="10" spans="2:34" x14ac:dyDescent="0.2">
      <c r="B10" s="10" t="s">
        <v>22</v>
      </c>
      <c r="C10" s="11" t="s">
        <v>6</v>
      </c>
      <c r="D10" s="12">
        <v>10</v>
      </c>
      <c r="E10" s="13" t="str">
        <f t="shared" si="0"/>
        <v/>
      </c>
      <c r="F10" s="14" t="str">
        <f t="shared" si="1"/>
        <v/>
      </c>
      <c r="G10" s="15" t="str">
        <f t="shared" si="2"/>
        <v/>
      </c>
      <c r="H10" s="16" t="str">
        <f t="shared" si="3"/>
        <v/>
      </c>
      <c r="I10" s="17" t="str">
        <f t="shared" si="4"/>
        <v/>
      </c>
      <c r="J10" s="17" t="str">
        <f t="shared" si="5"/>
        <v/>
      </c>
      <c r="K10" s="18" t="str">
        <f t="shared" si="6"/>
        <v/>
      </c>
      <c r="L10" s="13" t="str">
        <f t="shared" si="7"/>
        <v/>
      </c>
      <c r="M10" s="14" t="str">
        <f t="shared" si="8"/>
        <v/>
      </c>
      <c r="N10" s="15" t="str">
        <f t="shared" si="9"/>
        <v>=</v>
      </c>
      <c r="O10" s="19">
        <f t="shared" si="10"/>
        <v>1</v>
      </c>
      <c r="P10" s="20" t="s">
        <v>7</v>
      </c>
      <c r="Q10" s="19" t="str">
        <f t="shared" si="11"/>
        <v/>
      </c>
      <c r="R10" s="20" t="s">
        <v>7</v>
      </c>
      <c r="S10" s="19"/>
      <c r="T10" s="45" t="s">
        <v>19</v>
      </c>
      <c r="U10" s="19"/>
      <c r="V10" s="19" t="s">
        <v>23</v>
      </c>
      <c r="W10" s="4">
        <v>2</v>
      </c>
      <c r="X10" s="25" t="str">
        <f t="shared" si="12"/>
        <v/>
      </c>
      <c r="Y10" s="26" t="str">
        <f t="shared" si="13"/>
        <v>=</v>
      </c>
      <c r="Z10" s="26" t="str">
        <f t="shared" si="14"/>
        <v/>
      </c>
      <c r="AA10" s="28" t="str">
        <f t="shared" si="15"/>
        <v/>
      </c>
      <c r="AB10" s="29" t="str">
        <f t="shared" si="16"/>
        <v/>
      </c>
      <c r="AC10" s="29" t="str">
        <f t="shared" si="17"/>
        <v/>
      </c>
      <c r="AD10" s="29" t="str">
        <f t="shared" si="18"/>
        <v/>
      </c>
      <c r="AE10" s="32" t="str">
        <f t="shared" si="19"/>
        <v/>
      </c>
      <c r="AF10" s="26" t="str">
        <f t="shared" si="20"/>
        <v/>
      </c>
      <c r="AG10" s="27" t="str">
        <f t="shared" si="21"/>
        <v/>
      </c>
      <c r="AH10" s="5"/>
    </row>
    <row r="11" spans="2:34" x14ac:dyDescent="0.2">
      <c r="B11" s="24" t="s">
        <v>22</v>
      </c>
      <c r="C11" s="3" t="s">
        <v>24</v>
      </c>
      <c r="D11" s="4">
        <v>7</v>
      </c>
      <c r="E11" s="25" t="str">
        <f t="shared" si="0"/>
        <v/>
      </c>
      <c r="F11" s="26" t="str">
        <f t="shared" si="1"/>
        <v/>
      </c>
      <c r="G11" s="27" t="str">
        <f t="shared" si="2"/>
        <v/>
      </c>
      <c r="H11" s="28" t="str">
        <f t="shared" si="3"/>
        <v/>
      </c>
      <c r="I11" s="29" t="str">
        <f t="shared" si="4"/>
        <v/>
      </c>
      <c r="J11" s="29" t="str">
        <f t="shared" si="5"/>
        <v/>
      </c>
      <c r="K11" s="30" t="str">
        <f t="shared" si="6"/>
        <v>=</v>
      </c>
      <c r="L11" s="25" t="str">
        <f t="shared" si="7"/>
        <v/>
      </c>
      <c r="M11" s="26" t="str">
        <f t="shared" si="8"/>
        <v/>
      </c>
      <c r="N11" s="27" t="str">
        <f t="shared" si="9"/>
        <v/>
      </c>
      <c r="O11" s="19" t="str">
        <f t="shared" si="10"/>
        <v/>
      </c>
      <c r="P11" s="20"/>
      <c r="Q11" s="19" t="str">
        <f t="shared" si="11"/>
        <v/>
      </c>
      <c r="R11" s="20"/>
      <c r="S11" s="19"/>
      <c r="T11" s="46" t="s">
        <v>19</v>
      </c>
      <c r="U11" s="43"/>
      <c r="V11" s="43" t="s">
        <v>25</v>
      </c>
      <c r="W11" s="35">
        <v>8</v>
      </c>
      <c r="X11" s="36" t="str">
        <f t="shared" si="12"/>
        <v/>
      </c>
      <c r="Y11" s="37" t="str">
        <f t="shared" si="13"/>
        <v/>
      </c>
      <c r="Z11" s="37" t="str">
        <f t="shared" si="14"/>
        <v/>
      </c>
      <c r="AA11" s="39" t="str">
        <f t="shared" si="15"/>
        <v/>
      </c>
      <c r="AB11" s="40" t="str">
        <f t="shared" si="16"/>
        <v/>
      </c>
      <c r="AC11" s="40" t="str">
        <f t="shared" si="17"/>
        <v/>
      </c>
      <c r="AD11" s="40" t="str">
        <f t="shared" si="18"/>
        <v/>
      </c>
      <c r="AE11" s="47" t="str">
        <f t="shared" si="19"/>
        <v>=</v>
      </c>
      <c r="AF11" s="37" t="str">
        <f t="shared" si="20"/>
        <v/>
      </c>
      <c r="AG11" s="38" t="str">
        <f t="shared" si="21"/>
        <v/>
      </c>
      <c r="AH11" s="5"/>
    </row>
    <row r="12" spans="2:34" x14ac:dyDescent="0.2">
      <c r="B12" s="33" t="s">
        <v>22</v>
      </c>
      <c r="C12" s="34" t="s">
        <v>26</v>
      </c>
      <c r="D12" s="35">
        <v>6</v>
      </c>
      <c r="E12" s="36" t="str">
        <f t="shared" si="0"/>
        <v/>
      </c>
      <c r="F12" s="37" t="str">
        <f t="shared" si="1"/>
        <v/>
      </c>
      <c r="G12" s="38" t="str">
        <f t="shared" si="2"/>
        <v/>
      </c>
      <c r="H12" s="39" t="str">
        <f t="shared" si="3"/>
        <v/>
      </c>
      <c r="I12" s="40" t="str">
        <f t="shared" si="4"/>
        <v/>
      </c>
      <c r="J12" s="40" t="str">
        <f t="shared" si="5"/>
        <v>=</v>
      </c>
      <c r="K12" s="41" t="str">
        <f t="shared" si="6"/>
        <v/>
      </c>
      <c r="L12" s="36" t="str">
        <f t="shared" si="7"/>
        <v/>
      </c>
      <c r="M12" s="37" t="str">
        <f t="shared" si="8"/>
        <v/>
      </c>
      <c r="N12" s="38" t="str">
        <f t="shared" si="9"/>
        <v/>
      </c>
      <c r="O12" s="19" t="str">
        <f t="shared" si="10"/>
        <v/>
      </c>
      <c r="P12" s="20"/>
      <c r="Q12" s="19" t="str">
        <f t="shared" si="11"/>
        <v/>
      </c>
      <c r="R12" s="20"/>
      <c r="S12" s="19"/>
      <c r="T12" s="44" t="s">
        <v>27</v>
      </c>
      <c r="U12" s="22"/>
      <c r="V12" s="22" t="s">
        <v>9</v>
      </c>
      <c r="W12" s="12">
        <v>6</v>
      </c>
      <c r="X12" s="13" t="str">
        <f t="shared" si="12"/>
        <v/>
      </c>
      <c r="Y12" s="14" t="str">
        <f t="shared" si="13"/>
        <v/>
      </c>
      <c r="Z12" s="14" t="str">
        <f t="shared" si="14"/>
        <v/>
      </c>
      <c r="AA12" s="16" t="str">
        <f t="shared" si="15"/>
        <v/>
      </c>
      <c r="AB12" s="17" t="str">
        <f t="shared" si="16"/>
        <v/>
      </c>
      <c r="AC12" s="17" t="str">
        <f t="shared" si="17"/>
        <v>=</v>
      </c>
      <c r="AD12" s="17" t="str">
        <f t="shared" si="18"/>
        <v/>
      </c>
      <c r="AE12" s="23" t="str">
        <f t="shared" si="19"/>
        <v/>
      </c>
      <c r="AF12" s="14" t="str">
        <f t="shared" si="20"/>
        <v/>
      </c>
      <c r="AG12" s="15" t="str">
        <f t="shared" si="21"/>
        <v/>
      </c>
      <c r="AH12" s="5"/>
    </row>
    <row r="13" spans="2:34" x14ac:dyDescent="0.2">
      <c r="B13" s="10" t="s">
        <v>28</v>
      </c>
      <c r="C13" s="11" t="s">
        <v>29</v>
      </c>
      <c r="D13" s="12">
        <v>10</v>
      </c>
      <c r="E13" s="13" t="str">
        <f t="shared" si="0"/>
        <v/>
      </c>
      <c r="F13" s="14" t="str">
        <f t="shared" si="1"/>
        <v/>
      </c>
      <c r="G13" s="15" t="str">
        <f t="shared" si="2"/>
        <v/>
      </c>
      <c r="H13" s="16" t="str">
        <f t="shared" si="3"/>
        <v/>
      </c>
      <c r="I13" s="17" t="str">
        <f t="shared" si="4"/>
        <v/>
      </c>
      <c r="J13" s="17" t="str">
        <f t="shared" si="5"/>
        <v/>
      </c>
      <c r="K13" s="18" t="str">
        <f t="shared" si="6"/>
        <v/>
      </c>
      <c r="L13" s="13" t="str">
        <f t="shared" si="7"/>
        <v/>
      </c>
      <c r="M13" s="14" t="str">
        <f t="shared" si="8"/>
        <v/>
      </c>
      <c r="N13" s="15" t="str">
        <f t="shared" si="9"/>
        <v>=</v>
      </c>
      <c r="O13" s="19">
        <f t="shared" si="10"/>
        <v>1</v>
      </c>
      <c r="P13" s="20" t="s">
        <v>7</v>
      </c>
      <c r="Q13" s="19" t="str">
        <f t="shared" si="11"/>
        <v/>
      </c>
      <c r="R13" s="20" t="s">
        <v>7</v>
      </c>
      <c r="S13" s="19"/>
      <c r="T13" s="45" t="s">
        <v>27</v>
      </c>
      <c r="U13" s="19"/>
      <c r="V13" s="19" t="s">
        <v>30</v>
      </c>
      <c r="W13" s="4">
        <v>4</v>
      </c>
      <c r="X13" s="25" t="str">
        <f t="shared" si="12"/>
        <v/>
      </c>
      <c r="Y13" s="26" t="str">
        <f t="shared" si="13"/>
        <v/>
      </c>
      <c r="Z13" s="26" t="str">
        <f t="shared" si="14"/>
        <v/>
      </c>
      <c r="AA13" s="28" t="str">
        <f t="shared" si="15"/>
        <v>=</v>
      </c>
      <c r="AB13" s="29" t="str">
        <f t="shared" si="16"/>
        <v/>
      </c>
      <c r="AC13" s="29" t="str">
        <f t="shared" si="17"/>
        <v/>
      </c>
      <c r="AD13" s="29" t="str">
        <f t="shared" si="18"/>
        <v/>
      </c>
      <c r="AE13" s="32" t="str">
        <f t="shared" si="19"/>
        <v/>
      </c>
      <c r="AF13" s="26" t="str">
        <f t="shared" si="20"/>
        <v/>
      </c>
      <c r="AG13" s="27" t="str">
        <f t="shared" si="21"/>
        <v/>
      </c>
      <c r="AH13" s="5"/>
    </row>
    <row r="14" spans="2:34" x14ac:dyDescent="0.2">
      <c r="B14" s="24" t="s">
        <v>28</v>
      </c>
      <c r="C14" s="3" t="s">
        <v>31</v>
      </c>
      <c r="D14" s="4">
        <v>2</v>
      </c>
      <c r="E14" s="25" t="str">
        <f t="shared" si="0"/>
        <v/>
      </c>
      <c r="F14" s="26" t="str">
        <f t="shared" si="1"/>
        <v>=</v>
      </c>
      <c r="G14" s="27" t="str">
        <f t="shared" si="2"/>
        <v/>
      </c>
      <c r="H14" s="28" t="str">
        <f t="shared" si="3"/>
        <v/>
      </c>
      <c r="I14" s="29" t="str">
        <f t="shared" si="4"/>
        <v/>
      </c>
      <c r="J14" s="29" t="str">
        <f t="shared" si="5"/>
        <v/>
      </c>
      <c r="K14" s="30" t="str">
        <f t="shared" si="6"/>
        <v/>
      </c>
      <c r="L14" s="25" t="str">
        <f t="shared" si="7"/>
        <v/>
      </c>
      <c r="M14" s="26" t="str">
        <f t="shared" si="8"/>
        <v/>
      </c>
      <c r="N14" s="27" t="str">
        <f t="shared" si="9"/>
        <v/>
      </c>
      <c r="O14" s="19" t="str">
        <f t="shared" si="10"/>
        <v/>
      </c>
      <c r="P14" s="20"/>
      <c r="Q14" s="19">
        <f t="shared" si="11"/>
        <v>1</v>
      </c>
      <c r="R14" s="20"/>
      <c r="S14" s="19"/>
      <c r="T14" s="45" t="s">
        <v>27</v>
      </c>
      <c r="U14" s="19"/>
      <c r="V14" s="19" t="s">
        <v>32</v>
      </c>
      <c r="W14" s="4">
        <v>4</v>
      </c>
      <c r="X14" s="25" t="str">
        <f t="shared" si="12"/>
        <v/>
      </c>
      <c r="Y14" s="26" t="str">
        <f t="shared" si="13"/>
        <v/>
      </c>
      <c r="Z14" s="26" t="str">
        <f t="shared" si="14"/>
        <v/>
      </c>
      <c r="AA14" s="28" t="str">
        <f t="shared" si="15"/>
        <v>=</v>
      </c>
      <c r="AB14" s="29" t="str">
        <f t="shared" si="16"/>
        <v/>
      </c>
      <c r="AC14" s="29" t="str">
        <f t="shared" si="17"/>
        <v/>
      </c>
      <c r="AD14" s="29" t="str">
        <f t="shared" si="18"/>
        <v/>
      </c>
      <c r="AE14" s="32" t="str">
        <f t="shared" si="19"/>
        <v/>
      </c>
      <c r="AF14" s="26" t="str">
        <f t="shared" si="20"/>
        <v/>
      </c>
      <c r="AG14" s="27" t="str">
        <f t="shared" si="21"/>
        <v/>
      </c>
      <c r="AH14" s="5"/>
    </row>
    <row r="15" spans="2:34" x14ac:dyDescent="0.2">
      <c r="B15" s="33" t="s">
        <v>28</v>
      </c>
      <c r="C15" s="34" t="s">
        <v>33</v>
      </c>
      <c r="D15" s="35">
        <v>6</v>
      </c>
      <c r="E15" s="36" t="str">
        <f t="shared" si="0"/>
        <v/>
      </c>
      <c r="F15" s="37" t="str">
        <f t="shared" si="1"/>
        <v/>
      </c>
      <c r="G15" s="38" t="str">
        <f t="shared" si="2"/>
        <v/>
      </c>
      <c r="H15" s="39" t="str">
        <f t="shared" si="3"/>
        <v/>
      </c>
      <c r="I15" s="40" t="str">
        <f t="shared" si="4"/>
        <v/>
      </c>
      <c r="J15" s="40" t="str">
        <f t="shared" si="5"/>
        <v>=</v>
      </c>
      <c r="K15" s="41" t="str">
        <f t="shared" si="6"/>
        <v/>
      </c>
      <c r="L15" s="36" t="str">
        <f t="shared" si="7"/>
        <v/>
      </c>
      <c r="M15" s="37" t="str">
        <f t="shared" si="8"/>
        <v/>
      </c>
      <c r="N15" s="38" t="str">
        <f t="shared" si="9"/>
        <v/>
      </c>
      <c r="O15" s="19" t="str">
        <f t="shared" si="10"/>
        <v/>
      </c>
      <c r="P15" s="20"/>
      <c r="Q15" s="19" t="str">
        <f t="shared" si="11"/>
        <v/>
      </c>
      <c r="R15" s="20"/>
      <c r="S15" s="19"/>
      <c r="T15" s="46" t="s">
        <v>27</v>
      </c>
      <c r="U15" s="43"/>
      <c r="V15" s="43" t="s">
        <v>34</v>
      </c>
      <c r="W15" s="35">
        <v>6</v>
      </c>
      <c r="X15" s="36" t="str">
        <f t="shared" si="12"/>
        <v/>
      </c>
      <c r="Y15" s="37" t="str">
        <f t="shared" si="13"/>
        <v/>
      </c>
      <c r="Z15" s="37" t="str">
        <f t="shared" si="14"/>
        <v/>
      </c>
      <c r="AA15" s="39" t="str">
        <f t="shared" si="15"/>
        <v/>
      </c>
      <c r="AB15" s="40" t="str">
        <f t="shared" si="16"/>
        <v/>
      </c>
      <c r="AC15" s="40" t="str">
        <f t="shared" si="17"/>
        <v>=</v>
      </c>
      <c r="AD15" s="40" t="str">
        <f t="shared" si="18"/>
        <v/>
      </c>
      <c r="AE15" s="47" t="str">
        <f t="shared" si="19"/>
        <v/>
      </c>
      <c r="AF15" s="37" t="str">
        <f t="shared" si="20"/>
        <v/>
      </c>
      <c r="AG15" s="38" t="str">
        <f t="shared" si="21"/>
        <v/>
      </c>
      <c r="AH15" s="5"/>
    </row>
    <row r="16" spans="2:34" x14ac:dyDescent="0.2">
      <c r="B16" s="10" t="s">
        <v>35</v>
      </c>
      <c r="C16" s="11" t="s">
        <v>36</v>
      </c>
      <c r="D16" s="12">
        <v>6</v>
      </c>
      <c r="E16" s="13" t="str">
        <f t="shared" si="0"/>
        <v/>
      </c>
      <c r="F16" s="14" t="str">
        <f t="shared" si="1"/>
        <v/>
      </c>
      <c r="G16" s="15" t="str">
        <f t="shared" si="2"/>
        <v/>
      </c>
      <c r="H16" s="16" t="str">
        <f t="shared" si="3"/>
        <v/>
      </c>
      <c r="I16" s="17" t="str">
        <f t="shared" si="4"/>
        <v/>
      </c>
      <c r="J16" s="17" t="str">
        <f t="shared" si="5"/>
        <v>=</v>
      </c>
      <c r="K16" s="18" t="str">
        <f t="shared" si="6"/>
        <v/>
      </c>
      <c r="L16" s="13" t="str">
        <f t="shared" si="7"/>
        <v/>
      </c>
      <c r="M16" s="14" t="str">
        <f t="shared" si="8"/>
        <v/>
      </c>
      <c r="N16" s="15" t="str">
        <f t="shared" si="9"/>
        <v/>
      </c>
      <c r="O16" s="19" t="str">
        <f t="shared" si="10"/>
        <v/>
      </c>
      <c r="P16" s="20" t="s">
        <v>7</v>
      </c>
      <c r="Q16" s="19" t="str">
        <f t="shared" si="11"/>
        <v/>
      </c>
      <c r="R16" s="20" t="s">
        <v>7</v>
      </c>
      <c r="S16" s="19"/>
      <c r="T16" s="44" t="s">
        <v>37</v>
      </c>
      <c r="U16" s="22"/>
      <c r="V16" s="22" t="s">
        <v>38</v>
      </c>
      <c r="W16" s="12">
        <v>5</v>
      </c>
      <c r="X16" s="13" t="str">
        <f t="shared" si="12"/>
        <v/>
      </c>
      <c r="Y16" s="14" t="str">
        <f t="shared" si="13"/>
        <v/>
      </c>
      <c r="Z16" s="14" t="str">
        <f t="shared" si="14"/>
        <v/>
      </c>
      <c r="AA16" s="16" t="str">
        <f t="shared" si="15"/>
        <v/>
      </c>
      <c r="AB16" s="17" t="str">
        <f t="shared" si="16"/>
        <v>=</v>
      </c>
      <c r="AC16" s="17" t="str">
        <f t="shared" si="17"/>
        <v/>
      </c>
      <c r="AD16" s="17" t="str">
        <f t="shared" si="18"/>
        <v/>
      </c>
      <c r="AE16" s="23" t="str">
        <f t="shared" si="19"/>
        <v/>
      </c>
      <c r="AF16" s="14" t="str">
        <f t="shared" si="20"/>
        <v/>
      </c>
      <c r="AG16" s="15" t="str">
        <f t="shared" si="21"/>
        <v/>
      </c>
      <c r="AH16" s="5"/>
    </row>
    <row r="17" spans="2:44" x14ac:dyDescent="0.2">
      <c r="B17" s="24" t="s">
        <v>35</v>
      </c>
      <c r="C17" s="3" t="s">
        <v>39</v>
      </c>
      <c r="D17" s="4">
        <v>9</v>
      </c>
      <c r="E17" s="25" t="str">
        <f t="shared" si="0"/>
        <v/>
      </c>
      <c r="F17" s="26" t="str">
        <f t="shared" si="1"/>
        <v/>
      </c>
      <c r="G17" s="27" t="str">
        <f t="shared" si="2"/>
        <v/>
      </c>
      <c r="H17" s="28" t="str">
        <f t="shared" si="3"/>
        <v/>
      </c>
      <c r="I17" s="29" t="str">
        <f t="shared" si="4"/>
        <v/>
      </c>
      <c r="J17" s="29" t="str">
        <f t="shared" si="5"/>
        <v/>
      </c>
      <c r="K17" s="30" t="str">
        <f t="shared" si="6"/>
        <v/>
      </c>
      <c r="L17" s="25" t="str">
        <f t="shared" si="7"/>
        <v/>
      </c>
      <c r="M17" s="26" t="str">
        <f t="shared" si="8"/>
        <v>=</v>
      </c>
      <c r="N17" s="27" t="str">
        <f t="shared" si="9"/>
        <v/>
      </c>
      <c r="O17" s="19">
        <f t="shared" si="10"/>
        <v>1</v>
      </c>
      <c r="P17" s="20"/>
      <c r="Q17" s="19" t="str">
        <f t="shared" si="11"/>
        <v/>
      </c>
      <c r="R17" s="20"/>
      <c r="S17" s="19"/>
      <c r="T17" s="45" t="s">
        <v>37</v>
      </c>
      <c r="U17" s="19"/>
      <c r="V17" s="19" t="s">
        <v>40</v>
      </c>
      <c r="W17" s="4">
        <v>9</v>
      </c>
      <c r="X17" s="25" t="str">
        <f t="shared" si="12"/>
        <v/>
      </c>
      <c r="Y17" s="26" t="str">
        <f t="shared" si="13"/>
        <v/>
      </c>
      <c r="Z17" s="26" t="str">
        <f t="shared" si="14"/>
        <v/>
      </c>
      <c r="AA17" s="28" t="str">
        <f t="shared" si="15"/>
        <v/>
      </c>
      <c r="AB17" s="29" t="str">
        <f t="shared" si="16"/>
        <v/>
      </c>
      <c r="AC17" s="29" t="str">
        <f t="shared" si="17"/>
        <v/>
      </c>
      <c r="AD17" s="29" t="str">
        <f t="shared" si="18"/>
        <v/>
      </c>
      <c r="AE17" s="32" t="str">
        <f t="shared" si="19"/>
        <v/>
      </c>
      <c r="AF17" s="26" t="str">
        <f t="shared" si="20"/>
        <v>=</v>
      </c>
      <c r="AG17" s="27" t="str">
        <f t="shared" si="21"/>
        <v/>
      </c>
      <c r="AH17" s="5"/>
    </row>
    <row r="18" spans="2:44" x14ac:dyDescent="0.2">
      <c r="B18" s="33" t="s">
        <v>35</v>
      </c>
      <c r="C18" s="34" t="s">
        <v>41</v>
      </c>
      <c r="D18" s="35">
        <v>2</v>
      </c>
      <c r="E18" s="36" t="str">
        <f t="shared" si="0"/>
        <v/>
      </c>
      <c r="F18" s="37" t="str">
        <f t="shared" si="1"/>
        <v>=</v>
      </c>
      <c r="G18" s="38" t="str">
        <f t="shared" si="2"/>
        <v/>
      </c>
      <c r="H18" s="39" t="str">
        <f t="shared" si="3"/>
        <v/>
      </c>
      <c r="I18" s="40" t="str">
        <f t="shared" si="4"/>
        <v/>
      </c>
      <c r="J18" s="40" t="str">
        <f t="shared" si="5"/>
        <v/>
      </c>
      <c r="K18" s="41" t="str">
        <f t="shared" si="6"/>
        <v/>
      </c>
      <c r="L18" s="36" t="str">
        <f t="shared" si="7"/>
        <v/>
      </c>
      <c r="M18" s="37" t="str">
        <f t="shared" si="8"/>
        <v/>
      </c>
      <c r="N18" s="38" t="str">
        <f t="shared" si="9"/>
        <v/>
      </c>
      <c r="O18" s="19" t="str">
        <f t="shared" si="10"/>
        <v/>
      </c>
      <c r="P18" s="20"/>
      <c r="Q18" s="19">
        <f t="shared" si="11"/>
        <v>1</v>
      </c>
      <c r="R18" s="20"/>
      <c r="S18" s="19"/>
      <c r="T18" s="45" t="s">
        <v>37</v>
      </c>
      <c r="U18" s="19"/>
      <c r="V18" s="19" t="s">
        <v>17</v>
      </c>
      <c r="W18" s="4">
        <v>8</v>
      </c>
      <c r="X18" s="25" t="str">
        <f t="shared" si="12"/>
        <v/>
      </c>
      <c r="Y18" s="26" t="str">
        <f t="shared" si="13"/>
        <v/>
      </c>
      <c r="Z18" s="26" t="str">
        <f t="shared" si="14"/>
        <v/>
      </c>
      <c r="AA18" s="28" t="str">
        <f t="shared" si="15"/>
        <v/>
      </c>
      <c r="AB18" s="29" t="str">
        <f t="shared" si="16"/>
        <v/>
      </c>
      <c r="AC18" s="29" t="str">
        <f t="shared" si="17"/>
        <v/>
      </c>
      <c r="AD18" s="29" t="str">
        <f t="shared" si="18"/>
        <v/>
      </c>
      <c r="AE18" s="32" t="str">
        <f t="shared" si="19"/>
        <v>=</v>
      </c>
      <c r="AF18" s="26" t="str">
        <f t="shared" si="20"/>
        <v/>
      </c>
      <c r="AG18" s="27" t="str">
        <f t="shared" si="21"/>
        <v/>
      </c>
      <c r="AH18" s="5"/>
    </row>
    <row r="19" spans="2:44" x14ac:dyDescent="0.2">
      <c r="B19" s="48" t="s">
        <v>42</v>
      </c>
      <c r="C19" s="11" t="s">
        <v>43</v>
      </c>
      <c r="D19" s="12">
        <v>8</v>
      </c>
      <c r="E19" s="13" t="str">
        <f t="shared" si="0"/>
        <v/>
      </c>
      <c r="F19" s="14" t="str">
        <f t="shared" si="1"/>
        <v/>
      </c>
      <c r="G19" s="15" t="str">
        <f t="shared" si="2"/>
        <v/>
      </c>
      <c r="H19" s="16" t="str">
        <f t="shared" si="3"/>
        <v/>
      </c>
      <c r="I19" s="17" t="str">
        <f t="shared" si="4"/>
        <v/>
      </c>
      <c r="J19" s="17" t="str">
        <f t="shared" si="5"/>
        <v/>
      </c>
      <c r="K19" s="18" t="str">
        <f t="shared" si="6"/>
        <v/>
      </c>
      <c r="L19" s="13" t="str">
        <f t="shared" si="7"/>
        <v>=</v>
      </c>
      <c r="M19" s="14" t="str">
        <f t="shared" si="8"/>
        <v/>
      </c>
      <c r="N19" s="15" t="str">
        <f t="shared" si="9"/>
        <v/>
      </c>
      <c r="O19" s="19">
        <f t="shared" si="10"/>
        <v>1</v>
      </c>
      <c r="P19" s="20" t="s">
        <v>7</v>
      </c>
      <c r="Q19" s="19" t="str">
        <f t="shared" si="11"/>
        <v/>
      </c>
      <c r="R19" s="20" t="s">
        <v>7</v>
      </c>
      <c r="S19" s="19"/>
      <c r="T19" s="46" t="s">
        <v>37</v>
      </c>
      <c r="U19" s="43"/>
      <c r="V19" s="43" t="s">
        <v>44</v>
      </c>
      <c r="W19" s="35">
        <v>1</v>
      </c>
      <c r="X19" s="36" t="str">
        <f t="shared" si="12"/>
        <v>=</v>
      </c>
      <c r="Y19" s="37" t="str">
        <f t="shared" si="13"/>
        <v/>
      </c>
      <c r="Z19" s="37" t="str">
        <f t="shared" si="14"/>
        <v/>
      </c>
      <c r="AA19" s="39" t="str">
        <f t="shared" si="15"/>
        <v/>
      </c>
      <c r="AB19" s="40" t="str">
        <f t="shared" si="16"/>
        <v/>
      </c>
      <c r="AC19" s="40" t="str">
        <f t="shared" si="17"/>
        <v/>
      </c>
      <c r="AD19" s="40" t="str">
        <f t="shared" si="18"/>
        <v/>
      </c>
      <c r="AE19" s="47" t="str">
        <f t="shared" si="19"/>
        <v/>
      </c>
      <c r="AF19" s="37" t="str">
        <f t="shared" si="20"/>
        <v/>
      </c>
      <c r="AG19" s="38" t="str">
        <f t="shared" si="21"/>
        <v/>
      </c>
      <c r="AH19" s="5"/>
    </row>
    <row r="20" spans="2:44" x14ac:dyDescent="0.2">
      <c r="B20" s="49" t="s">
        <v>42</v>
      </c>
      <c r="C20" s="3" t="s">
        <v>38</v>
      </c>
      <c r="D20" s="4">
        <v>5</v>
      </c>
      <c r="E20" s="25" t="str">
        <f t="shared" si="0"/>
        <v/>
      </c>
      <c r="F20" s="26" t="str">
        <f t="shared" si="1"/>
        <v/>
      </c>
      <c r="G20" s="27" t="str">
        <f t="shared" si="2"/>
        <v/>
      </c>
      <c r="H20" s="28" t="str">
        <f t="shared" si="3"/>
        <v/>
      </c>
      <c r="I20" s="29" t="str">
        <f t="shared" si="4"/>
        <v>=</v>
      </c>
      <c r="J20" s="29" t="str">
        <f t="shared" si="5"/>
        <v/>
      </c>
      <c r="K20" s="30" t="str">
        <f t="shared" si="6"/>
        <v/>
      </c>
      <c r="L20" s="25" t="str">
        <f t="shared" si="7"/>
        <v/>
      </c>
      <c r="M20" s="26" t="str">
        <f t="shared" si="8"/>
        <v/>
      </c>
      <c r="N20" s="27" t="str">
        <f t="shared" si="9"/>
        <v/>
      </c>
      <c r="O20" s="19" t="str">
        <f t="shared" si="10"/>
        <v/>
      </c>
      <c r="P20" s="20"/>
      <c r="Q20" s="19" t="str">
        <f t="shared" si="11"/>
        <v/>
      </c>
      <c r="R20" s="20"/>
      <c r="S20" s="19"/>
      <c r="AM20" s="1">
        <f>COUNTA(AM26:AM41)</f>
        <v>0</v>
      </c>
      <c r="AQ20" s="1">
        <f>COUNTA(AQ26:AQ41)</f>
        <v>0</v>
      </c>
    </row>
    <row r="21" spans="2:44" x14ac:dyDescent="0.2">
      <c r="B21" s="50" t="s">
        <v>42</v>
      </c>
      <c r="C21" s="34" t="s">
        <v>45</v>
      </c>
      <c r="D21" s="35">
        <v>2</v>
      </c>
      <c r="E21" s="36" t="str">
        <f t="shared" si="0"/>
        <v/>
      </c>
      <c r="F21" s="37" t="str">
        <f t="shared" si="1"/>
        <v>=</v>
      </c>
      <c r="G21" s="38" t="str">
        <f t="shared" si="2"/>
        <v/>
      </c>
      <c r="H21" s="39" t="str">
        <f t="shared" si="3"/>
        <v/>
      </c>
      <c r="I21" s="40" t="str">
        <f t="shared" si="4"/>
        <v/>
      </c>
      <c r="J21" s="40" t="str">
        <f t="shared" si="5"/>
        <v/>
      </c>
      <c r="K21" s="41" t="str">
        <f t="shared" si="6"/>
        <v/>
      </c>
      <c r="L21" s="36" t="str">
        <f t="shared" si="7"/>
        <v/>
      </c>
      <c r="M21" s="37" t="str">
        <f t="shared" si="8"/>
        <v/>
      </c>
      <c r="N21" s="38" t="str">
        <f t="shared" si="9"/>
        <v/>
      </c>
      <c r="O21" s="19" t="str">
        <f t="shared" si="10"/>
        <v/>
      </c>
      <c r="P21" s="20"/>
      <c r="Q21" s="19">
        <f t="shared" si="11"/>
        <v>1</v>
      </c>
      <c r="R21" s="20"/>
      <c r="S21" s="19"/>
      <c r="T21" s="9" t="s">
        <v>46</v>
      </c>
      <c r="U21" s="9"/>
    </row>
    <row r="22" spans="2:44" x14ac:dyDescent="0.2">
      <c r="B22" s="48" t="s">
        <v>47</v>
      </c>
      <c r="C22" s="11" t="s">
        <v>48</v>
      </c>
      <c r="D22" s="12">
        <v>7</v>
      </c>
      <c r="E22" s="13" t="str">
        <f t="shared" si="0"/>
        <v/>
      </c>
      <c r="F22" s="14" t="str">
        <f t="shared" si="1"/>
        <v/>
      </c>
      <c r="G22" s="15" t="str">
        <f t="shared" si="2"/>
        <v/>
      </c>
      <c r="H22" s="16" t="str">
        <f t="shared" si="3"/>
        <v/>
      </c>
      <c r="I22" s="17" t="str">
        <f t="shared" si="4"/>
        <v/>
      </c>
      <c r="J22" s="17" t="str">
        <f t="shared" si="5"/>
        <v/>
      </c>
      <c r="K22" s="18" t="str">
        <f t="shared" si="6"/>
        <v>=</v>
      </c>
      <c r="L22" s="13" t="str">
        <f t="shared" si="7"/>
        <v/>
      </c>
      <c r="M22" s="14" t="str">
        <f t="shared" si="8"/>
        <v/>
      </c>
      <c r="N22" s="15" t="str">
        <f t="shared" si="9"/>
        <v/>
      </c>
      <c r="O22" s="19" t="str">
        <f t="shared" si="10"/>
        <v/>
      </c>
      <c r="P22" s="20" t="s">
        <v>7</v>
      </c>
      <c r="Q22" s="19" t="str">
        <f t="shared" si="11"/>
        <v/>
      </c>
      <c r="R22" s="20" t="s">
        <v>16</v>
      </c>
      <c r="S22" s="19"/>
      <c r="T22" s="44" t="s">
        <v>46</v>
      </c>
      <c r="U22" s="22"/>
      <c r="V22" s="51" t="s">
        <v>49</v>
      </c>
      <c r="W22" s="12">
        <v>9</v>
      </c>
      <c r="X22" s="13" t="str">
        <f>IF($W22=1,"=","")</f>
        <v/>
      </c>
      <c r="Y22" s="14" t="str">
        <f>IF($W22=2,"=","")</f>
        <v/>
      </c>
      <c r="Z22" s="15" t="str">
        <f>IF($W22=3,"=","")</f>
        <v/>
      </c>
      <c r="AA22" s="16" t="str">
        <f>IF($W22=4,"=","")</f>
        <v/>
      </c>
      <c r="AB22" s="17" t="str">
        <f>IF($W22=5,"=","")</f>
        <v/>
      </c>
      <c r="AC22" s="17" t="str">
        <f>IF($W22=6,"=","")</f>
        <v/>
      </c>
      <c r="AD22" s="18" t="str">
        <f>IF($W22=7,"=","")</f>
        <v/>
      </c>
      <c r="AE22" s="13" t="str">
        <f>IF($W22=8,"=","")</f>
        <v/>
      </c>
      <c r="AF22" s="14" t="str">
        <f>IF($W22=9,"=","")</f>
        <v>=</v>
      </c>
      <c r="AG22" s="15" t="str">
        <f>IF($W22=10,"=","")</f>
        <v/>
      </c>
      <c r="AH22" s="5"/>
      <c r="AM22" t="s">
        <v>50</v>
      </c>
      <c r="AN22" s="52">
        <f>COUNTIF($T$64:$T$97,AM22)</f>
        <v>0</v>
      </c>
      <c r="AO22" s="52">
        <f>COUNTIF($AR$25:$AR$50,AM22)</f>
        <v>0</v>
      </c>
      <c r="AP22" s="53">
        <f>IF(SUM(AN22:AO22)&gt;0,"BORRAR",0)</f>
        <v>0</v>
      </c>
    </row>
    <row r="23" spans="2:44" x14ac:dyDescent="0.2">
      <c r="B23" s="49" t="s">
        <v>47</v>
      </c>
      <c r="C23" s="3" t="s">
        <v>51</v>
      </c>
      <c r="D23" s="4">
        <v>3</v>
      </c>
      <c r="E23" s="25" t="str">
        <f t="shared" si="0"/>
        <v/>
      </c>
      <c r="F23" s="26" t="str">
        <f t="shared" si="1"/>
        <v/>
      </c>
      <c r="G23" s="27" t="str">
        <f t="shared" si="2"/>
        <v>=</v>
      </c>
      <c r="H23" s="28" t="str">
        <f t="shared" si="3"/>
        <v/>
      </c>
      <c r="I23" s="29" t="str">
        <f t="shared" si="4"/>
        <v/>
      </c>
      <c r="J23" s="29" t="str">
        <f t="shared" si="5"/>
        <v/>
      </c>
      <c r="K23" s="30" t="str">
        <f t="shared" si="6"/>
        <v/>
      </c>
      <c r="L23" s="25" t="str">
        <f t="shared" si="7"/>
        <v/>
      </c>
      <c r="M23" s="26" t="str">
        <f t="shared" si="8"/>
        <v/>
      </c>
      <c r="N23" s="27" t="str">
        <f t="shared" si="9"/>
        <v/>
      </c>
      <c r="O23" s="19" t="str">
        <f t="shared" si="10"/>
        <v/>
      </c>
      <c r="P23" s="20"/>
      <c r="Q23" s="19">
        <f t="shared" si="11"/>
        <v>1</v>
      </c>
      <c r="R23" s="20"/>
      <c r="S23" s="19"/>
      <c r="T23" s="46" t="s">
        <v>46</v>
      </c>
      <c r="U23" s="43"/>
      <c r="V23" s="54" t="s">
        <v>52</v>
      </c>
      <c r="W23" s="35">
        <v>3</v>
      </c>
      <c r="X23" s="36" t="str">
        <f>IF($W23=1,"=","")</f>
        <v/>
      </c>
      <c r="Y23" s="37" t="str">
        <f>IF($W23=2,"=","")</f>
        <v/>
      </c>
      <c r="Z23" s="38" t="str">
        <f>IF($W23=3,"=","")</f>
        <v>=</v>
      </c>
      <c r="AA23" s="39" t="str">
        <f>IF($W23=4,"=","")</f>
        <v/>
      </c>
      <c r="AB23" s="40" t="str">
        <f>IF($W23=5,"=","")</f>
        <v/>
      </c>
      <c r="AC23" s="40" t="str">
        <f>IF($W23=6,"=","")</f>
        <v/>
      </c>
      <c r="AD23" s="41" t="str">
        <f>IF($W23=7,"=","")</f>
        <v/>
      </c>
      <c r="AE23" s="36" t="str">
        <f>IF($W23=8,"=","")</f>
        <v/>
      </c>
      <c r="AF23" s="37" t="str">
        <f>IF($W23=9,"=","")</f>
        <v/>
      </c>
      <c r="AG23" s="38" t="str">
        <f>IF($W23=10,"=","")</f>
        <v/>
      </c>
      <c r="AH23" s="5"/>
      <c r="AM23" t="s">
        <v>53</v>
      </c>
      <c r="AN23" s="52">
        <f>COUNTIF($V$64:$V$97,AM23)</f>
        <v>0</v>
      </c>
      <c r="AO23" s="52">
        <f>COUNTIF($AR$25:$AR$50,AM23)</f>
        <v>0</v>
      </c>
      <c r="AP23" s="53">
        <f>IF(SUM(AN23:AO23)&gt;0,"BORRAR",0)</f>
        <v>0</v>
      </c>
    </row>
    <row r="24" spans="2:44" x14ac:dyDescent="0.2">
      <c r="B24" s="50" t="s">
        <v>47</v>
      </c>
      <c r="C24" s="34" t="s">
        <v>45</v>
      </c>
      <c r="D24" s="35">
        <v>2</v>
      </c>
      <c r="E24" s="36" t="str">
        <f t="shared" si="0"/>
        <v/>
      </c>
      <c r="F24" s="37" t="str">
        <f t="shared" si="1"/>
        <v>=</v>
      </c>
      <c r="G24" s="38" t="str">
        <f t="shared" si="2"/>
        <v/>
      </c>
      <c r="H24" s="39" t="str">
        <f t="shared" si="3"/>
        <v/>
      </c>
      <c r="I24" s="40" t="str">
        <f t="shared" si="4"/>
        <v/>
      </c>
      <c r="J24" s="40" t="str">
        <f t="shared" si="5"/>
        <v/>
      </c>
      <c r="K24" s="41" t="str">
        <f t="shared" si="6"/>
        <v/>
      </c>
      <c r="L24" s="36" t="str">
        <f t="shared" si="7"/>
        <v/>
      </c>
      <c r="M24" s="37" t="str">
        <f t="shared" si="8"/>
        <v/>
      </c>
      <c r="N24" s="38" t="str">
        <f t="shared" si="9"/>
        <v/>
      </c>
      <c r="O24" s="19" t="str">
        <f t="shared" si="10"/>
        <v/>
      </c>
      <c r="P24" s="20"/>
      <c r="Q24" s="19">
        <f t="shared" si="11"/>
        <v>1</v>
      </c>
      <c r="R24" s="20"/>
      <c r="S24" s="19"/>
      <c r="AN24" s="55" t="s">
        <v>54</v>
      </c>
      <c r="AO24" s="55" t="s">
        <v>55</v>
      </c>
    </row>
    <row r="25" spans="2:44" x14ac:dyDescent="0.2">
      <c r="B25" s="10" t="s">
        <v>56</v>
      </c>
      <c r="C25" s="11" t="s">
        <v>13</v>
      </c>
      <c r="D25" s="12">
        <v>8</v>
      </c>
      <c r="E25" s="13" t="str">
        <f t="shared" si="0"/>
        <v/>
      </c>
      <c r="F25" s="14" t="str">
        <f t="shared" si="1"/>
        <v/>
      </c>
      <c r="G25" s="15" t="str">
        <f t="shared" si="2"/>
        <v/>
      </c>
      <c r="H25" s="16" t="str">
        <f t="shared" si="3"/>
        <v/>
      </c>
      <c r="I25" s="17" t="str">
        <f t="shared" si="4"/>
        <v/>
      </c>
      <c r="J25" s="17" t="str">
        <f t="shared" si="5"/>
        <v/>
      </c>
      <c r="K25" s="18" t="str">
        <f t="shared" si="6"/>
        <v/>
      </c>
      <c r="L25" s="13" t="str">
        <f t="shared" si="7"/>
        <v>=</v>
      </c>
      <c r="M25" s="14" t="str">
        <f t="shared" si="8"/>
        <v/>
      </c>
      <c r="N25" s="15" t="str">
        <f t="shared" si="9"/>
        <v/>
      </c>
      <c r="O25" s="19">
        <f t="shared" si="10"/>
        <v>1</v>
      </c>
      <c r="P25" s="20" t="s">
        <v>7</v>
      </c>
      <c r="Q25" s="19" t="str">
        <f t="shared" si="11"/>
        <v/>
      </c>
      <c r="R25" s="20" t="s">
        <v>7</v>
      </c>
      <c r="S25" s="19"/>
      <c r="T25" s="9" t="s">
        <v>57</v>
      </c>
      <c r="AJ25" t="str">
        <f>IF(W25&gt;7,"fdp",IF(W25&lt;4,"dpp","0"))</f>
        <v>dpp</v>
      </c>
      <c r="AM25" s="56" t="s">
        <v>58</v>
      </c>
      <c r="AN25" s="52"/>
      <c r="AO25" s="52">
        <f>COUNTIF($AR$25:$AR$34,AM25)</f>
        <v>0</v>
      </c>
      <c r="AP25" s="53">
        <f>IF(SUM(AN25:AO25)&gt;0,"BORRAR",0)</f>
        <v>0</v>
      </c>
      <c r="AR25" s="57" t="s">
        <v>59</v>
      </c>
    </row>
    <row r="26" spans="2:44" x14ac:dyDescent="0.2">
      <c r="B26" s="24" t="s">
        <v>56</v>
      </c>
      <c r="C26" s="3" t="s">
        <v>11</v>
      </c>
      <c r="D26" s="4">
        <v>5</v>
      </c>
      <c r="E26" s="25" t="str">
        <f t="shared" si="0"/>
        <v/>
      </c>
      <c r="F26" s="26" t="str">
        <f t="shared" si="1"/>
        <v/>
      </c>
      <c r="G26" s="27" t="str">
        <f t="shared" si="2"/>
        <v/>
      </c>
      <c r="H26" s="28" t="str">
        <f t="shared" si="3"/>
        <v/>
      </c>
      <c r="I26" s="29" t="str">
        <f t="shared" si="4"/>
        <v>=</v>
      </c>
      <c r="J26" s="29" t="str">
        <f t="shared" si="5"/>
        <v/>
      </c>
      <c r="K26" s="30" t="str">
        <f t="shared" si="6"/>
        <v/>
      </c>
      <c r="L26" s="25" t="str">
        <f t="shared" si="7"/>
        <v/>
      </c>
      <c r="M26" s="26" t="str">
        <f t="shared" si="8"/>
        <v/>
      </c>
      <c r="N26" s="27" t="str">
        <f t="shared" si="9"/>
        <v/>
      </c>
      <c r="O26" s="19" t="str">
        <f t="shared" si="10"/>
        <v/>
      </c>
      <c r="P26" s="20"/>
      <c r="Q26" s="19" t="str">
        <f t="shared" si="11"/>
        <v/>
      </c>
      <c r="R26" s="20"/>
      <c r="S26" s="19"/>
      <c r="T26" s="44" t="s">
        <v>60</v>
      </c>
      <c r="U26" s="22"/>
      <c r="V26" s="22" t="s">
        <v>5</v>
      </c>
      <c r="W26" s="12">
        <v>4</v>
      </c>
      <c r="X26" s="13" t="str">
        <f>IF($W26=1,"=","")</f>
        <v/>
      </c>
      <c r="Y26" s="14" t="str">
        <f>IF($W26=2,"=","")</f>
        <v/>
      </c>
      <c r="Z26" s="14" t="str">
        <f>IF($W26=3,"=","")</f>
        <v/>
      </c>
      <c r="AA26" s="16" t="str">
        <f>IF($W26=4,"=","")</f>
        <v>=</v>
      </c>
      <c r="AB26" s="17" t="str">
        <f>IF($W26=5,"=","")</f>
        <v/>
      </c>
      <c r="AC26" s="17" t="str">
        <f>IF($W26=6,"=","")</f>
        <v/>
      </c>
      <c r="AD26" s="17" t="str">
        <f>IF($W26=7,"=","")</f>
        <v/>
      </c>
      <c r="AE26" s="23" t="str">
        <f>IF($W26=8,"=","")</f>
        <v/>
      </c>
      <c r="AF26" s="14" t="str">
        <f>IF($W26=9,"=","")</f>
        <v/>
      </c>
      <c r="AG26" s="15" t="str">
        <f>IF($W26=10,"=","")</f>
        <v/>
      </c>
      <c r="AH26" s="5"/>
      <c r="AI26" t="s">
        <v>61</v>
      </c>
      <c r="AJ26" s="58" t="s">
        <v>62</v>
      </c>
      <c r="AK26">
        <f>COUNTIF($AI$26:$AI$61,AJ26)</f>
        <v>0</v>
      </c>
      <c r="AN26"/>
      <c r="AO26"/>
      <c r="AP26"/>
      <c r="AR26" s="57" t="s">
        <v>63</v>
      </c>
    </row>
    <row r="27" spans="2:44" x14ac:dyDescent="0.2">
      <c r="B27" s="33" t="s">
        <v>56</v>
      </c>
      <c r="C27" s="34" t="s">
        <v>64</v>
      </c>
      <c r="D27" s="35">
        <v>2</v>
      </c>
      <c r="E27" s="36" t="str">
        <f t="shared" si="0"/>
        <v/>
      </c>
      <c r="F27" s="37" t="str">
        <f t="shared" si="1"/>
        <v>=</v>
      </c>
      <c r="G27" s="38" t="str">
        <f t="shared" si="2"/>
        <v/>
      </c>
      <c r="H27" s="39" t="str">
        <f t="shared" si="3"/>
        <v/>
      </c>
      <c r="I27" s="40" t="str">
        <f t="shared" si="4"/>
        <v/>
      </c>
      <c r="J27" s="40" t="str">
        <f t="shared" si="5"/>
        <v/>
      </c>
      <c r="K27" s="41" t="str">
        <f t="shared" si="6"/>
        <v/>
      </c>
      <c r="L27" s="36" t="str">
        <f t="shared" si="7"/>
        <v/>
      </c>
      <c r="M27" s="37" t="str">
        <f t="shared" si="8"/>
        <v/>
      </c>
      <c r="N27" s="38" t="str">
        <f t="shared" si="9"/>
        <v/>
      </c>
      <c r="O27" s="19" t="str">
        <f t="shared" si="10"/>
        <v/>
      </c>
      <c r="P27" s="20"/>
      <c r="Q27" s="19">
        <f t="shared" si="11"/>
        <v>1</v>
      </c>
      <c r="R27" s="20"/>
      <c r="S27" s="19"/>
      <c r="T27" s="46" t="s">
        <v>60</v>
      </c>
      <c r="U27" s="43"/>
      <c r="V27" s="43" t="s">
        <v>56</v>
      </c>
      <c r="W27" s="35">
        <v>4</v>
      </c>
      <c r="X27" s="36" t="str">
        <f t="shared" ref="X27:X61" si="22">IF($W27=1,"=","")</f>
        <v/>
      </c>
      <c r="Y27" s="37" t="str">
        <f t="shared" ref="Y27:Y61" si="23">IF($W27=2,"=","")</f>
        <v/>
      </c>
      <c r="Z27" s="37" t="str">
        <f t="shared" ref="Z27:Z61" si="24">IF($W27=3,"=","")</f>
        <v/>
      </c>
      <c r="AA27" s="39" t="str">
        <f t="shared" ref="AA27:AA61" si="25">IF($W27=4,"=","")</f>
        <v>=</v>
      </c>
      <c r="AB27" s="40" t="str">
        <f t="shared" ref="AB27:AB61" si="26">IF($W27=5,"=","")</f>
        <v/>
      </c>
      <c r="AC27" s="40" t="str">
        <f t="shared" ref="AC27:AC61" si="27">IF($W27=6,"=","")</f>
        <v/>
      </c>
      <c r="AD27" s="40" t="str">
        <f t="shared" ref="AD27:AD61" si="28">IF($W27=7,"=","")</f>
        <v/>
      </c>
      <c r="AE27" s="47" t="str">
        <f t="shared" ref="AE27:AE61" si="29">IF($W27=8,"=","")</f>
        <v/>
      </c>
      <c r="AF27" s="37" t="str">
        <f t="shared" ref="AF27:AF61" si="30">IF($W27=9,"=","")</f>
        <v/>
      </c>
      <c r="AG27" s="38" t="str">
        <f t="shared" ref="AG27:AG61" si="31">IF($W27=10,"=","")</f>
        <v/>
      </c>
      <c r="AH27" s="5"/>
      <c r="AI27" t="s">
        <v>61</v>
      </c>
      <c r="AJ27" s="58" t="s">
        <v>65</v>
      </c>
      <c r="AK27">
        <f>COUNTIF($AI$26:$AI$61,AJ27)</f>
        <v>0</v>
      </c>
      <c r="AN27"/>
      <c r="AO27"/>
      <c r="AP27"/>
      <c r="AR27" s="57" t="s">
        <v>35</v>
      </c>
    </row>
    <row r="28" spans="2:44" x14ac:dyDescent="0.2">
      <c r="B28" s="10" t="s">
        <v>66</v>
      </c>
      <c r="C28" s="11" t="s">
        <v>67</v>
      </c>
      <c r="D28" s="12">
        <v>2</v>
      </c>
      <c r="E28" s="13" t="str">
        <f t="shared" si="0"/>
        <v/>
      </c>
      <c r="F28" s="14" t="str">
        <f t="shared" si="1"/>
        <v>=</v>
      </c>
      <c r="G28" s="15" t="str">
        <f t="shared" si="2"/>
        <v/>
      </c>
      <c r="H28" s="16" t="str">
        <f t="shared" si="3"/>
        <v/>
      </c>
      <c r="I28" s="17" t="str">
        <f t="shared" si="4"/>
        <v/>
      </c>
      <c r="J28" s="17" t="str">
        <f t="shared" si="5"/>
        <v/>
      </c>
      <c r="K28" s="18" t="str">
        <f t="shared" si="6"/>
        <v/>
      </c>
      <c r="L28" s="13" t="str">
        <f t="shared" si="7"/>
        <v/>
      </c>
      <c r="M28" s="14" t="str">
        <f t="shared" si="8"/>
        <v/>
      </c>
      <c r="N28" s="15" t="str">
        <f t="shared" si="9"/>
        <v/>
      </c>
      <c r="O28" s="19" t="str">
        <f t="shared" si="10"/>
        <v/>
      </c>
      <c r="P28" s="20" t="s">
        <v>7</v>
      </c>
      <c r="Q28" s="19">
        <f t="shared" si="11"/>
        <v>1</v>
      </c>
      <c r="R28" s="20" t="s">
        <v>7</v>
      </c>
      <c r="S28" s="19"/>
      <c r="T28" s="44" t="s">
        <v>68</v>
      </c>
      <c r="U28" s="22"/>
      <c r="V28" s="22" t="s">
        <v>69</v>
      </c>
      <c r="W28" s="12">
        <v>8</v>
      </c>
      <c r="X28" s="13" t="str">
        <f t="shared" si="22"/>
        <v/>
      </c>
      <c r="Y28" s="14" t="str">
        <f t="shared" si="23"/>
        <v/>
      </c>
      <c r="Z28" s="14" t="str">
        <f t="shared" si="24"/>
        <v/>
      </c>
      <c r="AA28" s="16" t="str">
        <f t="shared" si="25"/>
        <v/>
      </c>
      <c r="AB28" s="17" t="str">
        <f t="shared" si="26"/>
        <v/>
      </c>
      <c r="AC28" s="17" t="str">
        <f t="shared" si="27"/>
        <v/>
      </c>
      <c r="AD28" s="17" t="str">
        <f t="shared" si="28"/>
        <v/>
      </c>
      <c r="AE28" s="23" t="str">
        <f t="shared" si="29"/>
        <v>=</v>
      </c>
      <c r="AF28" s="14" t="str">
        <f t="shared" si="30"/>
        <v/>
      </c>
      <c r="AG28" s="15" t="str">
        <f t="shared" si="31"/>
        <v/>
      </c>
      <c r="AH28" s="5"/>
      <c r="AI28" t="s">
        <v>16</v>
      </c>
      <c r="AN28"/>
      <c r="AO28"/>
      <c r="AP28"/>
      <c r="AR28" s="57" t="s">
        <v>8</v>
      </c>
    </row>
    <row r="29" spans="2:44" x14ac:dyDescent="0.2">
      <c r="B29" s="24" t="s">
        <v>66</v>
      </c>
      <c r="C29" s="3" t="s">
        <v>70</v>
      </c>
      <c r="D29" s="4">
        <v>4</v>
      </c>
      <c r="E29" s="25" t="str">
        <f t="shared" si="0"/>
        <v/>
      </c>
      <c r="F29" s="26" t="str">
        <f t="shared" si="1"/>
        <v/>
      </c>
      <c r="G29" s="27" t="str">
        <f t="shared" si="2"/>
        <v/>
      </c>
      <c r="H29" s="28" t="str">
        <f t="shared" si="3"/>
        <v>=</v>
      </c>
      <c r="I29" s="29" t="str">
        <f t="shared" si="4"/>
        <v/>
      </c>
      <c r="J29" s="29" t="str">
        <f t="shared" si="5"/>
        <v/>
      </c>
      <c r="K29" s="30" t="str">
        <f t="shared" si="6"/>
        <v/>
      </c>
      <c r="L29" s="25" t="str">
        <f t="shared" si="7"/>
        <v/>
      </c>
      <c r="M29" s="26" t="str">
        <f t="shared" si="8"/>
        <v/>
      </c>
      <c r="N29" s="27" t="str">
        <f t="shared" si="9"/>
        <v/>
      </c>
      <c r="O29" s="19" t="str">
        <f t="shared" si="10"/>
        <v/>
      </c>
      <c r="P29" s="20"/>
      <c r="Q29" s="19" t="str">
        <f t="shared" si="11"/>
        <v/>
      </c>
      <c r="R29" s="20"/>
      <c r="S29" s="19"/>
      <c r="T29" s="45" t="s">
        <v>68</v>
      </c>
      <c r="U29" s="19"/>
      <c r="V29" s="19" t="s">
        <v>22</v>
      </c>
      <c r="W29" s="4">
        <v>8</v>
      </c>
      <c r="X29" s="25" t="str">
        <f t="shared" si="22"/>
        <v/>
      </c>
      <c r="Y29" s="26" t="str">
        <f t="shared" si="23"/>
        <v/>
      </c>
      <c r="Z29" s="26" t="str">
        <f t="shared" si="24"/>
        <v/>
      </c>
      <c r="AA29" s="28" t="str">
        <f t="shared" si="25"/>
        <v/>
      </c>
      <c r="AB29" s="29" t="str">
        <f t="shared" si="26"/>
        <v/>
      </c>
      <c r="AC29" s="29" t="str">
        <f t="shared" si="27"/>
        <v/>
      </c>
      <c r="AD29" s="29" t="str">
        <f t="shared" si="28"/>
        <v/>
      </c>
      <c r="AE29" s="32" t="str">
        <f t="shared" si="29"/>
        <v>=</v>
      </c>
      <c r="AF29" s="26" t="str">
        <f t="shared" si="30"/>
        <v/>
      </c>
      <c r="AG29" s="27" t="str">
        <f t="shared" si="31"/>
        <v/>
      </c>
      <c r="AH29" s="5"/>
      <c r="AI29" t="s">
        <v>16</v>
      </c>
      <c r="AN29"/>
      <c r="AO29"/>
      <c r="AP29"/>
      <c r="AR29" s="57" t="s">
        <v>19</v>
      </c>
    </row>
    <row r="30" spans="2:44" x14ac:dyDescent="0.2">
      <c r="B30" s="33" t="s">
        <v>66</v>
      </c>
      <c r="C30" s="34" t="s">
        <v>17</v>
      </c>
      <c r="D30" s="35">
        <v>8</v>
      </c>
      <c r="E30" s="36" t="str">
        <f t="shared" si="0"/>
        <v/>
      </c>
      <c r="F30" s="37" t="str">
        <f t="shared" si="1"/>
        <v/>
      </c>
      <c r="G30" s="38" t="str">
        <f t="shared" si="2"/>
        <v/>
      </c>
      <c r="H30" s="39" t="str">
        <f t="shared" si="3"/>
        <v/>
      </c>
      <c r="I30" s="40" t="str">
        <f t="shared" si="4"/>
        <v/>
      </c>
      <c r="J30" s="40" t="str">
        <f t="shared" si="5"/>
        <v/>
      </c>
      <c r="K30" s="41" t="str">
        <f t="shared" si="6"/>
        <v/>
      </c>
      <c r="L30" s="36" t="str">
        <f t="shared" si="7"/>
        <v>=</v>
      </c>
      <c r="M30" s="37" t="str">
        <f t="shared" si="8"/>
        <v/>
      </c>
      <c r="N30" s="38" t="str">
        <f t="shared" si="9"/>
        <v/>
      </c>
      <c r="O30" s="19">
        <f t="shared" si="10"/>
        <v>1</v>
      </c>
      <c r="P30" s="20"/>
      <c r="Q30" s="19" t="str">
        <f t="shared" si="11"/>
        <v/>
      </c>
      <c r="R30" s="20"/>
      <c r="S30" s="19"/>
      <c r="T30" s="44" t="s">
        <v>71</v>
      </c>
      <c r="U30" s="22"/>
      <c r="V30" s="22" t="s">
        <v>72</v>
      </c>
      <c r="W30" s="59">
        <v>9</v>
      </c>
      <c r="X30" s="25" t="str">
        <f t="shared" si="22"/>
        <v/>
      </c>
      <c r="Y30" s="26" t="str">
        <f t="shared" si="23"/>
        <v/>
      </c>
      <c r="Z30" s="26" t="str">
        <f t="shared" si="24"/>
        <v/>
      </c>
      <c r="AA30" s="28" t="str">
        <f t="shared" si="25"/>
        <v/>
      </c>
      <c r="AB30" s="29" t="str">
        <f t="shared" si="26"/>
        <v/>
      </c>
      <c r="AC30" s="29" t="str">
        <f t="shared" si="27"/>
        <v/>
      </c>
      <c r="AD30" s="29" t="str">
        <f t="shared" si="28"/>
        <v/>
      </c>
      <c r="AE30" s="32" t="str">
        <f t="shared" si="29"/>
        <v/>
      </c>
      <c r="AF30" s="26" t="str">
        <f t="shared" si="30"/>
        <v>=</v>
      </c>
      <c r="AG30" s="27" t="str">
        <f t="shared" si="31"/>
        <v/>
      </c>
      <c r="AH30" s="5"/>
      <c r="AI30" t="s">
        <v>16</v>
      </c>
      <c r="AR30" s="57" t="s">
        <v>27</v>
      </c>
    </row>
    <row r="31" spans="2:44" x14ac:dyDescent="0.2">
      <c r="B31" s="10" t="s">
        <v>73</v>
      </c>
      <c r="C31" s="11" t="s">
        <v>38</v>
      </c>
      <c r="D31" s="12">
        <v>5</v>
      </c>
      <c r="E31" s="13" t="str">
        <f t="shared" si="0"/>
        <v/>
      </c>
      <c r="F31" s="14" t="str">
        <f t="shared" si="1"/>
        <v/>
      </c>
      <c r="G31" s="15" t="str">
        <f t="shared" si="2"/>
        <v/>
      </c>
      <c r="H31" s="16" t="str">
        <f t="shared" si="3"/>
        <v/>
      </c>
      <c r="I31" s="17" t="str">
        <f t="shared" si="4"/>
        <v>=</v>
      </c>
      <c r="J31" s="17" t="str">
        <f t="shared" si="5"/>
        <v/>
      </c>
      <c r="K31" s="18" t="str">
        <f t="shared" si="6"/>
        <v/>
      </c>
      <c r="L31" s="13" t="str">
        <f t="shared" si="7"/>
        <v/>
      </c>
      <c r="M31" s="14" t="str">
        <f t="shared" si="8"/>
        <v/>
      </c>
      <c r="N31" s="15" t="str">
        <f t="shared" si="9"/>
        <v/>
      </c>
      <c r="O31" s="19" t="str">
        <f t="shared" si="10"/>
        <v/>
      </c>
      <c r="P31" s="20" t="s">
        <v>7</v>
      </c>
      <c r="Q31" s="19" t="str">
        <f t="shared" si="11"/>
        <v/>
      </c>
      <c r="R31" s="20" t="s">
        <v>7</v>
      </c>
      <c r="S31" s="19"/>
      <c r="T31" s="46" t="s">
        <v>71</v>
      </c>
      <c r="U31" s="43"/>
      <c r="V31" s="43" t="s">
        <v>74</v>
      </c>
      <c r="W31" s="60">
        <v>6</v>
      </c>
      <c r="X31" s="36" t="str">
        <f t="shared" si="22"/>
        <v/>
      </c>
      <c r="Y31" s="37" t="str">
        <f t="shared" si="23"/>
        <v/>
      </c>
      <c r="Z31" s="37" t="str">
        <f t="shared" si="24"/>
        <v/>
      </c>
      <c r="AA31" s="39" t="str">
        <f t="shared" si="25"/>
        <v/>
      </c>
      <c r="AB31" s="40" t="str">
        <f t="shared" si="26"/>
        <v/>
      </c>
      <c r="AC31" s="40" t="str">
        <f t="shared" si="27"/>
        <v>=</v>
      </c>
      <c r="AD31" s="40" t="str">
        <f t="shared" si="28"/>
        <v/>
      </c>
      <c r="AE31" s="47" t="str">
        <f t="shared" si="29"/>
        <v/>
      </c>
      <c r="AF31" s="37" t="str">
        <f t="shared" si="30"/>
        <v/>
      </c>
      <c r="AG31" s="38" t="str">
        <f t="shared" si="31"/>
        <v/>
      </c>
      <c r="AH31" s="5"/>
      <c r="AI31" t="s">
        <v>61</v>
      </c>
      <c r="AR31" s="57" t="s">
        <v>37</v>
      </c>
    </row>
    <row r="32" spans="2:44" x14ac:dyDescent="0.2">
      <c r="B32" s="24" t="s">
        <v>73</v>
      </c>
      <c r="C32" s="3" t="s">
        <v>25</v>
      </c>
      <c r="D32" s="4">
        <v>8</v>
      </c>
      <c r="E32" s="25" t="str">
        <f t="shared" si="0"/>
        <v/>
      </c>
      <c r="F32" s="26" t="str">
        <f t="shared" si="1"/>
        <v/>
      </c>
      <c r="G32" s="27" t="str">
        <f t="shared" si="2"/>
        <v/>
      </c>
      <c r="H32" s="28" t="str">
        <f t="shared" si="3"/>
        <v/>
      </c>
      <c r="I32" s="29" t="str">
        <f t="shared" si="4"/>
        <v/>
      </c>
      <c r="J32" s="29" t="str">
        <f t="shared" si="5"/>
        <v/>
      </c>
      <c r="K32" s="30" t="str">
        <f t="shared" si="6"/>
        <v/>
      </c>
      <c r="L32" s="25" t="str">
        <f t="shared" si="7"/>
        <v>=</v>
      </c>
      <c r="M32" s="26" t="str">
        <f t="shared" si="8"/>
        <v/>
      </c>
      <c r="N32" s="27" t="str">
        <f t="shared" si="9"/>
        <v/>
      </c>
      <c r="O32" s="19">
        <f t="shared" si="10"/>
        <v>1</v>
      </c>
      <c r="P32" s="20"/>
      <c r="Q32" s="19" t="str">
        <f t="shared" si="11"/>
        <v/>
      </c>
      <c r="R32" s="20"/>
      <c r="S32" s="19"/>
      <c r="T32" s="44" t="s">
        <v>75</v>
      </c>
      <c r="U32" s="22"/>
      <c r="V32" s="22" t="s">
        <v>76</v>
      </c>
      <c r="W32" s="12">
        <v>5</v>
      </c>
      <c r="X32" s="13" t="str">
        <f t="shared" si="22"/>
        <v/>
      </c>
      <c r="Y32" s="14" t="str">
        <f t="shared" si="23"/>
        <v/>
      </c>
      <c r="Z32" s="14" t="str">
        <f t="shared" si="24"/>
        <v/>
      </c>
      <c r="AA32" s="16" t="str">
        <f t="shared" si="25"/>
        <v/>
      </c>
      <c r="AB32" s="17" t="str">
        <f t="shared" si="26"/>
        <v>=</v>
      </c>
      <c r="AC32" s="17" t="str">
        <f t="shared" si="27"/>
        <v/>
      </c>
      <c r="AD32" s="17" t="str">
        <f t="shared" si="28"/>
        <v/>
      </c>
      <c r="AE32" s="23" t="str">
        <f t="shared" si="29"/>
        <v/>
      </c>
      <c r="AF32" s="14" t="str">
        <f t="shared" si="30"/>
        <v/>
      </c>
      <c r="AG32" s="15" t="str">
        <f t="shared" si="31"/>
        <v/>
      </c>
      <c r="AH32" s="5"/>
      <c r="AI32" t="s">
        <v>61</v>
      </c>
      <c r="AR32" s="57" t="s">
        <v>52</v>
      </c>
    </row>
    <row r="33" spans="2:44" x14ac:dyDescent="0.2">
      <c r="B33" s="33" t="s">
        <v>73</v>
      </c>
      <c r="C33" s="34" t="s">
        <v>77</v>
      </c>
      <c r="D33" s="35">
        <v>5</v>
      </c>
      <c r="E33" s="36" t="str">
        <f t="shared" si="0"/>
        <v/>
      </c>
      <c r="F33" s="37" t="str">
        <f t="shared" si="1"/>
        <v/>
      </c>
      <c r="G33" s="38" t="str">
        <f t="shared" si="2"/>
        <v/>
      </c>
      <c r="H33" s="39" t="str">
        <f t="shared" si="3"/>
        <v/>
      </c>
      <c r="I33" s="40" t="str">
        <f t="shared" si="4"/>
        <v>=</v>
      </c>
      <c r="J33" s="40" t="str">
        <f t="shared" si="5"/>
        <v/>
      </c>
      <c r="K33" s="41" t="str">
        <f t="shared" si="6"/>
        <v/>
      </c>
      <c r="L33" s="36" t="str">
        <f t="shared" si="7"/>
        <v/>
      </c>
      <c r="M33" s="37" t="str">
        <f t="shared" si="8"/>
        <v/>
      </c>
      <c r="N33" s="38" t="str">
        <f t="shared" si="9"/>
        <v/>
      </c>
      <c r="O33" s="19" t="str">
        <f t="shared" si="10"/>
        <v/>
      </c>
      <c r="P33" s="20"/>
      <c r="Q33" s="19" t="str">
        <f t="shared" si="11"/>
        <v/>
      </c>
      <c r="R33" s="20"/>
      <c r="S33" s="19"/>
      <c r="T33" s="45" t="s">
        <v>75</v>
      </c>
      <c r="U33" s="19"/>
      <c r="V33" s="19" t="s">
        <v>78</v>
      </c>
      <c r="W33" s="4">
        <v>2</v>
      </c>
      <c r="X33" s="25" t="str">
        <f t="shared" si="22"/>
        <v/>
      </c>
      <c r="Y33" s="26" t="str">
        <f t="shared" si="23"/>
        <v>=</v>
      </c>
      <c r="Z33" s="26" t="str">
        <f t="shared" si="24"/>
        <v/>
      </c>
      <c r="AA33" s="28" t="str">
        <f t="shared" si="25"/>
        <v/>
      </c>
      <c r="AB33" s="29" t="str">
        <f t="shared" si="26"/>
        <v/>
      </c>
      <c r="AC33" s="29" t="str">
        <f t="shared" si="27"/>
        <v/>
      </c>
      <c r="AD33" s="29" t="str">
        <f t="shared" si="28"/>
        <v/>
      </c>
      <c r="AE33" s="32" t="str">
        <f t="shared" si="29"/>
        <v/>
      </c>
      <c r="AF33" s="26" t="str">
        <f t="shared" si="30"/>
        <v/>
      </c>
      <c r="AG33" s="27" t="str">
        <f t="shared" si="31"/>
        <v/>
      </c>
      <c r="AH33" s="5"/>
      <c r="AI33" t="s">
        <v>16</v>
      </c>
      <c r="AR33" s="57" t="s">
        <v>49</v>
      </c>
    </row>
    <row r="34" spans="2:44" x14ac:dyDescent="0.2">
      <c r="B34" s="10" t="s">
        <v>79</v>
      </c>
      <c r="C34" s="11" t="s">
        <v>15</v>
      </c>
      <c r="D34" s="12">
        <v>8</v>
      </c>
      <c r="E34" s="13" t="str">
        <f t="shared" si="0"/>
        <v/>
      </c>
      <c r="F34" s="14" t="str">
        <f t="shared" si="1"/>
        <v/>
      </c>
      <c r="G34" s="15" t="str">
        <f t="shared" si="2"/>
        <v/>
      </c>
      <c r="H34" s="16" t="str">
        <f t="shared" si="3"/>
        <v/>
      </c>
      <c r="I34" s="17" t="str">
        <f t="shared" si="4"/>
        <v/>
      </c>
      <c r="J34" s="17" t="str">
        <f t="shared" si="5"/>
        <v/>
      </c>
      <c r="K34" s="18" t="str">
        <f t="shared" si="6"/>
        <v/>
      </c>
      <c r="L34" s="13" t="str">
        <f t="shared" si="7"/>
        <v>=</v>
      </c>
      <c r="M34" s="14" t="str">
        <f t="shared" si="8"/>
        <v/>
      </c>
      <c r="N34" s="15" t="str">
        <f t="shared" si="9"/>
        <v/>
      </c>
      <c r="O34" s="19">
        <f t="shared" si="10"/>
        <v>1</v>
      </c>
      <c r="P34" s="20" t="s">
        <v>7</v>
      </c>
      <c r="Q34" s="19" t="str">
        <f t="shared" si="11"/>
        <v/>
      </c>
      <c r="R34" s="20" t="s">
        <v>7</v>
      </c>
      <c r="S34" s="19"/>
      <c r="T34" s="44" t="s">
        <v>80</v>
      </c>
      <c r="U34" s="22"/>
      <c r="V34" s="22" t="s">
        <v>81</v>
      </c>
      <c r="W34" s="12">
        <v>10</v>
      </c>
      <c r="X34" s="13" t="str">
        <f t="shared" si="22"/>
        <v/>
      </c>
      <c r="Y34" s="14" t="str">
        <f t="shared" si="23"/>
        <v/>
      </c>
      <c r="Z34" s="14" t="str">
        <f t="shared" si="24"/>
        <v/>
      </c>
      <c r="AA34" s="16" t="str">
        <f t="shared" si="25"/>
        <v/>
      </c>
      <c r="AB34" s="17" t="str">
        <f t="shared" si="26"/>
        <v/>
      </c>
      <c r="AC34" s="17" t="str">
        <f t="shared" si="27"/>
        <v/>
      </c>
      <c r="AD34" s="17" t="str">
        <f t="shared" si="28"/>
        <v/>
      </c>
      <c r="AE34" s="23" t="str">
        <f t="shared" si="29"/>
        <v/>
      </c>
      <c r="AF34" s="14" t="str">
        <f t="shared" si="30"/>
        <v/>
      </c>
      <c r="AG34" s="15" t="str">
        <f t="shared" si="31"/>
        <v>=</v>
      </c>
      <c r="AH34" s="5"/>
      <c r="AI34" t="s">
        <v>16</v>
      </c>
      <c r="AR34" s="57" t="s">
        <v>82</v>
      </c>
    </row>
    <row r="35" spans="2:44" x14ac:dyDescent="0.2">
      <c r="B35" s="24" t="s">
        <v>79</v>
      </c>
      <c r="C35" s="3" t="s">
        <v>32</v>
      </c>
      <c r="D35" s="4">
        <v>4</v>
      </c>
      <c r="E35" s="25" t="str">
        <f t="shared" si="0"/>
        <v/>
      </c>
      <c r="F35" s="26" t="str">
        <f t="shared" si="1"/>
        <v/>
      </c>
      <c r="G35" s="27" t="str">
        <f t="shared" si="2"/>
        <v/>
      </c>
      <c r="H35" s="28" t="str">
        <f t="shared" si="3"/>
        <v>=</v>
      </c>
      <c r="I35" s="29" t="str">
        <f t="shared" si="4"/>
        <v/>
      </c>
      <c r="J35" s="29" t="str">
        <f t="shared" si="5"/>
        <v/>
      </c>
      <c r="K35" s="30" t="str">
        <f t="shared" si="6"/>
        <v/>
      </c>
      <c r="L35" s="25" t="str">
        <f t="shared" si="7"/>
        <v/>
      </c>
      <c r="M35" s="26" t="str">
        <f t="shared" si="8"/>
        <v/>
      </c>
      <c r="N35" s="27" t="str">
        <f t="shared" si="9"/>
        <v/>
      </c>
      <c r="O35" s="19" t="str">
        <f t="shared" si="10"/>
        <v/>
      </c>
      <c r="P35" s="20"/>
      <c r="Q35" s="19" t="str">
        <f t="shared" si="11"/>
        <v/>
      </c>
      <c r="R35" s="20"/>
      <c r="S35" s="19"/>
      <c r="T35" s="45" t="s">
        <v>80</v>
      </c>
      <c r="U35" s="19"/>
      <c r="V35" s="19" t="s">
        <v>83</v>
      </c>
      <c r="W35" s="4">
        <v>7</v>
      </c>
      <c r="X35" s="25" t="str">
        <f t="shared" si="22"/>
        <v/>
      </c>
      <c r="Y35" s="26" t="str">
        <f t="shared" si="23"/>
        <v/>
      </c>
      <c r="Z35" s="26" t="str">
        <f t="shared" si="24"/>
        <v/>
      </c>
      <c r="AA35" s="28" t="str">
        <f t="shared" si="25"/>
        <v/>
      </c>
      <c r="AB35" s="29" t="str">
        <f t="shared" si="26"/>
        <v/>
      </c>
      <c r="AC35" s="29" t="str">
        <f t="shared" si="27"/>
        <v/>
      </c>
      <c r="AD35" s="29" t="str">
        <f t="shared" si="28"/>
        <v>=</v>
      </c>
      <c r="AE35" s="32" t="str">
        <f t="shared" si="29"/>
        <v/>
      </c>
      <c r="AF35" s="26" t="str">
        <f t="shared" si="30"/>
        <v/>
      </c>
      <c r="AG35" s="27" t="str">
        <f t="shared" si="31"/>
        <v/>
      </c>
      <c r="AH35" s="5"/>
      <c r="AI35" t="s">
        <v>61</v>
      </c>
      <c r="AR35" t="s">
        <v>84</v>
      </c>
    </row>
    <row r="36" spans="2:44" x14ac:dyDescent="0.2">
      <c r="B36" s="33" t="s">
        <v>79</v>
      </c>
      <c r="C36" s="34" t="s">
        <v>51</v>
      </c>
      <c r="D36" s="35">
        <v>3</v>
      </c>
      <c r="E36" s="36" t="str">
        <f t="shared" si="0"/>
        <v/>
      </c>
      <c r="F36" s="37" t="str">
        <f t="shared" si="1"/>
        <v/>
      </c>
      <c r="G36" s="38" t="str">
        <f t="shared" si="2"/>
        <v>=</v>
      </c>
      <c r="H36" s="39" t="str">
        <f t="shared" si="3"/>
        <v/>
      </c>
      <c r="I36" s="40" t="str">
        <f t="shared" si="4"/>
        <v/>
      </c>
      <c r="J36" s="40" t="str">
        <f t="shared" si="5"/>
        <v/>
      </c>
      <c r="K36" s="41" t="str">
        <f t="shared" si="6"/>
        <v/>
      </c>
      <c r="L36" s="36" t="str">
        <f t="shared" si="7"/>
        <v/>
      </c>
      <c r="M36" s="37" t="str">
        <f t="shared" si="8"/>
        <v/>
      </c>
      <c r="N36" s="38" t="str">
        <f t="shared" si="9"/>
        <v/>
      </c>
      <c r="O36" s="19" t="str">
        <f t="shared" si="10"/>
        <v/>
      </c>
      <c r="P36" s="20"/>
      <c r="Q36" s="19">
        <f t="shared" si="11"/>
        <v>1</v>
      </c>
      <c r="R36" s="20"/>
      <c r="S36" s="19"/>
      <c r="T36" s="44" t="s">
        <v>85</v>
      </c>
      <c r="U36" s="22"/>
      <c r="V36" s="22" t="s">
        <v>66</v>
      </c>
      <c r="W36" s="12">
        <v>4</v>
      </c>
      <c r="X36" s="13" t="str">
        <f t="shared" si="22"/>
        <v/>
      </c>
      <c r="Y36" s="14" t="str">
        <f t="shared" si="23"/>
        <v/>
      </c>
      <c r="Z36" s="14" t="str">
        <f t="shared" si="24"/>
        <v/>
      </c>
      <c r="AA36" s="16" t="str">
        <f t="shared" si="25"/>
        <v>=</v>
      </c>
      <c r="AB36" s="17" t="str">
        <f t="shared" si="26"/>
        <v/>
      </c>
      <c r="AC36" s="17" t="str">
        <f t="shared" si="27"/>
        <v/>
      </c>
      <c r="AD36" s="17" t="str">
        <f t="shared" si="28"/>
        <v/>
      </c>
      <c r="AE36" s="23" t="str">
        <f t="shared" si="29"/>
        <v/>
      </c>
      <c r="AF36" s="14" t="str">
        <f t="shared" si="30"/>
        <v/>
      </c>
      <c r="AG36" s="15" t="str">
        <f t="shared" si="31"/>
        <v/>
      </c>
      <c r="AH36" s="5"/>
      <c r="AI36" t="s">
        <v>61</v>
      </c>
      <c r="AR36" t="s">
        <v>72</v>
      </c>
    </row>
    <row r="37" spans="2:44" x14ac:dyDescent="0.2">
      <c r="B37" s="10" t="s">
        <v>86</v>
      </c>
      <c r="C37" s="11" t="s">
        <v>87</v>
      </c>
      <c r="D37" s="12">
        <v>10</v>
      </c>
      <c r="E37" s="13" t="str">
        <f t="shared" si="0"/>
        <v/>
      </c>
      <c r="F37" s="14" t="str">
        <f t="shared" si="1"/>
        <v/>
      </c>
      <c r="G37" s="15" t="str">
        <f t="shared" si="2"/>
        <v/>
      </c>
      <c r="H37" s="16" t="str">
        <f t="shared" si="3"/>
        <v/>
      </c>
      <c r="I37" s="17" t="str">
        <f t="shared" si="4"/>
        <v/>
      </c>
      <c r="J37" s="17" t="str">
        <f t="shared" si="5"/>
        <v/>
      </c>
      <c r="K37" s="18" t="str">
        <f t="shared" si="6"/>
        <v/>
      </c>
      <c r="L37" s="13" t="str">
        <f t="shared" si="7"/>
        <v/>
      </c>
      <c r="M37" s="14" t="str">
        <f t="shared" si="8"/>
        <v/>
      </c>
      <c r="N37" s="15" t="str">
        <f t="shared" si="9"/>
        <v>=</v>
      </c>
      <c r="O37" s="19">
        <f t="shared" si="10"/>
        <v>1</v>
      </c>
      <c r="P37" s="20" t="s">
        <v>7</v>
      </c>
      <c r="Q37" s="19" t="str">
        <f t="shared" si="11"/>
        <v/>
      </c>
      <c r="R37" s="20" t="s">
        <v>16</v>
      </c>
      <c r="S37" s="19"/>
      <c r="T37" s="45" t="s">
        <v>85</v>
      </c>
      <c r="U37" s="19"/>
      <c r="V37" s="61" t="s">
        <v>88</v>
      </c>
      <c r="W37" s="4">
        <v>2</v>
      </c>
      <c r="X37" s="25" t="str">
        <f t="shared" si="22"/>
        <v/>
      </c>
      <c r="Y37" s="26" t="str">
        <f t="shared" si="23"/>
        <v>=</v>
      </c>
      <c r="Z37" s="26" t="str">
        <f t="shared" si="24"/>
        <v/>
      </c>
      <c r="AA37" s="28" t="str">
        <f t="shared" si="25"/>
        <v/>
      </c>
      <c r="AB37" s="29" t="str">
        <f t="shared" si="26"/>
        <v/>
      </c>
      <c r="AC37" s="29" t="str">
        <f t="shared" si="27"/>
        <v/>
      </c>
      <c r="AD37" s="29" t="str">
        <f t="shared" si="28"/>
        <v/>
      </c>
      <c r="AE37" s="32" t="str">
        <f t="shared" si="29"/>
        <v/>
      </c>
      <c r="AF37" s="26" t="str">
        <f t="shared" si="30"/>
        <v/>
      </c>
      <c r="AG37" s="27" t="str">
        <f t="shared" si="31"/>
        <v/>
      </c>
      <c r="AH37" s="5"/>
      <c r="AI37" t="s">
        <v>16</v>
      </c>
      <c r="AR37" t="s">
        <v>89</v>
      </c>
    </row>
    <row r="38" spans="2:44" x14ac:dyDescent="0.2">
      <c r="B38" s="24" t="s">
        <v>86</v>
      </c>
      <c r="C38" s="3" t="s">
        <v>10</v>
      </c>
      <c r="D38" s="4">
        <v>1</v>
      </c>
      <c r="E38" s="25" t="str">
        <f t="shared" si="0"/>
        <v>=</v>
      </c>
      <c r="F38" s="26" t="str">
        <f t="shared" si="1"/>
        <v/>
      </c>
      <c r="G38" s="27" t="str">
        <f t="shared" si="2"/>
        <v/>
      </c>
      <c r="H38" s="28" t="str">
        <f t="shared" si="3"/>
        <v/>
      </c>
      <c r="I38" s="29" t="str">
        <f t="shared" si="4"/>
        <v/>
      </c>
      <c r="J38" s="29" t="str">
        <f t="shared" si="5"/>
        <v/>
      </c>
      <c r="K38" s="30" t="str">
        <f t="shared" si="6"/>
        <v/>
      </c>
      <c r="L38" s="25" t="str">
        <f t="shared" si="7"/>
        <v/>
      </c>
      <c r="M38" s="26" t="str">
        <f t="shared" si="8"/>
        <v/>
      </c>
      <c r="N38" s="27" t="str">
        <f t="shared" si="9"/>
        <v/>
      </c>
      <c r="O38" s="19" t="str">
        <f t="shared" si="10"/>
        <v/>
      </c>
      <c r="P38" s="20"/>
      <c r="Q38" s="19">
        <f t="shared" si="11"/>
        <v>1</v>
      </c>
      <c r="R38" s="20"/>
      <c r="S38" s="19"/>
      <c r="T38" s="44" t="s">
        <v>90</v>
      </c>
      <c r="U38" s="22"/>
      <c r="V38" s="22" t="s">
        <v>91</v>
      </c>
      <c r="W38" s="12">
        <v>1</v>
      </c>
      <c r="X38" s="13" t="str">
        <f t="shared" si="22"/>
        <v>=</v>
      </c>
      <c r="Y38" s="14" t="str">
        <f t="shared" si="23"/>
        <v/>
      </c>
      <c r="Z38" s="14" t="str">
        <f t="shared" si="24"/>
        <v/>
      </c>
      <c r="AA38" s="16" t="str">
        <f t="shared" si="25"/>
        <v/>
      </c>
      <c r="AB38" s="17" t="str">
        <f t="shared" si="26"/>
        <v/>
      </c>
      <c r="AC38" s="17" t="str">
        <f t="shared" si="27"/>
        <v/>
      </c>
      <c r="AD38" s="17" t="str">
        <f t="shared" si="28"/>
        <v/>
      </c>
      <c r="AE38" s="23" t="str">
        <f t="shared" si="29"/>
        <v/>
      </c>
      <c r="AF38" s="14" t="str">
        <f t="shared" si="30"/>
        <v/>
      </c>
      <c r="AG38" s="15" t="str">
        <f t="shared" si="31"/>
        <v/>
      </c>
      <c r="AH38" s="5"/>
      <c r="AI38" t="s">
        <v>16</v>
      </c>
      <c r="AR38" t="s">
        <v>92</v>
      </c>
    </row>
    <row r="39" spans="2:44" x14ac:dyDescent="0.2">
      <c r="B39" s="33" t="s">
        <v>86</v>
      </c>
      <c r="C39" s="34" t="s">
        <v>41</v>
      </c>
      <c r="D39" s="35">
        <v>2</v>
      </c>
      <c r="E39" s="36" t="str">
        <f t="shared" si="0"/>
        <v/>
      </c>
      <c r="F39" s="37" t="str">
        <f t="shared" si="1"/>
        <v>=</v>
      </c>
      <c r="G39" s="38" t="str">
        <f t="shared" si="2"/>
        <v/>
      </c>
      <c r="H39" s="39" t="str">
        <f t="shared" si="3"/>
        <v/>
      </c>
      <c r="I39" s="40" t="str">
        <f t="shared" si="4"/>
        <v/>
      </c>
      <c r="J39" s="40" t="str">
        <f t="shared" si="5"/>
        <v/>
      </c>
      <c r="K39" s="41" t="str">
        <f t="shared" si="6"/>
        <v/>
      </c>
      <c r="L39" s="36" t="str">
        <f t="shared" si="7"/>
        <v/>
      </c>
      <c r="M39" s="37" t="str">
        <f t="shared" si="8"/>
        <v/>
      </c>
      <c r="N39" s="38" t="str">
        <f t="shared" si="9"/>
        <v/>
      </c>
      <c r="O39" s="19" t="str">
        <f t="shared" si="10"/>
        <v/>
      </c>
      <c r="P39" s="20"/>
      <c r="Q39" s="19">
        <f t="shared" si="11"/>
        <v>1</v>
      </c>
      <c r="R39" s="20"/>
      <c r="S39" s="19"/>
      <c r="T39" s="45" t="s">
        <v>90</v>
      </c>
      <c r="U39" s="19"/>
      <c r="V39" s="19" t="s">
        <v>89</v>
      </c>
      <c r="W39" s="4">
        <v>8</v>
      </c>
      <c r="X39" s="25" t="str">
        <f t="shared" si="22"/>
        <v/>
      </c>
      <c r="Y39" s="26" t="str">
        <f t="shared" si="23"/>
        <v/>
      </c>
      <c r="Z39" s="26" t="str">
        <f t="shared" si="24"/>
        <v/>
      </c>
      <c r="AA39" s="28" t="str">
        <f t="shared" si="25"/>
        <v/>
      </c>
      <c r="AB39" s="29" t="str">
        <f t="shared" si="26"/>
        <v/>
      </c>
      <c r="AC39" s="29" t="str">
        <f t="shared" si="27"/>
        <v/>
      </c>
      <c r="AD39" s="29" t="str">
        <f t="shared" si="28"/>
        <v/>
      </c>
      <c r="AE39" s="32" t="str">
        <f t="shared" si="29"/>
        <v>=</v>
      </c>
      <c r="AF39" s="26" t="str">
        <f t="shared" si="30"/>
        <v/>
      </c>
      <c r="AG39" s="27" t="str">
        <f t="shared" si="31"/>
        <v/>
      </c>
      <c r="AH39" s="5"/>
      <c r="AI39" t="s">
        <v>16</v>
      </c>
      <c r="AR39" t="s">
        <v>14</v>
      </c>
    </row>
    <row r="40" spans="2:44" x14ac:dyDescent="0.2">
      <c r="B40" s="10" t="s">
        <v>89</v>
      </c>
      <c r="C40" s="11" t="s">
        <v>13</v>
      </c>
      <c r="D40" s="12">
        <v>8</v>
      </c>
      <c r="E40" s="13" t="str">
        <f t="shared" si="0"/>
        <v/>
      </c>
      <c r="F40" s="14" t="str">
        <f t="shared" si="1"/>
        <v/>
      </c>
      <c r="G40" s="15" t="str">
        <f t="shared" si="2"/>
        <v/>
      </c>
      <c r="H40" s="16" t="str">
        <f t="shared" si="3"/>
        <v/>
      </c>
      <c r="I40" s="17" t="str">
        <f t="shared" si="4"/>
        <v/>
      </c>
      <c r="J40" s="17" t="str">
        <f t="shared" si="5"/>
        <v/>
      </c>
      <c r="K40" s="18" t="str">
        <f t="shared" si="6"/>
        <v/>
      </c>
      <c r="L40" s="13" t="str">
        <f t="shared" si="7"/>
        <v>=</v>
      </c>
      <c r="M40" s="14" t="str">
        <f t="shared" si="8"/>
        <v/>
      </c>
      <c r="N40" s="15" t="str">
        <f t="shared" si="9"/>
        <v/>
      </c>
      <c r="O40" s="19">
        <f t="shared" si="10"/>
        <v>1</v>
      </c>
      <c r="P40" s="20" t="s">
        <v>16</v>
      </c>
      <c r="Q40" s="19" t="str">
        <f t="shared" si="11"/>
        <v/>
      </c>
      <c r="R40" s="20" t="s">
        <v>7</v>
      </c>
      <c r="S40" s="19"/>
      <c r="T40" s="44" t="s">
        <v>93</v>
      </c>
      <c r="U40" s="22"/>
      <c r="V40" s="22" t="s">
        <v>94</v>
      </c>
      <c r="W40" s="12">
        <v>2</v>
      </c>
      <c r="X40" s="13" t="str">
        <f t="shared" si="22"/>
        <v/>
      </c>
      <c r="Y40" s="14" t="str">
        <f t="shared" si="23"/>
        <v>=</v>
      </c>
      <c r="Z40" s="14" t="str">
        <f t="shared" si="24"/>
        <v/>
      </c>
      <c r="AA40" s="16" t="str">
        <f t="shared" si="25"/>
        <v/>
      </c>
      <c r="AB40" s="17" t="str">
        <f t="shared" si="26"/>
        <v/>
      </c>
      <c r="AC40" s="17" t="str">
        <f t="shared" si="27"/>
        <v/>
      </c>
      <c r="AD40" s="17" t="str">
        <f t="shared" si="28"/>
        <v/>
      </c>
      <c r="AE40" s="23" t="str">
        <f t="shared" si="29"/>
        <v/>
      </c>
      <c r="AF40" s="14" t="str">
        <f t="shared" si="30"/>
        <v/>
      </c>
      <c r="AG40" s="15" t="str">
        <f t="shared" si="31"/>
        <v/>
      </c>
      <c r="AH40" s="5"/>
      <c r="AI40" t="s">
        <v>16</v>
      </c>
      <c r="AR40" t="s">
        <v>91</v>
      </c>
    </row>
    <row r="41" spans="2:44" x14ac:dyDescent="0.2">
      <c r="B41" s="24" t="s">
        <v>89</v>
      </c>
      <c r="C41" s="3" t="s">
        <v>95</v>
      </c>
      <c r="D41" s="4">
        <v>3</v>
      </c>
      <c r="E41" s="25" t="str">
        <f t="shared" si="0"/>
        <v/>
      </c>
      <c r="F41" s="26" t="str">
        <f t="shared" si="1"/>
        <v/>
      </c>
      <c r="G41" s="27" t="str">
        <f t="shared" si="2"/>
        <v>=</v>
      </c>
      <c r="H41" s="28" t="str">
        <f t="shared" si="3"/>
        <v/>
      </c>
      <c r="I41" s="29" t="str">
        <f t="shared" si="4"/>
        <v/>
      </c>
      <c r="J41" s="29" t="str">
        <f t="shared" si="5"/>
        <v/>
      </c>
      <c r="K41" s="30" t="str">
        <f t="shared" si="6"/>
        <v/>
      </c>
      <c r="L41" s="25" t="str">
        <f t="shared" si="7"/>
        <v/>
      </c>
      <c r="M41" s="26" t="str">
        <f t="shared" si="8"/>
        <v/>
      </c>
      <c r="N41" s="27" t="str">
        <f t="shared" si="9"/>
        <v/>
      </c>
      <c r="O41" s="19" t="str">
        <f t="shared" si="10"/>
        <v/>
      </c>
      <c r="P41" s="20"/>
      <c r="Q41" s="19">
        <f t="shared" si="11"/>
        <v>1</v>
      </c>
      <c r="R41" s="20"/>
      <c r="S41" s="19"/>
      <c r="T41" s="46" t="s">
        <v>93</v>
      </c>
      <c r="U41" s="43"/>
      <c r="V41" s="62" t="s">
        <v>42</v>
      </c>
      <c r="W41" s="35">
        <v>4</v>
      </c>
      <c r="X41" s="36" t="str">
        <f t="shared" si="22"/>
        <v/>
      </c>
      <c r="Y41" s="37" t="str">
        <f t="shared" si="23"/>
        <v/>
      </c>
      <c r="Z41" s="37" t="str">
        <f t="shared" si="24"/>
        <v/>
      </c>
      <c r="AA41" s="39" t="str">
        <f t="shared" si="25"/>
        <v>=</v>
      </c>
      <c r="AB41" s="40" t="str">
        <f t="shared" si="26"/>
        <v/>
      </c>
      <c r="AC41" s="40" t="str">
        <f t="shared" si="27"/>
        <v/>
      </c>
      <c r="AD41" s="40" t="str">
        <f t="shared" si="28"/>
        <v/>
      </c>
      <c r="AE41" s="47" t="str">
        <f t="shared" si="29"/>
        <v/>
      </c>
      <c r="AF41" s="37" t="str">
        <f t="shared" si="30"/>
        <v/>
      </c>
      <c r="AG41" s="38" t="str">
        <f t="shared" si="31"/>
        <v/>
      </c>
      <c r="AH41" s="5"/>
      <c r="AI41" t="s">
        <v>61</v>
      </c>
      <c r="AR41" t="s">
        <v>47</v>
      </c>
    </row>
    <row r="42" spans="2:44" x14ac:dyDescent="0.2">
      <c r="B42" s="33" t="s">
        <v>89</v>
      </c>
      <c r="C42" s="34" t="s">
        <v>96</v>
      </c>
      <c r="D42" s="35">
        <v>9</v>
      </c>
      <c r="E42" s="36" t="str">
        <f t="shared" si="0"/>
        <v/>
      </c>
      <c r="F42" s="37" t="str">
        <f t="shared" si="1"/>
        <v/>
      </c>
      <c r="G42" s="38" t="str">
        <f t="shared" si="2"/>
        <v/>
      </c>
      <c r="H42" s="39" t="str">
        <f t="shared" si="3"/>
        <v/>
      </c>
      <c r="I42" s="40" t="str">
        <f t="shared" si="4"/>
        <v/>
      </c>
      <c r="J42" s="40" t="str">
        <f t="shared" si="5"/>
        <v/>
      </c>
      <c r="K42" s="41" t="str">
        <f t="shared" si="6"/>
        <v/>
      </c>
      <c r="L42" s="36" t="str">
        <f t="shared" si="7"/>
        <v/>
      </c>
      <c r="M42" s="37" t="str">
        <f t="shared" si="8"/>
        <v>=</v>
      </c>
      <c r="N42" s="38" t="str">
        <f t="shared" si="9"/>
        <v/>
      </c>
      <c r="O42" s="19">
        <f t="shared" si="10"/>
        <v>1</v>
      </c>
      <c r="P42" s="20"/>
      <c r="Q42" s="19" t="str">
        <f t="shared" si="11"/>
        <v/>
      </c>
      <c r="R42" s="20"/>
      <c r="S42" s="19"/>
      <c r="T42" s="19"/>
      <c r="U42" s="19"/>
      <c r="V42" s="19"/>
      <c r="W42" s="19" t="s">
        <v>4</v>
      </c>
      <c r="X42" s="5" t="str">
        <f t="shared" si="22"/>
        <v/>
      </c>
      <c r="Y42" s="5" t="str">
        <f t="shared" si="23"/>
        <v/>
      </c>
      <c r="Z42" s="5" t="str">
        <f t="shared" si="24"/>
        <v/>
      </c>
      <c r="AA42" s="6" t="str">
        <f t="shared" si="25"/>
        <v/>
      </c>
      <c r="AB42" s="6" t="str">
        <f t="shared" si="26"/>
        <v/>
      </c>
      <c r="AC42" s="6" t="str">
        <f t="shared" si="27"/>
        <v/>
      </c>
      <c r="AD42" s="6" t="str">
        <f t="shared" si="28"/>
        <v/>
      </c>
      <c r="AE42" s="5" t="str">
        <f t="shared" si="29"/>
        <v/>
      </c>
      <c r="AF42" s="5" t="str">
        <f t="shared" si="30"/>
        <v/>
      </c>
      <c r="AG42" s="5" t="str">
        <f t="shared" si="31"/>
        <v/>
      </c>
      <c r="AH42" s="5"/>
      <c r="AR42" t="s">
        <v>97</v>
      </c>
    </row>
    <row r="43" spans="2:44" x14ac:dyDescent="0.2">
      <c r="B43" s="10" t="s">
        <v>91</v>
      </c>
      <c r="C43" s="11" t="s">
        <v>98</v>
      </c>
      <c r="D43" s="12">
        <v>2</v>
      </c>
      <c r="E43" s="13" t="str">
        <f t="shared" si="0"/>
        <v/>
      </c>
      <c r="F43" s="14" t="str">
        <f t="shared" si="1"/>
        <v>=</v>
      </c>
      <c r="G43" s="15" t="str">
        <f t="shared" si="2"/>
        <v/>
      </c>
      <c r="H43" s="16" t="str">
        <f t="shared" si="3"/>
        <v/>
      </c>
      <c r="I43" s="17" t="str">
        <f t="shared" si="4"/>
        <v/>
      </c>
      <c r="J43" s="17" t="str">
        <f t="shared" si="5"/>
        <v/>
      </c>
      <c r="K43" s="18" t="str">
        <f t="shared" si="6"/>
        <v/>
      </c>
      <c r="L43" s="13" t="str">
        <f t="shared" si="7"/>
        <v/>
      </c>
      <c r="M43" s="14" t="str">
        <f t="shared" si="8"/>
        <v/>
      </c>
      <c r="N43" s="15" t="str">
        <f t="shared" si="9"/>
        <v/>
      </c>
      <c r="O43" s="19" t="str">
        <f t="shared" si="10"/>
        <v/>
      </c>
      <c r="P43" s="20" t="s">
        <v>7</v>
      </c>
      <c r="Q43" s="19">
        <f t="shared" si="11"/>
        <v>1</v>
      </c>
      <c r="R43" s="20" t="s">
        <v>99</v>
      </c>
      <c r="S43" s="19"/>
      <c r="T43" s="19"/>
      <c r="U43" s="19"/>
      <c r="V43" s="19"/>
      <c r="W43" s="19" t="s">
        <v>4</v>
      </c>
      <c r="X43" s="5" t="str">
        <f t="shared" si="22"/>
        <v/>
      </c>
      <c r="Y43" s="5" t="str">
        <f t="shared" si="23"/>
        <v/>
      </c>
      <c r="Z43" s="5" t="str">
        <f t="shared" si="24"/>
        <v/>
      </c>
      <c r="AA43" s="6" t="str">
        <f t="shared" si="25"/>
        <v/>
      </c>
      <c r="AB43" s="6" t="str">
        <f t="shared" si="26"/>
        <v/>
      </c>
      <c r="AC43" s="6" t="str">
        <f t="shared" si="27"/>
        <v/>
      </c>
      <c r="AD43" s="6" t="str">
        <f t="shared" si="28"/>
        <v/>
      </c>
      <c r="AE43" s="5" t="str">
        <f t="shared" si="29"/>
        <v/>
      </c>
      <c r="AF43" s="5" t="str">
        <f t="shared" si="30"/>
        <v/>
      </c>
      <c r="AG43" s="5" t="str">
        <f t="shared" si="31"/>
        <v/>
      </c>
      <c r="AH43" s="5"/>
      <c r="AR43" t="s">
        <v>86</v>
      </c>
    </row>
    <row r="44" spans="2:44" x14ac:dyDescent="0.2">
      <c r="B44" s="24" t="s">
        <v>91</v>
      </c>
      <c r="C44" s="3" t="s">
        <v>100</v>
      </c>
      <c r="D44" s="4">
        <v>3</v>
      </c>
      <c r="E44" s="25" t="str">
        <f t="shared" si="0"/>
        <v/>
      </c>
      <c r="F44" s="26" t="str">
        <f t="shared" si="1"/>
        <v/>
      </c>
      <c r="G44" s="27" t="str">
        <f t="shared" si="2"/>
        <v>=</v>
      </c>
      <c r="H44" s="28" t="str">
        <f t="shared" si="3"/>
        <v/>
      </c>
      <c r="I44" s="29" t="str">
        <f t="shared" si="4"/>
        <v/>
      </c>
      <c r="J44" s="29" t="str">
        <f t="shared" si="5"/>
        <v/>
      </c>
      <c r="K44" s="30" t="str">
        <f t="shared" si="6"/>
        <v/>
      </c>
      <c r="L44" s="25" t="str">
        <f t="shared" si="7"/>
        <v/>
      </c>
      <c r="M44" s="26" t="str">
        <f t="shared" si="8"/>
        <v/>
      </c>
      <c r="N44" s="27" t="str">
        <f t="shared" si="9"/>
        <v/>
      </c>
      <c r="O44" s="19" t="str">
        <f t="shared" si="10"/>
        <v/>
      </c>
      <c r="P44" s="20"/>
      <c r="Q44" s="19">
        <f t="shared" si="11"/>
        <v>1</v>
      </c>
      <c r="R44" s="20"/>
      <c r="S44" s="19"/>
      <c r="T44" s="20" t="s">
        <v>27</v>
      </c>
      <c r="U44" s="20"/>
      <c r="V44" s="20" t="s">
        <v>27</v>
      </c>
      <c r="W44" s="20">
        <v>4</v>
      </c>
      <c r="X44" s="13" t="str">
        <f t="shared" si="22"/>
        <v/>
      </c>
      <c r="Y44" s="14" t="str">
        <f t="shared" si="23"/>
        <v/>
      </c>
      <c r="Z44" s="14" t="str">
        <f t="shared" si="24"/>
        <v/>
      </c>
      <c r="AA44" s="16" t="str">
        <f t="shared" si="25"/>
        <v>=</v>
      </c>
      <c r="AB44" s="17" t="str">
        <f t="shared" si="26"/>
        <v/>
      </c>
      <c r="AC44" s="17" t="str">
        <f t="shared" si="27"/>
        <v/>
      </c>
      <c r="AD44" s="17" t="str">
        <f t="shared" si="28"/>
        <v/>
      </c>
      <c r="AE44" s="23" t="str">
        <f t="shared" si="29"/>
        <v/>
      </c>
      <c r="AF44" s="14" t="str">
        <f t="shared" si="30"/>
        <v/>
      </c>
      <c r="AG44" s="15" t="str">
        <f t="shared" si="31"/>
        <v/>
      </c>
      <c r="AH44" s="5"/>
      <c r="AI44" t="s">
        <v>61</v>
      </c>
      <c r="AR44" t="s">
        <v>101</v>
      </c>
    </row>
    <row r="45" spans="2:44" x14ac:dyDescent="0.2">
      <c r="B45" s="33" t="s">
        <v>91</v>
      </c>
      <c r="C45" s="34" t="s">
        <v>102</v>
      </c>
      <c r="D45" s="35">
        <v>3</v>
      </c>
      <c r="E45" s="36" t="str">
        <f t="shared" si="0"/>
        <v/>
      </c>
      <c r="F45" s="37" t="str">
        <f t="shared" si="1"/>
        <v/>
      </c>
      <c r="G45" s="38" t="str">
        <f t="shared" si="2"/>
        <v>=</v>
      </c>
      <c r="H45" s="39" t="str">
        <f t="shared" si="3"/>
        <v/>
      </c>
      <c r="I45" s="40" t="str">
        <f t="shared" si="4"/>
        <v/>
      </c>
      <c r="J45" s="40" t="str">
        <f t="shared" si="5"/>
        <v/>
      </c>
      <c r="K45" s="41" t="str">
        <f t="shared" si="6"/>
        <v/>
      </c>
      <c r="L45" s="36" t="str">
        <f t="shared" si="7"/>
        <v/>
      </c>
      <c r="M45" s="37" t="str">
        <f t="shared" si="8"/>
        <v/>
      </c>
      <c r="N45" s="38" t="str">
        <f t="shared" si="9"/>
        <v/>
      </c>
      <c r="O45" s="19" t="str">
        <f t="shared" si="10"/>
        <v/>
      </c>
      <c r="P45" s="20"/>
      <c r="Q45" s="19">
        <f t="shared" si="11"/>
        <v>1</v>
      </c>
      <c r="R45" s="20"/>
      <c r="S45" s="19"/>
      <c r="T45" s="20" t="s">
        <v>8</v>
      </c>
      <c r="U45" s="20"/>
      <c r="V45" s="63" t="s">
        <v>8</v>
      </c>
      <c r="W45" s="20">
        <v>7</v>
      </c>
      <c r="X45" s="25" t="str">
        <f t="shared" si="22"/>
        <v/>
      </c>
      <c r="Y45" s="26" t="str">
        <f t="shared" si="23"/>
        <v/>
      </c>
      <c r="Z45" s="26" t="str">
        <f t="shared" si="24"/>
        <v/>
      </c>
      <c r="AA45" s="28" t="str">
        <f t="shared" si="25"/>
        <v/>
      </c>
      <c r="AB45" s="29" t="str">
        <f t="shared" si="26"/>
        <v/>
      </c>
      <c r="AC45" s="29" t="str">
        <f t="shared" si="27"/>
        <v/>
      </c>
      <c r="AD45" s="29" t="str">
        <f t="shared" si="28"/>
        <v>=</v>
      </c>
      <c r="AE45" s="32" t="str">
        <f t="shared" si="29"/>
        <v/>
      </c>
      <c r="AF45" s="26" t="str">
        <f t="shared" si="30"/>
        <v/>
      </c>
      <c r="AG45" s="27" t="str">
        <f t="shared" si="31"/>
        <v/>
      </c>
      <c r="AH45" s="5"/>
      <c r="AI45" t="s">
        <v>61</v>
      </c>
    </row>
    <row r="46" spans="2:44" x14ac:dyDescent="0.2">
      <c r="B46" s="10" t="s">
        <v>92</v>
      </c>
      <c r="C46" s="11" t="s">
        <v>87</v>
      </c>
      <c r="D46" s="12">
        <v>10</v>
      </c>
      <c r="E46" s="13" t="str">
        <f t="shared" si="0"/>
        <v/>
      </c>
      <c r="F46" s="14" t="str">
        <f t="shared" si="1"/>
        <v/>
      </c>
      <c r="G46" s="15" t="str">
        <f t="shared" si="2"/>
        <v/>
      </c>
      <c r="H46" s="16" t="str">
        <f t="shared" si="3"/>
        <v/>
      </c>
      <c r="I46" s="17" t="str">
        <f t="shared" si="4"/>
        <v/>
      </c>
      <c r="J46" s="17" t="str">
        <f t="shared" si="5"/>
        <v/>
      </c>
      <c r="K46" s="18" t="str">
        <f t="shared" si="6"/>
        <v/>
      </c>
      <c r="L46" s="13" t="str">
        <f t="shared" si="7"/>
        <v/>
      </c>
      <c r="M46" s="14" t="str">
        <f t="shared" si="8"/>
        <v/>
      </c>
      <c r="N46" s="15" t="str">
        <f t="shared" si="9"/>
        <v>=</v>
      </c>
      <c r="O46" s="19">
        <f t="shared" si="10"/>
        <v>1</v>
      </c>
      <c r="P46" s="20" t="s">
        <v>16</v>
      </c>
      <c r="Q46" s="19" t="str">
        <f t="shared" si="11"/>
        <v/>
      </c>
      <c r="R46" s="20" t="s">
        <v>7</v>
      </c>
      <c r="S46" s="19"/>
      <c r="T46" s="20" t="s">
        <v>19</v>
      </c>
      <c r="U46" s="20"/>
      <c r="V46" s="20" t="s">
        <v>19</v>
      </c>
      <c r="W46" s="20">
        <v>1</v>
      </c>
      <c r="X46" s="25" t="str">
        <f t="shared" si="22"/>
        <v>=</v>
      </c>
      <c r="Y46" s="26" t="str">
        <f t="shared" si="23"/>
        <v/>
      </c>
      <c r="Z46" s="26" t="str">
        <f t="shared" si="24"/>
        <v/>
      </c>
      <c r="AA46" s="28" t="str">
        <f t="shared" si="25"/>
        <v/>
      </c>
      <c r="AB46" s="29" t="str">
        <f t="shared" si="26"/>
        <v/>
      </c>
      <c r="AC46" s="29" t="str">
        <f t="shared" si="27"/>
        <v/>
      </c>
      <c r="AD46" s="29" t="str">
        <f t="shared" si="28"/>
        <v/>
      </c>
      <c r="AE46" s="32" t="str">
        <f t="shared" si="29"/>
        <v/>
      </c>
      <c r="AF46" s="26" t="str">
        <f t="shared" si="30"/>
        <v/>
      </c>
      <c r="AG46" s="27" t="str">
        <f t="shared" si="31"/>
        <v/>
      </c>
      <c r="AH46" s="5"/>
      <c r="AI46" t="s">
        <v>16</v>
      </c>
    </row>
    <row r="47" spans="2:44" x14ac:dyDescent="0.2">
      <c r="B47" s="24" t="s">
        <v>92</v>
      </c>
      <c r="C47" s="3" t="s">
        <v>103</v>
      </c>
      <c r="D47" s="4">
        <v>9</v>
      </c>
      <c r="E47" s="25" t="str">
        <f t="shared" si="0"/>
        <v/>
      </c>
      <c r="F47" s="26" t="str">
        <f t="shared" si="1"/>
        <v/>
      </c>
      <c r="G47" s="27" t="str">
        <f t="shared" si="2"/>
        <v/>
      </c>
      <c r="H47" s="28" t="str">
        <f t="shared" si="3"/>
        <v/>
      </c>
      <c r="I47" s="29" t="str">
        <f t="shared" si="4"/>
        <v/>
      </c>
      <c r="J47" s="29" t="str">
        <f t="shared" si="5"/>
        <v/>
      </c>
      <c r="K47" s="30" t="str">
        <f t="shared" si="6"/>
        <v/>
      </c>
      <c r="L47" s="25" t="str">
        <f t="shared" si="7"/>
        <v/>
      </c>
      <c r="M47" s="26" t="str">
        <f t="shared" si="8"/>
        <v>=</v>
      </c>
      <c r="N47" s="27" t="str">
        <f t="shared" si="9"/>
        <v/>
      </c>
      <c r="O47" s="19">
        <f t="shared" si="10"/>
        <v>1</v>
      </c>
      <c r="P47" s="20"/>
      <c r="Q47" s="19" t="str">
        <f t="shared" si="11"/>
        <v/>
      </c>
      <c r="R47" s="20"/>
      <c r="S47" s="19"/>
      <c r="T47" s="20" t="s">
        <v>82</v>
      </c>
      <c r="U47" s="20"/>
      <c r="V47" s="20" t="s">
        <v>82</v>
      </c>
      <c r="W47" s="20">
        <v>1</v>
      </c>
      <c r="X47" s="36" t="str">
        <f t="shared" si="22"/>
        <v>=</v>
      </c>
      <c r="Y47" s="37" t="str">
        <f t="shared" si="23"/>
        <v/>
      </c>
      <c r="Z47" s="37" t="str">
        <f t="shared" si="24"/>
        <v/>
      </c>
      <c r="AA47" s="39" t="str">
        <f t="shared" si="25"/>
        <v/>
      </c>
      <c r="AB47" s="40" t="str">
        <f t="shared" si="26"/>
        <v/>
      </c>
      <c r="AC47" s="40" t="str">
        <f t="shared" si="27"/>
        <v/>
      </c>
      <c r="AD47" s="40" t="str">
        <f t="shared" si="28"/>
        <v/>
      </c>
      <c r="AE47" s="47" t="str">
        <f t="shared" si="29"/>
        <v/>
      </c>
      <c r="AF47" s="37" t="str">
        <f t="shared" si="30"/>
        <v/>
      </c>
      <c r="AG47" s="38" t="str">
        <f t="shared" si="31"/>
        <v/>
      </c>
      <c r="AH47" s="5"/>
      <c r="AI47" t="s">
        <v>16</v>
      </c>
    </row>
    <row r="48" spans="2:44" x14ac:dyDescent="0.2">
      <c r="B48" s="33" t="s">
        <v>92</v>
      </c>
      <c r="C48" s="34" t="s">
        <v>23</v>
      </c>
      <c r="D48" s="35">
        <v>2</v>
      </c>
      <c r="E48" s="36" t="str">
        <f t="shared" si="0"/>
        <v/>
      </c>
      <c r="F48" s="37" t="str">
        <f t="shared" si="1"/>
        <v>=</v>
      </c>
      <c r="G48" s="38" t="str">
        <f t="shared" si="2"/>
        <v/>
      </c>
      <c r="H48" s="39" t="str">
        <f t="shared" si="3"/>
        <v/>
      </c>
      <c r="I48" s="40" t="str">
        <f t="shared" si="4"/>
        <v/>
      </c>
      <c r="J48" s="40" t="str">
        <f t="shared" si="5"/>
        <v/>
      </c>
      <c r="K48" s="41" t="str">
        <f t="shared" si="6"/>
        <v/>
      </c>
      <c r="L48" s="36" t="str">
        <f t="shared" si="7"/>
        <v/>
      </c>
      <c r="M48" s="37" t="str">
        <f t="shared" si="8"/>
        <v/>
      </c>
      <c r="N48" s="38" t="str">
        <f t="shared" si="9"/>
        <v/>
      </c>
      <c r="O48" s="19" t="str">
        <f t="shared" si="10"/>
        <v/>
      </c>
      <c r="P48" s="20"/>
      <c r="Q48" s="19">
        <f t="shared" si="11"/>
        <v>1</v>
      </c>
      <c r="R48" s="20"/>
      <c r="S48" s="19"/>
      <c r="W48" t="s">
        <v>4</v>
      </c>
    </row>
    <row r="49" spans="2:35" x14ac:dyDescent="0.2">
      <c r="B49" s="10" t="s">
        <v>78</v>
      </c>
      <c r="C49" s="11" t="s">
        <v>104</v>
      </c>
      <c r="D49" s="12">
        <v>5</v>
      </c>
      <c r="E49" s="13" t="str">
        <f t="shared" si="0"/>
        <v/>
      </c>
      <c r="F49" s="14" t="str">
        <f t="shared" si="1"/>
        <v/>
      </c>
      <c r="G49" s="15" t="str">
        <f t="shared" si="2"/>
        <v/>
      </c>
      <c r="H49" s="16" t="str">
        <f t="shared" si="3"/>
        <v/>
      </c>
      <c r="I49" s="17" t="str">
        <f t="shared" si="4"/>
        <v>=</v>
      </c>
      <c r="J49" s="17" t="str">
        <f t="shared" si="5"/>
        <v/>
      </c>
      <c r="K49" s="18" t="str">
        <f t="shared" si="6"/>
        <v/>
      </c>
      <c r="L49" s="13" t="str">
        <f t="shared" si="7"/>
        <v/>
      </c>
      <c r="M49" s="14" t="str">
        <f t="shared" si="8"/>
        <v/>
      </c>
      <c r="N49" s="15" t="str">
        <f t="shared" si="9"/>
        <v/>
      </c>
      <c r="O49" s="19" t="str">
        <f t="shared" si="10"/>
        <v/>
      </c>
      <c r="P49" s="20" t="s">
        <v>7</v>
      </c>
      <c r="Q49" s="19" t="str">
        <f t="shared" si="11"/>
        <v/>
      </c>
      <c r="R49" s="20" t="s">
        <v>7</v>
      </c>
      <c r="S49" s="19"/>
      <c r="T49" s="19" t="s">
        <v>105</v>
      </c>
      <c r="U49" s="19"/>
      <c r="V49" s="19" t="s">
        <v>105</v>
      </c>
      <c r="W49" s="20">
        <v>8</v>
      </c>
      <c r="X49" s="13" t="str">
        <f t="shared" si="22"/>
        <v/>
      </c>
      <c r="Y49" s="14" t="str">
        <f t="shared" si="23"/>
        <v/>
      </c>
      <c r="Z49" s="14" t="str">
        <f t="shared" si="24"/>
        <v/>
      </c>
      <c r="AA49" s="16" t="str">
        <f t="shared" si="25"/>
        <v/>
      </c>
      <c r="AB49" s="17" t="str">
        <f t="shared" si="26"/>
        <v/>
      </c>
      <c r="AC49" s="17" t="str">
        <f t="shared" si="27"/>
        <v/>
      </c>
      <c r="AD49" s="17" t="str">
        <f t="shared" si="28"/>
        <v/>
      </c>
      <c r="AE49" s="23" t="str">
        <f t="shared" si="29"/>
        <v>=</v>
      </c>
      <c r="AF49" s="14" t="str">
        <f t="shared" si="30"/>
        <v/>
      </c>
      <c r="AG49" s="15" t="str">
        <f t="shared" si="31"/>
        <v/>
      </c>
      <c r="AH49" s="5"/>
      <c r="AI49" t="s">
        <v>16</v>
      </c>
    </row>
    <row r="50" spans="2:35" x14ac:dyDescent="0.2">
      <c r="B50" s="24" t="s">
        <v>78</v>
      </c>
      <c r="C50" s="3" t="s">
        <v>21</v>
      </c>
      <c r="D50" s="4">
        <v>1</v>
      </c>
      <c r="E50" s="25" t="str">
        <f t="shared" si="0"/>
        <v>=</v>
      </c>
      <c r="F50" s="26" t="str">
        <f t="shared" si="1"/>
        <v/>
      </c>
      <c r="G50" s="27" t="str">
        <f t="shared" si="2"/>
        <v/>
      </c>
      <c r="H50" s="28" t="str">
        <f t="shared" si="3"/>
        <v/>
      </c>
      <c r="I50" s="29" t="str">
        <f t="shared" si="4"/>
        <v/>
      </c>
      <c r="J50" s="29" t="str">
        <f t="shared" si="5"/>
        <v/>
      </c>
      <c r="K50" s="30" t="str">
        <f t="shared" si="6"/>
        <v/>
      </c>
      <c r="L50" s="25" t="str">
        <f t="shared" si="7"/>
        <v/>
      </c>
      <c r="M50" s="26" t="str">
        <f t="shared" si="8"/>
        <v/>
      </c>
      <c r="N50" s="27" t="str">
        <f t="shared" si="9"/>
        <v/>
      </c>
      <c r="O50" s="19" t="str">
        <f t="shared" si="10"/>
        <v/>
      </c>
      <c r="P50" s="20"/>
      <c r="Q50" s="19">
        <f t="shared" si="11"/>
        <v>1</v>
      </c>
      <c r="R50" s="20"/>
      <c r="S50" s="19"/>
      <c r="T50" s="19" t="s">
        <v>47</v>
      </c>
      <c r="U50" s="19"/>
      <c r="V50" s="19" t="s">
        <v>47</v>
      </c>
      <c r="W50" s="20">
        <v>2</v>
      </c>
      <c r="X50" s="25" t="str">
        <f t="shared" si="22"/>
        <v/>
      </c>
      <c r="Y50" s="26" t="str">
        <f t="shared" si="23"/>
        <v>=</v>
      </c>
      <c r="Z50" s="26" t="str">
        <f t="shared" si="24"/>
        <v/>
      </c>
      <c r="AA50" s="28" t="str">
        <f t="shared" si="25"/>
        <v/>
      </c>
      <c r="AB50" s="29" t="str">
        <f t="shared" si="26"/>
        <v/>
      </c>
      <c r="AC50" s="29" t="str">
        <f t="shared" si="27"/>
        <v/>
      </c>
      <c r="AD50" s="29" t="str">
        <f t="shared" si="28"/>
        <v/>
      </c>
      <c r="AE50" s="32" t="str">
        <f t="shared" si="29"/>
        <v/>
      </c>
      <c r="AF50" s="26" t="str">
        <f t="shared" si="30"/>
        <v/>
      </c>
      <c r="AG50" s="27" t="str">
        <f t="shared" si="31"/>
        <v/>
      </c>
      <c r="AH50" s="5"/>
      <c r="AI50" t="s">
        <v>16</v>
      </c>
    </row>
    <row r="51" spans="2:35" x14ac:dyDescent="0.2">
      <c r="B51" s="33" t="s">
        <v>78</v>
      </c>
      <c r="C51" s="34" t="s">
        <v>34</v>
      </c>
      <c r="D51" s="35">
        <v>6</v>
      </c>
      <c r="E51" s="36" t="str">
        <f t="shared" si="0"/>
        <v/>
      </c>
      <c r="F51" s="37" t="str">
        <f t="shared" si="1"/>
        <v/>
      </c>
      <c r="G51" s="38" t="str">
        <f t="shared" si="2"/>
        <v/>
      </c>
      <c r="H51" s="39" t="str">
        <f t="shared" si="3"/>
        <v/>
      </c>
      <c r="I51" s="40" t="str">
        <f t="shared" si="4"/>
        <v/>
      </c>
      <c r="J51" s="40" t="str">
        <f t="shared" si="5"/>
        <v>=</v>
      </c>
      <c r="K51" s="41" t="str">
        <f t="shared" si="6"/>
        <v/>
      </c>
      <c r="L51" s="36" t="str">
        <f t="shared" si="7"/>
        <v/>
      </c>
      <c r="M51" s="37" t="str">
        <f t="shared" si="8"/>
        <v/>
      </c>
      <c r="N51" s="38" t="str">
        <f t="shared" si="9"/>
        <v/>
      </c>
      <c r="O51" s="19" t="str">
        <f t="shared" si="10"/>
        <v/>
      </c>
      <c r="P51" s="20"/>
      <c r="Q51" s="19" t="str">
        <f t="shared" si="11"/>
        <v/>
      </c>
      <c r="R51" s="20"/>
      <c r="S51" s="19"/>
      <c r="T51" s="19" t="s">
        <v>86</v>
      </c>
      <c r="U51" s="19"/>
      <c r="V51" s="19" t="s">
        <v>86</v>
      </c>
      <c r="W51" s="20">
        <v>4</v>
      </c>
      <c r="X51" s="25" t="str">
        <f t="shared" si="22"/>
        <v/>
      </c>
      <c r="Y51" s="26" t="str">
        <f t="shared" si="23"/>
        <v/>
      </c>
      <c r="Z51" s="26" t="str">
        <f t="shared" si="24"/>
        <v/>
      </c>
      <c r="AA51" s="28" t="str">
        <f t="shared" si="25"/>
        <v>=</v>
      </c>
      <c r="AB51" s="29" t="str">
        <f t="shared" si="26"/>
        <v/>
      </c>
      <c r="AC51" s="29" t="str">
        <f t="shared" si="27"/>
        <v/>
      </c>
      <c r="AD51" s="29" t="str">
        <f t="shared" si="28"/>
        <v/>
      </c>
      <c r="AE51" s="32" t="str">
        <f t="shared" si="29"/>
        <v/>
      </c>
      <c r="AF51" s="26" t="str">
        <f t="shared" si="30"/>
        <v/>
      </c>
      <c r="AG51" s="27" t="str">
        <f t="shared" si="31"/>
        <v/>
      </c>
      <c r="AH51" s="5"/>
      <c r="AI51" t="s">
        <v>61</v>
      </c>
    </row>
    <row r="52" spans="2:35" x14ac:dyDescent="0.2">
      <c r="B52" s="10" t="s">
        <v>72</v>
      </c>
      <c r="C52" s="11" t="s">
        <v>106</v>
      </c>
      <c r="D52" s="12">
        <v>10</v>
      </c>
      <c r="E52" s="13" t="str">
        <f t="shared" si="0"/>
        <v/>
      </c>
      <c r="F52" s="14" t="str">
        <f t="shared" si="1"/>
        <v/>
      </c>
      <c r="G52" s="15" t="str">
        <f t="shared" si="2"/>
        <v/>
      </c>
      <c r="H52" s="16" t="str">
        <f t="shared" si="3"/>
        <v/>
      </c>
      <c r="I52" s="17" t="str">
        <f t="shared" si="4"/>
        <v/>
      </c>
      <c r="J52" s="17" t="str">
        <f t="shared" si="5"/>
        <v/>
      </c>
      <c r="K52" s="18" t="str">
        <f t="shared" si="6"/>
        <v/>
      </c>
      <c r="L52" s="13" t="str">
        <f t="shared" si="7"/>
        <v/>
      </c>
      <c r="M52" s="14" t="str">
        <f t="shared" si="8"/>
        <v/>
      </c>
      <c r="N52" s="15" t="str">
        <f t="shared" si="9"/>
        <v>=</v>
      </c>
      <c r="O52" s="19">
        <f t="shared" si="10"/>
        <v>1</v>
      </c>
      <c r="P52" s="20" t="s">
        <v>16</v>
      </c>
      <c r="Q52" s="19" t="str">
        <f t="shared" si="11"/>
        <v/>
      </c>
      <c r="R52" s="20" t="s">
        <v>7</v>
      </c>
      <c r="S52" s="19"/>
      <c r="T52" s="19" t="s">
        <v>92</v>
      </c>
      <c r="U52" s="19"/>
      <c r="V52" s="19" t="s">
        <v>92</v>
      </c>
      <c r="W52" s="20">
        <v>8</v>
      </c>
      <c r="X52" s="25" t="str">
        <f t="shared" si="22"/>
        <v/>
      </c>
      <c r="Y52" s="26" t="str">
        <f t="shared" si="23"/>
        <v/>
      </c>
      <c r="Z52" s="26" t="str">
        <f t="shared" si="24"/>
        <v/>
      </c>
      <c r="AA52" s="28" t="str">
        <f t="shared" si="25"/>
        <v/>
      </c>
      <c r="AB52" s="29" t="str">
        <f t="shared" si="26"/>
        <v/>
      </c>
      <c r="AC52" s="29" t="str">
        <f t="shared" si="27"/>
        <v/>
      </c>
      <c r="AD52" s="29" t="str">
        <f t="shared" si="28"/>
        <v/>
      </c>
      <c r="AE52" s="32" t="str">
        <f t="shared" si="29"/>
        <v>=</v>
      </c>
      <c r="AF52" s="26" t="str">
        <f t="shared" si="30"/>
        <v/>
      </c>
      <c r="AG52" s="27" t="str">
        <f t="shared" si="31"/>
        <v/>
      </c>
      <c r="AH52" s="5"/>
      <c r="AI52" t="s">
        <v>16</v>
      </c>
    </row>
    <row r="53" spans="2:35" x14ac:dyDescent="0.2">
      <c r="B53" s="24" t="s">
        <v>72</v>
      </c>
      <c r="C53" s="3" t="s">
        <v>107</v>
      </c>
      <c r="D53" s="4">
        <v>5</v>
      </c>
      <c r="E53" s="25" t="str">
        <f t="shared" si="0"/>
        <v/>
      </c>
      <c r="F53" s="26" t="str">
        <f t="shared" si="1"/>
        <v/>
      </c>
      <c r="G53" s="27" t="str">
        <f t="shared" si="2"/>
        <v/>
      </c>
      <c r="H53" s="28" t="str">
        <f t="shared" si="3"/>
        <v/>
      </c>
      <c r="I53" s="29" t="str">
        <f t="shared" si="4"/>
        <v>=</v>
      </c>
      <c r="J53" s="29" t="str">
        <f t="shared" si="5"/>
        <v/>
      </c>
      <c r="K53" s="30" t="str">
        <f t="shared" si="6"/>
        <v/>
      </c>
      <c r="L53" s="25" t="str">
        <f t="shared" si="7"/>
        <v/>
      </c>
      <c r="M53" s="26" t="str">
        <f t="shared" si="8"/>
        <v/>
      </c>
      <c r="N53" s="27" t="str">
        <f t="shared" si="9"/>
        <v/>
      </c>
      <c r="O53" s="19" t="str">
        <f t="shared" si="10"/>
        <v/>
      </c>
      <c r="P53" s="20"/>
      <c r="Q53" s="19" t="str">
        <f t="shared" si="11"/>
        <v/>
      </c>
      <c r="R53" s="20"/>
      <c r="S53" s="19"/>
      <c r="T53" s="19" t="s">
        <v>59</v>
      </c>
      <c r="U53" s="19"/>
      <c r="V53" s="64" t="s">
        <v>59</v>
      </c>
      <c r="W53" s="20">
        <v>8</v>
      </c>
      <c r="X53" s="25" t="str">
        <f t="shared" si="22"/>
        <v/>
      </c>
      <c r="Y53" s="26" t="str">
        <f t="shared" si="23"/>
        <v/>
      </c>
      <c r="Z53" s="26" t="str">
        <f t="shared" si="24"/>
        <v/>
      </c>
      <c r="AA53" s="28" t="str">
        <f t="shared" si="25"/>
        <v/>
      </c>
      <c r="AB53" s="29" t="str">
        <f t="shared" si="26"/>
        <v/>
      </c>
      <c r="AC53" s="29" t="str">
        <f t="shared" si="27"/>
        <v/>
      </c>
      <c r="AD53" s="29" t="str">
        <f t="shared" si="28"/>
        <v/>
      </c>
      <c r="AE53" s="32" t="str">
        <f t="shared" si="29"/>
        <v>=</v>
      </c>
      <c r="AF53" s="26" t="str">
        <f t="shared" si="30"/>
        <v/>
      </c>
      <c r="AG53" s="27" t="str">
        <f t="shared" si="31"/>
        <v/>
      </c>
      <c r="AH53" s="5"/>
      <c r="AI53" t="s">
        <v>16</v>
      </c>
    </row>
    <row r="54" spans="2:35" x14ac:dyDescent="0.2">
      <c r="B54" s="33" t="s">
        <v>72</v>
      </c>
      <c r="C54" s="34" t="s">
        <v>103</v>
      </c>
      <c r="D54" s="35">
        <v>9</v>
      </c>
      <c r="E54" s="36" t="str">
        <f t="shared" si="0"/>
        <v/>
      </c>
      <c r="F54" s="37" t="str">
        <f t="shared" si="1"/>
        <v/>
      </c>
      <c r="G54" s="38" t="str">
        <f t="shared" si="2"/>
        <v/>
      </c>
      <c r="H54" s="39" t="str">
        <f t="shared" si="3"/>
        <v/>
      </c>
      <c r="I54" s="40" t="str">
        <f t="shared" si="4"/>
        <v/>
      </c>
      <c r="J54" s="40" t="str">
        <f t="shared" si="5"/>
        <v/>
      </c>
      <c r="K54" s="41" t="str">
        <f t="shared" si="6"/>
        <v/>
      </c>
      <c r="L54" s="36" t="str">
        <f t="shared" si="7"/>
        <v/>
      </c>
      <c r="M54" s="37" t="str">
        <f t="shared" si="8"/>
        <v>=</v>
      </c>
      <c r="N54" s="38" t="str">
        <f t="shared" si="9"/>
        <v/>
      </c>
      <c r="O54" s="19">
        <f t="shared" si="10"/>
        <v>1</v>
      </c>
      <c r="P54" s="20"/>
      <c r="Q54" s="19" t="str">
        <f t="shared" si="11"/>
        <v/>
      </c>
      <c r="R54" s="20"/>
      <c r="S54" s="19"/>
      <c r="T54" s="19" t="s">
        <v>84</v>
      </c>
      <c r="U54" s="19"/>
      <c r="V54" s="19" t="s">
        <v>84</v>
      </c>
      <c r="W54" s="20">
        <v>10</v>
      </c>
      <c r="X54" s="25" t="str">
        <f t="shared" si="22"/>
        <v/>
      </c>
      <c r="Y54" s="26" t="str">
        <f t="shared" si="23"/>
        <v/>
      </c>
      <c r="Z54" s="26" t="str">
        <f t="shared" si="24"/>
        <v/>
      </c>
      <c r="AA54" s="28" t="str">
        <f t="shared" si="25"/>
        <v/>
      </c>
      <c r="AB54" s="29" t="str">
        <f t="shared" si="26"/>
        <v/>
      </c>
      <c r="AC54" s="29" t="str">
        <f t="shared" si="27"/>
        <v/>
      </c>
      <c r="AD54" s="29" t="str">
        <f t="shared" si="28"/>
        <v/>
      </c>
      <c r="AE54" s="32" t="str">
        <f t="shared" si="29"/>
        <v/>
      </c>
      <c r="AF54" s="26" t="str">
        <f t="shared" si="30"/>
        <v/>
      </c>
      <c r="AG54" s="27" t="str">
        <f t="shared" si="31"/>
        <v>=</v>
      </c>
      <c r="AH54" s="5"/>
      <c r="AI54" t="s">
        <v>16</v>
      </c>
    </row>
    <row r="55" spans="2:35" x14ac:dyDescent="0.2">
      <c r="B55" s="10" t="s">
        <v>101</v>
      </c>
      <c r="C55" s="11" t="s">
        <v>108</v>
      </c>
      <c r="D55" s="12">
        <v>9</v>
      </c>
      <c r="E55" s="13" t="str">
        <f t="shared" si="0"/>
        <v/>
      </c>
      <c r="F55" s="14" t="str">
        <f t="shared" si="1"/>
        <v/>
      </c>
      <c r="G55" s="15" t="str">
        <f t="shared" si="2"/>
        <v/>
      </c>
      <c r="H55" s="16" t="str">
        <f t="shared" si="3"/>
        <v/>
      </c>
      <c r="I55" s="17" t="str">
        <f t="shared" si="4"/>
        <v/>
      </c>
      <c r="J55" s="17" t="str">
        <f t="shared" si="5"/>
        <v/>
      </c>
      <c r="K55" s="18" t="str">
        <f t="shared" si="6"/>
        <v/>
      </c>
      <c r="L55" s="13" t="str">
        <f t="shared" si="7"/>
        <v/>
      </c>
      <c r="M55" s="14" t="str">
        <f t="shared" si="8"/>
        <v>=</v>
      </c>
      <c r="N55" s="15" t="str">
        <f t="shared" si="9"/>
        <v/>
      </c>
      <c r="O55" s="19">
        <f t="shared" si="10"/>
        <v>1</v>
      </c>
      <c r="P55" s="20" t="s">
        <v>7</v>
      </c>
      <c r="Q55" s="19" t="str">
        <f t="shared" si="11"/>
        <v/>
      </c>
      <c r="R55" s="20" t="s">
        <v>16</v>
      </c>
      <c r="S55" s="19"/>
      <c r="T55" s="19" t="s">
        <v>97</v>
      </c>
      <c r="U55" s="19"/>
      <c r="V55" s="19" t="s">
        <v>97</v>
      </c>
      <c r="W55" s="20">
        <v>2</v>
      </c>
      <c r="X55" s="25" t="str">
        <f t="shared" si="22"/>
        <v/>
      </c>
      <c r="Y55" s="26" t="str">
        <f t="shared" si="23"/>
        <v>=</v>
      </c>
      <c r="Z55" s="26" t="str">
        <f t="shared" si="24"/>
        <v/>
      </c>
      <c r="AA55" s="28" t="str">
        <f t="shared" si="25"/>
        <v/>
      </c>
      <c r="AB55" s="29" t="str">
        <f t="shared" si="26"/>
        <v/>
      </c>
      <c r="AC55" s="29" t="str">
        <f t="shared" si="27"/>
        <v/>
      </c>
      <c r="AD55" s="29" t="str">
        <f t="shared" si="28"/>
        <v/>
      </c>
      <c r="AE55" s="32" t="str">
        <f t="shared" si="29"/>
        <v/>
      </c>
      <c r="AF55" s="26" t="str">
        <f t="shared" si="30"/>
        <v/>
      </c>
      <c r="AG55" s="27" t="str">
        <f t="shared" si="31"/>
        <v/>
      </c>
      <c r="AH55" s="5"/>
      <c r="AI55" t="s">
        <v>16</v>
      </c>
    </row>
    <row r="56" spans="2:35" x14ac:dyDescent="0.2">
      <c r="B56" s="24" t="s">
        <v>101</v>
      </c>
      <c r="C56" s="3" t="s">
        <v>102</v>
      </c>
      <c r="D56" s="4">
        <v>3</v>
      </c>
      <c r="E56" s="25" t="str">
        <f t="shared" si="0"/>
        <v/>
      </c>
      <c r="F56" s="26" t="str">
        <f t="shared" si="1"/>
        <v/>
      </c>
      <c r="G56" s="27" t="str">
        <f t="shared" si="2"/>
        <v>=</v>
      </c>
      <c r="H56" s="28" t="str">
        <f t="shared" si="3"/>
        <v/>
      </c>
      <c r="I56" s="29" t="str">
        <f t="shared" si="4"/>
        <v/>
      </c>
      <c r="J56" s="29" t="str">
        <f t="shared" si="5"/>
        <v/>
      </c>
      <c r="K56" s="30" t="str">
        <f t="shared" si="6"/>
        <v/>
      </c>
      <c r="L56" s="25" t="str">
        <f t="shared" si="7"/>
        <v/>
      </c>
      <c r="M56" s="26" t="str">
        <f t="shared" si="8"/>
        <v/>
      </c>
      <c r="N56" s="27" t="str">
        <f t="shared" si="9"/>
        <v/>
      </c>
      <c r="O56" s="19" t="str">
        <f t="shared" si="10"/>
        <v/>
      </c>
      <c r="P56" s="20"/>
      <c r="Q56" s="19">
        <f t="shared" si="11"/>
        <v>1</v>
      </c>
      <c r="R56" s="20"/>
      <c r="S56" s="19"/>
      <c r="T56" s="19" t="s">
        <v>101</v>
      </c>
      <c r="U56" s="19"/>
      <c r="V56" s="19" t="s">
        <v>101</v>
      </c>
      <c r="W56" s="20">
        <v>4</v>
      </c>
      <c r="X56" s="25" t="str">
        <f t="shared" si="22"/>
        <v/>
      </c>
      <c r="Y56" s="26" t="str">
        <f t="shared" si="23"/>
        <v/>
      </c>
      <c r="Z56" s="26" t="str">
        <f t="shared" si="24"/>
        <v/>
      </c>
      <c r="AA56" s="28" t="str">
        <f t="shared" si="25"/>
        <v>=</v>
      </c>
      <c r="AB56" s="29" t="str">
        <f t="shared" si="26"/>
        <v/>
      </c>
      <c r="AC56" s="29" t="str">
        <f t="shared" si="27"/>
        <v/>
      </c>
      <c r="AD56" s="29" t="str">
        <f t="shared" si="28"/>
        <v/>
      </c>
      <c r="AE56" s="32" t="str">
        <f t="shared" si="29"/>
        <v/>
      </c>
      <c r="AF56" s="26" t="str">
        <f t="shared" si="30"/>
        <v/>
      </c>
      <c r="AG56" s="27" t="str">
        <f t="shared" si="31"/>
        <v/>
      </c>
      <c r="AH56" s="5"/>
      <c r="AI56" t="s">
        <v>61</v>
      </c>
    </row>
    <row r="57" spans="2:35" x14ac:dyDescent="0.2">
      <c r="B57" s="33" t="s">
        <v>101</v>
      </c>
      <c r="C57" s="34" t="s">
        <v>23</v>
      </c>
      <c r="D57" s="35">
        <v>2</v>
      </c>
      <c r="E57" s="36" t="str">
        <f t="shared" si="0"/>
        <v/>
      </c>
      <c r="F57" s="37" t="str">
        <f t="shared" si="1"/>
        <v>=</v>
      </c>
      <c r="G57" s="38" t="str">
        <f t="shared" si="2"/>
        <v/>
      </c>
      <c r="H57" s="39" t="str">
        <f t="shared" si="3"/>
        <v/>
      </c>
      <c r="I57" s="40" t="str">
        <f t="shared" si="4"/>
        <v/>
      </c>
      <c r="J57" s="40" t="str">
        <f t="shared" si="5"/>
        <v/>
      </c>
      <c r="K57" s="41" t="str">
        <f t="shared" si="6"/>
        <v/>
      </c>
      <c r="L57" s="36" t="str">
        <f t="shared" si="7"/>
        <v/>
      </c>
      <c r="M57" s="37" t="str">
        <f t="shared" si="8"/>
        <v/>
      </c>
      <c r="N57" s="38" t="str">
        <f t="shared" si="9"/>
        <v/>
      </c>
      <c r="O57" s="19" t="str">
        <f t="shared" si="10"/>
        <v/>
      </c>
      <c r="P57" s="20"/>
      <c r="Q57" s="19">
        <f t="shared" si="11"/>
        <v>1</v>
      </c>
      <c r="R57" s="20"/>
      <c r="S57" s="19"/>
      <c r="T57" s="19" t="s">
        <v>14</v>
      </c>
      <c r="U57" s="19"/>
      <c r="V57" s="19" t="s">
        <v>14</v>
      </c>
      <c r="W57" s="20">
        <v>7</v>
      </c>
      <c r="X57" s="25" t="str">
        <f t="shared" si="22"/>
        <v/>
      </c>
      <c r="Y57" s="26" t="str">
        <f t="shared" si="23"/>
        <v/>
      </c>
      <c r="Z57" s="26" t="str">
        <f t="shared" si="24"/>
        <v/>
      </c>
      <c r="AA57" s="28" t="str">
        <f t="shared" si="25"/>
        <v/>
      </c>
      <c r="AB57" s="29" t="str">
        <f t="shared" si="26"/>
        <v/>
      </c>
      <c r="AC57" s="29" t="str">
        <f t="shared" si="27"/>
        <v/>
      </c>
      <c r="AD57" s="29" t="str">
        <f t="shared" si="28"/>
        <v>=</v>
      </c>
      <c r="AE57" s="32" t="str">
        <f t="shared" si="29"/>
        <v/>
      </c>
      <c r="AF57" s="26" t="str">
        <f t="shared" si="30"/>
        <v/>
      </c>
      <c r="AG57" s="27" t="str">
        <f t="shared" si="31"/>
        <v/>
      </c>
      <c r="AH57" s="5"/>
      <c r="AI57" t="s">
        <v>61</v>
      </c>
    </row>
    <row r="58" spans="2:35" x14ac:dyDescent="0.2">
      <c r="B58" s="10" t="s">
        <v>69</v>
      </c>
      <c r="C58" s="11" t="s">
        <v>26</v>
      </c>
      <c r="D58" s="12">
        <v>6</v>
      </c>
      <c r="E58" s="13" t="str">
        <f t="shared" si="0"/>
        <v/>
      </c>
      <c r="F58" s="14" t="str">
        <f t="shared" si="1"/>
        <v/>
      </c>
      <c r="G58" s="15" t="str">
        <f t="shared" si="2"/>
        <v/>
      </c>
      <c r="H58" s="16" t="str">
        <f t="shared" si="3"/>
        <v/>
      </c>
      <c r="I58" s="17" t="str">
        <f t="shared" si="4"/>
        <v/>
      </c>
      <c r="J58" s="17" t="str">
        <f t="shared" si="5"/>
        <v>=</v>
      </c>
      <c r="K58" s="18" t="str">
        <f t="shared" si="6"/>
        <v/>
      </c>
      <c r="L58" s="13" t="str">
        <f t="shared" si="7"/>
        <v/>
      </c>
      <c r="M58" s="14" t="str">
        <f t="shared" si="8"/>
        <v/>
      </c>
      <c r="N58" s="15" t="str">
        <f t="shared" si="9"/>
        <v/>
      </c>
      <c r="O58" s="19" t="str">
        <f t="shared" si="10"/>
        <v/>
      </c>
      <c r="P58" s="20" t="s">
        <v>7</v>
      </c>
      <c r="Q58" s="19" t="str">
        <f t="shared" si="11"/>
        <v/>
      </c>
      <c r="R58" s="20" t="s">
        <v>7</v>
      </c>
      <c r="S58" s="19"/>
      <c r="T58" s="19" t="s">
        <v>109</v>
      </c>
      <c r="U58" s="19"/>
      <c r="V58" s="64" t="s">
        <v>109</v>
      </c>
      <c r="W58" s="20">
        <v>7</v>
      </c>
      <c r="X58" s="25" t="str">
        <f t="shared" si="22"/>
        <v/>
      </c>
      <c r="Y58" s="26" t="str">
        <f t="shared" si="23"/>
        <v/>
      </c>
      <c r="Z58" s="26" t="str">
        <f t="shared" si="24"/>
        <v/>
      </c>
      <c r="AA58" s="28" t="str">
        <f t="shared" si="25"/>
        <v/>
      </c>
      <c r="AB58" s="29" t="str">
        <f t="shared" si="26"/>
        <v/>
      </c>
      <c r="AC58" s="29" t="str">
        <f t="shared" si="27"/>
        <v/>
      </c>
      <c r="AD58" s="29" t="str">
        <f t="shared" si="28"/>
        <v>=</v>
      </c>
      <c r="AE58" s="32" t="str">
        <f t="shared" si="29"/>
        <v/>
      </c>
      <c r="AF58" s="26" t="str">
        <f t="shared" si="30"/>
        <v/>
      </c>
      <c r="AG58" s="27" t="str">
        <f t="shared" si="31"/>
        <v/>
      </c>
      <c r="AH58" s="5"/>
      <c r="AI58" t="s">
        <v>61</v>
      </c>
    </row>
    <row r="59" spans="2:35" x14ac:dyDescent="0.2">
      <c r="B59" s="24" t="s">
        <v>69</v>
      </c>
      <c r="C59" s="3" t="s">
        <v>104</v>
      </c>
      <c r="D59" s="4">
        <v>5</v>
      </c>
      <c r="E59" s="25" t="str">
        <f t="shared" si="0"/>
        <v/>
      </c>
      <c r="F59" s="26" t="str">
        <f t="shared" si="1"/>
        <v/>
      </c>
      <c r="G59" s="27" t="str">
        <f t="shared" si="2"/>
        <v/>
      </c>
      <c r="H59" s="28" t="str">
        <f t="shared" si="3"/>
        <v/>
      </c>
      <c r="I59" s="29" t="str">
        <f t="shared" si="4"/>
        <v>=</v>
      </c>
      <c r="J59" s="29" t="str">
        <f t="shared" si="5"/>
        <v/>
      </c>
      <c r="K59" s="30" t="str">
        <f t="shared" si="6"/>
        <v/>
      </c>
      <c r="L59" s="25" t="str">
        <f t="shared" si="7"/>
        <v/>
      </c>
      <c r="M59" s="26" t="str">
        <f t="shared" si="8"/>
        <v/>
      </c>
      <c r="N59" s="27" t="str">
        <f t="shared" si="9"/>
        <v/>
      </c>
      <c r="O59" s="19" t="str">
        <f t="shared" si="10"/>
        <v/>
      </c>
      <c r="P59" s="20"/>
      <c r="Q59" s="19" t="str">
        <f t="shared" si="11"/>
        <v/>
      </c>
      <c r="R59" s="20"/>
      <c r="S59" s="19"/>
      <c r="T59" s="19" t="s">
        <v>35</v>
      </c>
      <c r="U59" s="19"/>
      <c r="V59" s="65" t="s">
        <v>35</v>
      </c>
      <c r="W59" s="20">
        <v>7</v>
      </c>
      <c r="X59" s="25" t="str">
        <f t="shared" si="22"/>
        <v/>
      </c>
      <c r="Y59" s="26" t="str">
        <f t="shared" si="23"/>
        <v/>
      </c>
      <c r="Z59" s="26" t="str">
        <f t="shared" si="24"/>
        <v/>
      </c>
      <c r="AA59" s="28" t="str">
        <f t="shared" si="25"/>
        <v/>
      </c>
      <c r="AB59" s="29" t="str">
        <f t="shared" si="26"/>
        <v/>
      </c>
      <c r="AC59" s="29" t="str">
        <f t="shared" si="27"/>
        <v/>
      </c>
      <c r="AD59" s="29" t="str">
        <f t="shared" si="28"/>
        <v>=</v>
      </c>
      <c r="AE59" s="32" t="str">
        <f t="shared" si="29"/>
        <v/>
      </c>
      <c r="AF59" s="26" t="str">
        <f t="shared" si="30"/>
        <v/>
      </c>
      <c r="AG59" s="27" t="str">
        <f t="shared" si="31"/>
        <v/>
      </c>
      <c r="AH59" s="5"/>
      <c r="AI59" t="s">
        <v>61</v>
      </c>
    </row>
    <row r="60" spans="2:35" x14ac:dyDescent="0.2">
      <c r="B60" s="33" t="s">
        <v>69</v>
      </c>
      <c r="C60" s="34" t="s">
        <v>106</v>
      </c>
      <c r="D60" s="35">
        <v>10</v>
      </c>
      <c r="E60" s="36" t="str">
        <f t="shared" si="0"/>
        <v/>
      </c>
      <c r="F60" s="37" t="str">
        <f t="shared" si="1"/>
        <v/>
      </c>
      <c r="G60" s="38" t="str">
        <f t="shared" si="2"/>
        <v/>
      </c>
      <c r="H60" s="39" t="str">
        <f t="shared" si="3"/>
        <v/>
      </c>
      <c r="I60" s="40" t="str">
        <f t="shared" si="4"/>
        <v/>
      </c>
      <c r="J60" s="40" t="str">
        <f t="shared" si="5"/>
        <v/>
      </c>
      <c r="K60" s="41" t="str">
        <f t="shared" si="6"/>
        <v/>
      </c>
      <c r="L60" s="36" t="str">
        <f t="shared" si="7"/>
        <v/>
      </c>
      <c r="M60" s="37" t="str">
        <f t="shared" si="8"/>
        <v/>
      </c>
      <c r="N60" s="38" t="str">
        <f t="shared" si="9"/>
        <v>=</v>
      </c>
      <c r="O60" s="19">
        <f t="shared" si="10"/>
        <v>1</v>
      </c>
      <c r="P60" s="20"/>
      <c r="Q60" s="19" t="str">
        <f t="shared" si="11"/>
        <v/>
      </c>
      <c r="R60" s="20"/>
      <c r="S60" s="19"/>
      <c r="T60" s="19" t="s">
        <v>79</v>
      </c>
      <c r="U60" s="19"/>
      <c r="V60" s="19" t="s">
        <v>79</v>
      </c>
      <c r="W60" s="20">
        <v>5</v>
      </c>
      <c r="X60" s="25" t="str">
        <f t="shared" si="22"/>
        <v/>
      </c>
      <c r="Y60" s="26" t="str">
        <f t="shared" si="23"/>
        <v/>
      </c>
      <c r="Z60" s="26" t="str">
        <f t="shared" si="24"/>
        <v/>
      </c>
      <c r="AA60" s="28" t="str">
        <f t="shared" si="25"/>
        <v/>
      </c>
      <c r="AB60" s="29" t="str">
        <f t="shared" si="26"/>
        <v>=</v>
      </c>
      <c r="AC60" s="29" t="str">
        <f t="shared" si="27"/>
        <v/>
      </c>
      <c r="AD60" s="29" t="str">
        <f t="shared" si="28"/>
        <v/>
      </c>
      <c r="AE60" s="32" t="str">
        <f t="shared" si="29"/>
        <v/>
      </c>
      <c r="AF60" s="26" t="str">
        <f t="shared" si="30"/>
        <v/>
      </c>
      <c r="AG60" s="27" t="str">
        <f t="shared" si="31"/>
        <v/>
      </c>
      <c r="AH60" s="5"/>
      <c r="AI60" t="s">
        <v>61</v>
      </c>
    </row>
    <row r="61" spans="2:35" x14ac:dyDescent="0.2">
      <c r="B61" s="48" t="s">
        <v>88</v>
      </c>
      <c r="C61" s="11" t="s">
        <v>38</v>
      </c>
      <c r="D61" s="12">
        <v>5</v>
      </c>
      <c r="E61" s="13" t="str">
        <f t="shared" si="0"/>
        <v/>
      </c>
      <c r="F61" s="14" t="str">
        <f t="shared" si="1"/>
        <v/>
      </c>
      <c r="G61" s="15" t="str">
        <f t="shared" si="2"/>
        <v/>
      </c>
      <c r="H61" s="16" t="str">
        <f t="shared" si="3"/>
        <v/>
      </c>
      <c r="I61" s="17" t="str">
        <f t="shared" si="4"/>
        <v>=</v>
      </c>
      <c r="J61" s="17" t="str">
        <f t="shared" si="5"/>
        <v/>
      </c>
      <c r="K61" s="18" t="str">
        <f t="shared" si="6"/>
        <v/>
      </c>
      <c r="L61" s="13" t="str">
        <f t="shared" si="7"/>
        <v/>
      </c>
      <c r="M61" s="14" t="str">
        <f t="shared" si="8"/>
        <v/>
      </c>
      <c r="N61" s="15" t="str">
        <f t="shared" si="9"/>
        <v/>
      </c>
      <c r="O61" s="19" t="str">
        <f t="shared" si="10"/>
        <v/>
      </c>
      <c r="P61" s="20" t="s">
        <v>7</v>
      </c>
      <c r="Q61" s="19" t="str">
        <f t="shared" si="11"/>
        <v/>
      </c>
      <c r="R61" s="20" t="s">
        <v>7</v>
      </c>
      <c r="S61" s="19"/>
      <c r="T61" s="19" t="s">
        <v>110</v>
      </c>
      <c r="U61" s="19"/>
      <c r="V61" s="19" t="s">
        <v>110</v>
      </c>
      <c r="W61" s="20">
        <v>2</v>
      </c>
      <c r="X61" s="36" t="str">
        <f t="shared" si="22"/>
        <v/>
      </c>
      <c r="Y61" s="37" t="str">
        <f t="shared" si="23"/>
        <v>=</v>
      </c>
      <c r="Z61" s="37" t="str">
        <f t="shared" si="24"/>
        <v/>
      </c>
      <c r="AA61" s="39" t="str">
        <f t="shared" si="25"/>
        <v/>
      </c>
      <c r="AB61" s="40" t="str">
        <f t="shared" si="26"/>
        <v/>
      </c>
      <c r="AC61" s="40" t="str">
        <f t="shared" si="27"/>
        <v/>
      </c>
      <c r="AD61" s="40" t="str">
        <f t="shared" si="28"/>
        <v/>
      </c>
      <c r="AE61" s="47" t="str">
        <f t="shared" si="29"/>
        <v/>
      </c>
      <c r="AF61" s="37" t="str">
        <f t="shared" si="30"/>
        <v/>
      </c>
      <c r="AG61" s="38" t="str">
        <f t="shared" si="31"/>
        <v/>
      </c>
      <c r="AH61" s="5"/>
      <c r="AI61" t="s">
        <v>16</v>
      </c>
    </row>
    <row r="62" spans="2:35" x14ac:dyDescent="0.2">
      <c r="B62" s="49" t="s">
        <v>88</v>
      </c>
      <c r="C62" s="3" t="s">
        <v>44</v>
      </c>
      <c r="D62" s="4">
        <v>1</v>
      </c>
      <c r="E62" s="25" t="str">
        <f t="shared" si="0"/>
        <v>=</v>
      </c>
      <c r="F62" s="26" t="str">
        <f t="shared" si="1"/>
        <v/>
      </c>
      <c r="G62" s="27" t="str">
        <f t="shared" si="2"/>
        <v/>
      </c>
      <c r="H62" s="28" t="str">
        <f t="shared" si="3"/>
        <v/>
      </c>
      <c r="I62" s="29" t="str">
        <f t="shared" si="4"/>
        <v/>
      </c>
      <c r="J62" s="29" t="str">
        <f t="shared" si="5"/>
        <v/>
      </c>
      <c r="K62" s="30" t="str">
        <f t="shared" si="6"/>
        <v/>
      </c>
      <c r="L62" s="25" t="str">
        <f t="shared" si="7"/>
        <v/>
      </c>
      <c r="M62" s="26" t="str">
        <f t="shared" si="8"/>
        <v/>
      </c>
      <c r="N62" s="27" t="str">
        <f t="shared" si="9"/>
        <v/>
      </c>
      <c r="O62" s="19" t="str">
        <f t="shared" si="10"/>
        <v/>
      </c>
      <c r="P62" s="20"/>
      <c r="Q62" s="19">
        <f t="shared" si="11"/>
        <v>1</v>
      </c>
      <c r="R62" s="20"/>
      <c r="S62" s="19"/>
      <c r="T62" s="66"/>
      <c r="U62" s="8" t="e">
        <f>VLOOKUP(T62,$V$26:$W$61,2,0)</f>
        <v>#N/A</v>
      </c>
      <c r="W62" s="67">
        <f>COUNTA(W63:W72)</f>
        <v>2</v>
      </c>
      <c r="AG62" s="68" t="s">
        <v>111</v>
      </c>
    </row>
    <row r="63" spans="2:35" x14ac:dyDescent="0.2">
      <c r="B63" s="50" t="s">
        <v>88</v>
      </c>
      <c r="C63" s="34" t="s">
        <v>17</v>
      </c>
      <c r="D63" s="35">
        <v>8</v>
      </c>
      <c r="E63" s="36" t="str">
        <f t="shared" si="0"/>
        <v/>
      </c>
      <c r="F63" s="37" t="str">
        <f t="shared" si="1"/>
        <v/>
      </c>
      <c r="G63" s="38" t="str">
        <f t="shared" si="2"/>
        <v/>
      </c>
      <c r="H63" s="39" t="str">
        <f t="shared" si="3"/>
        <v/>
      </c>
      <c r="I63" s="40" t="str">
        <f t="shared" si="4"/>
        <v/>
      </c>
      <c r="J63" s="40" t="str">
        <f t="shared" si="5"/>
        <v/>
      </c>
      <c r="K63" s="41" t="str">
        <f t="shared" si="6"/>
        <v/>
      </c>
      <c r="L63" s="36" t="str">
        <f t="shared" si="7"/>
        <v>=</v>
      </c>
      <c r="M63" s="37" t="str">
        <f t="shared" si="8"/>
        <v/>
      </c>
      <c r="N63" s="38" t="str">
        <f t="shared" si="9"/>
        <v/>
      </c>
      <c r="O63" s="19">
        <f t="shared" si="10"/>
        <v>1</v>
      </c>
      <c r="P63" s="20"/>
      <c r="Q63" s="19" t="str">
        <f t="shared" si="11"/>
        <v/>
      </c>
      <c r="R63" s="20"/>
      <c r="S63" s="19"/>
      <c r="T63" s="69" t="s">
        <v>112</v>
      </c>
      <c r="U63" s="70">
        <f>COUNTA(U64:U73)</f>
        <v>0</v>
      </c>
      <c r="V63" s="69" t="s">
        <v>113</v>
      </c>
      <c r="W63" s="70">
        <f>COUNTA(W64:W73)</f>
        <v>1</v>
      </c>
      <c r="Z63" s="55" t="s">
        <v>114</v>
      </c>
      <c r="AA63" s="55" t="s">
        <v>115</v>
      </c>
      <c r="AB63" s="71"/>
      <c r="AC63" s="71"/>
    </row>
    <row r="64" spans="2:35" x14ac:dyDescent="0.2">
      <c r="B64" s="10" t="s">
        <v>94</v>
      </c>
      <c r="C64" s="11" t="s">
        <v>24</v>
      </c>
      <c r="D64" s="12">
        <v>7</v>
      </c>
      <c r="E64" s="13" t="str">
        <f t="shared" si="0"/>
        <v/>
      </c>
      <c r="F64" s="14" t="str">
        <f t="shared" si="1"/>
        <v/>
      </c>
      <c r="G64" s="15" t="str">
        <f t="shared" si="2"/>
        <v/>
      </c>
      <c r="H64" s="16" t="str">
        <f t="shared" si="3"/>
        <v/>
      </c>
      <c r="I64" s="17" t="str">
        <f t="shared" si="4"/>
        <v/>
      </c>
      <c r="J64" s="17" t="str">
        <f t="shared" si="5"/>
        <v/>
      </c>
      <c r="K64" s="18" t="str">
        <f t="shared" si="6"/>
        <v>=</v>
      </c>
      <c r="L64" s="13" t="str">
        <f t="shared" si="7"/>
        <v/>
      </c>
      <c r="M64" s="14" t="str">
        <f t="shared" si="8"/>
        <v/>
      </c>
      <c r="N64" s="15" t="str">
        <f t="shared" si="9"/>
        <v/>
      </c>
      <c r="O64" s="19" t="str">
        <f t="shared" si="10"/>
        <v/>
      </c>
      <c r="P64" s="20" t="s">
        <v>7</v>
      </c>
      <c r="Q64" s="19" t="str">
        <f t="shared" si="11"/>
        <v/>
      </c>
      <c r="R64" s="20" t="s">
        <v>7</v>
      </c>
      <c r="S64" s="19"/>
      <c r="T64" s="72"/>
      <c r="U64" s="73"/>
      <c r="V64" s="72" t="s">
        <v>91</v>
      </c>
      <c r="W64" s="74">
        <f>VLOOKUP(V64,$V$26:$W$61,2,0)</f>
        <v>1</v>
      </c>
      <c r="Z64" s="71"/>
      <c r="AA64" s="71">
        <v>5.666666666666667</v>
      </c>
    </row>
    <row r="65" spans="2:27" x14ac:dyDescent="0.2">
      <c r="B65" s="24" t="s">
        <v>94</v>
      </c>
      <c r="C65" s="3" t="s">
        <v>45</v>
      </c>
      <c r="D65" s="4">
        <v>2</v>
      </c>
      <c r="E65" s="25" t="str">
        <f t="shared" si="0"/>
        <v/>
      </c>
      <c r="F65" s="26" t="str">
        <f t="shared" si="1"/>
        <v>=</v>
      </c>
      <c r="G65" s="27" t="str">
        <f t="shared" si="2"/>
        <v/>
      </c>
      <c r="H65" s="28" t="str">
        <f t="shared" si="3"/>
        <v/>
      </c>
      <c r="I65" s="29" t="str">
        <f t="shared" si="4"/>
        <v/>
      </c>
      <c r="J65" s="29" t="str">
        <f t="shared" si="5"/>
        <v/>
      </c>
      <c r="K65" s="30" t="str">
        <f t="shared" si="6"/>
        <v/>
      </c>
      <c r="L65" s="25" t="str">
        <f t="shared" si="7"/>
        <v/>
      </c>
      <c r="M65" s="26" t="str">
        <f t="shared" si="8"/>
        <v/>
      </c>
      <c r="N65" s="27" t="str">
        <f t="shared" si="9"/>
        <v/>
      </c>
      <c r="O65" s="19" t="str">
        <f t="shared" si="10"/>
        <v/>
      </c>
      <c r="P65" s="20"/>
      <c r="Q65" s="19">
        <f t="shared" si="11"/>
        <v>1</v>
      </c>
      <c r="R65" s="20"/>
      <c r="S65" s="19"/>
      <c r="T65" s="72"/>
      <c r="U65" s="73"/>
      <c r="V65" s="72"/>
      <c r="W65" s="73"/>
      <c r="Z65" s="71"/>
      <c r="AA65" s="71"/>
    </row>
    <row r="66" spans="2:27" x14ac:dyDescent="0.2">
      <c r="B66" s="33" t="s">
        <v>94</v>
      </c>
      <c r="C66" s="34" t="s">
        <v>104</v>
      </c>
      <c r="D66" s="35">
        <v>5</v>
      </c>
      <c r="E66" s="36" t="str">
        <f t="shared" si="0"/>
        <v/>
      </c>
      <c r="F66" s="37" t="str">
        <f t="shared" si="1"/>
        <v/>
      </c>
      <c r="G66" s="38" t="str">
        <f t="shared" si="2"/>
        <v/>
      </c>
      <c r="H66" s="39" t="str">
        <f t="shared" si="3"/>
        <v/>
      </c>
      <c r="I66" s="40" t="str">
        <f t="shared" si="4"/>
        <v>=</v>
      </c>
      <c r="J66" s="40" t="str">
        <f t="shared" si="5"/>
        <v/>
      </c>
      <c r="K66" s="41" t="str">
        <f t="shared" si="6"/>
        <v/>
      </c>
      <c r="L66" s="36" t="str">
        <f t="shared" si="7"/>
        <v/>
      </c>
      <c r="M66" s="37" t="str">
        <f t="shared" si="8"/>
        <v/>
      </c>
      <c r="N66" s="38" t="str">
        <f t="shared" si="9"/>
        <v/>
      </c>
      <c r="O66" s="19" t="str">
        <f t="shared" si="10"/>
        <v/>
      </c>
      <c r="P66" s="20"/>
      <c r="Q66" s="19" t="str">
        <f t="shared" si="11"/>
        <v/>
      </c>
      <c r="R66" s="20"/>
      <c r="S66" s="19"/>
      <c r="T66" s="72"/>
      <c r="U66" s="73"/>
      <c r="V66" s="72"/>
      <c r="W66" s="73"/>
      <c r="Z66" s="71"/>
      <c r="AA66" s="71"/>
    </row>
    <row r="67" spans="2:27" x14ac:dyDescent="0.2">
      <c r="B67" s="10" t="s">
        <v>76</v>
      </c>
      <c r="C67" s="11" t="s">
        <v>24</v>
      </c>
      <c r="D67" s="12">
        <v>7</v>
      </c>
      <c r="E67" s="13" t="str">
        <f t="shared" si="0"/>
        <v/>
      </c>
      <c r="F67" s="14" t="str">
        <f t="shared" si="1"/>
        <v/>
      </c>
      <c r="G67" s="15" t="str">
        <f t="shared" si="2"/>
        <v/>
      </c>
      <c r="H67" s="16" t="str">
        <f t="shared" si="3"/>
        <v/>
      </c>
      <c r="I67" s="17" t="str">
        <f t="shared" si="4"/>
        <v/>
      </c>
      <c r="J67" s="17" t="str">
        <f t="shared" si="5"/>
        <v/>
      </c>
      <c r="K67" s="18" t="str">
        <f t="shared" si="6"/>
        <v>=</v>
      </c>
      <c r="L67" s="13" t="str">
        <f t="shared" si="7"/>
        <v/>
      </c>
      <c r="M67" s="14" t="str">
        <f t="shared" si="8"/>
        <v/>
      </c>
      <c r="N67" s="15" t="str">
        <f t="shared" si="9"/>
        <v/>
      </c>
      <c r="O67" s="19" t="str">
        <f t="shared" si="10"/>
        <v/>
      </c>
      <c r="P67" s="20" t="s">
        <v>7</v>
      </c>
      <c r="Q67" s="19" t="str">
        <f t="shared" si="11"/>
        <v/>
      </c>
      <c r="R67" s="20" t="s">
        <v>7</v>
      </c>
      <c r="S67" s="19"/>
      <c r="T67" s="72"/>
      <c r="U67" s="73"/>
      <c r="V67" s="72"/>
      <c r="W67" s="73"/>
      <c r="Z67" s="71"/>
      <c r="AA67" s="71"/>
    </row>
    <row r="68" spans="2:27" x14ac:dyDescent="0.2">
      <c r="B68" s="24" t="s">
        <v>76</v>
      </c>
      <c r="C68" s="3" t="s">
        <v>21</v>
      </c>
      <c r="D68" s="4">
        <v>1</v>
      </c>
      <c r="E68" s="25" t="str">
        <f t="shared" ref="E68:E90" si="32">IF($D68=1,"=","")</f>
        <v>=</v>
      </c>
      <c r="F68" s="26" t="str">
        <f t="shared" ref="F68:F90" si="33">IF($D68=2,"=","")</f>
        <v/>
      </c>
      <c r="G68" s="27" t="str">
        <f t="shared" ref="G68:G90" si="34">IF($D68=3,"=","")</f>
        <v/>
      </c>
      <c r="H68" s="28" t="str">
        <f t="shared" ref="H68:H90" si="35">IF($D68=4,"=","")</f>
        <v/>
      </c>
      <c r="I68" s="29" t="str">
        <f t="shared" ref="I68:I90" si="36">IF($D68=5,"=","")</f>
        <v/>
      </c>
      <c r="J68" s="29" t="str">
        <f t="shared" ref="J68:J90" si="37">IF($D68=6,"=","")</f>
        <v/>
      </c>
      <c r="K68" s="30" t="str">
        <f t="shared" ref="K68:K90" si="38">IF($D68=7,"=","")</f>
        <v/>
      </c>
      <c r="L68" s="25" t="str">
        <f t="shared" ref="L68:L90" si="39">IF($D68=8,"=","")</f>
        <v/>
      </c>
      <c r="M68" s="26" t="str">
        <f t="shared" ref="M68:M90" si="40">IF($D68=9,"=","")</f>
        <v/>
      </c>
      <c r="N68" s="27" t="str">
        <f t="shared" ref="N68:N90" si="41">IF($D68=10,"=","")</f>
        <v/>
      </c>
      <c r="O68" s="19" t="str">
        <f t="shared" ref="O68:O90" si="42">IF(L68="=",1,IF(M68="=",1,IF(N68="=",1,"")))</f>
        <v/>
      </c>
      <c r="P68" s="20"/>
      <c r="Q68" s="19">
        <f t="shared" ref="Q68:Q90" si="43">IF(E68="=",1,IF(F68="=",1,IF(G68="=",1,"")))</f>
        <v>1</v>
      </c>
      <c r="R68" s="20"/>
      <c r="S68" s="19"/>
      <c r="T68" s="72"/>
      <c r="U68" s="73"/>
      <c r="V68" s="72"/>
      <c r="W68" s="73"/>
      <c r="Z68" s="71"/>
      <c r="AA68" s="71"/>
    </row>
    <row r="69" spans="2:27" x14ac:dyDescent="0.2">
      <c r="B69" s="33" t="s">
        <v>76</v>
      </c>
      <c r="C69" s="34" t="s">
        <v>96</v>
      </c>
      <c r="D69" s="35">
        <v>9</v>
      </c>
      <c r="E69" s="36" t="str">
        <f t="shared" si="32"/>
        <v/>
      </c>
      <c r="F69" s="37" t="str">
        <f t="shared" si="33"/>
        <v/>
      </c>
      <c r="G69" s="38" t="str">
        <f t="shared" si="34"/>
        <v/>
      </c>
      <c r="H69" s="39" t="str">
        <f t="shared" si="35"/>
        <v/>
      </c>
      <c r="I69" s="40" t="str">
        <f t="shared" si="36"/>
        <v/>
      </c>
      <c r="J69" s="40" t="str">
        <f t="shared" si="37"/>
        <v/>
      </c>
      <c r="K69" s="41" t="str">
        <f t="shared" si="38"/>
        <v/>
      </c>
      <c r="L69" s="36" t="str">
        <f t="shared" si="39"/>
        <v/>
      </c>
      <c r="M69" s="37" t="str">
        <f t="shared" si="40"/>
        <v>=</v>
      </c>
      <c r="N69" s="38" t="str">
        <f t="shared" si="41"/>
        <v/>
      </c>
      <c r="O69" s="19">
        <f t="shared" si="42"/>
        <v>1</v>
      </c>
      <c r="P69" s="20"/>
      <c r="Q69" s="19" t="str">
        <f t="shared" si="43"/>
        <v/>
      </c>
      <c r="R69" s="20"/>
      <c r="S69" s="19"/>
      <c r="T69" s="72"/>
      <c r="U69" s="73"/>
      <c r="V69" s="72"/>
      <c r="W69" s="73"/>
      <c r="Z69" s="71"/>
      <c r="AA69" s="71"/>
    </row>
    <row r="70" spans="2:27" x14ac:dyDescent="0.2">
      <c r="B70" s="10" t="s">
        <v>110</v>
      </c>
      <c r="C70" s="11" t="s">
        <v>32</v>
      </c>
      <c r="D70" s="12">
        <v>4</v>
      </c>
      <c r="E70" s="13" t="str">
        <f t="shared" si="32"/>
        <v/>
      </c>
      <c r="F70" s="14" t="str">
        <f t="shared" si="33"/>
        <v/>
      </c>
      <c r="G70" s="15" t="str">
        <f t="shared" si="34"/>
        <v/>
      </c>
      <c r="H70" s="16" t="str">
        <f t="shared" si="35"/>
        <v>=</v>
      </c>
      <c r="I70" s="17" t="str">
        <f t="shared" si="36"/>
        <v/>
      </c>
      <c r="J70" s="17" t="str">
        <f t="shared" si="37"/>
        <v/>
      </c>
      <c r="K70" s="18" t="str">
        <f t="shared" si="38"/>
        <v/>
      </c>
      <c r="L70" s="13" t="str">
        <f t="shared" si="39"/>
        <v/>
      </c>
      <c r="M70" s="14" t="str">
        <f t="shared" si="40"/>
        <v/>
      </c>
      <c r="N70" s="15" t="str">
        <f t="shared" si="41"/>
        <v/>
      </c>
      <c r="O70" s="19" t="str">
        <f t="shared" si="42"/>
        <v/>
      </c>
      <c r="P70" s="20" t="s">
        <v>7</v>
      </c>
      <c r="Q70" s="19" t="str">
        <f t="shared" si="43"/>
        <v/>
      </c>
      <c r="R70" s="20" t="s">
        <v>7</v>
      </c>
      <c r="S70" s="19"/>
      <c r="T70" s="72"/>
      <c r="U70" s="73"/>
      <c r="V70" s="72"/>
      <c r="W70" s="73"/>
      <c r="Z70" s="71"/>
      <c r="AA70" s="71"/>
    </row>
    <row r="71" spans="2:27" x14ac:dyDescent="0.2">
      <c r="B71" s="24" t="s">
        <v>110</v>
      </c>
      <c r="C71" s="3" t="s">
        <v>44</v>
      </c>
      <c r="D71" s="4">
        <v>1</v>
      </c>
      <c r="E71" s="25" t="str">
        <f t="shared" si="32"/>
        <v>=</v>
      </c>
      <c r="F71" s="26" t="str">
        <f t="shared" si="33"/>
        <v/>
      </c>
      <c r="G71" s="27" t="str">
        <f t="shared" si="34"/>
        <v/>
      </c>
      <c r="H71" s="28" t="str">
        <f t="shared" si="35"/>
        <v/>
      </c>
      <c r="I71" s="29" t="str">
        <f t="shared" si="36"/>
        <v/>
      </c>
      <c r="J71" s="29" t="str">
        <f t="shared" si="37"/>
        <v/>
      </c>
      <c r="K71" s="30" t="str">
        <f t="shared" si="38"/>
        <v/>
      </c>
      <c r="L71" s="25" t="str">
        <f t="shared" si="39"/>
        <v/>
      </c>
      <c r="M71" s="26" t="str">
        <f t="shared" si="40"/>
        <v/>
      </c>
      <c r="N71" s="27" t="str">
        <f t="shared" si="41"/>
        <v/>
      </c>
      <c r="O71" s="19" t="str">
        <f t="shared" si="42"/>
        <v/>
      </c>
      <c r="P71" s="20"/>
      <c r="Q71" s="19">
        <f t="shared" si="43"/>
        <v>1</v>
      </c>
      <c r="R71" s="20"/>
      <c r="S71" s="19"/>
      <c r="T71" s="72"/>
      <c r="U71" s="73"/>
      <c r="V71" s="72"/>
      <c r="W71" s="73"/>
      <c r="Z71" s="71"/>
      <c r="AA71" s="71"/>
    </row>
    <row r="72" spans="2:27" x14ac:dyDescent="0.2">
      <c r="B72" s="33" t="s">
        <v>110</v>
      </c>
      <c r="C72" s="34" t="s">
        <v>40</v>
      </c>
      <c r="D72" s="35">
        <v>9</v>
      </c>
      <c r="E72" s="36" t="str">
        <f t="shared" si="32"/>
        <v/>
      </c>
      <c r="F72" s="37" t="str">
        <f t="shared" si="33"/>
        <v/>
      </c>
      <c r="G72" s="38" t="str">
        <f t="shared" si="34"/>
        <v/>
      </c>
      <c r="H72" s="39" t="str">
        <f t="shared" si="35"/>
        <v/>
      </c>
      <c r="I72" s="40" t="str">
        <f t="shared" si="36"/>
        <v/>
      </c>
      <c r="J72" s="40" t="str">
        <f t="shared" si="37"/>
        <v/>
      </c>
      <c r="K72" s="41" t="str">
        <f t="shared" si="38"/>
        <v/>
      </c>
      <c r="L72" s="36" t="str">
        <f t="shared" si="39"/>
        <v/>
      </c>
      <c r="M72" s="37" t="str">
        <f t="shared" si="40"/>
        <v>=</v>
      </c>
      <c r="N72" s="38" t="str">
        <f t="shared" si="41"/>
        <v/>
      </c>
      <c r="O72" s="19">
        <f t="shared" si="42"/>
        <v>1</v>
      </c>
      <c r="P72" s="20"/>
      <c r="Q72" s="19" t="str">
        <f t="shared" si="43"/>
        <v/>
      </c>
      <c r="R72" s="20"/>
      <c r="S72" s="19"/>
      <c r="T72" s="72"/>
      <c r="U72" s="73"/>
      <c r="V72" s="72"/>
      <c r="W72" s="73"/>
      <c r="Z72" s="71"/>
      <c r="AA72" s="71"/>
    </row>
    <row r="73" spans="2:27" x14ac:dyDescent="0.2">
      <c r="B73" s="10" t="s">
        <v>59</v>
      </c>
      <c r="C73" s="11" t="s">
        <v>30</v>
      </c>
      <c r="D73" s="12">
        <v>9</v>
      </c>
      <c r="E73" s="13" t="str">
        <f t="shared" si="32"/>
        <v/>
      </c>
      <c r="F73" s="14" t="str">
        <f t="shared" si="33"/>
        <v/>
      </c>
      <c r="G73" s="15" t="str">
        <f t="shared" si="34"/>
        <v/>
      </c>
      <c r="H73" s="16" t="str">
        <f t="shared" si="35"/>
        <v/>
      </c>
      <c r="I73" s="17" t="str">
        <f t="shared" si="36"/>
        <v/>
      </c>
      <c r="J73" s="17" t="str">
        <f t="shared" si="37"/>
        <v/>
      </c>
      <c r="K73" s="18" t="str">
        <f t="shared" si="38"/>
        <v/>
      </c>
      <c r="L73" s="13" t="str">
        <f t="shared" si="39"/>
        <v/>
      </c>
      <c r="M73" s="14" t="str">
        <f t="shared" si="40"/>
        <v>=</v>
      </c>
      <c r="N73" s="15" t="str">
        <f t="shared" si="41"/>
        <v/>
      </c>
      <c r="O73" s="19">
        <f t="shared" si="42"/>
        <v>1</v>
      </c>
      <c r="P73" s="20" t="s">
        <v>16</v>
      </c>
      <c r="Q73" s="19" t="str">
        <f t="shared" si="43"/>
        <v/>
      </c>
      <c r="R73" s="20" t="s">
        <v>7</v>
      </c>
      <c r="S73" s="19"/>
      <c r="T73" s="72"/>
      <c r="U73" s="73"/>
      <c r="V73" s="72"/>
      <c r="W73" s="73"/>
      <c r="Z73" s="71"/>
      <c r="AA73" s="71"/>
    </row>
    <row r="74" spans="2:27" x14ac:dyDescent="0.2">
      <c r="B74" s="24" t="s">
        <v>59</v>
      </c>
      <c r="C74" s="3" t="s">
        <v>116</v>
      </c>
      <c r="D74" s="4">
        <v>9</v>
      </c>
      <c r="E74" s="25" t="str">
        <f t="shared" si="32"/>
        <v/>
      </c>
      <c r="F74" s="26" t="str">
        <f t="shared" si="33"/>
        <v/>
      </c>
      <c r="G74" s="27" t="str">
        <f t="shared" si="34"/>
        <v/>
      </c>
      <c r="H74" s="28" t="str">
        <f t="shared" si="35"/>
        <v/>
      </c>
      <c r="I74" s="29" t="str">
        <f t="shared" si="36"/>
        <v/>
      </c>
      <c r="J74" s="29" t="str">
        <f t="shared" si="37"/>
        <v/>
      </c>
      <c r="K74" s="30" t="str">
        <f t="shared" si="38"/>
        <v/>
      </c>
      <c r="L74" s="25" t="str">
        <f t="shared" si="39"/>
        <v/>
      </c>
      <c r="M74" s="26" t="str">
        <f t="shared" si="40"/>
        <v>=</v>
      </c>
      <c r="N74" s="27" t="str">
        <f t="shared" si="41"/>
        <v/>
      </c>
      <c r="O74" s="19">
        <f t="shared" si="42"/>
        <v>1</v>
      </c>
      <c r="P74" s="20"/>
      <c r="Q74" s="19" t="str">
        <f t="shared" si="43"/>
        <v/>
      </c>
      <c r="R74" s="20"/>
      <c r="S74" s="19"/>
      <c r="T74" s="69" t="s">
        <v>117</v>
      </c>
      <c r="U74" s="70">
        <f>COUNTA(U75:U84)</f>
        <v>6</v>
      </c>
      <c r="V74" s="69" t="s">
        <v>118</v>
      </c>
      <c r="W74" s="70">
        <f>COUNTA(W75:W84)</f>
        <v>4</v>
      </c>
      <c r="X74">
        <f>SUM(U63,W63,U74,W74)</f>
        <v>11</v>
      </c>
      <c r="Z74" s="55" t="s">
        <v>119</v>
      </c>
      <c r="AA74" s="55" t="s">
        <v>120</v>
      </c>
    </row>
    <row r="75" spans="2:27" x14ac:dyDescent="0.2">
      <c r="B75" s="33" t="s">
        <v>59</v>
      </c>
      <c r="C75" s="34" t="s">
        <v>52</v>
      </c>
      <c r="D75" s="35">
        <v>3</v>
      </c>
      <c r="E75" s="36" t="str">
        <f t="shared" si="32"/>
        <v/>
      </c>
      <c r="F75" s="37" t="str">
        <f t="shared" si="33"/>
        <v/>
      </c>
      <c r="G75" s="38" t="str">
        <f t="shared" si="34"/>
        <v>=</v>
      </c>
      <c r="H75" s="39" t="str">
        <f t="shared" si="35"/>
        <v/>
      </c>
      <c r="I75" s="40" t="str">
        <f t="shared" si="36"/>
        <v/>
      </c>
      <c r="J75" s="40" t="str">
        <f t="shared" si="37"/>
        <v/>
      </c>
      <c r="K75" s="41" t="str">
        <f t="shared" si="38"/>
        <v/>
      </c>
      <c r="L75" s="36" t="str">
        <f t="shared" si="39"/>
        <v/>
      </c>
      <c r="M75" s="37" t="str">
        <f t="shared" si="40"/>
        <v/>
      </c>
      <c r="N75" s="38" t="str">
        <f t="shared" si="41"/>
        <v/>
      </c>
      <c r="O75" s="19" t="str">
        <f t="shared" si="42"/>
        <v/>
      </c>
      <c r="P75" s="20"/>
      <c r="Q75" s="19">
        <f t="shared" si="43"/>
        <v>1</v>
      </c>
      <c r="R75" s="20"/>
      <c r="S75" s="19"/>
      <c r="T75" s="75" t="s">
        <v>14</v>
      </c>
      <c r="U75" s="76">
        <f t="shared" ref="U75:U80" si="44">VLOOKUP(T75,$V$26:$W$61,2,0)</f>
        <v>7</v>
      </c>
      <c r="V75" s="75" t="s">
        <v>47</v>
      </c>
      <c r="W75" s="76">
        <f>VLOOKUP(V75,$V$26:$W$61,2,0)</f>
        <v>2</v>
      </c>
      <c r="Z75" s="71">
        <v>13.666666666666666</v>
      </c>
      <c r="AA75" s="71">
        <v>11</v>
      </c>
    </row>
    <row r="76" spans="2:27" x14ac:dyDescent="0.2">
      <c r="B76" s="10" t="s">
        <v>84</v>
      </c>
      <c r="C76" s="11" t="s">
        <v>48</v>
      </c>
      <c r="D76" s="12">
        <v>7</v>
      </c>
      <c r="E76" s="13" t="str">
        <f t="shared" si="32"/>
        <v/>
      </c>
      <c r="F76" s="14" t="str">
        <f t="shared" si="33"/>
        <v/>
      </c>
      <c r="G76" s="15" t="str">
        <f t="shared" si="34"/>
        <v/>
      </c>
      <c r="H76" s="16" t="str">
        <f t="shared" si="35"/>
        <v/>
      </c>
      <c r="I76" s="17" t="str">
        <f t="shared" si="36"/>
        <v/>
      </c>
      <c r="J76" s="17" t="str">
        <f t="shared" si="37"/>
        <v/>
      </c>
      <c r="K76" s="18" t="str">
        <f t="shared" si="38"/>
        <v>=</v>
      </c>
      <c r="L76" s="13" t="str">
        <f t="shared" si="39"/>
        <v/>
      </c>
      <c r="M76" s="14" t="str">
        <f t="shared" si="40"/>
        <v/>
      </c>
      <c r="N76" s="15" t="str">
        <f t="shared" si="41"/>
        <v/>
      </c>
      <c r="O76" s="19" t="str">
        <f t="shared" si="42"/>
        <v/>
      </c>
      <c r="P76" s="20" t="s">
        <v>16</v>
      </c>
      <c r="Q76" s="19" t="str">
        <f t="shared" si="43"/>
        <v/>
      </c>
      <c r="R76" s="20" t="s">
        <v>7</v>
      </c>
      <c r="S76" s="19"/>
      <c r="T76" s="72" t="s">
        <v>89</v>
      </c>
      <c r="U76" s="74">
        <f t="shared" si="44"/>
        <v>8</v>
      </c>
      <c r="V76" s="72" t="s">
        <v>86</v>
      </c>
      <c r="W76" s="74">
        <f>VLOOKUP(V76,$V$26:$W$61,2,0)</f>
        <v>4</v>
      </c>
      <c r="Z76" s="71">
        <v>13</v>
      </c>
      <c r="AA76" s="71">
        <v>8.3333333333333339</v>
      </c>
    </row>
    <row r="77" spans="2:27" x14ac:dyDescent="0.2">
      <c r="B77" s="24" t="s">
        <v>84</v>
      </c>
      <c r="C77" s="3" t="s">
        <v>20</v>
      </c>
      <c r="D77" s="4">
        <v>10</v>
      </c>
      <c r="E77" s="25" t="str">
        <f t="shared" si="32"/>
        <v/>
      </c>
      <c r="F77" s="26" t="str">
        <f t="shared" si="33"/>
        <v/>
      </c>
      <c r="G77" s="27" t="str">
        <f t="shared" si="34"/>
        <v/>
      </c>
      <c r="H77" s="28" t="str">
        <f t="shared" si="35"/>
        <v/>
      </c>
      <c r="I77" s="29" t="str">
        <f t="shared" si="36"/>
        <v/>
      </c>
      <c r="J77" s="29" t="str">
        <f t="shared" si="37"/>
        <v/>
      </c>
      <c r="K77" s="30" t="str">
        <f t="shared" si="38"/>
        <v/>
      </c>
      <c r="L77" s="25" t="str">
        <f t="shared" si="39"/>
        <v/>
      </c>
      <c r="M77" s="26" t="str">
        <f t="shared" si="40"/>
        <v/>
      </c>
      <c r="N77" s="27" t="str">
        <f t="shared" si="41"/>
        <v>=</v>
      </c>
      <c r="O77" s="19">
        <f t="shared" si="42"/>
        <v>1</v>
      </c>
      <c r="P77" s="20"/>
      <c r="Q77" s="19" t="str">
        <f t="shared" si="43"/>
        <v/>
      </c>
      <c r="R77" s="20"/>
      <c r="S77" s="19"/>
      <c r="T77" s="72" t="s">
        <v>92</v>
      </c>
      <c r="U77" s="74">
        <f t="shared" si="44"/>
        <v>8</v>
      </c>
      <c r="V77" s="72" t="s">
        <v>101</v>
      </c>
      <c r="W77" s="74">
        <f>VLOOKUP(V77,$V$26:$W$61,2,0)</f>
        <v>4</v>
      </c>
      <c r="Z77" s="71">
        <v>11.666666666666666</v>
      </c>
      <c r="AA77" s="71">
        <v>8</v>
      </c>
    </row>
    <row r="78" spans="2:27" x14ac:dyDescent="0.2">
      <c r="B78" s="33" t="s">
        <v>84</v>
      </c>
      <c r="C78" s="34" t="s">
        <v>17</v>
      </c>
      <c r="D78" s="35">
        <v>8</v>
      </c>
      <c r="E78" s="36" t="str">
        <f t="shared" si="32"/>
        <v/>
      </c>
      <c r="F78" s="37" t="str">
        <f t="shared" si="33"/>
        <v/>
      </c>
      <c r="G78" s="38" t="str">
        <f t="shared" si="34"/>
        <v/>
      </c>
      <c r="H78" s="39" t="str">
        <f t="shared" si="35"/>
        <v/>
      </c>
      <c r="I78" s="40" t="str">
        <f t="shared" si="36"/>
        <v/>
      </c>
      <c r="J78" s="40" t="str">
        <f t="shared" si="37"/>
        <v/>
      </c>
      <c r="K78" s="41" t="str">
        <f t="shared" si="38"/>
        <v/>
      </c>
      <c r="L78" s="36" t="str">
        <f t="shared" si="39"/>
        <v>=</v>
      </c>
      <c r="M78" s="37" t="str">
        <f t="shared" si="40"/>
        <v/>
      </c>
      <c r="N78" s="38" t="str">
        <f t="shared" si="41"/>
        <v/>
      </c>
      <c r="O78" s="19">
        <f t="shared" si="42"/>
        <v>1</v>
      </c>
      <c r="P78" s="20"/>
      <c r="Q78" s="19" t="str">
        <f t="shared" si="43"/>
        <v/>
      </c>
      <c r="R78" s="20"/>
      <c r="S78" s="19"/>
      <c r="T78" s="72" t="s">
        <v>72</v>
      </c>
      <c r="U78" s="74">
        <f t="shared" si="44"/>
        <v>9</v>
      </c>
      <c r="V78" s="72" t="s">
        <v>97</v>
      </c>
      <c r="W78" s="74">
        <f>VLOOKUP(V78,$V$26:$W$61,2,0)</f>
        <v>2</v>
      </c>
      <c r="Z78" s="71">
        <v>12.666666666666666</v>
      </c>
      <c r="AA78" s="71">
        <v>9.3333333333333339</v>
      </c>
    </row>
    <row r="79" spans="2:27" x14ac:dyDescent="0.2">
      <c r="B79" s="10" t="s">
        <v>74</v>
      </c>
      <c r="C79" s="11" t="s">
        <v>43</v>
      </c>
      <c r="D79" s="12">
        <v>8</v>
      </c>
      <c r="E79" s="13" t="str">
        <f t="shared" si="32"/>
        <v/>
      </c>
      <c r="F79" s="14" t="str">
        <f t="shared" si="33"/>
        <v/>
      </c>
      <c r="G79" s="15" t="str">
        <f t="shared" si="34"/>
        <v/>
      </c>
      <c r="H79" s="16" t="str">
        <f t="shared" si="35"/>
        <v/>
      </c>
      <c r="I79" s="17" t="str">
        <f t="shared" si="36"/>
        <v/>
      </c>
      <c r="J79" s="17" t="str">
        <f t="shared" si="37"/>
        <v/>
      </c>
      <c r="K79" s="18" t="str">
        <f t="shared" si="38"/>
        <v/>
      </c>
      <c r="L79" s="13" t="str">
        <f t="shared" si="39"/>
        <v>=</v>
      </c>
      <c r="M79" s="14" t="str">
        <f t="shared" si="40"/>
        <v/>
      </c>
      <c r="N79" s="15" t="str">
        <f t="shared" si="41"/>
        <v/>
      </c>
      <c r="O79" s="19">
        <f t="shared" si="42"/>
        <v>1</v>
      </c>
      <c r="P79" s="20" t="s">
        <v>7</v>
      </c>
      <c r="Q79" s="19" t="str">
        <f t="shared" si="43"/>
        <v/>
      </c>
      <c r="R79" s="20" t="s">
        <v>7</v>
      </c>
      <c r="S79" s="19"/>
      <c r="T79" s="72" t="s">
        <v>59</v>
      </c>
      <c r="U79" s="74">
        <f t="shared" si="44"/>
        <v>8</v>
      </c>
      <c r="V79" s="72"/>
      <c r="W79" s="74"/>
      <c r="Z79" s="71">
        <v>12.666666666666666</v>
      </c>
      <c r="AA79" s="71"/>
    </row>
    <row r="80" spans="2:27" x14ac:dyDescent="0.2">
      <c r="B80" s="24" t="s">
        <v>74</v>
      </c>
      <c r="C80" s="3" t="s">
        <v>121</v>
      </c>
      <c r="D80" s="4">
        <v>4</v>
      </c>
      <c r="E80" s="25" t="str">
        <f t="shared" si="32"/>
        <v/>
      </c>
      <c r="F80" s="26" t="str">
        <f t="shared" si="33"/>
        <v/>
      </c>
      <c r="G80" s="27" t="str">
        <f t="shared" si="34"/>
        <v/>
      </c>
      <c r="H80" s="28" t="str">
        <f t="shared" si="35"/>
        <v>=</v>
      </c>
      <c r="I80" s="29" t="str">
        <f t="shared" si="36"/>
        <v/>
      </c>
      <c r="J80" s="29" t="str">
        <f t="shared" si="37"/>
        <v/>
      </c>
      <c r="K80" s="30" t="str">
        <f t="shared" si="38"/>
        <v/>
      </c>
      <c r="L80" s="25" t="str">
        <f t="shared" si="39"/>
        <v/>
      </c>
      <c r="M80" s="26" t="str">
        <f t="shared" si="40"/>
        <v/>
      </c>
      <c r="N80" s="27" t="str">
        <f t="shared" si="41"/>
        <v/>
      </c>
      <c r="O80" s="19" t="str">
        <f t="shared" si="42"/>
        <v/>
      </c>
      <c r="P80" s="20"/>
      <c r="Q80" s="19" t="str">
        <f t="shared" si="43"/>
        <v/>
      </c>
      <c r="R80" s="20"/>
      <c r="S80" s="19"/>
      <c r="T80" s="72" t="s">
        <v>84</v>
      </c>
      <c r="U80" s="74">
        <f t="shared" si="44"/>
        <v>10</v>
      </c>
      <c r="V80" s="72"/>
      <c r="W80" s="74"/>
      <c r="Z80" s="71">
        <v>15.666666666666666</v>
      </c>
      <c r="AA80" s="71"/>
    </row>
    <row r="81" spans="2:27" x14ac:dyDescent="0.2">
      <c r="B81" s="33" t="s">
        <v>74</v>
      </c>
      <c r="C81" s="34" t="s">
        <v>9</v>
      </c>
      <c r="D81" s="35">
        <v>6</v>
      </c>
      <c r="E81" s="36" t="str">
        <f t="shared" si="32"/>
        <v/>
      </c>
      <c r="F81" s="37" t="str">
        <f t="shared" si="33"/>
        <v/>
      </c>
      <c r="G81" s="38" t="str">
        <f t="shared" si="34"/>
        <v/>
      </c>
      <c r="H81" s="39" t="str">
        <f t="shared" si="35"/>
        <v/>
      </c>
      <c r="I81" s="40" t="str">
        <f t="shared" si="36"/>
        <v/>
      </c>
      <c r="J81" s="40" t="str">
        <f t="shared" si="37"/>
        <v>=</v>
      </c>
      <c r="K81" s="41" t="str">
        <f t="shared" si="38"/>
        <v/>
      </c>
      <c r="L81" s="36" t="str">
        <f t="shared" si="39"/>
        <v/>
      </c>
      <c r="M81" s="37" t="str">
        <f t="shared" si="40"/>
        <v/>
      </c>
      <c r="N81" s="38" t="str">
        <f t="shared" si="41"/>
        <v/>
      </c>
      <c r="O81" s="19" t="str">
        <f t="shared" si="42"/>
        <v/>
      </c>
      <c r="P81" s="20"/>
      <c r="Q81" s="19" t="str">
        <f t="shared" si="43"/>
        <v/>
      </c>
      <c r="R81" s="20"/>
      <c r="S81" s="19"/>
      <c r="T81" s="72"/>
      <c r="U81" s="74"/>
      <c r="V81" s="72"/>
      <c r="W81" s="74"/>
      <c r="Z81" s="71"/>
      <c r="AA81" s="71"/>
    </row>
    <row r="82" spans="2:27" x14ac:dyDescent="0.2">
      <c r="B82" s="10" t="s">
        <v>83</v>
      </c>
      <c r="C82" s="11" t="s">
        <v>36</v>
      </c>
      <c r="D82" s="12">
        <v>6</v>
      </c>
      <c r="E82" s="13" t="str">
        <f t="shared" si="32"/>
        <v/>
      </c>
      <c r="F82" s="14" t="str">
        <f t="shared" si="33"/>
        <v/>
      </c>
      <c r="G82" s="15" t="str">
        <f t="shared" si="34"/>
        <v/>
      </c>
      <c r="H82" s="16" t="str">
        <f t="shared" si="35"/>
        <v/>
      </c>
      <c r="I82" s="17" t="str">
        <f t="shared" si="36"/>
        <v/>
      </c>
      <c r="J82" s="17" t="str">
        <f t="shared" si="37"/>
        <v>=</v>
      </c>
      <c r="K82" s="18" t="str">
        <f t="shared" si="38"/>
        <v/>
      </c>
      <c r="L82" s="13" t="str">
        <f t="shared" si="39"/>
        <v/>
      </c>
      <c r="M82" s="14" t="str">
        <f t="shared" si="40"/>
        <v/>
      </c>
      <c r="N82" s="15" t="str">
        <f t="shared" si="41"/>
        <v/>
      </c>
      <c r="O82" s="19" t="str">
        <f t="shared" si="42"/>
        <v/>
      </c>
      <c r="P82" s="20" t="s">
        <v>7</v>
      </c>
      <c r="Q82" s="19" t="str">
        <f t="shared" si="43"/>
        <v/>
      </c>
      <c r="R82" s="20" t="s">
        <v>7</v>
      </c>
      <c r="S82" s="19"/>
      <c r="T82" s="72"/>
      <c r="U82" s="74"/>
      <c r="V82" s="72"/>
      <c r="W82" s="74"/>
      <c r="Z82" s="71"/>
      <c r="AA82" s="71"/>
    </row>
    <row r="83" spans="2:27" x14ac:dyDescent="0.2">
      <c r="B83" s="24" t="s">
        <v>83</v>
      </c>
      <c r="C83" s="3" t="s">
        <v>31</v>
      </c>
      <c r="D83" s="4">
        <v>2</v>
      </c>
      <c r="E83" s="25" t="str">
        <f t="shared" si="32"/>
        <v/>
      </c>
      <c r="F83" s="26" t="str">
        <f t="shared" si="33"/>
        <v>=</v>
      </c>
      <c r="G83" s="27" t="str">
        <f t="shared" si="34"/>
        <v/>
      </c>
      <c r="H83" s="28" t="str">
        <f t="shared" si="35"/>
        <v/>
      </c>
      <c r="I83" s="29" t="str">
        <f t="shared" si="36"/>
        <v/>
      </c>
      <c r="J83" s="29" t="str">
        <f t="shared" si="37"/>
        <v/>
      </c>
      <c r="K83" s="30" t="str">
        <f t="shared" si="38"/>
        <v/>
      </c>
      <c r="L83" s="25" t="str">
        <f t="shared" si="39"/>
        <v/>
      </c>
      <c r="M83" s="26" t="str">
        <f t="shared" si="40"/>
        <v/>
      </c>
      <c r="N83" s="27" t="str">
        <f t="shared" si="41"/>
        <v/>
      </c>
      <c r="O83" s="19" t="str">
        <f t="shared" si="42"/>
        <v/>
      </c>
      <c r="P83" s="20"/>
      <c r="Q83" s="19">
        <f t="shared" si="43"/>
        <v>1</v>
      </c>
      <c r="R83" s="20"/>
      <c r="S83" s="19"/>
      <c r="T83" s="72"/>
      <c r="U83" s="73"/>
      <c r="V83" s="72"/>
      <c r="W83" s="74"/>
      <c r="Z83" s="71"/>
      <c r="AA83" s="71"/>
    </row>
    <row r="84" spans="2:27" x14ac:dyDescent="0.2">
      <c r="B84" s="33" t="s">
        <v>83</v>
      </c>
      <c r="C84" s="34" t="s">
        <v>122</v>
      </c>
      <c r="D84" s="35">
        <v>9</v>
      </c>
      <c r="E84" s="36" t="str">
        <f t="shared" si="32"/>
        <v/>
      </c>
      <c r="F84" s="37" t="str">
        <f t="shared" si="33"/>
        <v/>
      </c>
      <c r="G84" s="38" t="str">
        <f t="shared" si="34"/>
        <v/>
      </c>
      <c r="H84" s="39" t="str">
        <f t="shared" si="35"/>
        <v/>
      </c>
      <c r="I84" s="40" t="str">
        <f t="shared" si="36"/>
        <v/>
      </c>
      <c r="J84" s="40" t="str">
        <f t="shared" si="37"/>
        <v/>
      </c>
      <c r="K84" s="41" t="str">
        <f t="shared" si="38"/>
        <v/>
      </c>
      <c r="L84" s="36" t="str">
        <f t="shared" si="39"/>
        <v/>
      </c>
      <c r="M84" s="37" t="str">
        <f t="shared" si="40"/>
        <v>=</v>
      </c>
      <c r="N84" s="38" t="str">
        <f t="shared" si="41"/>
        <v/>
      </c>
      <c r="O84" s="19">
        <f t="shared" si="42"/>
        <v>1</v>
      </c>
      <c r="P84" s="20"/>
      <c r="Q84" s="19" t="str">
        <f t="shared" si="43"/>
        <v/>
      </c>
      <c r="R84" s="20"/>
      <c r="S84" s="19"/>
      <c r="T84" s="72"/>
      <c r="U84" s="73"/>
      <c r="V84" s="72"/>
      <c r="W84" s="74"/>
      <c r="Z84" s="71"/>
      <c r="AA84" s="71"/>
    </row>
    <row r="85" spans="2:27" x14ac:dyDescent="0.2">
      <c r="B85" s="10" t="s">
        <v>97</v>
      </c>
      <c r="C85" s="11" t="s">
        <v>18</v>
      </c>
      <c r="D85" s="12">
        <v>2</v>
      </c>
      <c r="E85" s="13" t="str">
        <f t="shared" si="32"/>
        <v/>
      </c>
      <c r="F85" s="14" t="str">
        <f t="shared" si="33"/>
        <v>=</v>
      </c>
      <c r="G85" s="15" t="str">
        <f t="shared" si="34"/>
        <v/>
      </c>
      <c r="H85" s="16" t="str">
        <f t="shared" si="35"/>
        <v/>
      </c>
      <c r="I85" s="17" t="str">
        <f t="shared" si="36"/>
        <v/>
      </c>
      <c r="J85" s="17" t="str">
        <f t="shared" si="37"/>
        <v/>
      </c>
      <c r="K85" s="18" t="str">
        <f t="shared" si="38"/>
        <v/>
      </c>
      <c r="L85" s="13" t="str">
        <f t="shared" si="39"/>
        <v/>
      </c>
      <c r="M85" s="14" t="str">
        <f t="shared" si="40"/>
        <v/>
      </c>
      <c r="N85" s="15" t="str">
        <f t="shared" si="41"/>
        <v/>
      </c>
      <c r="O85" s="19" t="str">
        <f t="shared" si="42"/>
        <v/>
      </c>
      <c r="P85" s="20" t="s">
        <v>7</v>
      </c>
      <c r="Q85" s="19">
        <f t="shared" si="43"/>
        <v>1</v>
      </c>
      <c r="R85" s="20" t="s">
        <v>16</v>
      </c>
      <c r="S85" s="19"/>
      <c r="T85" s="72"/>
      <c r="U85" s="73"/>
      <c r="V85" s="72"/>
      <c r="W85" s="73"/>
      <c r="Z85" s="71"/>
      <c r="AA85" s="71"/>
    </row>
    <row r="86" spans="2:27" x14ac:dyDescent="0.2">
      <c r="B86" s="24" t="s">
        <v>97</v>
      </c>
      <c r="C86" s="3" t="s">
        <v>11</v>
      </c>
      <c r="D86" s="4">
        <v>5</v>
      </c>
      <c r="E86" s="25" t="str">
        <f t="shared" si="32"/>
        <v/>
      </c>
      <c r="F86" s="26" t="str">
        <f t="shared" si="33"/>
        <v/>
      </c>
      <c r="G86" s="27" t="str">
        <f t="shared" si="34"/>
        <v/>
      </c>
      <c r="H86" s="28" t="str">
        <f t="shared" si="35"/>
        <v/>
      </c>
      <c r="I86" s="29" t="str">
        <f t="shared" si="36"/>
        <v>=</v>
      </c>
      <c r="J86" s="29" t="str">
        <f t="shared" si="37"/>
        <v/>
      </c>
      <c r="K86" s="30" t="str">
        <f t="shared" si="38"/>
        <v/>
      </c>
      <c r="L86" s="25" t="str">
        <f t="shared" si="39"/>
        <v/>
      </c>
      <c r="M86" s="26" t="str">
        <f t="shared" si="40"/>
        <v/>
      </c>
      <c r="N86" s="27" t="str">
        <f t="shared" si="41"/>
        <v/>
      </c>
      <c r="O86" s="19" t="str">
        <f t="shared" si="42"/>
        <v/>
      </c>
      <c r="P86" s="20"/>
      <c r="Q86" s="19" t="str">
        <f t="shared" si="43"/>
        <v/>
      </c>
      <c r="R86" s="20"/>
      <c r="S86" s="19"/>
      <c r="T86" s="77"/>
      <c r="U86" s="78"/>
      <c r="V86" s="77"/>
      <c r="W86" s="78"/>
      <c r="Z86" s="71"/>
      <c r="AA86" s="71"/>
    </row>
    <row r="87" spans="2:27" x14ac:dyDescent="0.2">
      <c r="B87" s="33" t="s">
        <v>97</v>
      </c>
      <c r="C87" s="34" t="s">
        <v>98</v>
      </c>
      <c r="D87" s="35">
        <v>2</v>
      </c>
      <c r="E87" s="36" t="str">
        <f t="shared" si="32"/>
        <v/>
      </c>
      <c r="F87" s="37" t="str">
        <f t="shared" si="33"/>
        <v>=</v>
      </c>
      <c r="G87" s="38" t="str">
        <f t="shared" si="34"/>
        <v/>
      </c>
      <c r="H87" s="39" t="str">
        <f t="shared" si="35"/>
        <v/>
      </c>
      <c r="I87" s="40" t="str">
        <f t="shared" si="36"/>
        <v/>
      </c>
      <c r="J87" s="40" t="str">
        <f t="shared" si="37"/>
        <v/>
      </c>
      <c r="K87" s="41" t="str">
        <f t="shared" si="38"/>
        <v/>
      </c>
      <c r="L87" s="36" t="str">
        <f t="shared" si="39"/>
        <v/>
      </c>
      <c r="M87" s="37" t="str">
        <f t="shared" si="40"/>
        <v/>
      </c>
      <c r="N87" s="38" t="str">
        <f t="shared" si="41"/>
        <v/>
      </c>
      <c r="O87" s="19" t="str">
        <f t="shared" si="42"/>
        <v/>
      </c>
      <c r="P87" s="20"/>
      <c r="Q87" s="19">
        <f t="shared" si="43"/>
        <v>1</v>
      </c>
      <c r="R87" s="20"/>
      <c r="S87" s="19"/>
      <c r="T87" s="77"/>
      <c r="U87" s="78"/>
      <c r="V87" s="77"/>
      <c r="W87" s="78"/>
      <c r="Z87" s="71"/>
      <c r="AA87" s="71"/>
    </row>
    <row r="88" spans="2:27" x14ac:dyDescent="0.2">
      <c r="B88" s="10" t="s">
        <v>109</v>
      </c>
      <c r="C88" s="11" t="s">
        <v>108</v>
      </c>
      <c r="D88" s="12">
        <v>9</v>
      </c>
      <c r="E88" s="13" t="str">
        <f t="shared" si="32"/>
        <v/>
      </c>
      <c r="F88" s="14" t="str">
        <f t="shared" si="33"/>
        <v/>
      </c>
      <c r="G88" s="15" t="str">
        <f t="shared" si="34"/>
        <v/>
      </c>
      <c r="H88" s="16" t="str">
        <f t="shared" si="35"/>
        <v/>
      </c>
      <c r="I88" s="17" t="str">
        <f t="shared" si="36"/>
        <v/>
      </c>
      <c r="J88" s="17" t="str">
        <f t="shared" si="37"/>
        <v/>
      </c>
      <c r="K88" s="18" t="str">
        <f t="shared" si="38"/>
        <v/>
      </c>
      <c r="L88" s="13" t="str">
        <f t="shared" si="39"/>
        <v/>
      </c>
      <c r="M88" s="14" t="str">
        <f t="shared" si="40"/>
        <v>=</v>
      </c>
      <c r="N88" s="15" t="str">
        <f t="shared" si="41"/>
        <v/>
      </c>
      <c r="O88" s="19">
        <f t="shared" si="42"/>
        <v>1</v>
      </c>
      <c r="P88" s="20" t="s">
        <v>7</v>
      </c>
      <c r="Q88" s="19" t="str">
        <f t="shared" si="43"/>
        <v/>
      </c>
      <c r="R88" s="20" t="s">
        <v>7</v>
      </c>
      <c r="S88" s="19"/>
      <c r="T88" s="77"/>
      <c r="U88" s="78"/>
      <c r="V88" s="77"/>
      <c r="W88" s="78"/>
      <c r="Z88" s="71"/>
      <c r="AA88" s="71"/>
    </row>
    <row r="89" spans="2:27" x14ac:dyDescent="0.2">
      <c r="B89" s="24" t="s">
        <v>109</v>
      </c>
      <c r="C89" s="3" t="s">
        <v>26</v>
      </c>
      <c r="D89" s="4">
        <v>6</v>
      </c>
      <c r="E89" s="25" t="str">
        <f t="shared" si="32"/>
        <v/>
      </c>
      <c r="F89" s="26" t="str">
        <f t="shared" si="33"/>
        <v/>
      </c>
      <c r="G89" s="27" t="str">
        <f t="shared" si="34"/>
        <v/>
      </c>
      <c r="H89" s="28" t="str">
        <f t="shared" si="35"/>
        <v/>
      </c>
      <c r="I89" s="29" t="str">
        <f t="shared" si="36"/>
        <v/>
      </c>
      <c r="J89" s="29" t="str">
        <f t="shared" si="37"/>
        <v>=</v>
      </c>
      <c r="K89" s="30" t="str">
        <f t="shared" si="38"/>
        <v/>
      </c>
      <c r="L89" s="25" t="str">
        <f t="shared" si="39"/>
        <v/>
      </c>
      <c r="M89" s="26" t="str">
        <f t="shared" si="40"/>
        <v/>
      </c>
      <c r="N89" s="27" t="str">
        <f t="shared" si="41"/>
        <v/>
      </c>
      <c r="O89" s="19" t="str">
        <f t="shared" si="42"/>
        <v/>
      </c>
      <c r="P89" s="20"/>
      <c r="Q89" s="19" t="str">
        <f t="shared" si="43"/>
        <v/>
      </c>
      <c r="R89" s="20"/>
      <c r="S89" s="19"/>
      <c r="T89" s="77"/>
      <c r="U89" s="78"/>
      <c r="V89" s="77"/>
      <c r="W89" s="78"/>
      <c r="Z89" s="71"/>
      <c r="AA89" s="71"/>
    </row>
    <row r="90" spans="2:27" x14ac:dyDescent="0.2">
      <c r="B90" s="33" t="s">
        <v>109</v>
      </c>
      <c r="C90" s="34" t="s">
        <v>12</v>
      </c>
      <c r="D90" s="35">
        <v>5</v>
      </c>
      <c r="E90" s="36" t="str">
        <f t="shared" si="32"/>
        <v/>
      </c>
      <c r="F90" s="37" t="str">
        <f t="shared" si="33"/>
        <v/>
      </c>
      <c r="G90" s="38" t="str">
        <f t="shared" si="34"/>
        <v/>
      </c>
      <c r="H90" s="39" t="str">
        <f t="shared" si="35"/>
        <v/>
      </c>
      <c r="I90" s="40" t="str">
        <f t="shared" si="36"/>
        <v>=</v>
      </c>
      <c r="J90" s="40" t="str">
        <f t="shared" si="37"/>
        <v/>
      </c>
      <c r="K90" s="41" t="str">
        <f t="shared" si="38"/>
        <v/>
      </c>
      <c r="L90" s="36" t="str">
        <f t="shared" si="39"/>
        <v/>
      </c>
      <c r="M90" s="37" t="str">
        <f t="shared" si="40"/>
        <v/>
      </c>
      <c r="N90" s="38" t="str">
        <f t="shared" si="41"/>
        <v/>
      </c>
      <c r="O90" s="19" t="str">
        <f t="shared" si="42"/>
        <v/>
      </c>
      <c r="P90" s="20"/>
      <c r="Q90" s="19" t="str">
        <f t="shared" si="43"/>
        <v/>
      </c>
      <c r="R90" s="20"/>
      <c r="S90" s="19"/>
      <c r="T90" s="79"/>
      <c r="U90" s="80"/>
      <c r="V90" s="79"/>
      <c r="W90" s="80"/>
      <c r="Z90" s="71"/>
      <c r="AA90" s="71"/>
    </row>
    <row r="91" spans="2:27" x14ac:dyDescent="0.2">
      <c r="O91" s="19"/>
      <c r="P91" s="20"/>
      <c r="Q91" s="19"/>
      <c r="R91" s="20"/>
      <c r="S91" s="19"/>
    </row>
    <row r="92" spans="2:27" x14ac:dyDescent="0.2">
      <c r="O92" s="19"/>
      <c r="P92" s="20"/>
      <c r="Q92" s="19"/>
      <c r="R92" s="20"/>
      <c r="S92" s="19"/>
    </row>
    <row r="93" spans="2:27" x14ac:dyDescent="0.2">
      <c r="O93" s="19"/>
      <c r="P93" s="20"/>
      <c r="Q93" s="19"/>
      <c r="R93" s="20"/>
      <c r="S93" s="19"/>
    </row>
    <row r="94" spans="2:27" x14ac:dyDescent="0.2">
      <c r="O94" s="19"/>
      <c r="P94" s="20"/>
      <c r="Q94" s="19"/>
      <c r="R94" s="20"/>
      <c r="S94" s="19"/>
    </row>
    <row r="95" spans="2:27" x14ac:dyDescent="0.2">
      <c r="O95" s="19"/>
      <c r="P95" s="20"/>
      <c r="Q95" s="19"/>
      <c r="R95" s="20"/>
      <c r="S95" s="19"/>
    </row>
    <row r="96" spans="2:27" x14ac:dyDescent="0.2">
      <c r="B96" s="81" t="s">
        <v>123</v>
      </c>
      <c r="O96" s="19"/>
      <c r="P96" s="20"/>
      <c r="Q96" s="19"/>
      <c r="R96" s="20"/>
      <c r="S96" s="19"/>
      <c r="T96" s="82"/>
      <c r="U96" s="83" t="e">
        <f>VLOOKUP(T96,$V$26:$W$61,2,0)</f>
        <v>#N/A</v>
      </c>
      <c r="V96" s="84"/>
      <c r="W96" s="85">
        <f>COUNTA(W97:W106)</f>
        <v>1</v>
      </c>
      <c r="X96" s="84"/>
      <c r="Y96" s="84"/>
      <c r="Z96" s="84"/>
      <c r="AA96" s="84"/>
    </row>
    <row r="97" spans="2:27" x14ac:dyDescent="0.2">
      <c r="B97" s="58" t="s">
        <v>124</v>
      </c>
      <c r="C97" s="7">
        <v>4</v>
      </c>
      <c r="O97" s="19"/>
      <c r="P97" s="20"/>
      <c r="Q97" s="19"/>
      <c r="R97" s="20"/>
      <c r="S97" s="19"/>
      <c r="T97" s="86" t="s">
        <v>112</v>
      </c>
      <c r="U97" s="87">
        <f>COUNTIF($P$4:$R$90,"F")</f>
        <v>0</v>
      </c>
      <c r="V97" s="86" t="s">
        <v>113</v>
      </c>
      <c r="W97" s="87">
        <f>COUNTIF($P$4:$R$90,"D")</f>
        <v>0</v>
      </c>
      <c r="X97" s="84"/>
      <c r="Y97" s="84"/>
      <c r="Z97" s="88" t="s">
        <v>114</v>
      </c>
      <c r="AA97" s="88" t="s">
        <v>115</v>
      </c>
    </row>
    <row r="98" spans="2:27" x14ac:dyDescent="0.2">
      <c r="B98" s="58" t="s">
        <v>68</v>
      </c>
      <c r="C98" s="7">
        <v>8</v>
      </c>
      <c r="O98" s="19"/>
      <c r="P98" s="20"/>
      <c r="Q98" s="19"/>
      <c r="R98" s="20"/>
      <c r="S98" s="19"/>
      <c r="T98" s="89"/>
      <c r="U98" s="90"/>
      <c r="V98" s="89"/>
      <c r="W98" s="90"/>
      <c r="X98" s="84"/>
      <c r="Y98" s="84"/>
      <c r="Z98" s="91"/>
      <c r="AA98" s="91"/>
    </row>
    <row r="99" spans="2:27" x14ac:dyDescent="0.2">
      <c r="B99" s="58" t="s">
        <v>125</v>
      </c>
      <c r="C99" s="7">
        <v>10</v>
      </c>
      <c r="O99" s="19"/>
      <c r="P99" s="20"/>
      <c r="Q99" s="19"/>
      <c r="R99" s="20"/>
      <c r="S99" s="19"/>
      <c r="T99" s="89"/>
      <c r="U99" s="90"/>
      <c r="V99" s="89"/>
      <c r="W99" s="90"/>
      <c r="X99" s="84"/>
      <c r="Y99" s="84"/>
      <c r="Z99" s="91"/>
      <c r="AA99" s="91"/>
    </row>
    <row r="100" spans="2:27" x14ac:dyDescent="0.2">
      <c r="B100" s="58" t="s">
        <v>126</v>
      </c>
      <c r="C100" s="7">
        <v>4</v>
      </c>
      <c r="O100" s="19"/>
      <c r="P100" s="20"/>
      <c r="Q100" s="19"/>
      <c r="R100" s="20"/>
      <c r="S100" s="19"/>
      <c r="T100" s="89"/>
      <c r="U100" s="90"/>
      <c r="V100" s="89"/>
      <c r="W100" s="90"/>
      <c r="X100" s="84"/>
      <c r="Y100" s="84"/>
      <c r="Z100" s="91"/>
      <c r="AA100" s="91"/>
    </row>
    <row r="101" spans="2:27" x14ac:dyDescent="0.2">
      <c r="B101" s="58" t="s">
        <v>127</v>
      </c>
      <c r="C101" s="7">
        <v>4</v>
      </c>
      <c r="O101" s="19"/>
      <c r="P101" s="20"/>
      <c r="Q101" s="19"/>
      <c r="R101" s="20"/>
      <c r="S101" s="19"/>
      <c r="T101" s="89"/>
      <c r="U101" s="90"/>
      <c r="V101" s="89"/>
      <c r="W101" s="90"/>
      <c r="X101" s="84"/>
      <c r="Y101" s="84"/>
      <c r="Z101" s="91"/>
      <c r="AA101" s="91"/>
    </row>
    <row r="102" spans="2:27" x14ac:dyDescent="0.2">
      <c r="B102" s="58" t="s">
        <v>128</v>
      </c>
      <c r="C102" s="7">
        <v>8</v>
      </c>
      <c r="O102" s="19"/>
      <c r="P102" s="20"/>
      <c r="Q102" s="19"/>
      <c r="R102" s="20"/>
      <c r="S102" s="19"/>
      <c r="T102" s="89"/>
      <c r="U102" s="90"/>
      <c r="V102" s="89"/>
      <c r="W102" s="90"/>
      <c r="X102" s="84"/>
      <c r="Y102" s="84"/>
      <c r="Z102" s="91"/>
      <c r="AA102" s="91"/>
    </row>
    <row r="103" spans="2:27" x14ac:dyDescent="0.2">
      <c r="B103" s="58" t="s">
        <v>71</v>
      </c>
      <c r="C103" s="7">
        <v>9</v>
      </c>
      <c r="O103" s="19"/>
      <c r="P103" s="20"/>
      <c r="Q103" s="19"/>
      <c r="R103" s="20"/>
      <c r="S103" s="19"/>
      <c r="T103" s="89"/>
      <c r="U103" s="90"/>
      <c r="V103" s="89"/>
      <c r="W103" s="90"/>
      <c r="X103" s="84"/>
      <c r="Y103" s="84"/>
      <c r="Z103" s="91"/>
      <c r="AA103" s="91"/>
    </row>
    <row r="104" spans="2:27" x14ac:dyDescent="0.2">
      <c r="B104" s="58" t="s">
        <v>85</v>
      </c>
      <c r="C104" s="7">
        <v>2</v>
      </c>
      <c r="O104" s="19"/>
      <c r="P104" s="20"/>
      <c r="Q104" s="19"/>
      <c r="R104" s="20"/>
      <c r="S104" s="19"/>
      <c r="T104" s="89"/>
      <c r="U104" s="90"/>
      <c r="V104" s="89"/>
      <c r="W104" s="90"/>
      <c r="X104" s="84"/>
      <c r="Y104" s="84"/>
      <c r="Z104" s="91"/>
      <c r="AA104" s="91"/>
    </row>
    <row r="105" spans="2:27" x14ac:dyDescent="0.2">
      <c r="B105" s="58" t="s">
        <v>93</v>
      </c>
      <c r="C105" s="7">
        <v>2</v>
      </c>
      <c r="O105" s="19"/>
      <c r="P105" s="20"/>
      <c r="Q105" s="19"/>
      <c r="R105" s="20"/>
      <c r="S105" s="19"/>
      <c r="T105" s="89"/>
      <c r="U105" s="90"/>
      <c r="V105" s="89"/>
      <c r="W105" s="90"/>
      <c r="X105" s="84"/>
      <c r="Y105" s="84"/>
      <c r="Z105" s="91"/>
      <c r="AA105" s="91"/>
    </row>
    <row r="106" spans="2:27" x14ac:dyDescent="0.2">
      <c r="B106" s="58" t="s">
        <v>129</v>
      </c>
      <c r="C106" s="7">
        <v>10</v>
      </c>
      <c r="T106" s="89"/>
      <c r="U106" s="90"/>
      <c r="V106" s="89"/>
      <c r="W106" s="90"/>
      <c r="X106" s="84"/>
      <c r="Y106" s="84"/>
      <c r="Z106" s="91"/>
      <c r="AA106" s="91"/>
    </row>
    <row r="107" spans="2:27" x14ac:dyDescent="0.2">
      <c r="T107" s="89"/>
      <c r="U107" s="90"/>
      <c r="V107" s="89"/>
      <c r="W107" s="90"/>
      <c r="X107" s="84"/>
      <c r="Y107" s="84"/>
      <c r="Z107" s="91"/>
      <c r="AA107" s="91"/>
    </row>
    <row r="108" spans="2:27" x14ac:dyDescent="0.2">
      <c r="T108" s="86" t="s">
        <v>117</v>
      </c>
      <c r="U108" s="87">
        <f>COUNTIF($P$4:$R$90,"fd")</f>
        <v>0</v>
      </c>
      <c r="V108" s="86" t="s">
        <v>118</v>
      </c>
      <c r="W108" s="87">
        <f>COUNTIF($P$4:$R$90,"DP")</f>
        <v>0</v>
      </c>
      <c r="X108" s="84">
        <f>SUM(U97,W97,U108,W108)</f>
        <v>0</v>
      </c>
      <c r="Y108" s="84"/>
      <c r="Z108" s="88" t="s">
        <v>119</v>
      </c>
      <c r="AA108" s="88" t="s">
        <v>120</v>
      </c>
    </row>
    <row r="109" spans="2:27" x14ac:dyDescent="0.2">
      <c r="T109" s="92" t="s">
        <v>81</v>
      </c>
      <c r="U109" s="91">
        <f>VLOOKUP(T109,$V$26:$W$61,2,0)</f>
        <v>10</v>
      </c>
      <c r="V109" s="92" t="s">
        <v>78</v>
      </c>
      <c r="W109" s="91">
        <f>VLOOKUP(V109,$V$26:$W$61,2,0)</f>
        <v>2</v>
      </c>
      <c r="X109" s="84"/>
      <c r="Y109" s="84"/>
      <c r="Z109" s="91">
        <v>12</v>
      </c>
      <c r="AA109" s="91">
        <v>8.3333333333333339</v>
      </c>
    </row>
    <row r="110" spans="2:27" x14ac:dyDescent="0.2">
      <c r="T110" s="89" t="s">
        <v>22</v>
      </c>
      <c r="U110" s="91">
        <f>VLOOKUP(T110,$V$26:$W$61,2,0)</f>
        <v>8</v>
      </c>
      <c r="V110" s="89" t="s">
        <v>88</v>
      </c>
      <c r="W110" s="91">
        <f>VLOOKUP(V110,$V$26:$W$61,2,0)</f>
        <v>2</v>
      </c>
      <c r="X110" s="84"/>
      <c r="Y110" s="84"/>
      <c r="Z110" s="91">
        <v>14</v>
      </c>
      <c r="AA110" s="91">
        <v>9</v>
      </c>
    </row>
    <row r="111" spans="2:27" x14ac:dyDescent="0.2">
      <c r="T111" s="89" t="s">
        <v>105</v>
      </c>
      <c r="U111" s="91">
        <f>VLOOKUP(T111,$V$26:$W$61,2,0)</f>
        <v>8</v>
      </c>
      <c r="V111" s="89" t="s">
        <v>110</v>
      </c>
      <c r="W111" s="91">
        <f>VLOOKUP(V111,$V$26:$W$61,2,0)</f>
        <v>2</v>
      </c>
      <c r="X111" s="84"/>
      <c r="Y111" s="84"/>
      <c r="Z111" s="91">
        <v>14.666666666666666</v>
      </c>
      <c r="AA111" s="91">
        <v>11.333333333333334</v>
      </c>
    </row>
    <row r="112" spans="2:27" x14ac:dyDescent="0.2">
      <c r="T112" s="89" t="s">
        <v>69</v>
      </c>
      <c r="U112" s="91">
        <f>VLOOKUP(T112,$V$26:$W$61,2,0)</f>
        <v>8</v>
      </c>
      <c r="V112" s="89" t="s">
        <v>94</v>
      </c>
      <c r="W112" s="91">
        <f>VLOOKUP(V112,$V$26:$W$61,2,0)</f>
        <v>2</v>
      </c>
      <c r="X112" s="84"/>
      <c r="Y112" s="84"/>
      <c r="Z112" s="91">
        <v>13</v>
      </c>
      <c r="AA112" s="91">
        <v>10</v>
      </c>
    </row>
    <row r="113" spans="20:27" x14ac:dyDescent="0.2">
      <c r="T113" s="89"/>
      <c r="U113" s="93"/>
      <c r="V113" s="89"/>
      <c r="W113" s="93"/>
      <c r="X113" s="84"/>
      <c r="Y113" s="84"/>
      <c r="Z113" s="91"/>
      <c r="AA113" s="91"/>
    </row>
    <row r="114" spans="20:27" x14ac:dyDescent="0.2">
      <c r="T114" s="89"/>
      <c r="U114" s="93"/>
      <c r="V114" s="89"/>
      <c r="W114" s="93"/>
      <c r="X114" s="84"/>
      <c r="Y114" s="84"/>
      <c r="Z114" s="91"/>
      <c r="AA114" s="91"/>
    </row>
    <row r="115" spans="20:27" x14ac:dyDescent="0.2">
      <c r="T115" s="89"/>
      <c r="U115" s="93"/>
      <c r="V115" s="89"/>
      <c r="W115" s="93"/>
      <c r="X115" s="84"/>
      <c r="Y115" s="84"/>
      <c r="Z115" s="91"/>
      <c r="AA115" s="91"/>
    </row>
    <row r="116" spans="20:27" x14ac:dyDescent="0.2">
      <c r="T116" s="89"/>
      <c r="U116" s="93"/>
      <c r="V116" s="89"/>
      <c r="W116" s="93"/>
      <c r="X116" s="84"/>
      <c r="Y116" s="84"/>
      <c r="Z116" s="91"/>
      <c r="AA116" s="91"/>
    </row>
    <row r="117" spans="20:27" x14ac:dyDescent="0.2">
      <c r="T117" s="89"/>
      <c r="U117" s="90"/>
      <c r="V117" s="89"/>
      <c r="W117" s="93"/>
      <c r="X117" s="84"/>
      <c r="Y117" s="84"/>
      <c r="Z117" s="91"/>
      <c r="AA117" s="91"/>
    </row>
    <row r="118" spans="20:27" x14ac:dyDescent="0.2">
      <c r="T118" s="89"/>
      <c r="U118" s="90"/>
      <c r="V118" s="89"/>
      <c r="W118" s="93"/>
      <c r="X118" s="84"/>
      <c r="Y118" s="84"/>
      <c r="Z118" s="91"/>
      <c r="AA118" s="91"/>
    </row>
    <row r="119" spans="20:27" x14ac:dyDescent="0.2">
      <c r="T119" s="89"/>
      <c r="U119" s="90"/>
      <c r="V119" s="89"/>
      <c r="W119" s="90"/>
      <c r="X119" s="84"/>
      <c r="Y119" s="84"/>
      <c r="Z119" s="91"/>
      <c r="AA119" s="91"/>
    </row>
    <row r="120" spans="20:27" x14ac:dyDescent="0.2">
      <c r="T120" s="94"/>
      <c r="U120" s="95"/>
      <c r="V120" s="94"/>
      <c r="W120" s="95"/>
      <c r="X120" s="84"/>
      <c r="Y120" s="84"/>
      <c r="Z120" s="91"/>
      <c r="AA120" s="91"/>
    </row>
    <row r="121" spans="20:27" x14ac:dyDescent="0.2">
      <c r="T121" s="94"/>
      <c r="U121" s="95"/>
      <c r="V121" s="94"/>
      <c r="W121" s="95"/>
      <c r="X121" s="84"/>
      <c r="Y121" s="84"/>
      <c r="Z121" s="91"/>
      <c r="AA121" s="91"/>
    </row>
    <row r="122" spans="20:27" x14ac:dyDescent="0.2">
      <c r="T122" s="94"/>
      <c r="U122" s="95"/>
      <c r="V122" s="94"/>
      <c r="W122" s="95"/>
      <c r="X122" s="84"/>
      <c r="Y122" s="84"/>
      <c r="Z122" s="91"/>
      <c r="AA122" s="91"/>
    </row>
    <row r="123" spans="20:27" x14ac:dyDescent="0.2">
      <c r="T123" s="94"/>
      <c r="U123" s="95"/>
      <c r="V123" s="94"/>
      <c r="W123" s="95"/>
      <c r="X123" s="84"/>
      <c r="Y123" s="84"/>
      <c r="Z123" s="91"/>
      <c r="AA123" s="91"/>
    </row>
    <row r="124" spans="20:27" x14ac:dyDescent="0.2">
      <c r="T124" s="96"/>
      <c r="U124" s="97"/>
      <c r="V124" s="96"/>
      <c r="W124" s="97"/>
      <c r="X124" s="84"/>
      <c r="Y124" s="84"/>
      <c r="Z124" s="91"/>
      <c r="AA124" s="91"/>
    </row>
  </sheetData>
  <conditionalFormatting sqref="A4:A90">
    <cfRule type="cellIs" dxfId="0" priority="1" operator="greaterThan">
      <formula>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Respuestas</vt:lpstr>
      <vt:lpstr>Norma</vt:lpstr>
      <vt:lpstr>Puntuación</vt:lpstr>
      <vt:lpstr>HMolde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Perez Ladron de Guevara</dc:creator>
  <cp:lastModifiedBy>Mario Perez Ladron de Guevara</cp:lastModifiedBy>
  <dcterms:created xsi:type="dcterms:W3CDTF">2026-08-19T18:25:32Z</dcterms:created>
  <dcterms:modified xsi:type="dcterms:W3CDTF">2026-08-19T18:30:43Z</dcterms:modified>
</cp:coreProperties>
</file>