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6.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F3310B89-0DAA-6C43-5919-0D5897632BE8}"/>
  <workbookPr codeName="ThisWorkbook" defaultThemeVersion="124226"/>
  <mc:AlternateContent xmlns:mc="http://schemas.openxmlformats.org/markup-compatibility/2006">
    <mc:Choice Requires="x15">
      <x15ac:absPath xmlns:x15ac="http://schemas.microsoft.com/office/spreadsheetml/2010/11/ac" url="C:\Development\crevantia\docs\"/>
    </mc:Choice>
  </mc:AlternateContent>
  <xr:revisionPtr revIDLastSave="0" documentId="13_ncr:1_{C1BF4095-7132-4CF6-A7E7-4B7FE562F958}" xr6:coauthVersionLast="47" xr6:coauthVersionMax="47" xr10:uidLastSave="{00000000-0000-0000-0000-000000000000}"/>
  <bookViews>
    <workbookView xWindow="-108" yWindow="-108" windowWidth="23256" windowHeight="12456" tabRatio="893" firstSheet="1" activeTab="3" xr2:uid="{00000000-000D-0000-FFFF-FFFF00000000}"/>
  </bookViews>
  <sheets>
    <sheet name="BaseNorma" sheetId="195" r:id="rId1"/>
    <sheet name="BaseResultados" sheetId="2" r:id="rId2"/>
    <sheet name="Origen" sheetId="3" r:id="rId3"/>
    <sheet name="Equivalencias" sheetId="5" r:id="rId4"/>
    <sheet name="DatosTrans" sheetId="194" r:id="rId5"/>
    <sheet name="Puntuación" sheetId="79" r:id="rId6"/>
    <sheet name="Conversión" sheetId="7" r:id="rId7"/>
    <sheet name="HMolde" sheetId="78" r:id="rId8"/>
    <sheet name="BasePerfiles" sheetId="209" r:id="rId9"/>
    <sheet name="Portada" sheetId="172" r:id="rId10"/>
    <sheet name="Rankeo" sheetId="193" r:id="rId11"/>
    <sheet name="Liderazgo" sheetId="203" state="hidden" r:id="rId12"/>
    <sheet name="Gráfica Rendimiento" sheetId="188" r:id="rId13"/>
    <sheet name="Glosario" sheetId="178" r:id="rId14"/>
  </sheets>
  <definedNames>
    <definedName name="_xlnm._FilterDatabase" localSheetId="5" hidden="1">Puntuación!$A$13:$J$349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674" i="79" l="1"/>
  <c r="I507" i="79"/>
  <c r="L31" i="188"/>
  <c r="H10" i="5"/>
  <c r="K22" i="188"/>
  <c r="C113" i="78"/>
  <c r="M113" i="78" s="1"/>
  <c r="K701" i="79"/>
  <c r="I701" i="79"/>
  <c r="K700" i="79"/>
  <c r="I700" i="79"/>
  <c r="K699" i="79"/>
  <c r="I699" i="79"/>
  <c r="K698" i="79"/>
  <c r="I698" i="79"/>
  <c r="K697" i="79"/>
  <c r="I697" i="79"/>
  <c r="K696" i="79"/>
  <c r="I696" i="79"/>
  <c r="K695" i="79"/>
  <c r="I695" i="79"/>
  <c r="K694" i="79"/>
  <c r="I694" i="79"/>
  <c r="K693" i="79"/>
  <c r="I693" i="79"/>
  <c r="K692" i="79"/>
  <c r="I692" i="79"/>
  <c r="K691" i="79"/>
  <c r="I691" i="79"/>
  <c r="K690" i="79"/>
  <c r="I690" i="79"/>
  <c r="K689" i="79"/>
  <c r="I689" i="79"/>
  <c r="K687" i="79"/>
  <c r="I687" i="79"/>
  <c r="K686" i="79"/>
  <c r="I686" i="79"/>
  <c r="K685" i="79"/>
  <c r="I685" i="79"/>
  <c r="K684" i="79"/>
  <c r="I684" i="79"/>
  <c r="K681" i="79"/>
  <c r="I681" i="79"/>
  <c r="K680" i="79"/>
  <c r="I680" i="79"/>
  <c r="K679" i="79"/>
  <c r="I679" i="79"/>
  <c r="K678" i="79"/>
  <c r="I678" i="79"/>
  <c r="K677" i="79"/>
  <c r="I677" i="79"/>
  <c r="K676" i="79"/>
  <c r="I676" i="79"/>
  <c r="K675" i="79"/>
  <c r="I675" i="79"/>
  <c r="K674" i="79"/>
  <c r="K673" i="79"/>
  <c r="I673" i="79"/>
  <c r="K672" i="79"/>
  <c r="I672" i="79"/>
  <c r="K671" i="79"/>
  <c r="I671" i="79"/>
  <c r="K670" i="79"/>
  <c r="I670" i="79"/>
  <c r="K669" i="79"/>
  <c r="I669" i="79"/>
  <c r="K668" i="79"/>
  <c r="I668" i="79"/>
  <c r="K667" i="79"/>
  <c r="I667" i="79"/>
  <c r="K666" i="79"/>
  <c r="I666" i="79"/>
  <c r="K613" i="79"/>
  <c r="K612" i="79"/>
  <c r="K610" i="79"/>
  <c r="K609" i="79"/>
  <c r="K608" i="79"/>
  <c r="K607" i="79"/>
  <c r="K606" i="79"/>
  <c r="K605" i="79"/>
  <c r="K604" i="79"/>
  <c r="K603" i="79"/>
  <c r="K602" i="79"/>
  <c r="K601" i="79"/>
  <c r="K600" i="79"/>
  <c r="K599" i="79"/>
  <c r="K598" i="79"/>
  <c r="K597" i="79"/>
  <c r="K596" i="79"/>
  <c r="K595" i="79"/>
  <c r="K593" i="79"/>
  <c r="K592" i="79"/>
  <c r="K591" i="79"/>
  <c r="K590" i="79"/>
  <c r="K589" i="79"/>
  <c r="K588" i="79"/>
  <c r="K587" i="79"/>
  <c r="K586" i="79"/>
  <c r="K585" i="79"/>
  <c r="K584" i="79"/>
  <c r="K583" i="79"/>
  <c r="K582" i="79"/>
  <c r="K581" i="79"/>
  <c r="K580" i="79"/>
  <c r="K579" i="79"/>
  <c r="K578" i="79"/>
  <c r="K577" i="79"/>
  <c r="K576" i="79"/>
  <c r="K575" i="79"/>
  <c r="K574" i="79"/>
  <c r="K573" i="79"/>
  <c r="K572" i="79"/>
  <c r="K571" i="79"/>
  <c r="K570" i="79"/>
  <c r="K569" i="79"/>
  <c r="K568" i="79"/>
  <c r="K567" i="79"/>
  <c r="K566" i="79"/>
  <c r="K565" i="79"/>
  <c r="K564" i="79"/>
  <c r="K563" i="79"/>
  <c r="K562" i="79"/>
  <c r="K561" i="79"/>
  <c r="K560" i="79"/>
  <c r="K559" i="79"/>
  <c r="K558" i="79"/>
  <c r="K557" i="79"/>
  <c r="K556" i="79"/>
  <c r="K555" i="79"/>
  <c r="K554" i="79"/>
  <c r="K553" i="79"/>
  <c r="K552" i="79"/>
  <c r="K551" i="79"/>
  <c r="K550" i="79"/>
  <c r="K549" i="79"/>
  <c r="K548" i="79"/>
  <c r="K547" i="79"/>
  <c r="K546" i="79"/>
  <c r="K545" i="79"/>
  <c r="K544" i="79"/>
  <c r="K543" i="79"/>
  <c r="K542" i="79"/>
  <c r="K541" i="79"/>
  <c r="K540" i="79"/>
  <c r="K539" i="79"/>
  <c r="K538" i="79"/>
  <c r="K537" i="79"/>
  <c r="K536" i="79"/>
  <c r="K535" i="79"/>
  <c r="K534" i="79"/>
  <c r="K533" i="79"/>
  <c r="K532" i="79"/>
  <c r="K531" i="79"/>
  <c r="K530" i="79"/>
  <c r="K529" i="79"/>
  <c r="K528" i="79"/>
  <c r="K527" i="79"/>
  <c r="K526" i="79"/>
  <c r="K525" i="79"/>
  <c r="K524" i="79"/>
  <c r="K523" i="79"/>
  <c r="K522" i="79"/>
  <c r="K521" i="79"/>
  <c r="K520" i="79"/>
  <c r="K519" i="79"/>
  <c r="K518" i="79"/>
  <c r="K517" i="79"/>
  <c r="K516" i="79"/>
  <c r="K515" i="79"/>
  <c r="K514" i="79"/>
  <c r="K513" i="79"/>
  <c r="K512" i="79"/>
  <c r="K511" i="79"/>
  <c r="K510" i="79"/>
  <c r="K509" i="79"/>
  <c r="K508" i="79"/>
  <c r="K507" i="79"/>
  <c r="I613" i="79"/>
  <c r="I612" i="79"/>
  <c r="I610" i="79"/>
  <c r="I609" i="79"/>
  <c r="I608" i="79"/>
  <c r="I607" i="79"/>
  <c r="I606" i="79"/>
  <c r="I605" i="79"/>
  <c r="I604" i="79"/>
  <c r="I603" i="79"/>
  <c r="I602" i="79"/>
  <c r="I601" i="79"/>
  <c r="I600" i="79"/>
  <c r="I599" i="79"/>
  <c r="I598" i="79"/>
  <c r="I597" i="79"/>
  <c r="I596" i="79"/>
  <c r="I595" i="79"/>
  <c r="I593" i="79"/>
  <c r="I592" i="79"/>
  <c r="I591" i="79"/>
  <c r="I590" i="79"/>
  <c r="I589" i="79"/>
  <c r="I588" i="79"/>
  <c r="I587" i="79"/>
  <c r="I586" i="79"/>
  <c r="I585" i="79"/>
  <c r="I584" i="79"/>
  <c r="I583" i="79"/>
  <c r="I582" i="79"/>
  <c r="I581" i="79"/>
  <c r="I580" i="79"/>
  <c r="I579" i="79"/>
  <c r="I578" i="79"/>
  <c r="I577" i="79"/>
  <c r="I576" i="79"/>
  <c r="I575" i="79"/>
  <c r="I574" i="79"/>
  <c r="I573" i="79"/>
  <c r="I572" i="79"/>
  <c r="I571" i="79"/>
  <c r="I570" i="79"/>
  <c r="I569" i="79"/>
  <c r="I568" i="79"/>
  <c r="I567" i="79"/>
  <c r="I566" i="79"/>
  <c r="I565" i="79"/>
  <c r="I564" i="79"/>
  <c r="I563" i="79"/>
  <c r="I562" i="79"/>
  <c r="I561" i="79"/>
  <c r="I560" i="79"/>
  <c r="I559" i="79"/>
  <c r="I558" i="79"/>
  <c r="I557" i="79"/>
  <c r="I556" i="79"/>
  <c r="I555" i="79"/>
  <c r="I554" i="79"/>
  <c r="I553" i="79"/>
  <c r="I552" i="79"/>
  <c r="I551" i="79"/>
  <c r="I550" i="79"/>
  <c r="I549" i="79"/>
  <c r="I548" i="79"/>
  <c r="I547" i="79"/>
  <c r="I546" i="79"/>
  <c r="I545" i="79"/>
  <c r="I544" i="79"/>
  <c r="I543" i="79"/>
  <c r="I542" i="79"/>
  <c r="I541" i="79"/>
  <c r="I540" i="79"/>
  <c r="I539" i="79"/>
  <c r="I538" i="79"/>
  <c r="I537" i="79"/>
  <c r="I536" i="79"/>
  <c r="I535" i="79"/>
  <c r="I534" i="79"/>
  <c r="I533" i="79"/>
  <c r="I532" i="79"/>
  <c r="I531" i="79"/>
  <c r="I530" i="79"/>
  <c r="I529" i="79"/>
  <c r="I528" i="79"/>
  <c r="I527" i="79"/>
  <c r="I526" i="79"/>
  <c r="I525" i="79"/>
  <c r="I524" i="79"/>
  <c r="I523" i="79"/>
  <c r="I522" i="79"/>
  <c r="I521" i="79"/>
  <c r="I520" i="79"/>
  <c r="I519" i="79"/>
  <c r="I518" i="79"/>
  <c r="I517" i="79"/>
  <c r="I516" i="79"/>
  <c r="I515" i="79"/>
  <c r="I514" i="79"/>
  <c r="I513" i="79"/>
  <c r="I512" i="79"/>
  <c r="I511" i="79"/>
  <c r="I510" i="79"/>
  <c r="I509" i="79"/>
  <c r="I508" i="79"/>
  <c r="I637" i="79"/>
  <c r="I465" i="79"/>
  <c r="Y51" i="188"/>
  <c r="X51" i="188"/>
  <c r="W51" i="188"/>
  <c r="V51" i="188"/>
  <c r="U51" i="188"/>
  <c r="T51" i="188"/>
  <c r="S51" i="188"/>
  <c r="R51" i="188"/>
  <c r="Q51" i="188"/>
  <c r="P51" i="188"/>
  <c r="F113" i="78" l="1"/>
  <c r="I113" i="78"/>
  <c r="G113" i="78"/>
  <c r="H113" i="78"/>
  <c r="J113" i="78"/>
  <c r="K113" i="78"/>
  <c r="D113" i="78"/>
  <c r="L113" i="78"/>
  <c r="E113" i="78"/>
  <c r="K663" i="79" l="1"/>
  <c r="K662" i="79"/>
  <c r="K661" i="79"/>
  <c r="K660" i="79"/>
  <c r="K659" i="79"/>
  <c r="K658" i="79"/>
  <c r="K657" i="79"/>
  <c r="K656" i="79"/>
  <c r="K655" i="79"/>
  <c r="K643" i="79"/>
  <c r="K624" i="79"/>
  <c r="K706" i="79" s="1"/>
  <c r="K616" i="79"/>
  <c r="K704" i="79" s="1"/>
  <c r="K504" i="79"/>
  <c r="K480" i="79"/>
  <c r="K472" i="79"/>
  <c r="K460" i="79"/>
  <c r="K454" i="79"/>
  <c r="K452" i="79"/>
  <c r="K446" i="79"/>
  <c r="K444" i="79"/>
  <c r="K438" i="79"/>
  <c r="K430" i="79"/>
  <c r="K422" i="79"/>
  <c r="K420" i="79"/>
  <c r="K414" i="79"/>
  <c r="K412" i="79"/>
  <c r="K406" i="79"/>
  <c r="K399" i="79"/>
  <c r="K398" i="79"/>
  <c r="K397" i="79"/>
  <c r="K396" i="79"/>
  <c r="K395" i="79"/>
  <c r="K394" i="79"/>
  <c r="K621" i="79" s="1"/>
  <c r="K393" i="79"/>
  <c r="K392" i="79"/>
  <c r="K391" i="79"/>
  <c r="K390" i="79"/>
  <c r="K389" i="79"/>
  <c r="K428" i="79" s="1"/>
  <c r="K388" i="79"/>
  <c r="K479" i="79" s="1"/>
  <c r="K387" i="79"/>
  <c r="K478" i="79" s="1"/>
  <c r="K386" i="79"/>
  <c r="K385" i="79"/>
  <c r="K622" i="79" s="1"/>
  <c r="K384" i="79"/>
  <c r="K383" i="79"/>
  <c r="K421" i="79" s="1"/>
  <c r="K382" i="79"/>
  <c r="K381" i="79"/>
  <c r="K427" i="79" s="1"/>
  <c r="K380" i="79"/>
  <c r="K379" i="79"/>
  <c r="K642" i="79" s="1"/>
  <c r="K709" i="79" s="1"/>
  <c r="K378" i="79"/>
  <c r="K377" i="79"/>
  <c r="K376" i="79"/>
  <c r="K375" i="79"/>
  <c r="K374" i="79"/>
  <c r="K373" i="79"/>
  <c r="K372" i="79"/>
  <c r="K429" i="79" s="1"/>
  <c r="K371" i="79"/>
  <c r="K370" i="79"/>
  <c r="K369" i="79"/>
  <c r="K368" i="79"/>
  <c r="K367" i="79"/>
  <c r="K445" i="79" s="1"/>
  <c r="K366" i="79"/>
  <c r="K413" i="79" s="1"/>
  <c r="K365" i="79"/>
  <c r="K364" i="79"/>
  <c r="K471" i="79" s="1"/>
  <c r="K363" i="79"/>
  <c r="K470" i="79" s="1"/>
  <c r="K362" i="79"/>
  <c r="K361" i="79"/>
  <c r="K639" i="79" s="1"/>
  <c r="K360" i="79"/>
  <c r="K359" i="79"/>
  <c r="K358" i="79"/>
  <c r="K357" i="79"/>
  <c r="K404" i="79" s="1"/>
  <c r="K356" i="79"/>
  <c r="K437" i="79" s="1"/>
  <c r="K355" i="79"/>
  <c r="K354" i="79"/>
  <c r="K353" i="79"/>
  <c r="K352" i="79"/>
  <c r="N6" i="194"/>
  <c r="N5" i="194"/>
  <c r="N4" i="194"/>
  <c r="N3" i="194"/>
  <c r="K493" i="79" l="1"/>
  <c r="K627" i="79"/>
  <c r="K711" i="79" s="1"/>
  <c r="K407" i="79"/>
  <c r="K415" i="79"/>
  <c r="K488" i="79" s="1"/>
  <c r="K423" i="79"/>
  <c r="K650" i="79" s="1"/>
  <c r="K431" i="79"/>
  <c r="K439" i="79"/>
  <c r="K496" i="79" s="1"/>
  <c r="K447" i="79"/>
  <c r="K455" i="79"/>
  <c r="K473" i="79"/>
  <c r="K481" i="79"/>
  <c r="K617" i="79"/>
  <c r="K651" i="79"/>
  <c r="K408" i="79"/>
  <c r="K416" i="79"/>
  <c r="K424" i="79"/>
  <c r="K432" i="79"/>
  <c r="K440" i="79"/>
  <c r="K448" i="79"/>
  <c r="K456" i="79"/>
  <c r="K465" i="79"/>
  <c r="K501" i="79" s="1"/>
  <c r="K474" i="79"/>
  <c r="K482" i="79"/>
  <c r="K491" i="79"/>
  <c r="K618" i="79"/>
  <c r="K705" i="79" s="1"/>
  <c r="K626" i="79"/>
  <c r="K708" i="79" s="1"/>
  <c r="K401" i="79"/>
  <c r="K409" i="79"/>
  <c r="K417" i="79"/>
  <c r="K425" i="79"/>
  <c r="K433" i="79"/>
  <c r="K441" i="79"/>
  <c r="K449" i="79"/>
  <c r="K457" i="79"/>
  <c r="K467" i="79"/>
  <c r="K475" i="79"/>
  <c r="K402" i="79"/>
  <c r="K410" i="79"/>
  <c r="K418" i="79"/>
  <c r="K426" i="79"/>
  <c r="K434" i="79"/>
  <c r="K442" i="79"/>
  <c r="K450" i="79"/>
  <c r="K458" i="79"/>
  <c r="K468" i="79"/>
  <c r="K476" i="79"/>
  <c r="K628" i="79"/>
  <c r="K647" i="79"/>
  <c r="K403" i="79"/>
  <c r="K411" i="79"/>
  <c r="K419" i="79"/>
  <c r="K435" i="79"/>
  <c r="K443" i="79"/>
  <c r="K451" i="79"/>
  <c r="K459" i="79"/>
  <c r="K502" i="79" s="1"/>
  <c r="K469" i="79"/>
  <c r="K477" i="79"/>
  <c r="K640" i="79"/>
  <c r="K436" i="79"/>
  <c r="K649" i="79"/>
  <c r="K405" i="79"/>
  <c r="K485" i="79" s="1"/>
  <c r="K453" i="79"/>
  <c r="P2" i="188"/>
  <c r="P53" i="188" s="1"/>
  <c r="W40" i="172"/>
  <c r="K636" i="79" l="1"/>
  <c r="K499" i="79"/>
  <c r="K464" i="79"/>
  <c r="K630" i="79"/>
  <c r="K712" i="79" s="1"/>
  <c r="K494" i="79"/>
  <c r="K495" i="79"/>
  <c r="K625" i="79"/>
  <c r="K631" i="79"/>
  <c r="K484" i="79"/>
  <c r="K629" i="79"/>
  <c r="K489" i="79"/>
  <c r="K644" i="79"/>
  <c r="K713" i="79" s="1"/>
  <c r="K646" i="79"/>
  <c r="K707" i="79" s="1"/>
  <c r="K492" i="79"/>
  <c r="K462" i="79"/>
  <c r="K500" i="79"/>
  <c r="K634" i="79"/>
  <c r="K486" i="79"/>
  <c r="K620" i="79"/>
  <c r="K710" i="79" s="1"/>
  <c r="K463" i="79"/>
  <c r="K635" i="79"/>
  <c r="K498" i="79"/>
  <c r="K487" i="79"/>
  <c r="K619" i="79"/>
  <c r="K641" i="79"/>
  <c r="K645" i="79"/>
  <c r="K648" i="79"/>
  <c r="K497" i="79"/>
  <c r="K623" i="79"/>
  <c r="K490" i="79"/>
  <c r="K637" i="79"/>
  <c r="I707" i="79"/>
  <c r="I713" i="79"/>
  <c r="I709" i="79"/>
  <c r="I712" i="79"/>
  <c r="I711" i="79"/>
  <c r="I708" i="79"/>
  <c r="I706" i="79"/>
  <c r="I710" i="79"/>
  <c r="I705" i="79"/>
  <c r="I704" i="79"/>
  <c r="I715" i="79" s="1"/>
  <c r="I716" i="79" s="1"/>
  <c r="I504" i="79"/>
  <c r="I399" i="79"/>
  <c r="I419" i="79" s="1"/>
  <c r="D399" i="79"/>
  <c r="I398" i="79"/>
  <c r="I452" i="79" s="1"/>
  <c r="D398" i="79"/>
  <c r="I397" i="79"/>
  <c r="I436" i="79" s="1"/>
  <c r="D397" i="79"/>
  <c r="I396" i="79"/>
  <c r="D396" i="79"/>
  <c r="I395" i="79"/>
  <c r="D395" i="79"/>
  <c r="I394" i="79"/>
  <c r="I403" i="79" s="1"/>
  <c r="D394" i="79"/>
  <c r="I393" i="79"/>
  <c r="I426" i="79" s="1"/>
  <c r="D393" i="79"/>
  <c r="I392" i="79"/>
  <c r="I460" i="79" s="1"/>
  <c r="D392" i="79"/>
  <c r="I391" i="79"/>
  <c r="I459" i="79" s="1"/>
  <c r="D391" i="79"/>
  <c r="I390" i="79"/>
  <c r="I456" i="79" s="1"/>
  <c r="D390" i="79"/>
  <c r="I389" i="79"/>
  <c r="I458" i="79" s="1"/>
  <c r="D389" i="79"/>
  <c r="I388" i="79"/>
  <c r="D388" i="79"/>
  <c r="I387" i="79"/>
  <c r="I418" i="79" s="1"/>
  <c r="D387" i="79"/>
  <c r="I386" i="79"/>
  <c r="I448" i="79" s="1"/>
  <c r="D386" i="79"/>
  <c r="I385" i="79"/>
  <c r="I410" i="79" s="1"/>
  <c r="D385" i="79"/>
  <c r="I384" i="79"/>
  <c r="I408" i="79" s="1"/>
  <c r="D384" i="79"/>
  <c r="I383" i="79"/>
  <c r="I433" i="79" s="1"/>
  <c r="D383" i="79"/>
  <c r="I382" i="79"/>
  <c r="D382" i="79"/>
  <c r="I381" i="79"/>
  <c r="I449" i="79" s="1"/>
  <c r="D381" i="79"/>
  <c r="I380" i="79"/>
  <c r="I407" i="79" s="1"/>
  <c r="D380" i="79"/>
  <c r="I379" i="79"/>
  <c r="D379" i="79"/>
  <c r="I378" i="79"/>
  <c r="D378" i="79"/>
  <c r="I377" i="79"/>
  <c r="I450" i="79" s="1"/>
  <c r="D377" i="79"/>
  <c r="I376" i="79"/>
  <c r="D376" i="79"/>
  <c r="I375" i="79"/>
  <c r="D375" i="79"/>
  <c r="I374" i="79"/>
  <c r="I417" i="79" s="1"/>
  <c r="D374" i="79"/>
  <c r="I373" i="79"/>
  <c r="I439" i="79" s="1"/>
  <c r="D373" i="79"/>
  <c r="I372" i="79"/>
  <c r="D372" i="79"/>
  <c r="I371" i="79"/>
  <c r="D371" i="79"/>
  <c r="I370" i="79"/>
  <c r="D370" i="79"/>
  <c r="I369" i="79"/>
  <c r="D369" i="79"/>
  <c r="I368" i="79"/>
  <c r="I438" i="79" s="1"/>
  <c r="D368" i="79"/>
  <c r="I367" i="79"/>
  <c r="D367" i="79"/>
  <c r="I366" i="79"/>
  <c r="I413" i="79" s="1"/>
  <c r="D366" i="79"/>
  <c r="I365" i="79"/>
  <c r="I434" i="79" s="1"/>
  <c r="D365" i="79"/>
  <c r="I364" i="79"/>
  <c r="D364" i="79"/>
  <c r="I363" i="79"/>
  <c r="D363" i="79"/>
  <c r="I362" i="79"/>
  <c r="I435" i="79" s="1"/>
  <c r="D362" i="79"/>
  <c r="I361" i="79"/>
  <c r="D361" i="79"/>
  <c r="I360" i="79"/>
  <c r="I401" i="79" s="1"/>
  <c r="D360" i="79"/>
  <c r="I359" i="79"/>
  <c r="I424" i="79" s="1"/>
  <c r="D359" i="79"/>
  <c r="I358" i="79"/>
  <c r="D358" i="79"/>
  <c r="I357" i="79"/>
  <c r="I404" i="79" s="1"/>
  <c r="D357" i="79"/>
  <c r="I356" i="79"/>
  <c r="I437" i="79" s="1"/>
  <c r="D356" i="79"/>
  <c r="I355" i="79"/>
  <c r="D355" i="79"/>
  <c r="I354" i="79"/>
  <c r="I442" i="79" s="1"/>
  <c r="D354" i="79"/>
  <c r="I353" i="79"/>
  <c r="I447" i="79" s="1"/>
  <c r="D353" i="79"/>
  <c r="I352" i="79"/>
  <c r="D352" i="79"/>
  <c r="D251" i="79"/>
  <c r="K715" i="79" l="1"/>
  <c r="K716" i="79" s="1"/>
  <c r="K654" i="79"/>
  <c r="I616" i="79"/>
  <c r="I647" i="79"/>
  <c r="I617" i="79"/>
  <c r="I474" i="79"/>
  <c r="I470" i="79"/>
  <c r="I476" i="79"/>
  <c r="I471" i="79"/>
  <c r="I624" i="79"/>
  <c r="I651" i="79"/>
  <c r="I420" i="79"/>
  <c r="I440" i="79"/>
  <c r="I473" i="79"/>
  <c r="I444" i="79"/>
  <c r="I481" i="79"/>
  <c r="I427" i="79"/>
  <c r="I428" i="79"/>
  <c r="I502" i="79"/>
  <c r="I628" i="79"/>
  <c r="I431" i="79"/>
  <c r="I639" i="79"/>
  <c r="I409" i="79"/>
  <c r="I486" i="79" s="1"/>
  <c r="I432" i="79"/>
  <c r="I455" i="79"/>
  <c r="I640" i="79"/>
  <c r="I477" i="79"/>
  <c r="I621" i="79"/>
  <c r="I412" i="79"/>
  <c r="I415" i="79"/>
  <c r="I423" i="79"/>
  <c r="I478" i="79"/>
  <c r="I464" i="79"/>
  <c r="I499" i="79"/>
  <c r="I636" i="79"/>
  <c r="I496" i="79"/>
  <c r="I645" i="79"/>
  <c r="I495" i="79"/>
  <c r="I625" i="79"/>
  <c r="I622" i="79"/>
  <c r="I649" i="79"/>
  <c r="I618" i="79"/>
  <c r="I421" i="79"/>
  <c r="I457" i="79"/>
  <c r="I475" i="79"/>
  <c r="I642" i="79"/>
  <c r="I416" i="79"/>
  <c r="I425" i="79"/>
  <c r="I445" i="79"/>
  <c r="I501" i="79"/>
  <c r="I482" i="79"/>
  <c r="I626" i="79"/>
  <c r="I405" i="79"/>
  <c r="I429" i="79"/>
  <c r="I441" i="79"/>
  <c r="I453" i="79"/>
  <c r="I467" i="79"/>
  <c r="I479" i="79"/>
  <c r="I402" i="79"/>
  <c r="I631" i="79" s="1"/>
  <c r="I406" i="79"/>
  <c r="I414" i="79"/>
  <c r="I422" i="79"/>
  <c r="I430" i="79"/>
  <c r="I446" i="79"/>
  <c r="I454" i="79"/>
  <c r="I468" i="79"/>
  <c r="I472" i="79"/>
  <c r="I480" i="79"/>
  <c r="I643" i="79"/>
  <c r="I411" i="79"/>
  <c r="I443" i="79"/>
  <c r="I451" i="79"/>
  <c r="I469" i="79"/>
  <c r="I485" i="79" l="1"/>
  <c r="I494" i="79"/>
  <c r="I623" i="79"/>
  <c r="I644" i="79"/>
  <c r="I619" i="79"/>
  <c r="I648" i="79"/>
  <c r="I620" i="79"/>
  <c r="I630" i="79"/>
  <c r="I497" i="79"/>
  <c r="I493" i="79"/>
  <c r="I641" i="79"/>
  <c r="I488" i="79"/>
  <c r="I490" i="79"/>
  <c r="I487" i="79"/>
  <c r="I635" i="79"/>
  <c r="I498" i="79"/>
  <c r="I463" i="79"/>
  <c r="I627" i="79"/>
  <c r="I629" i="79"/>
  <c r="I489" i="79"/>
  <c r="I634" i="79"/>
  <c r="I500" i="79"/>
  <c r="I462" i="79"/>
  <c r="I491" i="79"/>
  <c r="I650" i="79"/>
  <c r="I484" i="79"/>
  <c r="I492" i="79"/>
  <c r="I646" i="79"/>
  <c r="I654" i="79" l="1"/>
  <c r="H11" i="5" l="1"/>
  <c r="U22" i="188" l="1"/>
  <c r="T22" i="188"/>
  <c r="S22" i="188"/>
  <c r="R22" i="188"/>
  <c r="Q22" i="188"/>
  <c r="P22" i="188"/>
  <c r="O22" i="188"/>
  <c r="N22" i="188"/>
  <c r="M22" i="188"/>
  <c r="L22" i="188"/>
  <c r="R59" i="5"/>
  <c r="P49" i="188"/>
  <c r="Y49" i="188"/>
  <c r="X49" i="188"/>
  <c r="W49" i="188"/>
  <c r="V49" i="188"/>
  <c r="U49" i="188"/>
  <c r="T49" i="188"/>
  <c r="S49" i="188"/>
  <c r="R49" i="188"/>
  <c r="Q49" i="188"/>
  <c r="E61" i="209" l="1"/>
  <c r="D61" i="209"/>
  <c r="E60" i="209"/>
  <c r="D60" i="209"/>
  <c r="E59" i="209"/>
  <c r="D59" i="209"/>
  <c r="E58" i="209"/>
  <c r="D58" i="209"/>
  <c r="E57" i="209"/>
  <c r="D57" i="209"/>
  <c r="E56" i="209"/>
  <c r="D56" i="209"/>
  <c r="E55" i="209"/>
  <c r="D55" i="209"/>
  <c r="E54" i="209"/>
  <c r="D54" i="209"/>
  <c r="E53" i="209"/>
  <c r="D53" i="209"/>
  <c r="E52" i="209"/>
  <c r="D52" i="209"/>
  <c r="E51" i="209"/>
  <c r="D51" i="209"/>
  <c r="E50" i="209"/>
  <c r="D50" i="209"/>
  <c r="E49" i="209"/>
  <c r="D49" i="209"/>
  <c r="E48" i="209"/>
  <c r="D48" i="209"/>
  <c r="E47" i="209"/>
  <c r="D47" i="209"/>
  <c r="E46" i="209"/>
  <c r="D46" i="209"/>
  <c r="E45" i="209"/>
  <c r="D45" i="209"/>
  <c r="E44" i="209"/>
  <c r="D44" i="209"/>
  <c r="E43" i="209"/>
  <c r="D43" i="209"/>
  <c r="E42" i="209"/>
  <c r="D42" i="209"/>
  <c r="E41" i="209"/>
  <c r="D41" i="209"/>
  <c r="E40" i="209"/>
  <c r="D40" i="209"/>
  <c r="E39" i="209"/>
  <c r="D39" i="209"/>
  <c r="E38" i="209"/>
  <c r="D38" i="209"/>
  <c r="E37" i="209"/>
  <c r="D37" i="209"/>
  <c r="E36" i="209"/>
  <c r="D36" i="209"/>
  <c r="E35" i="209"/>
  <c r="D35" i="209"/>
  <c r="E34" i="209"/>
  <c r="D34" i="209"/>
  <c r="E33" i="209"/>
  <c r="D33" i="209"/>
  <c r="E32" i="209"/>
  <c r="D32" i="209"/>
  <c r="E31" i="209"/>
  <c r="D31" i="209"/>
  <c r="E30" i="209"/>
  <c r="D30" i="209"/>
  <c r="E29" i="209"/>
  <c r="D29" i="209"/>
  <c r="E28" i="209"/>
  <c r="D28" i="209"/>
  <c r="E27" i="209"/>
  <c r="D27" i="209"/>
  <c r="E26" i="209"/>
  <c r="D26" i="209"/>
  <c r="E25" i="209"/>
  <c r="D25" i="209"/>
  <c r="E24" i="209"/>
  <c r="D24" i="209"/>
  <c r="E23" i="209"/>
  <c r="D23" i="209"/>
  <c r="U22" i="209"/>
  <c r="T22" i="209"/>
  <c r="E22" i="209"/>
  <c r="D22" i="209"/>
  <c r="E21" i="209"/>
  <c r="D21" i="209"/>
  <c r="E20" i="209"/>
  <c r="D20" i="209"/>
  <c r="E19" i="209"/>
  <c r="D19" i="209"/>
  <c r="E18" i="209"/>
  <c r="D18" i="209"/>
  <c r="E17" i="209"/>
  <c r="D17" i="209"/>
  <c r="E16" i="209"/>
  <c r="D16" i="209"/>
  <c r="E15" i="209"/>
  <c r="D15" i="209"/>
  <c r="E14" i="209"/>
  <c r="D14" i="209"/>
  <c r="E13" i="209"/>
  <c r="D13" i="209"/>
  <c r="E12" i="209"/>
  <c r="D12" i="209"/>
  <c r="E11" i="209"/>
  <c r="D11" i="209"/>
  <c r="E10" i="209"/>
  <c r="D10" i="209"/>
  <c r="E9" i="209"/>
  <c r="D9" i="209"/>
  <c r="E8" i="209"/>
  <c r="D8" i="209"/>
  <c r="E7" i="209"/>
  <c r="D7" i="209"/>
  <c r="E6" i="209"/>
  <c r="D6" i="209"/>
  <c r="E5" i="209"/>
  <c r="D5" i="209"/>
  <c r="E4" i="209"/>
  <c r="D4" i="209"/>
  <c r="E3" i="209"/>
  <c r="D3" i="209"/>
  <c r="E2" i="209"/>
  <c r="D2" i="209"/>
  <c r="A1" i="209"/>
  <c r="M20" i="209" l="1"/>
  <c r="M16" i="209"/>
  <c r="L20" i="209"/>
  <c r="L16" i="209"/>
  <c r="M15" i="209"/>
  <c r="L19" i="209"/>
  <c r="L15" i="209"/>
  <c r="M19" i="209"/>
  <c r="M18" i="209"/>
  <c r="L18" i="209"/>
  <c r="M17" i="209"/>
  <c r="L17" i="209"/>
  <c r="D1" i="209"/>
  <c r="E1" i="209"/>
  <c r="U28" i="188"/>
  <c r="T28" i="188"/>
  <c r="S28" i="188"/>
  <c r="R28" i="188"/>
  <c r="Q28" i="188"/>
  <c r="P28" i="188"/>
  <c r="O28" i="188"/>
  <c r="N28" i="188"/>
  <c r="M28" i="188"/>
  <c r="L28" i="188"/>
  <c r="U27" i="188"/>
  <c r="T27" i="188"/>
  <c r="S27" i="188"/>
  <c r="R27" i="188"/>
  <c r="Q27" i="188"/>
  <c r="P27" i="188"/>
  <c r="O27" i="188"/>
  <c r="N27" i="188"/>
  <c r="M27" i="188"/>
  <c r="L27" i="188"/>
  <c r="I2" i="203" l="1"/>
  <c r="M2" i="193"/>
  <c r="P59" i="5"/>
  <c r="E1" i="78" l="1"/>
  <c r="N4" i="188" l="1"/>
  <c r="P62" i="5" l="1"/>
  <c r="C545" i="5"/>
  <c r="M111" i="78" l="1"/>
  <c r="L111" i="78"/>
  <c r="K111" i="78"/>
  <c r="J111" i="78"/>
  <c r="I111" i="78"/>
  <c r="H111" i="78"/>
  <c r="G111" i="78"/>
  <c r="F111" i="78"/>
  <c r="E111" i="78"/>
  <c r="D111" i="78"/>
  <c r="L24" i="188" l="1"/>
  <c r="U29" i="188"/>
  <c r="U26" i="188"/>
  <c r="U25" i="188"/>
  <c r="U24" i="188"/>
  <c r="T29" i="188"/>
  <c r="T26" i="188"/>
  <c r="T25" i="188"/>
  <c r="T24" i="188"/>
  <c r="S29" i="188"/>
  <c r="S26" i="188"/>
  <c r="S25" i="188"/>
  <c r="S24" i="188"/>
  <c r="R29" i="188"/>
  <c r="R26" i="188"/>
  <c r="R25" i="188"/>
  <c r="R24" i="188"/>
  <c r="Q29" i="188"/>
  <c r="Q26" i="188"/>
  <c r="Q25" i="188"/>
  <c r="Q24" i="188"/>
  <c r="P29" i="188"/>
  <c r="P26" i="188"/>
  <c r="P25" i="188"/>
  <c r="P24" i="188"/>
  <c r="O29" i="188"/>
  <c r="O26" i="188"/>
  <c r="O25" i="188"/>
  <c r="O24" i="188"/>
  <c r="N29" i="188"/>
  <c r="N26" i="188"/>
  <c r="N25" i="188"/>
  <c r="N24" i="188"/>
  <c r="M29" i="188"/>
  <c r="M26" i="188"/>
  <c r="M25" i="188"/>
  <c r="M24" i="188"/>
  <c r="L29" i="188"/>
  <c r="L26" i="188"/>
  <c r="L25" i="188"/>
  <c r="I13" i="5"/>
  <c r="AE1" i="172" l="1"/>
  <c r="Q47" i="5" l="1"/>
  <c r="K2" i="178" l="1"/>
  <c r="C108" i="78"/>
  <c r="M108" i="78" s="1"/>
  <c r="F108" i="78" l="1"/>
  <c r="J108" i="78"/>
  <c r="K108" i="78"/>
  <c r="D108" i="78"/>
  <c r="H108" i="78"/>
  <c r="L108" i="78"/>
  <c r="G108" i="78"/>
  <c r="E108" i="78"/>
  <c r="I108" i="78"/>
  <c r="E17" i="188"/>
  <c r="E16" i="188"/>
  <c r="E15" i="188"/>
  <c r="E14" i="188"/>
  <c r="E13" i="188"/>
  <c r="E12" i="188"/>
  <c r="E11" i="188"/>
  <c r="E10" i="188"/>
  <c r="E9" i="188"/>
  <c r="E8" i="188"/>
  <c r="AI61" i="78" l="1"/>
  <c r="AI60" i="78"/>
  <c r="AI59" i="78"/>
  <c r="AI58" i="78"/>
  <c r="AI57" i="78"/>
  <c r="AI56" i="78"/>
  <c r="AI55" i="78"/>
  <c r="AI54" i="78"/>
  <c r="AI53" i="78"/>
  <c r="AI52" i="78"/>
  <c r="AI51" i="78"/>
  <c r="AI50" i="78"/>
  <c r="AI49" i="78"/>
  <c r="AI47" i="78"/>
  <c r="AI46" i="78"/>
  <c r="AI45" i="78"/>
  <c r="AI44" i="78"/>
  <c r="AI27" i="78"/>
  <c r="AI28" i="78"/>
  <c r="AI29" i="78"/>
  <c r="AI30" i="78"/>
  <c r="AI31" i="78"/>
  <c r="AI32" i="78"/>
  <c r="AI33" i="78"/>
  <c r="AI34" i="78"/>
  <c r="AI35" i="78"/>
  <c r="AI36" i="78"/>
  <c r="AI37" i="78"/>
  <c r="AI38" i="78"/>
  <c r="AI39" i="78"/>
  <c r="AI40" i="78"/>
  <c r="AI41" i="78"/>
  <c r="AI26" i="78"/>
  <c r="AJ25" i="78"/>
  <c r="AO25" i="78" l="1"/>
  <c r="AQ20" i="78" l="1"/>
  <c r="AM20" i="78" l="1"/>
  <c r="U96" i="78" l="1"/>
  <c r="AP25" i="78" l="1"/>
  <c r="AO23" i="78"/>
  <c r="AN23" i="78"/>
  <c r="AO22" i="78"/>
  <c r="AN22" i="78"/>
  <c r="AP23" i="78" l="1"/>
  <c r="AP22" i="78"/>
  <c r="AK27" i="78" l="1"/>
  <c r="AK26" i="78"/>
  <c r="N90" i="78" l="1"/>
  <c r="M90" i="78"/>
  <c r="L90" i="78"/>
  <c r="K90" i="78"/>
  <c r="J90" i="78"/>
  <c r="I90" i="78"/>
  <c r="H90" i="78"/>
  <c r="G90" i="78"/>
  <c r="F90" i="78"/>
  <c r="E90" i="78"/>
  <c r="N89" i="78"/>
  <c r="M89" i="78"/>
  <c r="L89" i="78"/>
  <c r="K89" i="78"/>
  <c r="J89" i="78"/>
  <c r="I89" i="78"/>
  <c r="H89" i="78"/>
  <c r="G89" i="78"/>
  <c r="F89" i="78"/>
  <c r="E89" i="78"/>
  <c r="N88" i="78"/>
  <c r="M88" i="78"/>
  <c r="L88" i="78"/>
  <c r="K88" i="78"/>
  <c r="J88" i="78"/>
  <c r="I88" i="78"/>
  <c r="H88" i="78"/>
  <c r="G88" i="78"/>
  <c r="F88" i="78"/>
  <c r="E88" i="78"/>
  <c r="N87" i="78"/>
  <c r="M87" i="78"/>
  <c r="L87" i="78"/>
  <c r="K87" i="78"/>
  <c r="J87" i="78"/>
  <c r="I87" i="78"/>
  <c r="H87" i="78"/>
  <c r="G87" i="78"/>
  <c r="F87" i="78"/>
  <c r="E87" i="78"/>
  <c r="N86" i="78"/>
  <c r="M86" i="78"/>
  <c r="L86" i="78"/>
  <c r="K86" i="78"/>
  <c r="J86" i="78"/>
  <c r="I86" i="78"/>
  <c r="H86" i="78"/>
  <c r="G86" i="78"/>
  <c r="F86" i="78"/>
  <c r="E86" i="78"/>
  <c r="N85" i="78"/>
  <c r="M85" i="78"/>
  <c r="L85" i="78"/>
  <c r="K85" i="78"/>
  <c r="J85" i="78"/>
  <c r="I85" i="78"/>
  <c r="H85" i="78"/>
  <c r="G85" i="78"/>
  <c r="F85" i="78"/>
  <c r="E85" i="78"/>
  <c r="N84" i="78"/>
  <c r="M84" i="78"/>
  <c r="L84" i="78"/>
  <c r="K84" i="78"/>
  <c r="J84" i="78"/>
  <c r="I84" i="78"/>
  <c r="H84" i="78"/>
  <c r="G84" i="78"/>
  <c r="F84" i="78"/>
  <c r="E84" i="78"/>
  <c r="N83" i="78"/>
  <c r="M83" i="78"/>
  <c r="L83" i="78"/>
  <c r="K83" i="78"/>
  <c r="J83" i="78"/>
  <c r="I83" i="78"/>
  <c r="H83" i="78"/>
  <c r="G83" i="78"/>
  <c r="F83" i="78"/>
  <c r="E83" i="78"/>
  <c r="N82" i="78"/>
  <c r="M82" i="78"/>
  <c r="L82" i="78"/>
  <c r="K82" i="78"/>
  <c r="J82" i="78"/>
  <c r="I82" i="78"/>
  <c r="H82" i="78"/>
  <c r="G82" i="78"/>
  <c r="F82" i="78"/>
  <c r="E82" i="78"/>
  <c r="N81" i="78"/>
  <c r="M81" i="78"/>
  <c r="L81" i="78"/>
  <c r="K81" i="78"/>
  <c r="J81" i="78"/>
  <c r="I81" i="78"/>
  <c r="H81" i="78"/>
  <c r="G81" i="78"/>
  <c r="F81" i="78"/>
  <c r="E81" i="78"/>
  <c r="N80" i="78"/>
  <c r="M80" i="78"/>
  <c r="L80" i="78"/>
  <c r="K80" i="78"/>
  <c r="J80" i="78"/>
  <c r="I80" i="78"/>
  <c r="H80" i="78"/>
  <c r="G80" i="78"/>
  <c r="F80" i="78"/>
  <c r="E80" i="78"/>
  <c r="N79" i="78"/>
  <c r="M79" i="78"/>
  <c r="L79" i="78"/>
  <c r="K79" i="78"/>
  <c r="J79" i="78"/>
  <c r="I79" i="78"/>
  <c r="H79" i="78"/>
  <c r="G79" i="78"/>
  <c r="F79" i="78"/>
  <c r="E79" i="78"/>
  <c r="N78" i="78"/>
  <c r="M78" i="78"/>
  <c r="L78" i="78"/>
  <c r="K78" i="78"/>
  <c r="J78" i="78"/>
  <c r="I78" i="78"/>
  <c r="H78" i="78"/>
  <c r="G78" i="78"/>
  <c r="F78" i="78"/>
  <c r="E78" i="78"/>
  <c r="N77" i="78"/>
  <c r="M77" i="78"/>
  <c r="L77" i="78"/>
  <c r="K77" i="78"/>
  <c r="J77" i="78"/>
  <c r="I77" i="78"/>
  <c r="H77" i="78"/>
  <c r="G77" i="78"/>
  <c r="F77" i="78"/>
  <c r="E77" i="78"/>
  <c r="N76" i="78"/>
  <c r="M76" i="78"/>
  <c r="L76" i="78"/>
  <c r="K76" i="78"/>
  <c r="J76" i="78"/>
  <c r="I76" i="78"/>
  <c r="H76" i="78"/>
  <c r="G76" i="78"/>
  <c r="F76" i="78"/>
  <c r="E76" i="78"/>
  <c r="N75" i="78"/>
  <c r="M75" i="78"/>
  <c r="L75" i="78"/>
  <c r="K75" i="78"/>
  <c r="J75" i="78"/>
  <c r="I75" i="78"/>
  <c r="H75" i="78"/>
  <c r="G75" i="78"/>
  <c r="F75" i="78"/>
  <c r="E75" i="78"/>
  <c r="N74" i="78"/>
  <c r="M74" i="78"/>
  <c r="L74" i="78"/>
  <c r="K74" i="78"/>
  <c r="J74" i="78"/>
  <c r="I74" i="78"/>
  <c r="H74" i="78"/>
  <c r="G74" i="78"/>
  <c r="F74" i="78"/>
  <c r="E74" i="78"/>
  <c r="N73" i="78"/>
  <c r="M73" i="78"/>
  <c r="L73" i="78"/>
  <c r="K73" i="78"/>
  <c r="J73" i="78"/>
  <c r="I73" i="78"/>
  <c r="H73" i="78"/>
  <c r="G73" i="78"/>
  <c r="F73" i="78"/>
  <c r="E73" i="78"/>
  <c r="N72" i="78"/>
  <c r="M72" i="78"/>
  <c r="L72" i="78"/>
  <c r="K72" i="78"/>
  <c r="J72" i="78"/>
  <c r="I72" i="78"/>
  <c r="H72" i="78"/>
  <c r="G72" i="78"/>
  <c r="F72" i="78"/>
  <c r="E72" i="78"/>
  <c r="N71" i="78"/>
  <c r="M71" i="78"/>
  <c r="L71" i="78"/>
  <c r="K71" i="78"/>
  <c r="J71" i="78"/>
  <c r="I71" i="78"/>
  <c r="H71" i="78"/>
  <c r="G71" i="78"/>
  <c r="F71" i="78"/>
  <c r="E71" i="78"/>
  <c r="N70" i="78"/>
  <c r="M70" i="78"/>
  <c r="L70" i="78"/>
  <c r="K70" i="78"/>
  <c r="J70" i="78"/>
  <c r="I70" i="78"/>
  <c r="H70" i="78"/>
  <c r="G70" i="78"/>
  <c r="F70" i="78"/>
  <c r="E70" i="78"/>
  <c r="N69" i="78"/>
  <c r="M69" i="78"/>
  <c r="L69" i="78"/>
  <c r="K69" i="78"/>
  <c r="J69" i="78"/>
  <c r="I69" i="78"/>
  <c r="H69" i="78"/>
  <c r="G69" i="78"/>
  <c r="F69" i="78"/>
  <c r="E69" i="78"/>
  <c r="N68" i="78"/>
  <c r="M68" i="78"/>
  <c r="L68" i="78"/>
  <c r="K68" i="78"/>
  <c r="J68" i="78"/>
  <c r="I68" i="78"/>
  <c r="H68" i="78"/>
  <c r="G68" i="78"/>
  <c r="F68" i="78"/>
  <c r="E68" i="78"/>
  <c r="N67" i="78"/>
  <c r="M67" i="78"/>
  <c r="L67" i="78"/>
  <c r="K67" i="78"/>
  <c r="J67" i="78"/>
  <c r="I67" i="78"/>
  <c r="H67" i="78"/>
  <c r="G67" i="78"/>
  <c r="F67" i="78"/>
  <c r="E67" i="78"/>
  <c r="N66" i="78"/>
  <c r="M66" i="78"/>
  <c r="L66" i="78"/>
  <c r="K66" i="78"/>
  <c r="J66" i="78"/>
  <c r="I66" i="78"/>
  <c r="H66" i="78"/>
  <c r="G66" i="78"/>
  <c r="F66" i="78"/>
  <c r="E66" i="78"/>
  <c r="N65" i="78"/>
  <c r="M65" i="78"/>
  <c r="L65" i="78"/>
  <c r="K65" i="78"/>
  <c r="J65" i="78"/>
  <c r="I65" i="78"/>
  <c r="H65" i="78"/>
  <c r="G65" i="78"/>
  <c r="F65" i="78"/>
  <c r="E65" i="78"/>
  <c r="N64" i="78"/>
  <c r="M64" i="78"/>
  <c r="L64" i="78"/>
  <c r="K64" i="78"/>
  <c r="J64" i="78"/>
  <c r="I64" i="78"/>
  <c r="H64" i="78"/>
  <c r="G64" i="78"/>
  <c r="F64" i="78"/>
  <c r="E64" i="78"/>
  <c r="N63" i="78"/>
  <c r="M63" i="78"/>
  <c r="L63" i="78"/>
  <c r="K63" i="78"/>
  <c r="J63" i="78"/>
  <c r="I63" i="78"/>
  <c r="H63" i="78"/>
  <c r="G63" i="78"/>
  <c r="F63" i="78"/>
  <c r="E63" i="78"/>
  <c r="U62" i="78"/>
  <c r="N62" i="78"/>
  <c r="M62" i="78"/>
  <c r="L62" i="78"/>
  <c r="K62" i="78"/>
  <c r="J62" i="78"/>
  <c r="I62" i="78"/>
  <c r="H62" i="78"/>
  <c r="G62" i="78"/>
  <c r="F62" i="78"/>
  <c r="E62" i="78"/>
  <c r="AG61" i="78"/>
  <c r="AF61" i="78"/>
  <c r="AE61" i="78"/>
  <c r="AD61" i="78"/>
  <c r="AC61" i="78"/>
  <c r="AB61" i="78"/>
  <c r="AA61" i="78"/>
  <c r="Z61" i="78"/>
  <c r="Y61" i="78"/>
  <c r="X61" i="78"/>
  <c r="N61" i="78"/>
  <c r="M61" i="78"/>
  <c r="L61" i="78"/>
  <c r="K61" i="78"/>
  <c r="J61" i="78"/>
  <c r="I61" i="78"/>
  <c r="H61" i="78"/>
  <c r="G61" i="78"/>
  <c r="F61" i="78"/>
  <c r="E61" i="78"/>
  <c r="AG60" i="78"/>
  <c r="AF60" i="78"/>
  <c r="AE60" i="78"/>
  <c r="AD60" i="78"/>
  <c r="AC60" i="78"/>
  <c r="AB60" i="78"/>
  <c r="AA60" i="78"/>
  <c r="Z60" i="78"/>
  <c r="Y60" i="78"/>
  <c r="X60" i="78"/>
  <c r="N60" i="78"/>
  <c r="M60" i="78"/>
  <c r="L60" i="78"/>
  <c r="K60" i="78"/>
  <c r="J60" i="78"/>
  <c r="I60" i="78"/>
  <c r="H60" i="78"/>
  <c r="G60" i="78"/>
  <c r="F60" i="78"/>
  <c r="E60" i="78"/>
  <c r="AG59" i="78"/>
  <c r="AF59" i="78"/>
  <c r="AE59" i="78"/>
  <c r="AD59" i="78"/>
  <c r="AC59" i="78"/>
  <c r="AB59" i="78"/>
  <c r="AA59" i="78"/>
  <c r="Z59" i="78"/>
  <c r="Y59" i="78"/>
  <c r="X59" i="78"/>
  <c r="N59" i="78"/>
  <c r="M59" i="78"/>
  <c r="L59" i="78"/>
  <c r="K59" i="78"/>
  <c r="J59" i="78"/>
  <c r="I59" i="78"/>
  <c r="H59" i="78"/>
  <c r="G59" i="78"/>
  <c r="F59" i="78"/>
  <c r="E59" i="78"/>
  <c r="AG58" i="78"/>
  <c r="AF58" i="78"/>
  <c r="AE58" i="78"/>
  <c r="AD58" i="78"/>
  <c r="AC58" i="78"/>
  <c r="AB58" i="78"/>
  <c r="AA58" i="78"/>
  <c r="Z58" i="78"/>
  <c r="Y58" i="78"/>
  <c r="X58" i="78"/>
  <c r="N58" i="78"/>
  <c r="M58" i="78"/>
  <c r="L58" i="78"/>
  <c r="K58" i="78"/>
  <c r="J58" i="78"/>
  <c r="I58" i="78"/>
  <c r="H58" i="78"/>
  <c r="G58" i="78"/>
  <c r="F58" i="78"/>
  <c r="E58" i="78"/>
  <c r="AG57" i="78"/>
  <c r="AF57" i="78"/>
  <c r="AE57" i="78"/>
  <c r="AD57" i="78"/>
  <c r="AC57" i="78"/>
  <c r="AB57" i="78"/>
  <c r="AA57" i="78"/>
  <c r="Z57" i="78"/>
  <c r="Y57" i="78"/>
  <c r="X57" i="78"/>
  <c r="N57" i="78"/>
  <c r="M57" i="78"/>
  <c r="L57" i="78"/>
  <c r="K57" i="78"/>
  <c r="J57" i="78"/>
  <c r="I57" i="78"/>
  <c r="H57" i="78"/>
  <c r="G57" i="78"/>
  <c r="F57" i="78"/>
  <c r="E57" i="78"/>
  <c r="AG56" i="78"/>
  <c r="AF56" i="78"/>
  <c r="AE56" i="78"/>
  <c r="AD56" i="78"/>
  <c r="AC56" i="78"/>
  <c r="AB56" i="78"/>
  <c r="AA56" i="78"/>
  <c r="Z56" i="78"/>
  <c r="Y56" i="78"/>
  <c r="X56" i="78"/>
  <c r="N56" i="78"/>
  <c r="M56" i="78"/>
  <c r="L56" i="78"/>
  <c r="K56" i="78"/>
  <c r="J56" i="78"/>
  <c r="I56" i="78"/>
  <c r="H56" i="78"/>
  <c r="G56" i="78"/>
  <c r="F56" i="78"/>
  <c r="E56" i="78"/>
  <c r="AG55" i="78"/>
  <c r="AF55" i="78"/>
  <c r="AE55" i="78"/>
  <c r="AD55" i="78"/>
  <c r="AC55" i="78"/>
  <c r="AB55" i="78"/>
  <c r="AA55" i="78"/>
  <c r="Z55" i="78"/>
  <c r="Y55" i="78"/>
  <c r="X55" i="78"/>
  <c r="N55" i="78"/>
  <c r="M55" i="78"/>
  <c r="L55" i="78"/>
  <c r="K55" i="78"/>
  <c r="J55" i="78"/>
  <c r="I55" i="78"/>
  <c r="H55" i="78"/>
  <c r="G55" i="78"/>
  <c r="F55" i="78"/>
  <c r="E55" i="78"/>
  <c r="AG54" i="78"/>
  <c r="AF54" i="78"/>
  <c r="AE54" i="78"/>
  <c r="AD54" i="78"/>
  <c r="AC54" i="78"/>
  <c r="AB54" i="78"/>
  <c r="AA54" i="78"/>
  <c r="Z54" i="78"/>
  <c r="Y54" i="78"/>
  <c r="X54" i="78"/>
  <c r="N54" i="78"/>
  <c r="M54" i="78"/>
  <c r="L54" i="78"/>
  <c r="K54" i="78"/>
  <c r="J54" i="78"/>
  <c r="I54" i="78"/>
  <c r="H54" i="78"/>
  <c r="G54" i="78"/>
  <c r="F54" i="78"/>
  <c r="E54" i="78"/>
  <c r="AG53" i="78"/>
  <c r="AF53" i="78"/>
  <c r="AE53" i="78"/>
  <c r="AD53" i="78"/>
  <c r="AC53" i="78"/>
  <c r="AB53" i="78"/>
  <c r="AA53" i="78"/>
  <c r="Z53" i="78"/>
  <c r="Y53" i="78"/>
  <c r="X53" i="78"/>
  <c r="N53" i="78"/>
  <c r="M53" i="78"/>
  <c r="L53" i="78"/>
  <c r="K53" i="78"/>
  <c r="J53" i="78"/>
  <c r="I53" i="78"/>
  <c r="H53" i="78"/>
  <c r="G53" i="78"/>
  <c r="F53" i="78"/>
  <c r="E53" i="78"/>
  <c r="AG52" i="78"/>
  <c r="AF52" i="78"/>
  <c r="AE52" i="78"/>
  <c r="AD52" i="78"/>
  <c r="AC52" i="78"/>
  <c r="AB52" i="78"/>
  <c r="AA52" i="78"/>
  <c r="Z52" i="78"/>
  <c r="Y52" i="78"/>
  <c r="X52" i="78"/>
  <c r="N52" i="78"/>
  <c r="M52" i="78"/>
  <c r="L52" i="78"/>
  <c r="K52" i="78"/>
  <c r="J52" i="78"/>
  <c r="I52" i="78"/>
  <c r="H52" i="78"/>
  <c r="G52" i="78"/>
  <c r="F52" i="78"/>
  <c r="E52" i="78"/>
  <c r="AG51" i="78"/>
  <c r="AF51" i="78"/>
  <c r="AE51" i="78"/>
  <c r="AD51" i="78"/>
  <c r="AC51" i="78"/>
  <c r="AB51" i="78"/>
  <c r="AA51" i="78"/>
  <c r="Z51" i="78"/>
  <c r="Y51" i="78"/>
  <c r="X51" i="78"/>
  <c r="N51" i="78"/>
  <c r="M51" i="78"/>
  <c r="L51" i="78"/>
  <c r="K51" i="78"/>
  <c r="J51" i="78"/>
  <c r="I51" i="78"/>
  <c r="H51" i="78"/>
  <c r="G51" i="78"/>
  <c r="F51" i="78"/>
  <c r="E51" i="78"/>
  <c r="AG50" i="78"/>
  <c r="AF50" i="78"/>
  <c r="AE50" i="78"/>
  <c r="AD50" i="78"/>
  <c r="AC50" i="78"/>
  <c r="AB50" i="78"/>
  <c r="AA50" i="78"/>
  <c r="Z50" i="78"/>
  <c r="Y50" i="78"/>
  <c r="X50" i="78"/>
  <c r="N50" i="78"/>
  <c r="M50" i="78"/>
  <c r="L50" i="78"/>
  <c r="K50" i="78"/>
  <c r="J50" i="78"/>
  <c r="I50" i="78"/>
  <c r="H50" i="78"/>
  <c r="G50" i="78"/>
  <c r="F50" i="78"/>
  <c r="E50" i="78"/>
  <c r="AG49" i="78"/>
  <c r="AF49" i="78"/>
  <c r="AE49" i="78"/>
  <c r="AD49" i="78"/>
  <c r="AC49" i="78"/>
  <c r="AB49" i="78"/>
  <c r="AA49" i="78"/>
  <c r="Z49" i="78"/>
  <c r="Y49" i="78"/>
  <c r="X49" i="78"/>
  <c r="N49" i="78"/>
  <c r="M49" i="78"/>
  <c r="L49" i="78"/>
  <c r="K49" i="78"/>
  <c r="J49" i="78"/>
  <c r="I49" i="78"/>
  <c r="H49" i="78"/>
  <c r="G49" i="78"/>
  <c r="F49" i="78"/>
  <c r="E49" i="78"/>
  <c r="N48" i="78"/>
  <c r="M48" i="78"/>
  <c r="L48" i="78"/>
  <c r="K48" i="78"/>
  <c r="J48" i="78"/>
  <c r="I48" i="78"/>
  <c r="H48" i="78"/>
  <c r="G48" i="78"/>
  <c r="F48" i="78"/>
  <c r="E48" i="78"/>
  <c r="AG47" i="78"/>
  <c r="AF47" i="78"/>
  <c r="AE47" i="78"/>
  <c r="AD47" i="78"/>
  <c r="AC47" i="78"/>
  <c r="AB47" i="78"/>
  <c r="AA47" i="78"/>
  <c r="Z47" i="78"/>
  <c r="Y47" i="78"/>
  <c r="X47" i="78"/>
  <c r="N47" i="78"/>
  <c r="M47" i="78"/>
  <c r="L47" i="78"/>
  <c r="K47" i="78"/>
  <c r="J47" i="78"/>
  <c r="I47" i="78"/>
  <c r="H47" i="78"/>
  <c r="G47" i="78"/>
  <c r="F47" i="78"/>
  <c r="E47" i="78"/>
  <c r="AG46" i="78"/>
  <c r="AF46" i="78"/>
  <c r="AE46" i="78"/>
  <c r="AD46" i="78"/>
  <c r="AC46" i="78"/>
  <c r="AB46" i="78"/>
  <c r="AA46" i="78"/>
  <c r="Z46" i="78"/>
  <c r="Y46" i="78"/>
  <c r="X46" i="78"/>
  <c r="N46" i="78"/>
  <c r="M46" i="78"/>
  <c r="L46" i="78"/>
  <c r="K46" i="78"/>
  <c r="J46" i="78"/>
  <c r="I46" i="78"/>
  <c r="H46" i="78"/>
  <c r="G46" i="78"/>
  <c r="F46" i="78"/>
  <c r="E46" i="78"/>
  <c r="AG45" i="78"/>
  <c r="AF45" i="78"/>
  <c r="AE45" i="78"/>
  <c r="AD45" i="78"/>
  <c r="AC45" i="78"/>
  <c r="AB45" i="78"/>
  <c r="AA45" i="78"/>
  <c r="Z45" i="78"/>
  <c r="Y45" i="78"/>
  <c r="X45" i="78"/>
  <c r="N45" i="78"/>
  <c r="M45" i="78"/>
  <c r="L45" i="78"/>
  <c r="K45" i="78"/>
  <c r="J45" i="78"/>
  <c r="I45" i="78"/>
  <c r="H45" i="78"/>
  <c r="G45" i="78"/>
  <c r="F45" i="78"/>
  <c r="E45" i="78"/>
  <c r="AG44" i="78"/>
  <c r="AF44" i="78"/>
  <c r="AE44" i="78"/>
  <c r="AD44" i="78"/>
  <c r="AC44" i="78"/>
  <c r="AB44" i="78"/>
  <c r="AA44" i="78"/>
  <c r="Z44" i="78"/>
  <c r="Y44" i="78"/>
  <c r="X44" i="78"/>
  <c r="N44" i="78"/>
  <c r="M44" i="78"/>
  <c r="L44" i="78"/>
  <c r="K44" i="78"/>
  <c r="J44" i="78"/>
  <c r="I44" i="78"/>
  <c r="H44" i="78"/>
  <c r="G44" i="78"/>
  <c r="F44" i="78"/>
  <c r="E44" i="78"/>
  <c r="AG43" i="78"/>
  <c r="AF43" i="78"/>
  <c r="AE43" i="78"/>
  <c r="AD43" i="78"/>
  <c r="AC43" i="78"/>
  <c r="AB43" i="78"/>
  <c r="AA43" i="78"/>
  <c r="Z43" i="78"/>
  <c r="Y43" i="78"/>
  <c r="X43" i="78"/>
  <c r="N43" i="78"/>
  <c r="M43" i="78"/>
  <c r="L43" i="78"/>
  <c r="K43" i="78"/>
  <c r="J43" i="78"/>
  <c r="I43" i="78"/>
  <c r="H43" i="78"/>
  <c r="G43" i="78"/>
  <c r="F43" i="78"/>
  <c r="E43" i="78"/>
  <c r="AG42" i="78"/>
  <c r="AF42" i="78"/>
  <c r="AE42" i="78"/>
  <c r="AD42" i="78"/>
  <c r="AC42" i="78"/>
  <c r="AB42" i="78"/>
  <c r="AA42" i="78"/>
  <c r="Z42" i="78"/>
  <c r="Y42" i="78"/>
  <c r="X42" i="78"/>
  <c r="N42" i="78"/>
  <c r="M42" i="78"/>
  <c r="L42" i="78"/>
  <c r="K42" i="78"/>
  <c r="J42" i="78"/>
  <c r="I42" i="78"/>
  <c r="H42" i="78"/>
  <c r="G42" i="78"/>
  <c r="F42" i="78"/>
  <c r="E42" i="78"/>
  <c r="AG41" i="78"/>
  <c r="AF41" i="78"/>
  <c r="AE41" i="78"/>
  <c r="AD41" i="78"/>
  <c r="AC41" i="78"/>
  <c r="AB41" i="78"/>
  <c r="AA41" i="78"/>
  <c r="Z41" i="78"/>
  <c r="Y41" i="78"/>
  <c r="X41" i="78"/>
  <c r="N41" i="78"/>
  <c r="M41" i="78"/>
  <c r="L41" i="78"/>
  <c r="K41" i="78"/>
  <c r="J41" i="78"/>
  <c r="I41" i="78"/>
  <c r="H41" i="78"/>
  <c r="G41" i="78"/>
  <c r="F41" i="78"/>
  <c r="E41" i="78"/>
  <c r="AG40" i="78"/>
  <c r="AF40" i="78"/>
  <c r="AE40" i="78"/>
  <c r="AD40" i="78"/>
  <c r="AC40" i="78"/>
  <c r="AB40" i="78"/>
  <c r="AA40" i="78"/>
  <c r="Z40" i="78"/>
  <c r="Y40" i="78"/>
  <c r="X40" i="78"/>
  <c r="N40" i="78"/>
  <c r="M40" i="78"/>
  <c r="L40" i="78"/>
  <c r="K40" i="78"/>
  <c r="J40" i="78"/>
  <c r="I40" i="78"/>
  <c r="H40" i="78"/>
  <c r="G40" i="78"/>
  <c r="F40" i="78"/>
  <c r="E40" i="78"/>
  <c r="AG39" i="78"/>
  <c r="AF39" i="78"/>
  <c r="AE39" i="78"/>
  <c r="AD39" i="78"/>
  <c r="AC39" i="78"/>
  <c r="AB39" i="78"/>
  <c r="AA39" i="78"/>
  <c r="Z39" i="78"/>
  <c r="Y39" i="78"/>
  <c r="X39" i="78"/>
  <c r="N39" i="78"/>
  <c r="M39" i="78"/>
  <c r="L39" i="78"/>
  <c r="K39" i="78"/>
  <c r="J39" i="78"/>
  <c r="I39" i="78"/>
  <c r="H39" i="78"/>
  <c r="G39" i="78"/>
  <c r="F39" i="78"/>
  <c r="E39" i="78"/>
  <c r="AG38" i="78"/>
  <c r="AF38" i="78"/>
  <c r="AE38" i="78"/>
  <c r="AD38" i="78"/>
  <c r="AC38" i="78"/>
  <c r="AB38" i="78"/>
  <c r="AA38" i="78"/>
  <c r="Z38" i="78"/>
  <c r="Y38" i="78"/>
  <c r="X38" i="78"/>
  <c r="N38" i="78"/>
  <c r="M38" i="78"/>
  <c r="L38" i="78"/>
  <c r="K38" i="78"/>
  <c r="J38" i="78"/>
  <c r="I38" i="78"/>
  <c r="H38" i="78"/>
  <c r="G38" i="78"/>
  <c r="F38" i="78"/>
  <c r="E38" i="78"/>
  <c r="AG37" i="78"/>
  <c r="AF37" i="78"/>
  <c r="AE37" i="78"/>
  <c r="AD37" i="78"/>
  <c r="AC37" i="78"/>
  <c r="AB37" i="78"/>
  <c r="AA37" i="78"/>
  <c r="Z37" i="78"/>
  <c r="Y37" i="78"/>
  <c r="X37" i="78"/>
  <c r="N37" i="78"/>
  <c r="M37" i="78"/>
  <c r="L37" i="78"/>
  <c r="K37" i="78"/>
  <c r="J37" i="78"/>
  <c r="I37" i="78"/>
  <c r="H37" i="78"/>
  <c r="G37" i="78"/>
  <c r="F37" i="78"/>
  <c r="E37" i="78"/>
  <c r="AG36" i="78"/>
  <c r="AF36" i="78"/>
  <c r="AE36" i="78"/>
  <c r="AD36" i="78"/>
  <c r="AC36" i="78"/>
  <c r="AB36" i="78"/>
  <c r="AA36" i="78"/>
  <c r="Z36" i="78"/>
  <c r="Y36" i="78"/>
  <c r="X36" i="78"/>
  <c r="N36" i="78"/>
  <c r="M36" i="78"/>
  <c r="L36" i="78"/>
  <c r="K36" i="78"/>
  <c r="J36" i="78"/>
  <c r="I36" i="78"/>
  <c r="H36" i="78"/>
  <c r="G36" i="78"/>
  <c r="F36" i="78"/>
  <c r="E36" i="78"/>
  <c r="AG35" i="78"/>
  <c r="AF35" i="78"/>
  <c r="AE35" i="78"/>
  <c r="AD35" i="78"/>
  <c r="AC35" i="78"/>
  <c r="AB35" i="78"/>
  <c r="AA35" i="78"/>
  <c r="Z35" i="78"/>
  <c r="Y35" i="78"/>
  <c r="X35" i="78"/>
  <c r="N35" i="78"/>
  <c r="M35" i="78"/>
  <c r="L35" i="78"/>
  <c r="K35" i="78"/>
  <c r="J35" i="78"/>
  <c r="I35" i="78"/>
  <c r="H35" i="78"/>
  <c r="G35" i="78"/>
  <c r="F35" i="78"/>
  <c r="E35" i="78"/>
  <c r="AG34" i="78"/>
  <c r="AF34" i="78"/>
  <c r="AE34" i="78"/>
  <c r="AD34" i="78"/>
  <c r="AC34" i="78"/>
  <c r="AB34" i="78"/>
  <c r="AA34" i="78"/>
  <c r="Z34" i="78"/>
  <c r="Y34" i="78"/>
  <c r="X34" i="78"/>
  <c r="N34" i="78"/>
  <c r="M34" i="78"/>
  <c r="L34" i="78"/>
  <c r="K34" i="78"/>
  <c r="J34" i="78"/>
  <c r="I34" i="78"/>
  <c r="H34" i="78"/>
  <c r="G34" i="78"/>
  <c r="F34" i="78"/>
  <c r="E34" i="78"/>
  <c r="AG33" i="78"/>
  <c r="AF33" i="78"/>
  <c r="AE33" i="78"/>
  <c r="AD33" i="78"/>
  <c r="AC33" i="78"/>
  <c r="AB33" i="78"/>
  <c r="AA33" i="78"/>
  <c r="Z33" i="78"/>
  <c r="Y33" i="78"/>
  <c r="X33" i="78"/>
  <c r="N33" i="78"/>
  <c r="M33" i="78"/>
  <c r="L33" i="78"/>
  <c r="K33" i="78"/>
  <c r="J33" i="78"/>
  <c r="I33" i="78"/>
  <c r="H33" i="78"/>
  <c r="G33" i="78"/>
  <c r="F33" i="78"/>
  <c r="E33" i="78"/>
  <c r="AG32" i="78"/>
  <c r="AF32" i="78"/>
  <c r="AE32" i="78"/>
  <c r="AD32" i="78"/>
  <c r="AC32" i="78"/>
  <c r="AB32" i="78"/>
  <c r="AA32" i="78"/>
  <c r="Z32" i="78"/>
  <c r="Y32" i="78"/>
  <c r="X32" i="78"/>
  <c r="N32" i="78"/>
  <c r="M32" i="78"/>
  <c r="L32" i="78"/>
  <c r="K32" i="78"/>
  <c r="J32" i="78"/>
  <c r="I32" i="78"/>
  <c r="H32" i="78"/>
  <c r="G32" i="78"/>
  <c r="F32" i="78"/>
  <c r="E32" i="78"/>
  <c r="AG31" i="78"/>
  <c r="AF31" i="78"/>
  <c r="AE31" i="78"/>
  <c r="AD31" i="78"/>
  <c r="AC31" i="78"/>
  <c r="AB31" i="78"/>
  <c r="AA31" i="78"/>
  <c r="Z31" i="78"/>
  <c r="Y31" i="78"/>
  <c r="X31" i="78"/>
  <c r="N31" i="78"/>
  <c r="M31" i="78"/>
  <c r="L31" i="78"/>
  <c r="K31" i="78"/>
  <c r="J31" i="78"/>
  <c r="I31" i="78"/>
  <c r="H31" i="78"/>
  <c r="G31" i="78"/>
  <c r="F31" i="78"/>
  <c r="E31" i="78"/>
  <c r="AG30" i="78"/>
  <c r="AF30" i="78"/>
  <c r="AE30" i="78"/>
  <c r="AD30" i="78"/>
  <c r="AC30" i="78"/>
  <c r="AB30" i="78"/>
  <c r="AA30" i="78"/>
  <c r="Z30" i="78"/>
  <c r="Y30" i="78"/>
  <c r="X30" i="78"/>
  <c r="N30" i="78"/>
  <c r="M30" i="78"/>
  <c r="L30" i="78"/>
  <c r="K30" i="78"/>
  <c r="J30" i="78"/>
  <c r="I30" i="78"/>
  <c r="H30" i="78"/>
  <c r="G30" i="78"/>
  <c r="F30" i="78"/>
  <c r="E30" i="78"/>
  <c r="AG29" i="78"/>
  <c r="AF29" i="78"/>
  <c r="AE29" i="78"/>
  <c r="AD29" i="78"/>
  <c r="AC29" i="78"/>
  <c r="AB29" i="78"/>
  <c r="AA29" i="78"/>
  <c r="Z29" i="78"/>
  <c r="Y29" i="78"/>
  <c r="X29" i="78"/>
  <c r="N29" i="78"/>
  <c r="M29" i="78"/>
  <c r="L29" i="78"/>
  <c r="K29" i="78"/>
  <c r="J29" i="78"/>
  <c r="I29" i="78"/>
  <c r="H29" i="78"/>
  <c r="G29" i="78"/>
  <c r="F29" i="78"/>
  <c r="E29" i="78"/>
  <c r="AG28" i="78"/>
  <c r="AF28" i="78"/>
  <c r="AE28" i="78"/>
  <c r="AD28" i="78"/>
  <c r="AC28" i="78"/>
  <c r="AB28" i="78"/>
  <c r="AA28" i="78"/>
  <c r="Z28" i="78"/>
  <c r="Y28" i="78"/>
  <c r="X28" i="78"/>
  <c r="N28" i="78"/>
  <c r="M28" i="78"/>
  <c r="L28" i="78"/>
  <c r="K28" i="78"/>
  <c r="J28" i="78"/>
  <c r="I28" i="78"/>
  <c r="H28" i="78"/>
  <c r="G28" i="78"/>
  <c r="F28" i="78"/>
  <c r="E28" i="78"/>
  <c r="AG27" i="78"/>
  <c r="AF27" i="78"/>
  <c r="AE27" i="78"/>
  <c r="AD27" i="78"/>
  <c r="AC27" i="78"/>
  <c r="AB27" i="78"/>
  <c r="AA27" i="78"/>
  <c r="Z27" i="78"/>
  <c r="Y27" i="78"/>
  <c r="X27" i="78"/>
  <c r="N27" i="78"/>
  <c r="M27" i="78"/>
  <c r="L27" i="78"/>
  <c r="K27" i="78"/>
  <c r="J27" i="78"/>
  <c r="I27" i="78"/>
  <c r="H27" i="78"/>
  <c r="G27" i="78"/>
  <c r="F27" i="78"/>
  <c r="E27" i="78"/>
  <c r="AG26" i="78"/>
  <c r="AF26" i="78"/>
  <c r="AE26" i="78"/>
  <c r="AD26" i="78"/>
  <c r="AC26" i="78"/>
  <c r="AB26" i="78"/>
  <c r="AA26" i="78"/>
  <c r="Z26" i="78"/>
  <c r="Y26" i="78"/>
  <c r="X26" i="78"/>
  <c r="N26" i="78"/>
  <c r="M26" i="78"/>
  <c r="L26" i="78"/>
  <c r="K26" i="78"/>
  <c r="J26" i="78"/>
  <c r="I26" i="78"/>
  <c r="H26" i="78"/>
  <c r="G26" i="78"/>
  <c r="F26" i="78"/>
  <c r="E26" i="78"/>
  <c r="N25" i="78"/>
  <c r="M25" i="78"/>
  <c r="L25" i="78"/>
  <c r="K25" i="78"/>
  <c r="J25" i="78"/>
  <c r="I25" i="78"/>
  <c r="H25" i="78"/>
  <c r="G25" i="78"/>
  <c r="F25" i="78"/>
  <c r="E25" i="78"/>
  <c r="N24" i="78"/>
  <c r="M24" i="78"/>
  <c r="L24" i="78"/>
  <c r="K24" i="78"/>
  <c r="J24" i="78"/>
  <c r="I24" i="78"/>
  <c r="H24" i="78"/>
  <c r="G24" i="78"/>
  <c r="F24" i="78"/>
  <c r="E24" i="78"/>
  <c r="AG23" i="78"/>
  <c r="AF23" i="78"/>
  <c r="AE23" i="78"/>
  <c r="AD23" i="78"/>
  <c r="AC23" i="78"/>
  <c r="AB23" i="78"/>
  <c r="AA23" i="78"/>
  <c r="Z23" i="78"/>
  <c r="Y23" i="78"/>
  <c r="X23" i="78"/>
  <c r="N23" i="78"/>
  <c r="M23" i="78"/>
  <c r="L23" i="78"/>
  <c r="K23" i="78"/>
  <c r="J23" i="78"/>
  <c r="I23" i="78"/>
  <c r="H23" i="78"/>
  <c r="G23" i="78"/>
  <c r="F23" i="78"/>
  <c r="E23" i="78"/>
  <c r="AG22" i="78"/>
  <c r="AF22" i="78"/>
  <c r="AE22" i="78"/>
  <c r="AD22" i="78"/>
  <c r="AC22" i="78"/>
  <c r="AB22" i="78"/>
  <c r="AA22" i="78"/>
  <c r="Z22" i="78"/>
  <c r="Y22" i="78"/>
  <c r="X22" i="78"/>
  <c r="N22" i="78"/>
  <c r="M22" i="78"/>
  <c r="L22" i="78"/>
  <c r="K22" i="78"/>
  <c r="J22" i="78"/>
  <c r="I22" i="78"/>
  <c r="H22" i="78"/>
  <c r="G22" i="78"/>
  <c r="F22" i="78"/>
  <c r="E22" i="78"/>
  <c r="N21" i="78"/>
  <c r="M21" i="78"/>
  <c r="L21" i="78"/>
  <c r="K21" i="78"/>
  <c r="J21" i="78"/>
  <c r="I21" i="78"/>
  <c r="H21" i="78"/>
  <c r="G21" i="78"/>
  <c r="F21" i="78"/>
  <c r="E21" i="78"/>
  <c r="N20" i="78"/>
  <c r="M20" i="78"/>
  <c r="L20" i="78"/>
  <c r="K20" i="78"/>
  <c r="J20" i="78"/>
  <c r="I20" i="78"/>
  <c r="H20" i="78"/>
  <c r="G20" i="78"/>
  <c r="F20" i="78"/>
  <c r="E20" i="78"/>
  <c r="AG19" i="78"/>
  <c r="AF19" i="78"/>
  <c r="AE19" i="78"/>
  <c r="AD19" i="78"/>
  <c r="AC19" i="78"/>
  <c r="AB19" i="78"/>
  <c r="AA19" i="78"/>
  <c r="Z19" i="78"/>
  <c r="Y19" i="78"/>
  <c r="X19" i="78"/>
  <c r="N19" i="78"/>
  <c r="M19" i="78"/>
  <c r="L19" i="78"/>
  <c r="K19" i="78"/>
  <c r="J19" i="78"/>
  <c r="I19" i="78"/>
  <c r="H19" i="78"/>
  <c r="G19" i="78"/>
  <c r="F19" i="78"/>
  <c r="E19" i="78"/>
  <c r="AG18" i="78"/>
  <c r="AF18" i="78"/>
  <c r="AE18" i="78"/>
  <c r="AD18" i="78"/>
  <c r="AC18" i="78"/>
  <c r="AB18" i="78"/>
  <c r="AA18" i="78"/>
  <c r="Z18" i="78"/>
  <c r="Y18" i="78"/>
  <c r="X18" i="78"/>
  <c r="N18" i="78"/>
  <c r="M18" i="78"/>
  <c r="L18" i="78"/>
  <c r="K18" i="78"/>
  <c r="J18" i="78"/>
  <c r="I18" i="78"/>
  <c r="H18" i="78"/>
  <c r="G18" i="78"/>
  <c r="F18" i="78"/>
  <c r="E18" i="78"/>
  <c r="AG17" i="78"/>
  <c r="AF17" i="78"/>
  <c r="AE17" i="78"/>
  <c r="AD17" i="78"/>
  <c r="AC17" i="78"/>
  <c r="AB17" i="78"/>
  <c r="AA17" i="78"/>
  <c r="Z17" i="78"/>
  <c r="Y17" i="78"/>
  <c r="X17" i="78"/>
  <c r="N17" i="78"/>
  <c r="M17" i="78"/>
  <c r="L17" i="78"/>
  <c r="K17" i="78"/>
  <c r="J17" i="78"/>
  <c r="I17" i="78"/>
  <c r="H17" i="78"/>
  <c r="G17" i="78"/>
  <c r="F17" i="78"/>
  <c r="E17" i="78"/>
  <c r="AG16" i="78"/>
  <c r="AF16" i="78"/>
  <c r="AE16" i="78"/>
  <c r="AD16" i="78"/>
  <c r="AC16" i="78"/>
  <c r="AB16" i="78"/>
  <c r="AA16" i="78"/>
  <c r="Z16" i="78"/>
  <c r="Y16" i="78"/>
  <c r="X16" i="78"/>
  <c r="N16" i="78"/>
  <c r="M16" i="78"/>
  <c r="L16" i="78"/>
  <c r="K16" i="78"/>
  <c r="J16" i="78"/>
  <c r="I16" i="78"/>
  <c r="H16" i="78"/>
  <c r="G16" i="78"/>
  <c r="F16" i="78"/>
  <c r="E16" i="78"/>
  <c r="AG15" i="78"/>
  <c r="AF15" i="78"/>
  <c r="AE15" i="78"/>
  <c r="AD15" i="78"/>
  <c r="AC15" i="78"/>
  <c r="AB15" i="78"/>
  <c r="AA15" i="78"/>
  <c r="Z15" i="78"/>
  <c r="Y15" i="78"/>
  <c r="X15" i="78"/>
  <c r="N15" i="78"/>
  <c r="M15" i="78"/>
  <c r="L15" i="78"/>
  <c r="K15" i="78"/>
  <c r="J15" i="78"/>
  <c r="I15" i="78"/>
  <c r="H15" i="78"/>
  <c r="G15" i="78"/>
  <c r="F15" i="78"/>
  <c r="E15" i="78"/>
  <c r="AG14" i="78"/>
  <c r="AF14" i="78"/>
  <c r="AE14" i="78"/>
  <c r="AD14" i="78"/>
  <c r="AC14" i="78"/>
  <c r="AB14" i="78"/>
  <c r="AA14" i="78"/>
  <c r="Z14" i="78"/>
  <c r="Y14" i="78"/>
  <c r="X14" i="78"/>
  <c r="N14" i="78"/>
  <c r="M14" i="78"/>
  <c r="L14" i="78"/>
  <c r="K14" i="78"/>
  <c r="J14" i="78"/>
  <c r="I14" i="78"/>
  <c r="H14" i="78"/>
  <c r="G14" i="78"/>
  <c r="F14" i="78"/>
  <c r="E14" i="78"/>
  <c r="AG13" i="78"/>
  <c r="AF13" i="78"/>
  <c r="AE13" i="78"/>
  <c r="AD13" i="78"/>
  <c r="AC13" i="78"/>
  <c r="AB13" i="78"/>
  <c r="AA13" i="78"/>
  <c r="Z13" i="78"/>
  <c r="Y13" i="78"/>
  <c r="X13" i="78"/>
  <c r="N13" i="78"/>
  <c r="M13" i="78"/>
  <c r="L13" i="78"/>
  <c r="K13" i="78"/>
  <c r="J13" i="78"/>
  <c r="I13" i="78"/>
  <c r="H13" i="78"/>
  <c r="G13" i="78"/>
  <c r="F13" i="78"/>
  <c r="E13" i="78"/>
  <c r="AG12" i="78"/>
  <c r="AF12" i="78"/>
  <c r="AE12" i="78"/>
  <c r="AD12" i="78"/>
  <c r="AC12" i="78"/>
  <c r="AB12" i="78"/>
  <c r="AA12" i="78"/>
  <c r="Z12" i="78"/>
  <c r="Y12" i="78"/>
  <c r="X12" i="78"/>
  <c r="N12" i="78"/>
  <c r="M12" i="78"/>
  <c r="L12" i="78"/>
  <c r="K12" i="78"/>
  <c r="J12" i="78"/>
  <c r="I12" i="78"/>
  <c r="H12" i="78"/>
  <c r="G12" i="78"/>
  <c r="F12" i="78"/>
  <c r="E12" i="78"/>
  <c r="AG11" i="78"/>
  <c r="AF11" i="78"/>
  <c r="AE11" i="78"/>
  <c r="AD11" i="78"/>
  <c r="AC11" i="78"/>
  <c r="AB11" i="78"/>
  <c r="AA11" i="78"/>
  <c r="Z11" i="78"/>
  <c r="Y11" i="78"/>
  <c r="X11" i="78"/>
  <c r="N11" i="78"/>
  <c r="M11" i="78"/>
  <c r="L11" i="78"/>
  <c r="K11" i="78"/>
  <c r="J11" i="78"/>
  <c r="I11" i="78"/>
  <c r="H11" i="78"/>
  <c r="G11" i="78"/>
  <c r="F11" i="78"/>
  <c r="E11" i="78"/>
  <c r="AG10" i="78"/>
  <c r="AF10" i="78"/>
  <c r="AE10" i="78"/>
  <c r="AD10" i="78"/>
  <c r="AC10" i="78"/>
  <c r="AB10" i="78"/>
  <c r="AA10" i="78"/>
  <c r="Z10" i="78"/>
  <c r="Y10" i="78"/>
  <c r="X10" i="78"/>
  <c r="N10" i="78"/>
  <c r="M10" i="78"/>
  <c r="L10" i="78"/>
  <c r="K10" i="78"/>
  <c r="J10" i="78"/>
  <c r="I10" i="78"/>
  <c r="H10" i="78"/>
  <c r="G10" i="78"/>
  <c r="F10" i="78"/>
  <c r="E10" i="78"/>
  <c r="AG9" i="78"/>
  <c r="AF9" i="78"/>
  <c r="AE9" i="78"/>
  <c r="AD9" i="78"/>
  <c r="AC9" i="78"/>
  <c r="AB9" i="78"/>
  <c r="AA9" i="78"/>
  <c r="Z9" i="78"/>
  <c r="Y9" i="78"/>
  <c r="X9" i="78"/>
  <c r="N9" i="78"/>
  <c r="M9" i="78"/>
  <c r="L9" i="78"/>
  <c r="K9" i="78"/>
  <c r="J9" i="78"/>
  <c r="I9" i="78"/>
  <c r="H9" i="78"/>
  <c r="G9" i="78"/>
  <c r="F9" i="78"/>
  <c r="E9" i="78"/>
  <c r="AG8" i="78"/>
  <c r="AF8" i="78"/>
  <c r="AE8" i="78"/>
  <c r="AD8" i="78"/>
  <c r="AC8" i="78"/>
  <c r="AB8" i="78"/>
  <c r="AA8" i="78"/>
  <c r="Z8" i="78"/>
  <c r="Y8" i="78"/>
  <c r="X8" i="78"/>
  <c r="N8" i="78"/>
  <c r="M8" i="78"/>
  <c r="L8" i="78"/>
  <c r="K8" i="78"/>
  <c r="J8" i="78"/>
  <c r="I8" i="78"/>
  <c r="H8" i="78"/>
  <c r="G8" i="78"/>
  <c r="F8" i="78"/>
  <c r="E8" i="78"/>
  <c r="AG7" i="78"/>
  <c r="AF7" i="78"/>
  <c r="AE7" i="78"/>
  <c r="AD7" i="78"/>
  <c r="AC7" i="78"/>
  <c r="AB7" i="78"/>
  <c r="AA7" i="78"/>
  <c r="Z7" i="78"/>
  <c r="Y7" i="78"/>
  <c r="X7" i="78"/>
  <c r="N7" i="78"/>
  <c r="M7" i="78"/>
  <c r="L7" i="78"/>
  <c r="K7" i="78"/>
  <c r="J7" i="78"/>
  <c r="I7" i="78"/>
  <c r="H7" i="78"/>
  <c r="G7" i="78"/>
  <c r="F7" i="78"/>
  <c r="E7" i="78"/>
  <c r="AG6" i="78"/>
  <c r="AF6" i="78"/>
  <c r="AE6" i="78"/>
  <c r="AD6" i="78"/>
  <c r="AC6" i="78"/>
  <c r="AB6" i="78"/>
  <c r="AA6" i="78"/>
  <c r="Z6" i="78"/>
  <c r="Y6" i="78"/>
  <c r="X6" i="78"/>
  <c r="N6" i="78"/>
  <c r="M6" i="78"/>
  <c r="L6" i="78"/>
  <c r="K6" i="78"/>
  <c r="J6" i="78"/>
  <c r="I6" i="78"/>
  <c r="H6" i="78"/>
  <c r="G6" i="78"/>
  <c r="F6" i="78"/>
  <c r="E6" i="78"/>
  <c r="AG5" i="78"/>
  <c r="AF5" i="78"/>
  <c r="AE5" i="78"/>
  <c r="AD5" i="78"/>
  <c r="AC5" i="78"/>
  <c r="AB5" i="78"/>
  <c r="AA5" i="78"/>
  <c r="Z5" i="78"/>
  <c r="Y5" i="78"/>
  <c r="X5" i="78"/>
  <c r="N5" i="78"/>
  <c r="M5" i="78"/>
  <c r="L5" i="78"/>
  <c r="K5" i="78"/>
  <c r="J5" i="78"/>
  <c r="I5" i="78"/>
  <c r="H5" i="78"/>
  <c r="G5" i="78"/>
  <c r="F5" i="78"/>
  <c r="E5" i="78"/>
  <c r="AG4" i="78"/>
  <c r="AF4" i="78"/>
  <c r="AE4" i="78"/>
  <c r="AD4" i="78"/>
  <c r="AC4" i="78"/>
  <c r="AB4" i="78"/>
  <c r="AA4" i="78"/>
  <c r="Z4" i="78"/>
  <c r="Y4" i="78"/>
  <c r="X4" i="78"/>
  <c r="N4" i="78"/>
  <c r="M4" i="78"/>
  <c r="L4" i="78"/>
  <c r="K4" i="78"/>
  <c r="J4" i="78"/>
  <c r="I4" i="78"/>
  <c r="H4" i="78"/>
  <c r="G4" i="78"/>
  <c r="F4" i="78"/>
  <c r="E4" i="78"/>
  <c r="O82" i="78" l="1"/>
  <c r="O86" i="78"/>
  <c r="Q10" i="78"/>
  <c r="Q21" i="78"/>
  <c r="O76" i="78"/>
  <c r="O88" i="78"/>
  <c r="Q7" i="78"/>
  <c r="R7" i="78" s="1"/>
  <c r="Q19" i="78"/>
  <c r="O81" i="78"/>
  <c r="Q81" i="78"/>
  <c r="Q57" i="78"/>
  <c r="O64" i="78"/>
  <c r="O49" i="78"/>
  <c r="O50" i="78"/>
  <c r="O52" i="78"/>
  <c r="O53" i="78"/>
  <c r="Q63" i="78"/>
  <c r="Q65" i="78"/>
  <c r="Q71" i="78"/>
  <c r="O7" i="78"/>
  <c r="O19" i="78"/>
  <c r="O25" i="78"/>
  <c r="Q51" i="78"/>
  <c r="O56" i="78"/>
  <c r="O75" i="78"/>
  <c r="Q4" i="78"/>
  <c r="Q13" i="78"/>
  <c r="Q14" i="78"/>
  <c r="Q15" i="78"/>
  <c r="Q16" i="78"/>
  <c r="R16" i="78" s="1"/>
  <c r="Q22" i="78"/>
  <c r="Q23" i="78"/>
  <c r="Q24" i="78"/>
  <c r="Q26" i="78"/>
  <c r="Q27" i="78"/>
  <c r="Q28" i="78"/>
  <c r="Q29" i="78"/>
  <c r="Q31" i="78"/>
  <c r="Q32" i="78"/>
  <c r="Q34" i="78"/>
  <c r="Q35" i="78"/>
  <c r="Q37" i="78"/>
  <c r="Q38" i="78"/>
  <c r="Q40" i="78"/>
  <c r="Q41" i="78"/>
  <c r="Q43" i="78"/>
  <c r="Q44" i="78"/>
  <c r="Q46" i="78"/>
  <c r="Q47" i="78"/>
  <c r="Q54" i="78"/>
  <c r="Q60" i="78"/>
  <c r="Q61" i="78"/>
  <c r="O69" i="78"/>
  <c r="Q87" i="78"/>
  <c r="O9" i="78"/>
  <c r="Q12" i="78"/>
  <c r="O12" i="78"/>
  <c r="O58" i="78"/>
  <c r="O59" i="78"/>
  <c r="Q66" i="78"/>
  <c r="Q72" i="78"/>
  <c r="Q73" i="78"/>
  <c r="O80" i="78"/>
  <c r="Q83" i="78"/>
  <c r="Q85" i="78"/>
  <c r="Q86" i="78"/>
  <c r="O87" i="78"/>
  <c r="Q6" i="78"/>
  <c r="O6" i="78"/>
  <c r="Q8" i="78"/>
  <c r="O13" i="78"/>
  <c r="O18" i="78"/>
  <c r="Q20" i="78"/>
  <c r="O22" i="78"/>
  <c r="Q25" i="78"/>
  <c r="Q49" i="78"/>
  <c r="O54" i="78"/>
  <c r="Q58" i="78"/>
  <c r="Q59" i="78"/>
  <c r="O65" i="78"/>
  <c r="Q69" i="78"/>
  <c r="O71" i="78"/>
  <c r="Q78" i="78"/>
  <c r="Q89" i="78"/>
  <c r="O4" i="78"/>
  <c r="Q9" i="78"/>
  <c r="Q11" i="78"/>
  <c r="O16" i="78"/>
  <c r="O21" i="78"/>
  <c r="O28" i="78"/>
  <c r="O51" i="78"/>
  <c r="Q55" i="78"/>
  <c r="O57" i="78"/>
  <c r="O61" i="78"/>
  <c r="O62" i="78"/>
  <c r="O67" i="78"/>
  <c r="Q68" i="78"/>
  <c r="Q70" i="78"/>
  <c r="O73" i="78"/>
  <c r="Q75" i="78"/>
  <c r="Q77" i="78"/>
  <c r="Q79" i="78"/>
  <c r="Q80" i="78"/>
  <c r="Q90" i="78"/>
  <c r="Q5" i="78"/>
  <c r="O10" i="78"/>
  <c r="O15" i="78"/>
  <c r="Q17" i="78"/>
  <c r="Q18" i="78"/>
  <c r="O24" i="78"/>
  <c r="O27" i="78"/>
  <c r="O30" i="78"/>
  <c r="O33" i="78"/>
  <c r="O36" i="78"/>
  <c r="O39" i="78"/>
  <c r="O42" i="78"/>
  <c r="O45" i="78"/>
  <c r="O48" i="78"/>
  <c r="Q52" i="78"/>
  <c r="O55" i="78"/>
  <c r="O60" i="78"/>
  <c r="O63" i="78"/>
  <c r="O66" i="78"/>
  <c r="Q67" i="78"/>
  <c r="R67" i="78" s="1"/>
  <c r="O68" i="78"/>
  <c r="O70" i="78"/>
  <c r="O72" i="78"/>
  <c r="O74" i="78"/>
  <c r="Q84" i="78"/>
  <c r="Q30" i="78"/>
  <c r="O31" i="78"/>
  <c r="Q33" i="78"/>
  <c r="O34" i="78"/>
  <c r="Q36" i="78"/>
  <c r="O37" i="78"/>
  <c r="Q39" i="78"/>
  <c r="O40" i="78"/>
  <c r="Q42" i="78"/>
  <c r="O43" i="78"/>
  <c r="Q45" i="78"/>
  <c r="O46" i="78"/>
  <c r="Q48" i="78"/>
  <c r="Q76" i="78"/>
  <c r="O78" i="78"/>
  <c r="Q82" i="78"/>
  <c r="O84" i="78"/>
  <c r="Q88" i="78"/>
  <c r="O90" i="78"/>
  <c r="Q50" i="78"/>
  <c r="Q53" i="78"/>
  <c r="Q56" i="78"/>
  <c r="Q64" i="78"/>
  <c r="O5" i="78"/>
  <c r="O8" i="78"/>
  <c r="O11" i="78"/>
  <c r="O14" i="78"/>
  <c r="O17" i="78"/>
  <c r="O20" i="78"/>
  <c r="O23" i="78"/>
  <c r="O26" i="78"/>
  <c r="O29" i="78"/>
  <c r="O32" i="78"/>
  <c r="O35" i="78"/>
  <c r="O38" i="78"/>
  <c r="O41" i="78"/>
  <c r="O44" i="78"/>
  <c r="O47" i="78"/>
  <c r="Q62" i="78"/>
  <c r="Q74" i="78"/>
  <c r="O77" i="78"/>
  <c r="O79" i="78"/>
  <c r="O83" i="78"/>
  <c r="O85" i="78"/>
  <c r="O89" i="78"/>
  <c r="P88" i="78" s="1"/>
  <c r="R61" i="78" l="1"/>
  <c r="P52" i="78"/>
  <c r="P76" i="78"/>
  <c r="R82" i="78"/>
  <c r="R19" i="78"/>
  <c r="R4" i="78"/>
  <c r="R85" i="78"/>
  <c r="P70" i="78"/>
  <c r="P61" i="78"/>
  <c r="P82" i="78"/>
  <c r="P22" i="78"/>
  <c r="R25" i="78"/>
  <c r="P10" i="78"/>
  <c r="R73" i="78"/>
  <c r="P7" i="78"/>
  <c r="R49" i="78"/>
  <c r="R88" i="78"/>
  <c r="P64" i="78"/>
  <c r="P49" i="78"/>
  <c r="R10" i="78"/>
  <c r="P58" i="78"/>
  <c r="R22" i="78"/>
  <c r="R13" i="78"/>
  <c r="P55" i="78"/>
  <c r="P19" i="78"/>
  <c r="R64" i="78"/>
  <c r="P28" i="78"/>
  <c r="P16" i="78"/>
  <c r="P4" i="78"/>
  <c r="R55" i="78"/>
  <c r="R46" i="78"/>
  <c r="R40" i="78"/>
  <c r="R34" i="78"/>
  <c r="R28" i="78"/>
  <c r="R70" i="78"/>
  <c r="P79" i="78"/>
  <c r="R76" i="78"/>
  <c r="R43" i="78"/>
  <c r="R37" i="78"/>
  <c r="W108" i="78" s="1"/>
  <c r="R31" i="78"/>
  <c r="P85" i="78"/>
  <c r="R79" i="78"/>
  <c r="R58" i="78"/>
  <c r="P25" i="78"/>
  <c r="P13" i="78"/>
  <c r="R52" i="78"/>
  <c r="P73" i="78"/>
  <c r="P67" i="78"/>
  <c r="P43" i="78"/>
  <c r="P37" i="78"/>
  <c r="P31" i="78"/>
  <c r="P46" i="78"/>
  <c r="P40" i="78"/>
  <c r="W74" i="78" s="1"/>
  <c r="P34" i="78"/>
  <c r="W97" i="78" l="1"/>
  <c r="W96" i="78" s="1"/>
  <c r="U74" i="78"/>
  <c r="U97" i="78"/>
  <c r="U108" i="78"/>
  <c r="U63" i="78"/>
  <c r="W63" i="78"/>
  <c r="W62" i="78" s="1"/>
  <c r="X108" i="78" l="1"/>
  <c r="X74" i="78"/>
  <c r="I662" i="79" l="1"/>
  <c r="I658" i="79"/>
  <c r="I661" i="79"/>
  <c r="I657" i="79"/>
  <c r="I663" i="79"/>
  <c r="I660" i="79"/>
  <c r="I656" i="79"/>
  <c r="I659" i="79"/>
  <c r="I655" i="79"/>
  <c r="I1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tc={4BA75819-E3CB-4654-AA09-8E6CB9BB98D3}</author>
    <author>tc={90CB2B7A-88D0-4577-93A0-67E38DB66327}</author>
    <author>tc={C31BBE2B-7563-4074-8208-B95D446F2C51}</author>
    <author>tc={9C5A91AF-45BE-4F07-BE8E-B2BC13AB068A}</author>
    <author>tc={A7EB7C57-5494-4D47-AF2F-2315DBBF9BE9}</author>
    <author>tc={AA0BD294-5786-48B1-9435-1CF82B1FFE37}</author>
    <author>tc={DE933C11-0651-40D6-8E40-CA23DCA6B2E8}</author>
    <author>tc={454C61BC-14DD-4F6D-BE28-D3354130F834}</author>
    <author>tc={5404357E-AC11-47FE-948A-DE9A2D6013ED}</author>
    <author>tc={F4E6FF8D-F0F7-4778-ABBC-2138A9B01962}</author>
    <author>tc={FEBC73DE-0825-4BDE-8085-3B6CA3C0783A}</author>
    <author>tc={445C134E-F02F-42E4-A4C8-BABD2B77DED6}</author>
    <author>tc={912150E8-EF14-41DB-AB25-2939F643E978}</author>
    <author>tc={4677B9E0-20B2-4C79-A04B-1B59C7FA862F}</author>
    <author>tc={BC21F692-2770-45DA-98AB-CDF68E10FB00}</author>
    <author>tc={6CB24849-3947-4B1F-89D8-A869FA4E5550}</author>
    <author>tc={4A0A8AA1-04D2-4CE3-BE64-8F85E564E725}</author>
    <author>tc={1857D26B-9043-4D1A-9612-BB3663BABB45}</author>
    <author>tc={4C4843C5-4E6D-4178-9658-0251D829FB1F}</author>
    <author>tc={A39B0A9F-0F01-4DB3-BA1F-CC3F9BF62A82}</author>
    <author>tc={28C44AD7-1C32-4C0E-A2B5-9C61B83A3E90}</author>
    <author>tc={43F1E9CF-8F40-468A-85EA-7E4867A4B465}</author>
    <author>tc={445D5337-C64F-4898-B2BF-38D0D5034892}</author>
    <author>tc={882F654D-B1CE-49E7-8593-716D4EE0DBBC}</author>
    <author>tc={BD6AC20E-4610-44AC-BD9B-622CD9D54D22}</author>
    <author>tc={263C01D5-6E20-4C2D-93FF-1B2D2D0C12A5}</author>
    <author>tc={200DFDDA-4002-4AB9-BADE-946858442169}</author>
    <author>tc={E570CD93-94A8-4F73-92DF-F3826021123B}</author>
    <author>tc={03D9B4F2-457E-4776-80E3-CC19A33E92DF}</author>
    <author>tc={C07B5194-2CAA-4470-A7E4-43A854399090}</author>
    <author>tc={BCF2A4E4-C61D-4379-A4D5-0D8F908041DB}</author>
    <author>tc={35E2E27F-D240-4665-A9DB-F60723B1F23C}</author>
    <author>tc={8229CC96-134C-49E1-A826-B65E0C4B5FB6}</author>
    <author>tc={4B64138B-5A0F-46C5-A528-F79DA0301BA7}</author>
    <author>tc={156061E5-68D3-40E0-8901-3544FF05FF63}</author>
    <author>tc={52A29646-DAE3-4C08-8F26-FD7D50A1F15D}</author>
    <author>tc={C93D5799-6362-4E2B-8936-EDA2A8C75EED}</author>
    <author>tc={A64C1D3C-7705-4A5D-82A7-68AD7B955B57}</author>
    <author>tc={61674285-C766-46D4-A83A-988296AC6242}</author>
    <author>tc={3FD4C7FC-2CC3-46A3-A3DF-50C316DCD225}</author>
    <author>tc={A73D7CBF-0A70-45FC-9E4B-99E2A9B86A09}</author>
    <author>tc={4DFE303F-0C30-4487-9382-63F01B9E0F0C}</author>
    <author>tc={43CCEB75-A8AB-497D-BE06-4BD483A99D86}</author>
    <author>tc={11D13F60-548D-4F22-B9EC-8600B50722BB}</author>
    <author>tc={C862B181-EE85-4DDC-ADEF-C202241F95A9}</author>
    <author>tc={6C236AC9-0AB2-45A8-B6E9-17AD6CA6CE4E}</author>
    <author>tc={17AD1329-3527-417D-9B1B-DAE0806CD824}</author>
    <author>tc={62367A81-68D8-477B-A8AA-27358A560F2E}</author>
    <author>tc={E891F785-90E8-4808-8688-12B061952306}</author>
    <author>tc={C84F763A-74C6-4F46-A33C-41ED0F1BFC2E}</author>
    <author>tc={BE019453-8D99-4912-9F97-92AFA19A775E}</author>
    <author>tc={F0277547-A749-4FE3-84C7-BAC876FD3EE1}</author>
    <author>tc={34D10FD2-8907-4504-A309-479F9EEBC2D7}</author>
    <author>tc={CC0D03EA-55B5-4CBD-AB32-281A40758F00}</author>
    <author>tc={D4839309-78D1-43D8-B909-649EC1BCBBA2}</author>
    <author>tc={885FEDF4-9414-416E-8872-CDF1CBEC1D76}</author>
    <author>tc={C1A9E5F7-C70C-462A-A076-E5C07240F7EB}</author>
    <author>tc={18F53EF3-F3EC-4324-8814-21675D3F1A97}</author>
    <author>tc={9DE29D54-2F34-4D54-87CB-14923B1ADF98}</author>
    <author>tc={F27D7650-3EBC-48B2-8447-5BD3E103EF2E}</author>
    <author>tc={277FFECE-B620-4953-94C0-A63A66471994}</author>
    <author>tc={8CDE668D-793C-47EE-AD72-7EED932FE2B3}</author>
    <author>tc={2E2040FB-41F3-4030-A426-79C00A2D8E13}</author>
    <author>tc={93F5A2D7-D0B5-4BBF-BB5C-8722DE357081}</author>
    <author>tc={FD311DE4-318B-41A1-88CA-365FE838CC90}</author>
    <author>tc={F96CAF51-54D3-4C0A-82D8-5AD65884D7B3}</author>
    <author>tc={334875F1-FFD2-449A-8032-11E7F21B0D1F}</author>
    <author>tc={A3A6E56F-B353-42EF-AB2A-4C290F2AF506}</author>
  </authors>
  <commentList>
    <comment ref="BZ5" authorId="0" shapeId="0" xr:uid="{4BA75819-E3CB-4654-AA09-8E6CB9BB98D3}">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Percepción Interpersonal
Deciles/posiciones: 2 y 3
Punto de corte compartido: 2
Pendiente confirmar si es intencional. Conservar exactamente como está mientras se valida.</t>
      </text>
    </comment>
    <comment ref="FZ5" authorId="1" shapeId="0" xr:uid="{90CB2B7A-88D0-4577-93A0-67E38DB66327}">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Percepción Interpersonal
Deciles/posiciones: 2 y 3
Punto de corte compartido: 2
Pendiente confirmar si es intencional. Conservar exactamente como está mientras se valida.</t>
      </text>
    </comment>
    <comment ref="V8" authorId="2" shapeId="0" xr:uid="{C31BBE2B-7563-4074-8208-B95D446F2C51}">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Adaptación
Deciles/posiciones: 0.4 y 0.5
Punto de corte compartido: 12
Pendiente confirmar si es intencional. Conservar exactamente como está mientras se valida.</t>
      </text>
    </comment>
    <comment ref="AF8" authorId="3" shapeId="0" xr:uid="{9C5A91AF-45BE-4F07-BE8E-B2BC13AB068A}">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Superación
Deciles/posiciones: 5 y 6
Punto de corte compartido: 11
Pendiente confirmar si es intencional. Conservar exactamente como está mientras se valida.</t>
      </text>
    </comment>
    <comment ref="CD8" authorId="4" shapeId="0" xr:uid="{A7EB7C57-5494-4D47-AF2F-2315DBBF9BE9}">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Consciencia del Entorno
Deciles/posiciones: 5 y 6
Punto de corte compartido: 9
Pendiente confirmar si es intencional. Conservar exactamente como está mientras se valida.</t>
      </text>
    </comment>
    <comment ref="DL8" authorId="5" shapeId="0" xr:uid="{AA0BD294-5786-48B1-9435-1CF82B1FFE37}">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Sentido de contribución
Deciles/posiciones: 5 y 6
Punto de corte compartido: 8
Pendiente confirmar si es intencional. Conservar exactamente como está mientras se valida.</t>
      </text>
    </comment>
    <comment ref="DV8" authorId="6" shapeId="0" xr:uid="{DE933C11-0651-40D6-8E40-CA23DCA6B2E8}">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Adaptación
Deciles/posiciones: 0.4 y 0.5
Punto de corte compartido: 12
Pendiente confirmar si es intencional. Conservar exactamente como está mientras se valida.</t>
      </text>
    </comment>
    <comment ref="EF8" authorId="7" shapeId="0" xr:uid="{454C61BC-14DD-4F6D-BE28-D3354130F834}">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Superación
Deciles/posiciones: 5 y 6
Punto de corte compartido: 11
Pendiente confirmar si es intencional. Conservar exactamente como está mientras se valida.</t>
      </text>
    </comment>
    <comment ref="GD8" authorId="8" shapeId="0" xr:uid="{5404357E-AC11-47FE-948A-DE9A2D6013ED}">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Consciencia del Entorno
Deciles/posiciones: 5 y 6
Punto de corte compartido: 9
Pendiente confirmar si es intencional. Conservar exactamente como está mientras se valida.</t>
      </text>
    </comment>
    <comment ref="HL8" authorId="9" shapeId="0" xr:uid="{F4E6FF8D-F0F7-4778-ABBC-2138A9B01962}">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Sentido de contribución
Deciles/posiciones: 5 y 6
Punto de corte compartido: 8
Pendiente confirmar si es intencional. Conservar exactamente como está mientras se valida.</t>
      </text>
    </comment>
    <comment ref="AP9" authorId="10" shapeId="0" xr:uid="{FEBC73DE-0825-4BDE-8085-3B6CA3C0783A}">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Autocontrol
Deciles/posiciones: 6 y 7
Punto de corte compartido: 11
Pendiente confirmar si es intencional. Conservar exactamente como está mientras se valida.</t>
      </text>
    </comment>
    <comment ref="CJ9" authorId="11" shapeId="0" xr:uid="{445C134E-F02F-42E4-A4C8-BABD2B77DED6}">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Anticipación
Deciles/posiciones: 6 y 7
Punto de corte compartido: 14
Pendiente confirmar si es intencional. Conservar exactamente como está mientras se valida.</t>
      </text>
    </comment>
    <comment ref="DB9" authorId="12" shapeId="0" xr:uid="{912150E8-EF14-41DB-AB25-2939F643E978}">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Alineamiento de Acciones
Deciles/posiciones: 6 y 7
Punto de corte compartido: 11
Pendiente confirmar si es intencional. Conservar exactamente como está mientras se valida.</t>
      </text>
    </comment>
    <comment ref="DJ9" authorId="13" shapeId="0" xr:uid="{4677B9E0-20B2-4C79-A04B-1B59C7FA862F}">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Aprovechamiento de Talentos
Deciles/posiciones: 6 y 7
Punto de corte compartido: 14
Pendiente confirmar si es intencional. Conservar exactamente como está mientras se valida.</t>
      </text>
    </comment>
    <comment ref="EP9" authorId="14" shapeId="0" xr:uid="{BC21F692-2770-45DA-98AB-CDF68E10FB00}">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Autocontrol
Deciles/posiciones: 6 y 7
Punto de corte compartido: 11
Pendiente confirmar si es intencional. Conservar exactamente como está mientras se valida.</t>
      </text>
    </comment>
    <comment ref="GJ9" authorId="15" shapeId="0" xr:uid="{6CB24849-3947-4B1F-89D8-A869FA4E5550}">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Anticipación
Deciles/posiciones: 6 y 7
Punto de corte compartido: 14
Pendiente confirmar si es intencional. Conservar exactamente como está mientras se valida.</t>
      </text>
    </comment>
    <comment ref="HB9" authorId="16" shapeId="0" xr:uid="{4A0A8AA1-04D2-4CE3-BE64-8F85E564E725}">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Alineamiento de Acciones
Deciles/posiciones: 6 y 7
Punto de corte compartido: 11
Pendiente confirmar si es intencional. Conservar exactamente como está mientras se valida.</t>
      </text>
    </comment>
    <comment ref="HJ9" authorId="17" shapeId="0" xr:uid="{1857D26B-9043-4D1A-9612-BB3663BABB45}">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Aprovechamiento de Talentos
Deciles/posiciones: 6 y 7
Punto de corte compartido: 14
Pendiente confirmar si es intencional. Conservar exactamente como está mientras se valida.</t>
      </text>
    </comment>
    <comment ref="AN10" authorId="18" shapeId="0" xr:uid="{4C4843C5-4E6D-4178-9658-0251D829FB1F}">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Autoconocimiento
Deciles/posiciones: 7 y 8
Punto de corte compartido: 12
Pendiente confirmar si es intencional. Conservar exactamente como está mientras se valida.</t>
      </text>
    </comment>
    <comment ref="BH10" authorId="19" shapeId="0" xr:uid="{A39B0A9F-0F01-4DB3-BA1F-CC3F9BF62A82}">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Esfuerzo
Deciles/posiciones: 7 y 8
Punto de corte compartido: 17
Pendiente confirmar si es intencional. Conservar exactamente como está mientras se valida.</t>
      </text>
    </comment>
    <comment ref="CT10" authorId="20" shapeId="0" xr:uid="{28C44AD7-1C32-4C0E-A2B5-9C61B83A3E90}">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Recuperación
Deciles/posiciones: 7 y 8
Punto de corte compartido: 16
Pendiente confirmar si es intencional. Conservar exactamente como está mientras se valida.</t>
      </text>
    </comment>
    <comment ref="EN10" authorId="21" shapeId="0" xr:uid="{43F1E9CF-8F40-468A-85EA-7E4867A4B465}">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Autoconocimiento
Deciles/posiciones: 7 y 8
Punto de corte compartido: 12
Pendiente confirmar si es intencional. Conservar exactamente como está mientras se valida.</t>
      </text>
    </comment>
    <comment ref="FH10" authorId="22" shapeId="0" xr:uid="{445D5337-C64F-4898-B2BF-38D0D5034892}">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Esfuerzo
Deciles/posiciones: 7 y 8
Punto de corte compartido: 17
Pendiente confirmar si es intencional. Conservar exactamente como está mientras se valida.</t>
      </text>
    </comment>
    <comment ref="GT10" authorId="23" shapeId="0" xr:uid="{882F654D-B1CE-49E7-8593-716D4EE0DBBC}">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Recuperación
Deciles/posiciones: 7 y 8
Punto de corte compartido: 16
Pendiente confirmar si es intencional. Conservar exactamente como está mientras se valida.</t>
      </text>
    </comment>
    <comment ref="BR12" authorId="24" shapeId="0" xr:uid="{BD6AC20E-4610-44AC-BD9B-622CD9D54D22}">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Compromiso
Deciles/posiciones: 9 y 10
Punto de corte compartido: 18
Pendiente confirmar si es intencional. Conservar exactamente como está mientras se valida.</t>
      </text>
    </comment>
    <comment ref="CL12" authorId="25" shapeId="0" xr:uid="{263C01D5-6E20-4C2D-93FF-1B2D2D0C12A5}">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Participación
Deciles/posiciones: 9 y 10
Punto de corte compartido: 16
Pendiente confirmar si es intencional. Conservar exactamente como está mientras se valida.</t>
      </text>
    </comment>
    <comment ref="FR12" authorId="26" shapeId="0" xr:uid="{200DFDDA-4002-4AB9-BADE-946858442169}">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Compromiso
Deciles/posiciones: 9 y 10
Punto de corte compartido: 18
Pendiente confirmar si es intencional. Conservar exactamente como está mientras se valida.</t>
      </text>
    </comment>
    <comment ref="GL12" authorId="27" shapeId="0" xr:uid="{E570CD93-94A8-4F73-92DF-F3826021123B}">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Participación
Deciles/posiciones: 9 y 10
Punto de corte compartido: 16
Pendiente confirmar si es intencional. Conservar exactamente como está mientras se valida.</t>
      </text>
    </comment>
    <comment ref="CJ15" authorId="28" shapeId="0" xr:uid="{03D9B4F2-457E-4776-80E3-CC19A33E92DF}">
      <text>
        <t>[Comentario encadenado]
Su versión de Excel le permite leer este comentario encadenado; sin embargo, las ediciones que se apliquen se quitarán si el archivo se abre en una versión más reciente de Excel. Más información: https://go.microsoft.com/fwlink/?linkid=870924
Comentario:
    BLOCKED — Tabla normativa incompleta o inconsistente.
Target: Búsqueda de Significado Psicoproductivo
Necesitamos que el cliente proporcione o confirme la tabla completa de baremos, deciles 1 a 10. Los valores actuales no permiten reconstruir este resultado con certeza.
No corregir ni sustituir los valores; mantener este target bloqueado hasta recibir confirmación.</t>
      </text>
    </comment>
    <comment ref="CL15" authorId="29" shapeId="0" xr:uid="{C07B5194-2CAA-4470-A7E4-43A854399090}">
      <text>
        <t>[Comentario encadenado]
Su versión de Excel le permite leer este comentario encadenado; sin embargo, las ediciones que se apliquen se quitarán si el archivo se abre en una versión más reciente de Excel. Más información: https://go.microsoft.com/fwlink/?linkid=870924
Comentario:
    BLOCKED — Tabla normativa incompleta o inconsistente.
Target: Cuadrantes
Necesitamos que el cliente proporcione o confirme la tabla completa de baremos, deciles 1 a 10. Los valores actuales no permiten reconstruir este resultado con certeza.
No corregir ni sustituir los valores; mantener este target bloqueado hasta recibir confirmación.</t>
      </text>
    </comment>
    <comment ref="CN15" authorId="30" shapeId="0" xr:uid="{BCF2A4E4-C61D-4379-A4D5-0D8F908041DB}">
      <text>
        <t>[Comentario encadenado]
Su versión de Excel le permite leer este comentario encadenado; sin embargo, las ediciones que se apliquen se quitarán si el archivo se abre en una versión más reciente de Excel. Más información: https://go.microsoft.com/fwlink/?linkid=870924
Comentario:
    PENDIENTE / BLOCKED — Gestión de recursos no está incluida en el archivo actual. La documentación menciona 31 preguntas Likert de cinco niveles, pero se reporta un formulario con 25 afirmaciones puntuables. Confirmar si la versión definitiva contiene 25 o 31 preguntas. Si son 31, solicitar las seis preguntas faltantes y su orden. No inventar ni calificar esta sección hasta recibir confirmación.</t>
      </text>
    </comment>
    <comment ref="GJ15" authorId="31" shapeId="0" xr:uid="{35E2E27F-D240-4665-A9DB-F60723B1F23C}">
      <text>
        <t>[Comentario encadenado]
Su versión de Excel le permite leer este comentario encadenado; sin embargo, las ediciones que se apliquen se quitarán si el archivo se abre en una versión más reciente de Excel. Más información: https://go.microsoft.com/fwlink/?linkid=870924
Comentario:
    BLOCKED — Tabla normativa incompleta o inconsistente.
Target: Búsqueda de Significado Psicoproductivo
Necesitamos que el cliente proporcione o confirme la tabla completa de baremos, deciles 1 a 10. Los valores actuales no permiten reconstruir este resultado con certeza.
No corregir ni sustituir los valores; mantener este target bloqueado hasta recibir confirmación.</t>
      </text>
    </comment>
    <comment ref="GL15" authorId="32" shapeId="0" xr:uid="{8229CC96-134C-49E1-A826-B65E0C4B5FB6}">
      <text>
        <t>[Comentario encadenado]
Su versión de Excel le permite leer este comentario encadenado; sin embargo, las ediciones que se apliquen se quitarán si el archivo se abre en una versión más reciente de Excel. Más información: https://go.microsoft.com/fwlink/?linkid=870924
Comentario:
    BLOCKED — Tabla normativa incompleta o inconsistente.
Target: Cuadrantes
Necesitamos que el cliente proporcione o confirme la tabla completa de baremos, deciles 1 a 10. Los valores actuales no permiten reconstruir este resultado con certeza.
No corregir ni sustituir los valores; mantener este target bloqueado hasta recibir confirmación.</t>
      </text>
    </comment>
    <comment ref="GN15" authorId="33" shapeId="0" xr:uid="{4B64138B-5A0F-46C5-A528-F79DA0301BA7}">
      <text>
        <t>[Comentario encadenado]
Su versión de Excel le permite leer este comentario encadenado; sin embargo, las ediciones que se apliquen se quitarán si el archivo se abre en una versión más reciente de Excel. Más información: https://go.microsoft.com/fwlink/?linkid=870924
Comentario:
    PENDIENTE / BLOCKED — Gestión de recursos no está incluida en el archivo actual. La documentación menciona 31 preguntas Likert de cinco niveles, pero se reporta un formulario con 25 afirmaciones puntuables. Confirmar si la versión definitiva contiene 25 o 31 preguntas. Si son 31, solicitar las seis preguntas faltantes y su orden. No inventar ni calificar esta sección hasta recibir confirmación.</t>
      </text>
    </comment>
    <comment ref="FZ43" authorId="34" shapeId="0" xr:uid="{156061E5-68D3-40E0-8901-3544FF05FF63}">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Percepción Interpersonal
Deciles/posiciones: 2 y 3
Punto de corte compartido: 2
Pendiente confirmar si es intencional. Conservar exactamente como está mientras se valida.</t>
      </text>
    </comment>
    <comment ref="DV46" authorId="35" shapeId="0" xr:uid="{52A29646-DAE3-4C08-8F26-FD7D50A1F15D}">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Adaptación
Deciles/posiciones: 0.4 y 0.5
Punto de corte compartido: 12
Pendiente confirmar si es intencional. Conservar exactamente como está mientras se valida.</t>
      </text>
    </comment>
    <comment ref="EF46" authorId="36" shapeId="0" xr:uid="{C93D5799-6362-4E2B-8936-EDA2A8C75EED}">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Superación
Deciles/posiciones: 5 y 6
Punto de corte compartido: 11
Pendiente confirmar si es intencional. Conservar exactamente como está mientras se valida.</t>
      </text>
    </comment>
    <comment ref="GD46" authorId="37" shapeId="0" xr:uid="{A64C1D3C-7705-4A5D-82A7-68AD7B955B57}">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Consciencia del Entorno
Deciles/posiciones: 5 y 6
Punto de corte compartido: 9
Pendiente confirmar si es intencional. Conservar exactamente como está mientras se valida.</t>
      </text>
    </comment>
    <comment ref="HL46" authorId="38" shapeId="0" xr:uid="{61674285-C766-46D4-A83A-988296AC6242}">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Sentido de contribución
Deciles/posiciones: 5 y 6
Punto de corte compartido: 8
Pendiente confirmar si es intencional. Conservar exactamente como está mientras se valida.</t>
      </text>
    </comment>
    <comment ref="EP47" authorId="39" shapeId="0" xr:uid="{3FD4C7FC-2CC3-46A3-A3DF-50C316DCD225}">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Autocontrol
Deciles/posiciones: 6 y 7
Punto de corte compartido: 11
Pendiente confirmar si es intencional. Conservar exactamente como está mientras se valida.</t>
      </text>
    </comment>
    <comment ref="GJ47" authorId="40" shapeId="0" xr:uid="{A73D7CBF-0A70-45FC-9E4B-99E2A9B86A09}">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Anticipación
Deciles/posiciones: 6 y 7
Punto de corte compartido: 14
Pendiente confirmar si es intencional. Conservar exactamente como está mientras se valida.</t>
      </text>
    </comment>
    <comment ref="HB47" authorId="41" shapeId="0" xr:uid="{4DFE303F-0C30-4487-9382-63F01B9E0F0C}">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Alineamiento de Acciones
Deciles/posiciones: 6 y 7
Punto de corte compartido: 11
Pendiente confirmar si es intencional. Conservar exactamente como está mientras se valida.</t>
      </text>
    </comment>
    <comment ref="HJ47" authorId="42" shapeId="0" xr:uid="{43CCEB75-A8AB-497D-BE06-4BD483A99D86}">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Aprovechamiento de Talentos
Deciles/posiciones: 6 y 7
Punto de corte compartido: 14
Pendiente confirmar si es intencional. Conservar exactamente como está mientras se valida.</t>
      </text>
    </comment>
    <comment ref="EN48" authorId="43" shapeId="0" xr:uid="{11D13F60-548D-4F22-B9EC-8600B50722BB}">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Autoconocimiento
Deciles/posiciones: 7 y 8
Punto de corte compartido: 12
Pendiente confirmar si es intencional. Conservar exactamente como está mientras se valida.</t>
      </text>
    </comment>
    <comment ref="FH48" authorId="44" shapeId="0" xr:uid="{C862B181-EE85-4DDC-ADEF-C202241F95A9}">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Esfuerzo
Deciles/posiciones: 7 y 8
Punto de corte compartido: 17
Pendiente confirmar si es intencional. Conservar exactamente como está mientras se valida.</t>
      </text>
    </comment>
    <comment ref="GT48" authorId="45" shapeId="0" xr:uid="{6C236AC9-0AB2-45A8-B6E9-17AD6CA6CE4E}">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Recuperación
Deciles/posiciones: 7 y 8
Punto de corte compartido: 16
Pendiente confirmar si es intencional. Conservar exactamente como está mientras se valida.</t>
      </text>
    </comment>
    <comment ref="FR50" authorId="46" shapeId="0" xr:uid="{17AD1329-3527-417D-9B1B-DAE0806CD824}">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Compromiso
Deciles/posiciones: 9 y 10
Punto de corte compartido: 18
Pendiente confirmar si es intencional. Conservar exactamente como está mientras se valida.</t>
      </text>
    </comment>
    <comment ref="GL50" authorId="47" shapeId="0" xr:uid="{62367A81-68D8-477B-A8AA-27358A560F2E}">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Participación
Deciles/posiciones: 9 y 10
Punto de corte compartido: 16
Pendiente confirmar si es intencional. Conservar exactamente como está mientras se valida.</t>
      </text>
    </comment>
    <comment ref="GJ53" authorId="48" shapeId="0" xr:uid="{E891F785-90E8-4808-8688-12B061952306}">
      <text>
        <t>[Comentario encadenado]
Su versión de Excel le permite leer este comentario encadenado; sin embargo, las ediciones que se apliquen se quitarán si el archivo se abre en una versión más reciente de Excel. Más información: https://go.microsoft.com/fwlink/?linkid=870924
Comentario:
    BLOCKED — Tabla normativa incompleta o inconsistente.
Target: Búsqueda de Significado Psicoproductivo
Necesitamos que el cliente proporcione o confirme la tabla completa de baremos, deciles 1 a 10. Los valores actuales no permiten reconstruir este resultado con certeza.
No corregir ni sustituir los valores; mantener este target bloqueado hasta recibir confirmación.</t>
      </text>
    </comment>
    <comment ref="GL53" authorId="49" shapeId="0" xr:uid="{C84F763A-74C6-4F46-A33C-41ED0F1BFC2E}">
      <text>
        <t>[Comentario encadenado]
Su versión de Excel le permite leer este comentario encadenado; sin embargo, las ediciones que se apliquen se quitarán si el archivo se abre en una versión más reciente de Excel. Más información: https://go.microsoft.com/fwlink/?linkid=870924
Comentario:
    BLOCKED — Tabla normativa incompleta o inconsistente.
Target: Cuadrantes
Necesitamos que el cliente proporcione o confirme la tabla completa de baremos, deciles 1 a 10. Los valores actuales no permiten reconstruir este resultado con certeza.
No corregir ni sustituir los valores; mantener este target bloqueado hasta recibir confirmación.</t>
      </text>
    </comment>
    <comment ref="GN53" authorId="50" shapeId="0" xr:uid="{BE019453-8D99-4912-9F97-92AFA19A775E}">
      <text>
        <t>[Comentario encadenado]
Su versión de Excel le permite leer este comentario encadenado; sin embargo, las ediciones que se apliquen se quitarán si el archivo se abre en una versión más reciente de Excel. Más información: https://go.microsoft.com/fwlink/?linkid=870924
Comentario:
    PENDIENTE / BLOCKED — Gestión de recursos no está incluida en el archivo actual. La documentación menciona 31 preguntas Likert de cinco niveles, pero se reporta un formulario con 25 afirmaciones puntuables. Confirmar si la versión definitiva contiene 25 o 31 preguntas. Si son 31, solicitar las seis preguntas faltantes y su orden. No inventar ni calificar esta sección hasta recibir confirmación.</t>
      </text>
    </comment>
    <comment ref="FZ81" authorId="51" shapeId="0" xr:uid="{F0277547-A749-4FE3-84C7-BAC876FD3EE1}">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Percepción Interpersonal
Deciles/posiciones: 2 y 3
Punto de corte compartido: 2
Pendiente confirmar si es intencional. Conservar exactamente como está mientras se valida.</t>
      </text>
    </comment>
    <comment ref="DV84" authorId="52" shapeId="0" xr:uid="{34D10FD2-8907-4504-A309-479F9EEBC2D7}">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Adaptación
Deciles/posiciones: 0.4 y 0.5
Punto de corte compartido: 12
Pendiente confirmar si es intencional. Conservar exactamente como está mientras se valida.</t>
      </text>
    </comment>
    <comment ref="EF84" authorId="53" shapeId="0" xr:uid="{CC0D03EA-55B5-4CBD-AB32-281A40758F00}">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Superación
Deciles/posiciones: 5 y 6
Punto de corte compartido: 11
Pendiente confirmar si es intencional. Conservar exactamente como está mientras se valida.</t>
      </text>
    </comment>
    <comment ref="GD84" authorId="54" shapeId="0" xr:uid="{D4839309-78D1-43D8-B909-649EC1BCBBA2}">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Consciencia del Entorno
Deciles/posiciones: 5 y 6
Punto de corte compartido: 9
Pendiente confirmar si es intencional. Conservar exactamente como está mientras se valida.</t>
      </text>
    </comment>
    <comment ref="HL84" authorId="55" shapeId="0" xr:uid="{885FEDF4-9414-416E-8872-CDF1CBEC1D76}">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Sentido de contribución
Deciles/posiciones: 5 y 6
Punto de corte compartido: 8
Pendiente confirmar si es intencional. Conservar exactamente como está mientras se valida.</t>
      </text>
    </comment>
    <comment ref="EP85" authorId="56" shapeId="0" xr:uid="{C1A9E5F7-C70C-462A-A076-E5C07240F7EB}">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Autocontrol
Deciles/posiciones: 6 y 7
Punto de corte compartido: 11
Pendiente confirmar si es intencional. Conservar exactamente como está mientras se valida.</t>
      </text>
    </comment>
    <comment ref="GJ85" authorId="57" shapeId="0" xr:uid="{18F53EF3-F3EC-4324-8814-21675D3F1A97}">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Anticipación
Deciles/posiciones: 6 y 7
Punto de corte compartido: 14
Pendiente confirmar si es intencional. Conservar exactamente como está mientras se valida.</t>
      </text>
    </comment>
    <comment ref="HB85" authorId="58" shapeId="0" xr:uid="{9DE29D54-2F34-4D54-87CB-14923B1ADF98}">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Alineamiento de Acciones
Deciles/posiciones: 6 y 7
Punto de corte compartido: 11
Pendiente confirmar si es intencional. Conservar exactamente como está mientras se valida.</t>
      </text>
    </comment>
    <comment ref="HJ85" authorId="59" shapeId="0" xr:uid="{F27D7650-3EBC-48B2-8447-5BD3E103EF2E}">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Aprovechamiento de Talentos
Deciles/posiciones: 6 y 7
Punto de corte compartido: 14
Pendiente confirmar si es intencional. Conservar exactamente como está mientras se valida.</t>
      </text>
    </comment>
    <comment ref="EN86" authorId="60" shapeId="0" xr:uid="{277FFECE-B620-4953-94C0-A63A66471994}">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Autoconocimiento
Deciles/posiciones: 7 y 8
Punto de corte compartido: 12
Pendiente confirmar si es intencional. Conservar exactamente como está mientras se valida.</t>
      </text>
    </comment>
    <comment ref="FH86" authorId="61" shapeId="0" xr:uid="{8CDE668D-793C-47EE-AD72-7EED932FE2B3}">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Esfuerzo
Deciles/posiciones: 7 y 8
Punto de corte compartido: 17
Pendiente confirmar si es intencional. Conservar exactamente como está mientras se valida.</t>
      </text>
    </comment>
    <comment ref="GT86" authorId="62" shapeId="0" xr:uid="{2E2040FB-41F3-4030-A426-79C00A2D8E13}">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Recuperación
Deciles/posiciones: 7 y 8
Punto de corte compartido: 16
Pendiente confirmar si es intencional. Conservar exactamente como está mientras se valida.</t>
      </text>
    </comment>
    <comment ref="FR88" authorId="63" shapeId="0" xr:uid="{93F5A2D7-D0B5-4BBF-BB5C-8722DE357081}">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Compromiso
Deciles/posiciones: 9 y 10
Punto de corte compartido: 18
Pendiente confirmar si es intencional. Conservar exactamente como está mientras se valida.</t>
      </text>
    </comment>
    <comment ref="GL88" authorId="64" shapeId="0" xr:uid="{FD311DE4-318B-41A1-88CA-365FE838CC90}">
      <text>
        <t>[Comentario encadenado]
Su versión de Excel le permite leer este comentario encadenado; sin embargo, las ediciones que se apliquen se quitarán si el archivo se abre en una versión más reciente de Excel. Más información: https://go.microsoft.com/fwlink/?linkid=870924
Comentario:
    WARNING — Punto de corte duplicado en deciles consecutivos.
Target: Participación
Deciles/posiciones: 9 y 10
Punto de corte compartido: 16
Pendiente confirmar si es intencional. Conservar exactamente como está mientras se valida.</t>
      </text>
    </comment>
    <comment ref="GJ91" authorId="65" shapeId="0" xr:uid="{F96CAF51-54D3-4C0A-82D8-5AD65884D7B3}">
      <text>
        <t>[Comentario encadenado]
Su versión de Excel le permite leer este comentario encadenado; sin embargo, las ediciones que se apliquen se quitarán si el archivo se abre en una versión más reciente de Excel. Más información: https://go.microsoft.com/fwlink/?linkid=870924
Comentario:
    BLOCKED — Tabla normativa incompleta o inconsistente.
Target: Búsqueda de Significado Psicoproductivo
Necesitamos que el cliente proporcione o confirme la tabla completa de baremos, deciles 1 a 10. Los valores actuales no permiten reconstruir este resultado con certeza.
No corregir ni sustituir los valores; mantener este target bloqueado hasta recibir confirmación.</t>
      </text>
    </comment>
    <comment ref="GL91" authorId="66" shapeId="0" xr:uid="{334875F1-FFD2-449A-8032-11E7F21B0D1F}">
      <text>
        <t>[Comentario encadenado]
Su versión de Excel le permite leer este comentario encadenado; sin embargo, las ediciones que se apliquen se quitarán si el archivo se abre en una versión más reciente de Excel. Más información: https://go.microsoft.com/fwlink/?linkid=870924
Comentario:
    BLOCKED — Tabla normativa incompleta o inconsistente.
Target: Cuadrantes
Necesitamos que el cliente proporcione o confirme la tabla completa de baremos, deciles 1 a 10. Los valores actuales no permiten reconstruir este resultado con certeza.
No corregir ni sustituir los valores; mantener este target bloqueado hasta recibir confirmación.</t>
      </text>
    </comment>
    <comment ref="GN91" authorId="67" shapeId="0" xr:uid="{A3A6E56F-B353-42EF-AB2A-4C290F2AF506}">
      <text>
        <t>[Comentario encadenado]
Su versión de Excel le permite leer este comentario encadenado; sin embargo, las ediciones que se apliquen se quitarán si el archivo se abre en una versión más reciente de Excel. Más información: https://go.microsoft.com/fwlink/?linkid=870924
Comentario:
    PENDIENTE / BLOCKED — Gestión de recursos no está incluida en el archivo actual. La documentación menciona 31 preguntas Likert de cinco niveles, pero se reporta un formulario con 25 afirmaciones puntuables. Confirmar si la versión definitiva contiene 25 o 31 preguntas. Si son 31, solicitar las seis preguntas faltantes y su orden. No inventar ni calificar esta sección hasta recibir confirmación.</t>
      </text>
    </comment>
  </commentList>
</comments>
</file>

<file path=xl/sharedStrings.xml><?xml version="1.0" encoding="utf-8"?>
<sst xmlns="http://schemas.openxmlformats.org/spreadsheetml/2006/main" count="7675" uniqueCount="1127">
  <si>
    <t>Timestamp</t>
  </si>
  <si>
    <t>Username</t>
  </si>
  <si>
    <t>SituaciÃ³n Laboral</t>
  </si>
  <si>
    <t>GÃ©nero</t>
  </si>
  <si>
    <t>Edad</t>
  </si>
  <si>
    <t>Nivel AcadÃ©mico</t>
  </si>
  <si>
    <t>ProfesiÃ³n</t>
  </si>
  <si>
    <t>5 [Me reconozco y felicito por mis aciertos en cada paso del camino]</t>
  </si>
  <si>
    <t>( - ) Me identifico menos</t>
  </si>
  <si>
    <t>Puntaje</t>
  </si>
  <si>
    <t>PosNeg</t>
  </si>
  <si>
    <t>Desarrollar nuevas habilidades no es prioritario para mí en este momento</t>
  </si>
  <si>
    <t>Neg</t>
  </si>
  <si>
    <t>Aprovechamiento de talentos</t>
  </si>
  <si>
    <t>Búsqueda de Significado Psicoproductivo</t>
  </si>
  <si>
    <t>Me siento intranquilo o irritable ante situaciones nuevas o cambiantes</t>
  </si>
  <si>
    <t>Autoconfianza</t>
  </si>
  <si>
    <t>Convicción positiva</t>
  </si>
  <si>
    <t>Me siento bien de ser yo mismo</t>
  </si>
  <si>
    <t>Pos</t>
  </si>
  <si>
    <t>Pienso bien de mí mismo</t>
  </si>
  <si>
    <t>A veces creo que me quejo mucho pero no propongo</t>
  </si>
  <si>
    <t>Expectativas</t>
  </si>
  <si>
    <t>Habilidad administrativa</t>
  </si>
  <si>
    <t>Competencia financiera</t>
  </si>
  <si>
    <t>Yo jamás he ofrecido dinero para acelerar un trámite</t>
  </si>
  <si>
    <t>Es común que en las negociaciones con otros yo salga perdiendo</t>
  </si>
  <si>
    <t>Influencia</t>
  </si>
  <si>
    <t>Suelo tener un plan B por si las cosas no salen como espero</t>
  </si>
  <si>
    <t>Perseverancia</t>
  </si>
  <si>
    <t>Resiliencia</t>
  </si>
  <si>
    <t>Actualmente no estoy desarrollando ninguna nueva habilidad que me ayude a hacer mejor mi trabajo</t>
  </si>
  <si>
    <t>Desconozco de qué forma podría aprovechar mis talentos para generar mayores ingresos</t>
  </si>
  <si>
    <t>Conozco cuál es mi vocación y planeo dedicarme a ella en un futuro próximo</t>
  </si>
  <si>
    <t>Me esfuerzo cada día para ser mejor en lo que hago</t>
  </si>
  <si>
    <t>Me empeño en mejorar mis habilidades para producir mayores resultados</t>
  </si>
  <si>
    <t>Dudo tener el talento que se necesita para lograr el éxito que pretendo</t>
  </si>
  <si>
    <t>Me desanimo con facilidad ante los obstáculos</t>
  </si>
  <si>
    <t>Mantengo la calma en situaciones difíciles</t>
  </si>
  <si>
    <t>Sé que puedo resolver problemas difíciles si me esfuerzo lo suficiente</t>
  </si>
  <si>
    <t>Con frecuencia confundo mis emociones</t>
  </si>
  <si>
    <t>Autoconocimiento</t>
  </si>
  <si>
    <t>Autoregulación emocional</t>
  </si>
  <si>
    <t>Me es difícil anticipar mis cambios de ánimo</t>
  </si>
  <si>
    <t>Conozco muy bien cuáles son las cosas que me enojan o me ponen triste</t>
  </si>
  <si>
    <t>En este momento puedo identificar claramente cuál es mi estado emocional</t>
  </si>
  <si>
    <t>Estoy consciente de la forma en la que mis emociones afectan a los demás</t>
  </si>
  <si>
    <t>No permito que mis sentimientos interfieran con mi trabajo</t>
  </si>
  <si>
    <t>Autorefuerzo</t>
  </si>
  <si>
    <t>Me cuesta trabajo hablar en público</t>
  </si>
  <si>
    <t>Se me dificulta reconocer mis errores y fracasos</t>
  </si>
  <si>
    <t>Analizo mis errores para aprender de ellos</t>
  </si>
  <si>
    <t>Generalmente logro lo que me propongo</t>
  </si>
  <si>
    <t>Desconozco el camino que debo seguir para hacer realidad mi visión personal</t>
  </si>
  <si>
    <t>Claridad de estrategia</t>
  </si>
  <si>
    <t>Visión estratégica Personal</t>
  </si>
  <si>
    <t>Me es difícil imaginar cómo será mi vida dentro de unos años</t>
  </si>
  <si>
    <t>Todavía no tengo claro cuál es mi propósito en la vida</t>
  </si>
  <si>
    <t>Conozco cuál es el trabajo que más quiero hacer en la vida</t>
  </si>
  <si>
    <t>Hoy hago cosas que son importantes para mí</t>
  </si>
  <si>
    <t>Puedo ver claramente la estrategia que debo seguir para lograr lo que más deseo en la vida</t>
  </si>
  <si>
    <t>Sé perfectamente a qué me gustaría dedicarme en el futuro</t>
  </si>
  <si>
    <t>Esfuerzo</t>
  </si>
  <si>
    <t>Empuje</t>
  </si>
  <si>
    <t>Cuando estoy estresado suelo reaccionar de mal modo con los demás</t>
  </si>
  <si>
    <t>Necesito supervisión para completar mis tareas</t>
  </si>
  <si>
    <t>Cuando estoy trabajando en algo, le dedico toda mi atención</t>
  </si>
  <si>
    <t>Me esfuerzo un montón por lograr y superar los estándares fijados</t>
  </si>
  <si>
    <t>Me siento satisfecho con los resultados que hoy soy capaz de dar</t>
  </si>
  <si>
    <t>Sacrifico horas de sueño si es necesario para sacar adelante proyectos que para mí son importantes</t>
  </si>
  <si>
    <t>Prefiero ser conservador y esperar lo menos de la vida</t>
  </si>
  <si>
    <t>Espero de mí mismo marcar una diferencia significativa para muchas personas</t>
  </si>
  <si>
    <t>Tengo la firme expectativa de mejorar notablemente para el próximo año</t>
  </si>
  <si>
    <t>Planeo certificarme formalmente sobre un tema que me interesa</t>
  </si>
  <si>
    <t>Me siento preocupado por temas de dinero</t>
  </si>
  <si>
    <t>Se me dificulta cumplir a tiempo con mis obligaciones</t>
  </si>
  <si>
    <t>Soy desordenado con mis finanzas</t>
  </si>
  <si>
    <t>En los últimos años he tomado muy buenas decisiones con mi dinero</t>
  </si>
  <si>
    <t>Me aseguro de administrar bien los saldos en mis tarjetas para evitar cargos financieros</t>
  </si>
  <si>
    <t>Soy hábil para hacer que el dinero me rinda para todo</t>
  </si>
  <si>
    <t>Hay veces en las que tomar algo que no es tuyo puede estar justificado</t>
  </si>
  <si>
    <t>Nunca he hecho trampa para ganar</t>
  </si>
  <si>
    <t>Dudo de mi capacidad para convencer a otros</t>
  </si>
  <si>
    <t>Generalmente las personas no me reconocen como autoridad</t>
  </si>
  <si>
    <t>Soy bueno para ayudar a los demás a decidirse</t>
  </si>
  <si>
    <t>Estoy convencido de que tengo un alto poder de influencia en los demás</t>
  </si>
  <si>
    <t>Soy hábil para ganarme la confianza de la gente</t>
  </si>
  <si>
    <t>Sé cómo persuadir a otros para que se pongan de mi lado</t>
  </si>
  <si>
    <t>Pierdo mucho tiempo buscando mis cosas cuando las necesito</t>
  </si>
  <si>
    <t>Frecuentemente estoy ideando nuevas formas para mejorar mis resultados</t>
  </si>
  <si>
    <t>Intento entender cómo es que los factores de una situación están relacionados entre sí</t>
  </si>
  <si>
    <t>Me es fácil encontrar múltiples soluciones a un mismo problema</t>
  </si>
  <si>
    <t>Me rindo cuando las cosas parecen no tener solución</t>
  </si>
  <si>
    <t>Aún en condiciones adversas me mantengo firme hasta el final</t>
  </si>
  <si>
    <t>Cuando un problema no está siendo fácil de resolver, sigo intentándolo hasta encontrar la respuesta</t>
  </si>
  <si>
    <t>Si me equivoco, puedo cambiar de estrategia pero sigo adelante</t>
  </si>
  <si>
    <t>Mantengo expectativas bajas para mí mismo</t>
  </si>
  <si>
    <t>Me aseguro de tener unas finanzas sanas</t>
  </si>
  <si>
    <t>Cuando las cosas se tornan complicadas me es difícil saber qué es lo correcto de hacer</t>
  </si>
  <si>
    <t>Si cometo un error, me aseguro que en el futuro no vuelva a suceder</t>
  </si>
  <si>
    <t>Inicio con fuerza pero pasado un tiempo, dejo de dar seguimiento a mis avances</t>
  </si>
  <si>
    <t>Pierdo la motivación cuando las cosas no salen como quiero</t>
  </si>
  <si>
    <t>Generalmente puedo anticipar cómo reaccionarán las personas que conozco ante una situación determinada</t>
  </si>
  <si>
    <t>Percepción Interpersonal</t>
  </si>
  <si>
    <t>Frecuentemente soy el último en darse cuenta de que las cosas no van bien</t>
  </si>
  <si>
    <t>Anticipación</t>
  </si>
  <si>
    <t>Proactividad</t>
  </si>
  <si>
    <t>Me cuesta prever las consecuencias de mis actos</t>
  </si>
  <si>
    <t>Tiendo a reaccionar a los problemas cuando ya se presentaron o cuando ya es demasiado tarde</t>
  </si>
  <si>
    <t>Evalúo muy bien mis decisiones antes de tomarlas</t>
  </si>
  <si>
    <t>Preveo situaciones y reacciono a ellas antes de que sucedan</t>
  </si>
  <si>
    <t>Constantemente estoy buscando mejores formas de hacer las cosas</t>
  </si>
  <si>
    <t>Soy una persona precavida</t>
  </si>
  <si>
    <t>Autocontrol</t>
  </si>
  <si>
    <t>Comprendo bien mis emociones</t>
  </si>
  <si>
    <t>La gente confía en mí para administrar el dinero</t>
  </si>
  <si>
    <t>Tiendo a dejar las cosas para después</t>
  </si>
  <si>
    <t>Capacidad de reacción</t>
  </si>
  <si>
    <t>Cuando se me agota el entusiasmo inicial, abandono la actividad para ir por otra nueva</t>
  </si>
  <si>
    <t>Se me ocurren ideas pero me cuesta llevarlas a la práctica</t>
  </si>
  <si>
    <t>Adelanto mi trabajo para estar listo por si algo se llega a necesitar</t>
  </si>
  <si>
    <t>Me aseguro de encontrar la forma de lograr mis metas y objetivos</t>
  </si>
  <si>
    <t>Confío en mi capacidad para modificar lo que no me gusta de mi vida</t>
  </si>
  <si>
    <t>Cuando se pide la participación de todos soy el primero en levantar la mano</t>
  </si>
  <si>
    <t>Me es difícil apegarme a los acuerdos que hago otras personas</t>
  </si>
  <si>
    <t>Confiabilidad</t>
  </si>
  <si>
    <t>Vivo mi vida con un alto compromiso y sentido del deber</t>
  </si>
  <si>
    <t>Mis convicciones me guían para actuar en la vida</t>
  </si>
  <si>
    <t>Pago mis deudas en su totalidad y en el plazo acordado</t>
  </si>
  <si>
    <t>Mi desempeño se disminuye en situaciones de mucha exigencia</t>
  </si>
  <si>
    <t>Energía</t>
  </si>
  <si>
    <t>Quiero hacer muchas cosas pero me canso con facilidad</t>
  </si>
  <si>
    <t>Mantengo un alto nivel de dinamismo y energía</t>
  </si>
  <si>
    <t>A lo largo de la jornada doy el máximo todo el tiempo</t>
  </si>
  <si>
    <t>Puedo trabajar durante muchas horas manteniendo el mismo nivel de energía</t>
  </si>
  <si>
    <t>Merecimiento</t>
  </si>
  <si>
    <t>No tengo muchos motivos para enorgullecerme de mí mismo</t>
  </si>
  <si>
    <t>Me resulta difícil disfrutar de mi vida</t>
  </si>
  <si>
    <t>Me esfuerzo por ser una mejor persona</t>
  </si>
  <si>
    <t>Deseo adquirir la mayor cantidad de experiencia y conocimientos posible</t>
  </si>
  <si>
    <t>Pretendo lograr el mayor éxito financiero y profesional posible en mi vida</t>
  </si>
  <si>
    <t>Estoy poco enterado de los problemas que hay en el mundo</t>
  </si>
  <si>
    <t>Pensamiento divergente</t>
  </si>
  <si>
    <t>Adaptabilidad</t>
  </si>
  <si>
    <t>Las cosas que se me ocurren son aburridas y poco creativas</t>
  </si>
  <si>
    <t>Muy poco se me ocurren ideas creativas y novedosas</t>
  </si>
  <si>
    <t>Si no tengo los materiales que necesito, aprovecho creativamente los que tengo disponibles</t>
  </si>
  <si>
    <t>Se me ocurren soluciones originales a los problemas a los que me enfrento</t>
  </si>
  <si>
    <t>Me cuesta entender los sentimientos de otras personas</t>
  </si>
  <si>
    <t>Me es difícil darme cuenta cuando alguien me está mintiendo</t>
  </si>
  <si>
    <t>Prefiero alejarme de la gente</t>
  </si>
  <si>
    <t>Puedo adivinar la intención real de otras personas al hablar con ellos</t>
  </si>
  <si>
    <t>Puedo predecir el comportamiento de las personas</t>
  </si>
  <si>
    <t>Siempre dejo una buena impresión en los demás</t>
  </si>
  <si>
    <t>Cometer errores me desanima al grado de pensar en renunciar a mi objetivo</t>
  </si>
  <si>
    <t>Recuperación</t>
  </si>
  <si>
    <t>La gente diría que me cuesta mucho reponerme de los fracasos</t>
  </si>
  <si>
    <t>Me doy cuenta fácilmente de lo que debo cambiar en mí para mejorar mis resultados</t>
  </si>
  <si>
    <t>Si algo no sale como quiero me recupero rápidamente y lo vuelvo a intentar</t>
  </si>
  <si>
    <t>Mi carácter me ayuda a levantarme fortalecido de las crisis</t>
  </si>
  <si>
    <t>Seguir estudiando es lo último que haría</t>
  </si>
  <si>
    <t>Superación</t>
  </si>
  <si>
    <t>A menos que sea absolutamente necesario, no estoy dispuesto a cambiar mi forma de trabajo</t>
  </si>
  <si>
    <t>No me motiva recibir reconocimientos por mi buen desempeño</t>
  </si>
  <si>
    <t>Me implico en actividades que me ayudan a superarme a mí mismo</t>
  </si>
  <si>
    <t>Estoy decidido a ser El Mejor en lo que hago</t>
  </si>
  <si>
    <t>Quiero ser considerado como una autoridad en mi campo</t>
  </si>
  <si>
    <t>Dedico bastante tiempo y energía a mi propio desarrollo</t>
  </si>
  <si>
    <t>Prefiero no tener un plan y dejar que la vida me sorprenda</t>
  </si>
  <si>
    <t>Trabajo mucho pero consigo pocos resultados</t>
  </si>
  <si>
    <t>En el último año he conseguido todo lo que me he propuesto</t>
  </si>
  <si>
    <t>Hago listas de pendientes que reviso y actualizo a lo largo del día</t>
  </si>
  <si>
    <t>Sé muy bien cuáles son las capacidades que debo desarrollar para tener éxito en mi camino</t>
  </si>
  <si>
    <t>Antes de hacer algo, dedico suficiente tiempo a planear</t>
  </si>
  <si>
    <t>En ocasiones actúo impulsivamente</t>
  </si>
  <si>
    <t>Compro cosas sin pensarlo lo suficiente</t>
  </si>
  <si>
    <t>Siempre cumplo lo que prometo</t>
  </si>
  <si>
    <t>Puedo trabajar horas extra sin perder efectividad en mi trabajo</t>
  </si>
  <si>
    <t>Busco la manera de cumplir a tiempo con todas mis responsabilidades</t>
  </si>
  <si>
    <t>Autosupervisión</t>
  </si>
  <si>
    <t>Control Percibido</t>
  </si>
  <si>
    <t>Me gusta participar con otras personas para lograr objetivos en común</t>
  </si>
  <si>
    <t>Participación</t>
  </si>
  <si>
    <t>Entrar en contacto con otras personas me pone nervioso</t>
  </si>
  <si>
    <t>Sociabilidad</t>
  </si>
  <si>
    <t>En una emergencia se me dificulta mantenerme concentrado</t>
  </si>
  <si>
    <t>Adaptación</t>
  </si>
  <si>
    <t>En situaciones de conflicto pierdo el profesionalismo</t>
  </si>
  <si>
    <t>Me manejo bien en situaciones de crisis</t>
  </si>
  <si>
    <t>Reacciono con la urgencia apropiada en situaciones de peligro</t>
  </si>
  <si>
    <t>En situaciones de crisis puedo mantenerme enfocado en las tareas importantes</t>
  </si>
  <si>
    <t>Aceptaría cualquier trabajo porque sé que de todo puedo aprender muy rápido</t>
  </si>
  <si>
    <t>Anteposición de intereses</t>
  </si>
  <si>
    <t>Acepto las nuevas oportunidades de trabajo aunque estas no correspondan a mi predilección</t>
  </si>
  <si>
    <t>Si me ofrecieran un trabajo para el que sé que no tengo capacidad suficiente, igual lo tomaría</t>
  </si>
  <si>
    <t>Para mí es prioritario ganarme la vida haciendo lo que más me gusta</t>
  </si>
  <si>
    <t>Cuando no entiendo algo me desespero y lo abandono</t>
  </si>
  <si>
    <t>Autonomía</t>
  </si>
  <si>
    <t>Me dejo llevar por lo que opinan los demás</t>
  </si>
  <si>
    <t>Me preocupa la idea de no estar acompañado</t>
  </si>
  <si>
    <t>Difícilmente dejo algún pendiente sin completar</t>
  </si>
  <si>
    <t>Mi ahorro está creciendo</t>
  </si>
  <si>
    <t>Sé muy bien cuáles son las capacidades que los demás valoran en mí</t>
  </si>
  <si>
    <t>Me es difícil concentrar mi energía en la dirección que quiero ir</t>
  </si>
  <si>
    <t>Para reconocer mis errores, necesito que otros me los hagan ver</t>
  </si>
  <si>
    <t>Me doy cuenta que estoy equivocado hasta que alguien me lo avisa</t>
  </si>
  <si>
    <t>Puedo darme cuenta de mis emociones mientras estoy trabajando</t>
  </si>
  <si>
    <t>Me concentro en las tareas que debo hacer, incluso si no me gustan</t>
  </si>
  <si>
    <t>Establezco estándares de desempeño claros para mí mismo y los uso de referencia para evaluar mi comportamiento</t>
  </si>
  <si>
    <t>Es raro que me ponga a investigar que está sucediendo en mi país o en el mundo</t>
  </si>
  <si>
    <t>Desconozco qué opciones tengo para invertir mi dinero</t>
  </si>
  <si>
    <t>Antes de tomar una decisión pienso en cómo un cambio puede impactar en otras situaciones</t>
  </si>
  <si>
    <t>Para cumplir con todas mis responsabilidades me aseguro de conseguir la ayuda que necesito</t>
  </si>
  <si>
    <t>Para determinar la causa de un problema busco información más allá del evento específico que se ha presentado</t>
  </si>
  <si>
    <t>A veces tengo que pedir prestado para cumplir con mis gastos del mes</t>
  </si>
  <si>
    <t>Observo mi situación financiera con regularidad</t>
  </si>
  <si>
    <t>Dirijo mi vida en la dirección que quiero ir</t>
  </si>
  <si>
    <t>Optimismo</t>
  </si>
  <si>
    <t>A veces siento que no soy lo suficientemente bueno para lograr lo que quiero</t>
  </si>
  <si>
    <t>Desconfío del futuro y de las nuevas ideas</t>
  </si>
  <si>
    <t>Soy positivo cuando pienso en el futuro</t>
  </si>
  <si>
    <t>Confío en que me irá bien en el futuro</t>
  </si>
  <si>
    <t>Tengo una habilidad que podría beneficiar a muchas personas</t>
  </si>
  <si>
    <t>Tengo la certeza de que me irá bien en la vida</t>
  </si>
  <si>
    <t>Conocer las razones del porqué de los problemas no es interesante para mí</t>
  </si>
  <si>
    <t>Prefiero trabajar solo</t>
  </si>
  <si>
    <t>Me involucro propositivamente en los asuntos de mi comunidad</t>
  </si>
  <si>
    <t>Si alguien no está participando me acerco para ayudarlo a involucrarse</t>
  </si>
  <si>
    <t>Se me dificulta relacionarme con los demás</t>
  </si>
  <si>
    <t>Me impaciento cuando alguien me platica sus problemas</t>
  </si>
  <si>
    <t>Me esfuerzo por hacer buenas relaciones en todos lados</t>
  </si>
  <si>
    <t>Procuro rodearme de gente positiva y exitosa</t>
  </si>
  <si>
    <t>Procuro y fomento mis relaciones</t>
  </si>
  <si>
    <t>Escucho con atención y considero las aportaciones que hacen los demás</t>
  </si>
  <si>
    <t>Visión Clara</t>
  </si>
  <si>
    <t>Sé muy bien adónde quiero llegar en la vida</t>
  </si>
  <si>
    <t>Tengo una idea clara del futuro que quiero para mí</t>
  </si>
  <si>
    <t>En situaciones de presión cometo más errores de lo normal</t>
  </si>
  <si>
    <t>Temple</t>
  </si>
  <si>
    <t>Se me dificulta tomar decisiones bajo estrés</t>
  </si>
  <si>
    <t>Cuando estoy estresado puedo pensar con claridad</t>
  </si>
  <si>
    <t>Aún bajo estrés puedo realizar mis tareas sin equivocarme</t>
  </si>
  <si>
    <t>Puedo mantenerme relajado en situaciones de presión</t>
  </si>
  <si>
    <t>Mi desempeño está por debajo de las expectativas</t>
  </si>
  <si>
    <t>Tenacidad</t>
  </si>
  <si>
    <t>En ocasiones soy inconstante o indisciplinado</t>
  </si>
  <si>
    <t>Me hace falta tener más energía para completar mis actividades del día</t>
  </si>
  <si>
    <t>Soy obstinado con mis metas y objetivos</t>
  </si>
  <si>
    <t>Persigo mis sueños con empeño</t>
  </si>
  <si>
    <t>Cuando quiero algo, no descanso hasta conseguirlo</t>
  </si>
  <si>
    <t>Quisiera dedicarme a mi pasión y poder cobrar por ello</t>
  </si>
  <si>
    <t>Puedo con facilidad aislar mi mente del exterior para no distraerme</t>
  </si>
  <si>
    <t>Rápidamente puedo percibir los cambios del entorno</t>
  </si>
  <si>
    <t>Contribuyo proactivamente para mejorar mi entorno de trabajo</t>
  </si>
  <si>
    <t>Todavía no identifico qué es lo que quiero lograr en mi vida</t>
  </si>
  <si>
    <t>Los proyectos en los que estoy involucrado obstaculizan mi camino hacia mis ideales</t>
  </si>
  <si>
    <t>Conozco las barreras que tendré que superar para lograr mis objetivos</t>
  </si>
  <si>
    <t>Actualmente no invierto mi dinero</t>
  </si>
  <si>
    <t>Apertura a oportunidades</t>
  </si>
  <si>
    <t>Se me dificulta reconocer las buenas oportunidades de negocio</t>
  </si>
  <si>
    <t>Sacrifico parte de mis ganancias para volverlas a invertir</t>
  </si>
  <si>
    <t>Me implico activamente en crear oportunidades que me generen ingresos</t>
  </si>
  <si>
    <t>No veo sentido en exigirme demasiado</t>
  </si>
  <si>
    <t>Me empeño en hacer que mi trayectoria laboral vaya en ascenso</t>
  </si>
  <si>
    <t>Soy exigente conmigo mismo</t>
  </si>
  <si>
    <t>Es difícil que cambie mi forma de hacer las cosas aunque me de cuenta de que no me están funcionando</t>
  </si>
  <si>
    <t>Automejoramiento</t>
  </si>
  <si>
    <t>Me trazo a mí mismo objetivos concretos de aprendizaje en función de lo que quiero lograr</t>
  </si>
  <si>
    <t>Me hago responsable de mi propio aprendizaje</t>
  </si>
  <si>
    <t>Compromiso</t>
  </si>
  <si>
    <t>Abandono las tareas que me exigen demasiado esfuerzo</t>
  </si>
  <si>
    <t>Si un libro se vuelve difícil de entender, lo abandono y comienzo uno nuevo</t>
  </si>
  <si>
    <t>A lo largo de mi trayectoria he construido una excelente reputación</t>
  </si>
  <si>
    <t>Cuando me comprometo con algo mi voluntad es inquebrantable</t>
  </si>
  <si>
    <t>Me comprometo con mis proyectos y objetivos hasta sus últimas consecuencias</t>
  </si>
  <si>
    <t>Mantengo contacto con las personas que he conocido en el camino</t>
  </si>
  <si>
    <t>Se me dificulta relacionar conceptos complejos o ideas muy abstractas</t>
  </si>
  <si>
    <t>Desconozco cómo es que los cambios en el entorno pudieran afectar mis planes</t>
  </si>
  <si>
    <t>Desconozco qué es lo que más me conviene hacer para lograr mis ideales</t>
  </si>
  <si>
    <t>Puedo comprender fácilmente cómo piensan los demás</t>
  </si>
  <si>
    <t>Me divierte realizar juegos mentales que ponen a prueba mi inteligencia</t>
  </si>
  <si>
    <t>Me frustra darme cuenta de lo limitado que hoy me siento</t>
  </si>
  <si>
    <t>Satisfacción</t>
  </si>
  <si>
    <t>No estoy disfrutando mi vida como me gustaría</t>
  </si>
  <si>
    <t>Me frustro cuando pienso en mi situación actual</t>
  </si>
  <si>
    <t>Siento que estoy en mi mejor momento</t>
  </si>
  <si>
    <t>Me gano la vida haciendo lo que más me gusta</t>
  </si>
  <si>
    <t>Me entusiasma pensar en todo lo que estoy haciendo actualmente</t>
  </si>
  <si>
    <t>Soy insensible a los problemas ajenos</t>
  </si>
  <si>
    <t>Sentido de contribución</t>
  </si>
  <si>
    <t>Hacer una contribución importante al mundo no es algo que me preocupe por el momento</t>
  </si>
  <si>
    <t>Invariablemente veo primero por mis propios intereses</t>
  </si>
  <si>
    <t>Me preocupo por los problemas de mi país y me involucro en las soluciones</t>
  </si>
  <si>
    <t>Siento un llamado por ayudar a hacer de este un mundo mejor</t>
  </si>
  <si>
    <t>Detecto oportunidades mucho antes de que otros puedan</t>
  </si>
  <si>
    <t>Intento concentrarme pero pierdo el foco con facilidad</t>
  </si>
  <si>
    <t>Me distraigo y pierdo el tiempo fácilmente</t>
  </si>
  <si>
    <t>A veces hago las cosas sin seguir un orden lógico</t>
  </si>
  <si>
    <t>Dedico mi tiempo y energía exclusivamente a las actividades que me acercan a mis objetivos</t>
  </si>
  <si>
    <t>Si tengo un objetivo ambicioso, lo fracciono en metas cortas para ir un paso a la vez</t>
  </si>
  <si>
    <t>Pongo atención a mi comportamiento para detectar lo que me funciona y lo que no</t>
  </si>
  <si>
    <t>Me adapto bien a los cambios de rutinas</t>
  </si>
  <si>
    <t>Emprendimiento</t>
  </si>
  <si>
    <t>Apoyo las ideas nuevas</t>
  </si>
  <si>
    <t>Prefiero arriesgarme y perder que lamentarme luego por haber dejado ir una buena oportunidad</t>
  </si>
  <si>
    <t>Me involucro activamente en los problemas de los grupos a los que pertenezco</t>
  </si>
  <si>
    <t>Mente Abierta</t>
  </si>
  <si>
    <t>En situaciones difíciles me pongo serio y pierdo el sentido del humor</t>
  </si>
  <si>
    <t>Algunos dirían que soy intolerante o que no acepto a las personas como son</t>
  </si>
  <si>
    <t>Disfruto intercambiar opiniones y llegar a consensos con personas que piensan diferente a mí</t>
  </si>
  <si>
    <t>Busco activamente prepararme para los cambios venideros</t>
  </si>
  <si>
    <t>Hago lo necesario por mantenerme actualizado</t>
  </si>
  <si>
    <t>He dejado que otros paguen las consecuencias de mis malas decisiones</t>
  </si>
  <si>
    <t>Resolución</t>
  </si>
  <si>
    <t>Los problemas me crecen por no atender a tiempo mis asuntos</t>
  </si>
  <si>
    <t>Me siento impulsado a marcar una diferencia positiva en mi entorno</t>
  </si>
  <si>
    <t>Soy bueno para hacer las cosas suceder</t>
  </si>
  <si>
    <t>Actúo proactivamente para resolver los contratiempos</t>
  </si>
  <si>
    <t>Intervengo oportunamente para aclarar los malos entendidos</t>
  </si>
  <si>
    <t>No acostumbro seguir un presupuesto de gasto</t>
  </si>
  <si>
    <t>Salud Financiera</t>
  </si>
  <si>
    <t>En los últimos seis meses me quedé sin dinero por lo menos una vez</t>
  </si>
  <si>
    <t>Invariablemente me quedo sin dinero</t>
  </si>
  <si>
    <t>Me administro de una forma que siempre me queda algo para ahorrar</t>
  </si>
  <si>
    <t>Tengo claras mis metas de ahorro, a corto, mediano y largo plazo</t>
  </si>
  <si>
    <t>Siempre guardo algo de lo que gano</t>
  </si>
  <si>
    <t>Cuando se trata de dinero, tomo decisiones fría, racional y concienzudamente</t>
  </si>
  <si>
    <t>Fácilmente puedo pensar en estrategias para diversificar mis inversiones</t>
  </si>
  <si>
    <t>Prefiero los trabajos de poca exigencia</t>
  </si>
  <si>
    <t>Funciono mejor en trabajos de baja responsabilidad</t>
  </si>
  <si>
    <t>Busco proactivamente convertirme en la mejor versión de mí mismo</t>
  </si>
  <si>
    <t>Pretendo recibir la máxima educación disponible que hay en mi campo</t>
  </si>
  <si>
    <t>Me comprometo con entusiasmo pero luego se me olvida</t>
  </si>
  <si>
    <t>Ignoro cuáles son los retos a los que se enfrentará mi profesión en el corto plazo</t>
  </si>
  <si>
    <t>Disfruto encontrar conexiones poco usuales en la información que reviso</t>
  </si>
  <si>
    <t>Me animo a creer que en mi vida sucederán cosas significativas y extraordinarias</t>
  </si>
  <si>
    <t>Rechazaría las ofertas de trabajo que no me permitieran dedicarme a lo que más me gusta hacer</t>
  </si>
  <si>
    <t>Me reconozco y felicito por mis aciertos en cada paso del camino</t>
  </si>
  <si>
    <t>Para resolver un problema, identifico soluciones posibles que otros pasan por alto</t>
  </si>
  <si>
    <t>Evalúo regularmente el progreso de mi trabajo para cumplir a tiempo con mis objetivos</t>
  </si>
  <si>
    <t>Rechazo las oportunidades de trabajo que no corresponden a mis mayores intereses</t>
  </si>
  <si>
    <t>Cuando algo no sale como quiero enfoco rápidamente mi energía en soluciones constructivas</t>
  </si>
  <si>
    <t>Me esfuerzo por mejorar mis capacidades</t>
  </si>
  <si>
    <t>Aprendo de mis fracasos para intentarlo de nuevo</t>
  </si>
  <si>
    <t>Fácilmente encuentro relaciones entre variables que parecen ser distintas</t>
  </si>
  <si>
    <t>Puedo controlar mi temperamento cuando es necesario</t>
  </si>
  <si>
    <t>Actúo racionalmente ante las dificultades</t>
  </si>
  <si>
    <t>Identifico las habilidades que debo fortalecer en mí mismo para mejorar mis resultados</t>
  </si>
  <si>
    <t>Sé muy bien qué es lo que debo hacer para cambiar lo que quiero mejorar en mí mismo</t>
  </si>
  <si>
    <t>Hoy estoy cumpliendo con mis propósitos de vida más importantes</t>
  </si>
  <si>
    <t>Si participo en una competencia, digo la verdad aunque los demás estén mintiendo</t>
  </si>
  <si>
    <t>Adquiero conocimientos para estar a la altura de lo que está sucediendo hoy en el mundo</t>
  </si>
  <si>
    <t>Creo en mí para lograr lo que pretendo</t>
  </si>
  <si>
    <t>Cuando hago planes me aseguro de que estén bien calculados hacia la meta</t>
  </si>
  <si>
    <t>Me cuesta aceptarme como soy</t>
  </si>
  <si>
    <t>Tengo planes, pero no hago mucho por traerlos a la práctica</t>
  </si>
  <si>
    <t>Dudo que mis circunstancias puedan mejorar para el mes que viene</t>
  </si>
  <si>
    <t>Me cuesta reconocer mis áreas de oportunidad</t>
  </si>
  <si>
    <t>Mi nivel de ingreso se ha mantenido igual desde hace años</t>
  </si>
  <si>
    <t>Tiendo a perder la paciencia</t>
  </si>
  <si>
    <t>Dudo que mi voto sea de mucha utilidad</t>
  </si>
  <si>
    <t>Soy muy permisivo con los demás</t>
  </si>
  <si>
    <t>Soy capaz de mentir para librarme de problemas</t>
  </si>
  <si>
    <t>No arriesgaría recursos propios para abrir un negocio</t>
  </si>
  <si>
    <t>A veces aparento tener virtudes que en realidad no poseo</t>
  </si>
  <si>
    <t>Mis emociones tienden a afectar mi objetividad</t>
  </si>
  <si>
    <t>Desde la última vez que fracasé no estoy intentando nada nuevo</t>
  </si>
  <si>
    <t>Difícilmente me entero de lo que se está haciendo en otros campos diferentes al mío</t>
  </si>
  <si>
    <t>Tiendo a dejar que se me acumulen los pendientes</t>
  </si>
  <si>
    <t>Pospongo lo más que puedo las tareas que no me gustan</t>
  </si>
  <si>
    <t>Bajo estrés actúo con prisas y de forma descuidada</t>
  </si>
  <si>
    <t>á</t>
  </si>
  <si>
    <t>é</t>
  </si>
  <si>
    <t>í</t>
  </si>
  <si>
    <t>ó</t>
  </si>
  <si>
    <t>ú</t>
  </si>
  <si>
    <t>ñ</t>
  </si>
  <si>
    <t>Ã³</t>
  </si>
  <si>
    <t>Ã©</t>
  </si>
  <si>
    <t>Ã­</t>
  </si>
  <si>
    <t>Ãº</t>
  </si>
  <si>
    <t>Nivel máximo alcanzado</t>
  </si>
  <si>
    <t>Ingreso máximo alcanzado</t>
  </si>
  <si>
    <t>Género</t>
  </si>
  <si>
    <t>Nivel Académico</t>
  </si>
  <si>
    <t>Situación Laboral</t>
  </si>
  <si>
    <t>Profesión</t>
  </si>
  <si>
    <t>Ã±</t>
  </si>
  <si>
    <t>ID_WEB</t>
  </si>
  <si>
    <t>PN</t>
  </si>
  <si>
    <t>Superación y Empoderamiento</t>
  </si>
  <si>
    <t>Anticipación a cambios del entorno</t>
  </si>
  <si>
    <t>Impulso Resolutivo</t>
  </si>
  <si>
    <t>Involucramiento</t>
  </si>
  <si>
    <t>Trabajo en Equipo</t>
  </si>
  <si>
    <t>Ítem</t>
  </si>
  <si>
    <t>Escala</t>
  </si>
  <si>
    <t>Categoría</t>
  </si>
  <si>
    <t>Maestras</t>
  </si>
  <si>
    <t>Habilidad Administrativa</t>
  </si>
  <si>
    <t>Aprovechamiento de Talentos</t>
  </si>
  <si>
    <t>Visión clara</t>
  </si>
  <si>
    <t>Correo</t>
  </si>
  <si>
    <t>Estatus</t>
  </si>
  <si>
    <t>Nivel Escolar</t>
  </si>
  <si>
    <t>Campo</t>
  </si>
  <si>
    <t>Puesto</t>
  </si>
  <si>
    <t>Sueldo</t>
  </si>
  <si>
    <t>Mecanismo1</t>
  </si>
  <si>
    <t>Mecanismo2</t>
  </si>
  <si>
    <t>Suma P</t>
  </si>
  <si>
    <t>Fórmula Puntajes</t>
  </si>
  <si>
    <t>Sumatoria</t>
  </si>
  <si>
    <t>Combinación mecanismos</t>
  </si>
  <si>
    <t>Sumatorias P_FAC naturales</t>
  </si>
  <si>
    <t>Compromiso*</t>
  </si>
  <si>
    <t>Superación y Empoderamiento*</t>
  </si>
  <si>
    <t>Superación*</t>
  </si>
  <si>
    <t>Tenacidad*</t>
  </si>
  <si>
    <t>Autorefuerzo*</t>
  </si>
  <si>
    <t>Percepción Interpersonal*</t>
  </si>
  <si>
    <t>Pensamiento Divergente*</t>
  </si>
  <si>
    <t>Anticipación a cambios del entorno*</t>
  </si>
  <si>
    <t>Anticipación*</t>
  </si>
  <si>
    <t>Adaptación*</t>
  </si>
  <si>
    <t>Habilidad e Inflluencia Comercial*</t>
  </si>
  <si>
    <t>Mente Abierta*</t>
  </si>
  <si>
    <t>Influencia*</t>
  </si>
  <si>
    <t>Impulso Resolutivo*</t>
  </si>
  <si>
    <t>Autoconfianza*</t>
  </si>
  <si>
    <t>Capacidad de Reacción*</t>
  </si>
  <si>
    <t>Resolución*</t>
  </si>
  <si>
    <t>Involucramiento*</t>
  </si>
  <si>
    <t>Sentido de contribución*</t>
  </si>
  <si>
    <t>Participación*</t>
  </si>
  <si>
    <t>Automejoramiento*</t>
  </si>
  <si>
    <t>Autosupervisión*</t>
  </si>
  <si>
    <t>Emprendimiento*</t>
  </si>
  <si>
    <t>Sociabilidad*</t>
  </si>
  <si>
    <t>Pereseverancia*</t>
  </si>
  <si>
    <t>Visión clara*</t>
  </si>
  <si>
    <t>Merecimiento*</t>
  </si>
  <si>
    <t>Planeación &amp; Organización</t>
  </si>
  <si>
    <t>Trabajo en Equipo*</t>
  </si>
  <si>
    <t>Confiabilidad*</t>
  </si>
  <si>
    <t>Rectitud</t>
  </si>
  <si>
    <t>Significancia</t>
  </si>
  <si>
    <t>S</t>
  </si>
  <si>
    <t>Aprovechamiento de Talentos*</t>
  </si>
  <si>
    <t>Permanencia</t>
  </si>
  <si>
    <t>Recuperación*</t>
  </si>
  <si>
    <t>Perseverancia*</t>
  </si>
  <si>
    <t>Cuadrantes</t>
  </si>
  <si>
    <t>Situación Financiera</t>
  </si>
  <si>
    <t>X</t>
  </si>
  <si>
    <t>FORTALEZAS</t>
  </si>
  <si>
    <t>DESCARRILADORES</t>
  </si>
  <si>
    <t>Dificultades potenciales</t>
  </si>
  <si>
    <t>Fortalezas Desarrollables</t>
  </si>
  <si>
    <t>.</t>
  </si>
  <si>
    <t>Puntajes por ciclos</t>
  </si>
  <si>
    <t>Apego a Normas</t>
  </si>
  <si>
    <t>Bienestar Psicoproductivo</t>
  </si>
  <si>
    <t>Capacidad de Reacción</t>
  </si>
  <si>
    <t>Pensamiento Divergente</t>
  </si>
  <si>
    <t>Visión estratégica</t>
  </si>
  <si>
    <t>Estabilidad y Permanencia</t>
  </si>
  <si>
    <t>Toma de riesgos</t>
  </si>
  <si>
    <t>Toma de riesgos*</t>
  </si>
  <si>
    <t>Autodominio</t>
  </si>
  <si>
    <t>Anteposición de Intereses</t>
  </si>
  <si>
    <t>Expectativa</t>
  </si>
  <si>
    <t>Mentalidad Inversionista</t>
  </si>
  <si>
    <t>Mentalidad inversionista</t>
  </si>
  <si>
    <t>Apego a normas</t>
  </si>
  <si>
    <t>Iniciativa</t>
  </si>
  <si>
    <t>Positivos</t>
  </si>
  <si>
    <t>Negativos</t>
  </si>
  <si>
    <t>ACamEnt</t>
  </si>
  <si>
    <t>Adaptab</t>
  </si>
  <si>
    <t>Ambicion</t>
  </si>
  <si>
    <t>AregEmo</t>
  </si>
  <si>
    <t>CompFin</t>
  </si>
  <si>
    <t>AlinaObj</t>
  </si>
  <si>
    <t>Conducc</t>
  </si>
  <si>
    <t>ConvPos</t>
  </si>
  <si>
    <t>ApeNorm</t>
  </si>
  <si>
    <t>ExPerAex</t>
  </si>
  <si>
    <t>HabInfCom</t>
  </si>
  <si>
    <t>ImpReso</t>
  </si>
  <si>
    <t>IntSocial</t>
  </si>
  <si>
    <t>Involuc</t>
  </si>
  <si>
    <t>Lateral</t>
  </si>
  <si>
    <t>TomaRies</t>
  </si>
  <si>
    <t>PenSist</t>
  </si>
  <si>
    <t>Persist</t>
  </si>
  <si>
    <t>PlanyOrg</t>
  </si>
  <si>
    <t>Proacti</t>
  </si>
  <si>
    <t>Resilien</t>
  </si>
  <si>
    <t>SuperEmpod</t>
  </si>
  <si>
    <t>VisioEstra</t>
  </si>
  <si>
    <t>Adomin</t>
  </si>
  <si>
    <t>DispAuto</t>
  </si>
  <si>
    <t>Categoría Reporte Selec-Plus</t>
  </si>
  <si>
    <t>EL CÁLCULO: Para positivos, se busca el puntaje del reactivo cuando la respuesta es "( + ) Me identifico más". Si la respuesta es "( - ) Me identifico menos", entonces se le ponen 0 puntos.
Para negativos. Si la respuesta elegida es "( - ) Me identifico menos", entonces se le ponen los puntos que corresponden al ítem. Es decir, como si fuera positivo. Si la respuesta es "( + ) Me identifico más", no se le ponen puntos.</t>
  </si>
  <si>
    <t>FALTA DESDE AQUÍ</t>
  </si>
  <si>
    <t>ACTUALIZAR NORMA</t>
  </si>
  <si>
    <t>fin rasgo puntajes</t>
  </si>
  <si>
    <t>dpp</t>
  </si>
  <si>
    <t>fdp</t>
  </si>
  <si>
    <t>Previo?</t>
  </si>
  <si>
    <t>No Incluidas</t>
  </si>
  <si>
    <t>Rasgo Puntaje</t>
  </si>
  <si>
    <t>Fdp</t>
  </si>
  <si>
    <t>Ddp</t>
  </si>
  <si>
    <t>Merecimiento Proactivo</t>
  </si>
  <si>
    <t>Rendimiento esperado</t>
  </si>
  <si>
    <t>NomCorto</t>
  </si>
  <si>
    <t>PTFO</t>
  </si>
  <si>
    <t>PTDE</t>
  </si>
  <si>
    <t>PTdp</t>
  </si>
  <si>
    <t>PTfd</t>
  </si>
  <si>
    <t>Assess Success</t>
  </si>
  <si>
    <t>Analítico</t>
  </si>
  <si>
    <t>Innovador</t>
  </si>
  <si>
    <t>Orientado a la acción</t>
  </si>
  <si>
    <t>Obstinado</t>
  </si>
  <si>
    <t>Adaptable-Fluido</t>
  </si>
  <si>
    <t>Involucrado</t>
  </si>
  <si>
    <t>Normativo</t>
  </si>
  <si>
    <t>Planeador</t>
  </si>
  <si>
    <t>Autoregulación Emocional</t>
  </si>
  <si>
    <t>Cambiar por visionario</t>
  </si>
  <si>
    <t>Dejarlos como estaban</t>
  </si>
  <si>
    <t>Cambiar los nombres</t>
  </si>
  <si>
    <t>Sacar del último respaldo</t>
  </si>
  <si>
    <t>Negociación e Influencia</t>
  </si>
  <si>
    <t>Superacional</t>
  </si>
  <si>
    <t>Apegado</t>
  </si>
  <si>
    <t>Influyente</t>
  </si>
  <si>
    <t>Adaptable</t>
  </si>
  <si>
    <t>Emprendedor</t>
  </si>
  <si>
    <t>Gráfica Estilo Personal</t>
  </si>
  <si>
    <t>Persistente</t>
  </si>
  <si>
    <t>Perfil Individual de Desempeño</t>
  </si>
  <si>
    <t>Social</t>
  </si>
  <si>
    <t>Expectativa Profesional</t>
  </si>
  <si>
    <t>Trayectoria Ascendente</t>
  </si>
  <si>
    <t>l</t>
  </si>
  <si>
    <t>Bienestar psicoproductivo</t>
  </si>
  <si>
    <t>Aprovechamiento</t>
  </si>
  <si>
    <t>Social-Influyente</t>
  </si>
  <si>
    <r>
      <t>DPO</t>
    </r>
    <r>
      <rPr>
        <b/>
        <vertAlign val="superscript"/>
        <sz val="11"/>
        <rFont val="Calibri"/>
        <family val="2"/>
        <scheme val="minor"/>
      </rPr>
      <t>XPS</t>
    </r>
    <r>
      <rPr>
        <b/>
        <vertAlign val="superscript"/>
        <sz val="11"/>
        <rFont val="Calibri"/>
        <family val="2"/>
      </rPr>
      <t>©</t>
    </r>
  </si>
  <si>
    <r>
      <t>DPO</t>
    </r>
    <r>
      <rPr>
        <vertAlign val="superscript"/>
        <sz val="11"/>
        <rFont val="Calibri"/>
        <family val="2"/>
        <scheme val="minor"/>
      </rPr>
      <t>XPS</t>
    </r>
    <r>
      <rPr>
        <vertAlign val="superscript"/>
        <sz val="11"/>
        <rFont val="Calibri"/>
        <family val="2"/>
      </rPr>
      <t>©</t>
    </r>
  </si>
  <si>
    <r>
      <t>DPO</t>
    </r>
    <r>
      <rPr>
        <vertAlign val="superscript"/>
        <sz val="10"/>
        <rFont val="Calibri"/>
        <family val="2"/>
        <scheme val="minor"/>
      </rPr>
      <t>XPS©</t>
    </r>
  </si>
  <si>
    <r>
      <t>DPO</t>
    </r>
    <r>
      <rPr>
        <b/>
        <vertAlign val="superscript"/>
        <sz val="16"/>
        <color theme="1"/>
        <rFont val="Calibri"/>
        <family val="2"/>
        <scheme val="minor"/>
      </rPr>
      <t>XPS</t>
    </r>
    <r>
      <rPr>
        <b/>
        <vertAlign val="superscript"/>
        <sz val="16"/>
        <color theme="1"/>
        <rFont val="Calibri"/>
        <family val="2"/>
      </rPr>
      <t>©</t>
    </r>
  </si>
  <si>
    <t>POTENCIA</t>
  </si>
  <si>
    <t>Filtro de Candidatos</t>
  </si>
  <si>
    <t>+</t>
  </si>
  <si>
    <t>-</t>
  </si>
  <si>
    <t>Potencia percentil</t>
  </si>
  <si>
    <t>Potencia promedio</t>
  </si>
  <si>
    <t>DPO© Todos los derechos Reservados. Queda prohibido copiar, reproducir, distribuir, publicar, transmitir, difundir, o en cualquier modo explotar cualquier parte de este documento sin la autorización previa por escrito de Grupo Alterport, S.C.</t>
  </si>
  <si>
    <t>Enfoque</t>
  </si>
  <si>
    <t>Tolerancia al Conflicto</t>
  </si>
  <si>
    <t>Consciencia del Entorno</t>
  </si>
  <si>
    <t>Pensamiento Lógico</t>
  </si>
  <si>
    <t>Visión Sistémica</t>
  </si>
  <si>
    <t>Alineamiento de Acciones</t>
  </si>
  <si>
    <t>Creatividad aplicada</t>
  </si>
  <si>
    <t>Razonamiento Analítico</t>
  </si>
  <si>
    <t>Relaciones Interpersonales</t>
  </si>
  <si>
    <t>Global</t>
  </si>
  <si>
    <t>Nombre</t>
  </si>
  <si>
    <t>Posición</t>
  </si>
  <si>
    <t>Empresa</t>
  </si>
  <si>
    <t>Tipo de Norma</t>
  </si>
  <si>
    <t>Alineamiento de acciones</t>
  </si>
  <si>
    <t>Creatividad Aplicada</t>
  </si>
  <si>
    <t>Mario Pérez</t>
  </si>
  <si>
    <t>Consultant</t>
  </si>
  <si>
    <t>DPO Institute</t>
  </si>
  <si>
    <t>( + ) Me identifico m√°s</t>
  </si>
  <si>
    <t>√°</t>
  </si>
  <si>
    <t>Nivel m√°ximo alcanzado</t>
  </si>
  <si>
    <t>Ingreso m√°ximo alcanzado</t>
  </si>
  <si>
    <t>Resta</t>
  </si>
  <si>
    <t>Colaborador</t>
  </si>
  <si>
    <t>Norma</t>
  </si>
  <si>
    <t>Aprovecha-miento</t>
  </si>
  <si>
    <t>Apego a competencias diferenciadas de la función</t>
  </si>
  <si>
    <t>Contraste de competencias vs. Grupo funcional</t>
  </si>
  <si>
    <r>
      <t xml:space="preserve">     DPO</t>
    </r>
    <r>
      <rPr>
        <vertAlign val="superscript"/>
        <sz val="11"/>
        <color theme="1"/>
        <rFont val="Calibri"/>
        <family val="2"/>
        <scheme val="minor"/>
      </rPr>
      <t>XPS</t>
    </r>
    <r>
      <rPr>
        <vertAlign val="superscript"/>
        <sz val="11"/>
        <color theme="1"/>
        <rFont val="Calibri"/>
        <family val="2"/>
      </rPr>
      <t>©</t>
    </r>
    <r>
      <rPr>
        <sz val="11"/>
        <color theme="1"/>
        <rFont val="Calibri"/>
        <family val="2"/>
      </rPr>
      <t xml:space="preserve"> es una herramienta de diagnóstico validada científicamente pensada para ayudar a los tomadores de decisión a agilizar el proceso de filtro y evaluación de candidatos, con base en la medición de aspectos esenciales predictivos del comportamiento de los aspirantes.
     Los indicadores que encontrarás en este reporte han sido contrastados contra una norma mexicana y sometidos a una validación estadística con la intención de fiabilizar la información que te proveemos.
     Los resultados muestran la puntuación individual obtenida por el candidato comparada en percentiles con las puntuaciones de un número muy significativo de personas con las que se construyó la norma para este cuestionario. Dichas personas son en su mayoría, profesionistas, hombres y mujeres, con educación universitaria o estudios de posgrado. 
      La información mostrada en este reporte es sensible y confidencial, por lo que debe manejarse de manera responsable y no mostrase a otra persona que no sean los tomadores de decisión. Si se desea compartir los resultados de la evaluación con el candidato evaluado a manera de retroalimentación, es altamente recomendado solicitar la participación de un Asesor de Talento de DPO Institute©.</t>
    </r>
  </si>
  <si>
    <t>REPORTE FINAL POSICIONAMIENTO DE COLABORADORES</t>
  </si>
  <si>
    <t>Negociación e influencia</t>
  </si>
  <si>
    <t>Grupo Funcional</t>
  </si>
  <si>
    <t>COMPETENCIA</t>
  </si>
  <si>
    <t>COMPETENCIA GRUPO</t>
  </si>
  <si>
    <t>COMPETENCIAS ELEGIDAS CLIENTE</t>
  </si>
  <si>
    <t>(deben ser 8)</t>
  </si>
  <si>
    <t>SOLO COMPETENCIAS!!!</t>
  </si>
  <si>
    <t>PROMEDIO COMERCIALES</t>
  </si>
  <si>
    <t>Estos son por mayoría!!</t>
  </si>
  <si>
    <t>Fórmula promedios BaseNorma</t>
  </si>
  <si>
    <t>Fórmula contar si competencia a incluir</t>
  </si>
  <si>
    <t>Variable1</t>
  </si>
  <si>
    <t>Variable2</t>
  </si>
  <si>
    <t>POSICIONAMIENTO LIDERAZGO</t>
  </si>
  <si>
    <t>Ciclo ejecución</t>
  </si>
  <si>
    <t>x</t>
  </si>
  <si>
    <t>Salud financiera</t>
  </si>
  <si>
    <t>Nombre y apellidos</t>
  </si>
  <si>
    <t>Lugar</t>
  </si>
  <si>
    <t>Experiencia</t>
  </si>
  <si>
    <t>Nivel alcanzado</t>
  </si>
  <si>
    <t>Ã¡ √°</t>
  </si>
  <si>
    <t>Porcentaje</t>
  </si>
  <si>
    <t>Promedio Ponderado</t>
  </si>
  <si>
    <t>Hombre</t>
  </si>
  <si>
    <t>Gerente</t>
  </si>
  <si>
    <t>Alineación y Congruencia</t>
  </si>
  <si>
    <t>Determinación y Persistencia</t>
  </si>
  <si>
    <t>Alineación y congruencia</t>
  </si>
  <si>
    <t>Disciplinado</t>
  </si>
  <si>
    <t>Ambición positiva</t>
  </si>
  <si>
    <t>Orientación a resultados</t>
  </si>
  <si>
    <t>Orientación a resultados*</t>
  </si>
  <si>
    <t>Tolerancia al conflicto</t>
  </si>
  <si>
    <t>Consciencia del entorno</t>
  </si>
  <si>
    <t>Colaborador general</t>
  </si>
  <si>
    <t>Director</t>
  </si>
  <si>
    <t>Abogado general</t>
  </si>
  <si>
    <t>Administrativo general</t>
  </si>
  <si>
    <t>Comercial general</t>
  </si>
  <si>
    <t>Diseñador industrial general</t>
  </si>
  <si>
    <t>Contador o financiero general</t>
  </si>
  <si>
    <t>Ingeniero industrial general</t>
  </si>
  <si>
    <t>Practicante de ingeniería</t>
  </si>
  <si>
    <t>Reclutador general</t>
  </si>
  <si>
    <t>Ingeniero electromecánico general</t>
  </si>
  <si>
    <t>Ingeniero de calidad general</t>
  </si>
  <si>
    <t>Mercadólogo general</t>
  </si>
  <si>
    <t>Comunicólogo general</t>
  </si>
  <si>
    <t>Generalista de Recursos Humanos general</t>
  </si>
  <si>
    <t>Programador, desarrollador</t>
  </si>
  <si>
    <t>Supervisor de operaciones general</t>
  </si>
  <si>
    <t>Administrador de Recursos Humanos general</t>
  </si>
  <si>
    <t>Capacitación o desarrollo organizacional general</t>
  </si>
  <si>
    <t>Comprador o planeador general</t>
  </si>
  <si>
    <t>Director de planta</t>
  </si>
  <si>
    <t>Docente</t>
  </si>
  <si>
    <t>Gerente de planta</t>
  </si>
  <si>
    <t>Gerente de Recursos Humanos</t>
  </si>
  <si>
    <t>Ingeniero químico o bioquímico general</t>
  </si>
  <si>
    <t>Ingeniero de diseño general</t>
  </si>
  <si>
    <t>Ingeniero de proyectos general</t>
  </si>
  <si>
    <t>Ingeniero de manufactura general</t>
  </si>
  <si>
    <t>Especialista de logística</t>
  </si>
  <si>
    <t>Gerente de logística</t>
  </si>
  <si>
    <t>Director de Logística</t>
  </si>
  <si>
    <t>Logística general</t>
  </si>
  <si>
    <t>Mantenimiento general</t>
  </si>
  <si>
    <t>Seguridad e Higiene</t>
  </si>
  <si>
    <t>Abogado gerente</t>
  </si>
  <si>
    <t>Gerente administrativo</t>
  </si>
  <si>
    <t>Director administrativo</t>
  </si>
  <si>
    <t>Gerente comercial</t>
  </si>
  <si>
    <t>Gerente de contabilidad y finanzas</t>
  </si>
  <si>
    <t>Gerente Gerenalista RH</t>
  </si>
  <si>
    <t>Especialista de reclutamiento y selección</t>
  </si>
  <si>
    <t>Gerente de Reclutamiento y Selección</t>
  </si>
  <si>
    <t>Mente abierta</t>
  </si>
  <si>
    <t>Control percibido</t>
  </si>
  <si>
    <t>Visión sistémica</t>
  </si>
  <si>
    <t>Fortalezas destacadas</t>
  </si>
  <si>
    <t>Descarriladores</t>
  </si>
  <si>
    <t>Fortalezas</t>
  </si>
  <si>
    <t>Fortalezas y debilidades principales</t>
  </si>
  <si>
    <t>6+ Finales</t>
  </si>
  <si>
    <t>6- Finales</t>
  </si>
  <si>
    <t>Ambición</t>
  </si>
  <si>
    <t>Orientación al logro</t>
  </si>
  <si>
    <t>Efectividad personal</t>
  </si>
  <si>
    <t>Fortaleza Desarrollable</t>
  </si>
  <si>
    <t>Conteo +</t>
  </si>
  <si>
    <t>Conteo -</t>
  </si>
  <si>
    <t>Razonamiento analítico</t>
  </si>
  <si>
    <t>Descarrilador</t>
  </si>
  <si>
    <t>Dificultad Potencial</t>
  </si>
  <si>
    <t>Estabilidad y permanencia</t>
  </si>
  <si>
    <t>A</t>
  </si>
  <si>
    <t>B</t>
  </si>
  <si>
    <t>C</t>
  </si>
  <si>
    <t>De 21,000 a 30,000 pesos</t>
  </si>
  <si>
    <t>Empleado</t>
  </si>
  <si>
    <t>PaÃ­s y Ciudad de residencia</t>
  </si>
  <si>
    <t>Â¿A quÃ© te dedicas? (Tu Ã¡rea de especializaciÃ³n)</t>
  </si>
  <si>
    <t>Â¿CuÃ¡l es tu puesto actual? Si estÃ¡s desempleado, escribe por favor tu Ãºltimo puesto.</t>
  </si>
  <si>
    <t>Menciona las 3 Ã¡reas en las que tengas mayor experiencia (por ejemplo: Ventas, AlmacÃ©n,  Operaciones, Reclutamiento)</t>
  </si>
  <si>
    <t>Nivel mÃ¡ximo alcanzado</t>
  </si>
  <si>
    <t>Ingreso mÃ¡ximo alcanzado</t>
  </si>
  <si>
    <t>1 [Planeo certificarme formalmente sobre un tema que me interesa]</t>
  </si>
  <si>
    <t>1 [Soy bueno para ayudar a los demÃ¡s a decidirse]</t>
  </si>
  <si>
    <t>2 [Tengo una habilidad que podrÃ­a beneficiar a muchas personas]</t>
  </si>
  <si>
    <t>2 [Soy bueno para hacer las cosas suceder]</t>
  </si>
  <si>
    <t>3 [SÃ© perfectamente a quÃ© me gustarÃ­a dedicarme en el futuro]</t>
  </si>
  <si>
    <t>3 [Me entusiasma pensar en todo lo que estoy haciendo actualmente]</t>
  </si>
  <si>
    <t>4 [Soy una persona precavida]</t>
  </si>
  <si>
    <t>4 [Me doy cuenta fÃ¡cilmente de lo que debo cambiar en mÃ­ para mejorar mis resultados]</t>
  </si>
  <si>
    <t>5 [Busco proactivamente convertirme en la mejor versiÃ³n de mÃ­ mismo]</t>
  </si>
  <si>
    <t>6 [En situaciones de crisis puedo mantenerme enfocado en las tareas importantes]</t>
  </si>
  <si>
    <t>6 [Hago lo necesario por mantenerme actualizado]</t>
  </si>
  <si>
    <t>7 [Establezco estÃ¡ndares de desempeÃ±o claros para mÃ­ mismo y los uso de referencia para evaluar mi comportamiento]</t>
  </si>
  <si>
    <t>7 [Deseo adquirir la mayor cantidad de experiencia y conocimientos posible]</t>
  </si>
  <si>
    <t>8 [Facilito las cosas para que las oportunidades vengan a mÃ­]</t>
  </si>
  <si>
    <t>8 [Siento un llamado por ayudar a hacer de este un mundo mejor]</t>
  </si>
  <si>
    <t>9 [Dedico mi tiempo y energÃ­a exclusivamente a las actividades que me acercan a mis objetivos]</t>
  </si>
  <si>
    <t>9 [Me animo a creer que en mi vida sucederÃ¡n cosas significativas y extraordinarias]</t>
  </si>
  <si>
    <t>10 [Adelanto mi trabajo para estar listo por si algo se llega a necesitar]</t>
  </si>
  <si>
    <t>10 [Cuando un problema no estÃ¡ siendo fÃ¡cil de resolver, sigo intentÃ¡ndolo hasta encontrar la respuesta]</t>
  </si>
  <si>
    <t>11 [Siempre guardo algo de lo que gano]</t>
  </si>
  <si>
    <t>11 [EvalÃºo muy bien mis decisiones antes de tomarlas]</t>
  </si>
  <si>
    <t>12 [En este momento puedo identificar claramente cuÃ¡l es mi estado emocional]</t>
  </si>
  <si>
    <t>12 [Puedo predecir el comportamiento de las personas]</t>
  </si>
  <si>
    <t>13 [Me siento bien de ser yo mismo]</t>
  </si>
  <si>
    <t>13 [Me gano la vida haciendo lo que mÃ¡s me gusta]</t>
  </si>
  <si>
    <t>14 [Si algo no sale como quiero me recupero rÃ¡pidamente y lo vuelvo a intentar]</t>
  </si>
  <si>
    <t>14 [Cuando estoy estresado puedo pensar con claridad]</t>
  </si>
  <si>
    <t>15 [La gente confÃ­a en mÃ­ para administrar el dinero]</t>
  </si>
  <si>
    <t>15 [Para cumplir con todas mis responsabilidades me aseguro de conseguir la ayuda que necesito]</t>
  </si>
  <si>
    <t>16 [Me esfuerzo por ser una mejor persona]</t>
  </si>
  <si>
    <t>16 [FÃ¡cilmente encuentro relaciones entre variables que parecen ser distintas]</t>
  </si>
  <si>
    <t>17 [Observo mi situaciÃ³n financiera con regularidad]</t>
  </si>
  <si>
    <t>17 [Puedo negociar temas difÃ­cÃ­les sin perder la calma]</t>
  </si>
  <si>
    <t>18 [Me concentro en las tareas que debo hacer, incluso si no me gustan]</t>
  </si>
  <si>
    <t>18 [Soy hÃ¡bil para hacer que el dinero me rinda para todo]</t>
  </si>
  <si>
    <t>19 [SÃ© muy bien cuÃ¡les son las capacidades que los demÃ¡s valoran en mÃ­]</t>
  </si>
  <si>
    <t>19 [Estoy convencido de que el trabajo que hago es Ãºtil para los demÃ¡s]</t>
  </si>
  <si>
    <t>20 [He sabido cÃ³mo aprovechar mis habilidades y talentos para alcanzar el nivel que hoy tengo]</t>
  </si>
  <si>
    <t>20 [Estoy decidido a ser El Mejor en lo que hago]</t>
  </si>
  <si>
    <t>21 [Me esfuerzo por mejorar mis capacidades]</t>
  </si>
  <si>
    <t>21 [AÃºn bajo estrÃ©s puedo realizar mis tareas sin equivocarme]</t>
  </si>
  <si>
    <t>22 [Preveo situaciones y reacciono a ellas antes de que sucedan]</t>
  </si>
  <si>
    <t>22 [Tengo una idea clara del futuro que quiero para mÃ­]</t>
  </si>
  <si>
    <t>23 [Mantengo un alto nivel de dinamismo y energÃ­a]</t>
  </si>
  <si>
    <t>23 [Me siento impulsado a marcar una diferencia positiva en mi entorno]</t>
  </si>
  <si>
    <t>24 [Me preocupa que mi trabajo ayude a otras personas a mejorar su vida de alguna forma]</t>
  </si>
  <si>
    <t>24 [Frecuentemente estoy ideando nuevas formas para mejorar mis resultados]</t>
  </si>
  <si>
    <t>25 [SÃ© que puedo resolver problemas difÃ­ciles si me esfuerzo lo suficiente]</t>
  </si>
  <si>
    <t>25 [Puedo controlar mi temperamento cuando es necesario]</t>
  </si>
  <si>
    <t>26 [Me hago responsable de mi propio aprendizaje]</t>
  </si>
  <si>
    <t>26 [Puedo ver claramente la estrategia que debo seguir para lograr lo que mÃ¡s deseo en la vida]</t>
  </si>
  <si>
    <t>27 [Pongo atenciÃ³n a mi comportamiento para detectar lo que me funciona y lo que no]</t>
  </si>
  <si>
    <t>27 [Cuando quiero algo, no descanso hasta conseguirlo]</t>
  </si>
  <si>
    <t>28 [Espero de mÃ­ mismo marcar una diferencia significativa para muchas personas]</t>
  </si>
  <si>
    <t>28 [Estoy convencido de que la manera de producir los mayores resultados es sumando pequeÃ±os logros uno a otro]</t>
  </si>
  <si>
    <t>29 [Constantemente estoy buscando mejores formas de hacer las cosas]</t>
  </si>
  <si>
    <t>29 [Yo jamÃ¡s he ofrecido dinero para acelerar un trÃ¡mite]</t>
  </si>
  <si>
    <t>30 [Me esfuerzo un montÃ³n por lograr y superar los estÃ¡ndares fijados]</t>
  </si>
  <si>
    <t>30 [Detecto oportunidades mucho antes de que otros puedan]</t>
  </si>
  <si>
    <t>31 [A lo largo de mi trayectoria he construido una excelente reputaciÃ³n]</t>
  </si>
  <si>
    <t>31 [Pretendo lograr el mayor Ã©xito financiero y profesional posible en mi vida]</t>
  </si>
  <si>
    <t>32 [Adquiero conocimientos para estar a la altura de lo que estÃ¡ sucediendo hoy en el mundo]</t>
  </si>
  <si>
    <t>32 [Me es fÃ¡cil encontrar mÃºltiples soluciones a un mismo problema]</t>
  </si>
  <si>
    <t>33 [Tomo decisiones que me ayudan a fortalecer mi posiciÃ³n]</t>
  </si>
  <si>
    <t>33 [Soy positivo cuando pienso en el futuro]</t>
  </si>
  <si>
    <t>34 [Me esfuerzo cada dÃ­a para ser mejor en lo que hago]</t>
  </si>
  <si>
    <t>34 [Si me equivoco, puedo cambiar de estrategia pero sigo adelante]</t>
  </si>
  <si>
    <t>35 [Rechazo las oportunidades de trabajo que no corresponden a mis mayores intereses]</t>
  </si>
  <si>
    <t>35 [Comprendo bien mis emociones]</t>
  </si>
  <si>
    <t>36 [RÃ¡pidamente puedo percibir los cambios del entorno]</t>
  </si>
  <si>
    <t>36 [SÃ© muy bien adÃ³nde quiero llegar en la vida]</t>
  </si>
  <si>
    <t>37 [Me adapto bien a los cambios de rutinas]</t>
  </si>
  <si>
    <t>37 [Me divierte realizar juegos mentales que ponen a prueba mi inteligencia]</t>
  </si>
  <si>
    <t>38 [Tengo la firme expectativa de mejorar notablemente para el prÃ³ximo aÃ±o]</t>
  </si>
  <si>
    <t>38 [Cuando se trata de dinero, tomo decisiones frÃ­a, racional y concienzudamente]</t>
  </si>
  <si>
    <t>39 [Cuando algo no sale como quiero enfoco rÃ¡pidamente mi energÃ­a en soluciones constructivas]</t>
  </si>
  <si>
    <t>39 [En el Ãºltimo aÃ±o he conseguido todo lo que me he propuesto]</t>
  </si>
  <si>
    <t>40 [Hoy hago cosas que son importantes para mÃ­]</t>
  </si>
  <si>
    <t>40 [ActÃºo racionalmente ante las dificultades]</t>
  </si>
  <si>
    <t>41 [Conozco muy bien cuÃ¡les son las cosas que me enojan o me ponen triste]</t>
  </si>
  <si>
    <t>41 [Me implico en actividades que me ayudan a superarme a mÃ­ mismo]</t>
  </si>
  <si>
    <t>42 [DifÃ­cilmente dejo algÃºn pendiente sin completar]</t>
  </si>
  <si>
    <t>42 [Pretendo recibir la mÃ¡xima educaciÃ³n disponible que hay en mi campo]</t>
  </si>
  <si>
    <t>43 [Puedo trabajar horas extra sin perder efectividad en mi trabajo]</t>
  </si>
  <si>
    <t>43 [Tengo la certeza de que me irÃ¡ bien en la vida]</t>
  </si>
  <si>
    <t>44 [Si tengo un objetivo ambicioso, lo fracciono en metas cortas para ir un paso a la vez]</t>
  </si>
  <si>
    <t>44 [Me administro de una forma que siempre me queda algo para ahorrar]</t>
  </si>
  <si>
    <t>45 [Reacciono con la urgencia apropiada en situaciones de peligro]</t>
  </si>
  <si>
    <t>45 [Vivo mi vida con un alto compromiso y sentido del deber]</t>
  </si>
  <si>
    <t>46 [Creo en mÃ­ para lograr lo que pretendo]</t>
  </si>
  <si>
    <t>46 [Procuro y fomento mis relaciones]</t>
  </si>
  <si>
    <t>47 [Antes de hacer algo, dedico suficiente tiempo a planear]</t>
  </si>
  <si>
    <t>47 [Prefiero arriesgarme y perder que lamentarme luego por haber dejado ir una buena oportunidad]</t>
  </si>
  <si>
    <t>48 [Me empeÃ±o en mejorar mis habilidades para producir mayores resultados]</t>
  </si>
  <si>
    <t>48 [Me aseguro de encontrar la forma de lograr mis metas y objetivos]</t>
  </si>
  <si>
    <t>49 [Me aseguro de administrar bien los saldos en mis tarjetas para evitar cargos financieros]</t>
  </si>
  <si>
    <t>49 [Para resolver un problema, identifico soluciones posibles que otros pasan por alto]</t>
  </si>
  <si>
    <t>50 [Puedo darme cuenta de mis emociones mientras estoy trabajando]</t>
  </si>
  <si>
    <t>50 [Cuando me comprometo con algo mi voluntad es inquebrantable]</t>
  </si>
  <si>
    <t>51 [Pienso bien de mÃ­ mismo]</t>
  </si>
  <si>
    <t>51 [Para determinar la causa de un problema busco informaciÃ³n mÃ¡s allÃ¡ del evento especÃ­fico que se ha presentado]</t>
  </si>
  <si>
    <t>52 [SÃ© muy bien cuÃ¡les son las capacidades que debo desarrollar para tener Ã©xito en mi camino]</t>
  </si>
  <si>
    <t>52 [Busco activamente prepararme para los cambios venideros]</t>
  </si>
  <si>
    <t>53 [Si no tengo los materiales que necesito, aprovecho creativamente los que tengo disponibles]</t>
  </si>
  <si>
    <t>53 [Procuro rodearme de gente positiva y exitosa]</t>
  </si>
  <si>
    <t>54 [Mis convicciones me guÃ­an para actuar en la vida]</t>
  </si>
  <si>
    <t>54 [Me involucro activamente en los problemas de los grupos a los que pertenezco]</t>
  </si>
  <si>
    <t>55 [Tengo claras mis metas de ahorro, a corto, mediano y largo plazo]</t>
  </si>
  <si>
    <t>55 [Persigo mis sueÃ±os con empeÃ±o]</t>
  </si>
  <si>
    <t>56 [Tengo control total sobre mi situaciÃ³n actual]</t>
  </si>
  <si>
    <t>56 [Intervengo oportunamente para aclarar los malos entendidos]</t>
  </si>
  <si>
    <t>57 [Si participo en una competencia, digo la verdad aunque los demÃ¡s estÃ©n mintiendo]</t>
  </si>
  <si>
    <t>57 [Intento entender cÃ³mo es que los factores de una situaciÃ³n estÃ¡n relacionados entre sÃ­]</t>
  </si>
  <si>
    <t>58 [Quisiera dedicarme a mi pasiÃ³n y poder cobrar por ello]</t>
  </si>
  <si>
    <t>58 [Siento que estoy en mi mejor momento]</t>
  </si>
  <si>
    <t>59 [Soy hÃ¡bil para ganarme la confianza de la gente]</t>
  </si>
  <si>
    <t>59 [Conozco cuÃ¡l es el trabajo que mÃ¡s quiero hacer en la vida]</t>
  </si>
  <si>
    <t>60 [Me manejo bien en situaciones de crisis]</t>
  </si>
  <si>
    <t>60 [Apoyo las ideas nuevas]</t>
  </si>
  <si>
    <t>61 [Me empeÃ±o en hacer que mi trayectoria laboral vaya en ascenso]</t>
  </si>
  <si>
    <t>61 [Contribuyo proactivamente para mejorar mi entorno de trabajo]</t>
  </si>
  <si>
    <t>62 [Conozco cuÃ¡l es mi vocaciÃ³n y planeo dedicarme a ella en un futuro prÃ³ximo]</t>
  </si>
  <si>
    <t>62 [Generalmente logro lo que me propongo]</t>
  </si>
  <si>
    <t>63 [En los Ãºltimos aÃ±os he tomado muy buenas decisiones con mi dinero]</t>
  </si>
  <si>
    <t>63 [Me esfuerzo por hacer buenas relaciones en todos lados]</t>
  </si>
  <si>
    <t>64 [Siempre dejo una buena impresiÃ³n en los demÃ¡s]</t>
  </si>
  <si>
    <t>64 [Quiero ser considerado como una autoridad en mi campo]</t>
  </si>
  <si>
    <t>65 [No permito que mis sentimientos interfieran con mi trabajo]</t>
  </si>
  <si>
    <t>65 [La situaciÃ³n que vivo actualmente en mi vida me hace sentir en paz y en calma]</t>
  </si>
  <si>
    <t>66 [Busco la manera de cumplir a tiempo con todas mis responsabilidades]</t>
  </si>
  <si>
    <t>66 [Se me ocurren soluciones originales a los problemas a los que me enfrento]</t>
  </si>
  <si>
    <t>67 [Cuando estoy trabajando en algo, le dedico toda mi atenciÃ³n]</t>
  </si>
  <si>
    <t>67 [Me involucro propositivamente en los asuntos de mi comunidad]</t>
  </si>
  <si>
    <t>68 [Para mÃ­ es prioritario ganarme la vida haciendo lo que mÃ¡s me gusta]</t>
  </si>
  <si>
    <t>68 [Antes de tomar una decisiÃ³n pienso en cÃ³mo un cambio puede impactar en otras situaciones]</t>
  </si>
  <si>
    <t>69 [Sacrifico parte de mis ganancias para volverlas a invertir]</t>
  </si>
  <si>
    <t>69 [Puedo con facilidad aislar mi mente del exterior para no distraerme]</t>
  </si>
  <si>
    <t>70 [Identifico las habilidades que debo fortalecer en mÃ­ mismo para mejorar mis resultados]</t>
  </si>
  <si>
    <t>70 [Aprendo de mis fracasos para intentarlo de nuevo]</t>
  </si>
  <si>
    <t>71 [Si cometo un error, me aseguro que en el futuro no vuelva a suceder]</t>
  </si>
  <si>
    <t>71 [Mi carÃ¡cter me ayuda a levantarme fortalecido de las crisis]</t>
  </si>
  <si>
    <t>72 [Pago mis deudas en su totalidad y en el plazo acordado]</t>
  </si>
  <si>
    <t>72 [Disfruto intercambiar opiniones y llegar a consensos con personas que piensan diferente a mÃ­]</t>
  </si>
  <si>
    <t>73 [Estoy convencido de que tengo un alto poder de influencia en los demÃ¡s]</t>
  </si>
  <si>
    <t>73 [Soy obstinado con mis metas y objetivos]</t>
  </si>
  <si>
    <t>74 [Me siento satisfecho con los resultados que hoy soy capaz de dar]</t>
  </si>
  <si>
    <t>74 [Soy exigente conmigo mismo]</t>
  </si>
  <si>
    <t>75 [ConfÃ­o en que me irÃ¡ bien en el futuro]</t>
  </si>
  <si>
    <t>75 [Puedo hablar de temas difÃ­ciles con mi pareja sin entrar en discusiones]</t>
  </si>
  <si>
    <t>76 [Analizo mis errores para aprender de ellos]</t>
  </si>
  <si>
    <t>76 [SÃ© muy bien quÃ© es lo que debo hacer para cambiar lo que quiero mejorar en mÃ­ mismo]</t>
  </si>
  <si>
    <t>77 [EvalÃºo regularmente el progreso de mi trabajo para cumplir a tiempo con mis objetivos]</t>
  </si>
  <si>
    <t>77 [ConfÃ­o en mi capacidad para modificar lo que no me gusta de mi vida]</t>
  </si>
  <si>
    <t>78 [SÃ© cÃ³mo persuadir a otros para que se pongan de mi lado]</t>
  </si>
  <si>
    <t>78 [Puedo comprender fÃ¡cilmente cÃ³mo piensan los demÃ¡s]</t>
  </si>
  <si>
    <t>79 [Siempre cumplo lo que prometo]</t>
  </si>
  <si>
    <t>79 [Cuando hago planes me aseguro de que estÃ©n bien calculados hacia la meta]</t>
  </si>
  <si>
    <t>80 [Mantengo contacto con las personas que he conocido en el camino]</t>
  </si>
  <si>
    <t>80 [Escucho con atenciÃ³n y considero las aportaciones que hacen los demÃ¡s]</t>
  </si>
  <si>
    <t>81 [RechazarÃ­a las ofertas de trabajo que no me permitieran dedicarme a lo que mÃ¡s me gusta hacer]</t>
  </si>
  <si>
    <t>81 [Mantengo la calma en situaciones difÃ­ciles]</t>
  </si>
  <si>
    <t>82 [Mi ahorro estÃ¡ creciendo]</t>
  </si>
  <si>
    <t>82 [Dedico bastante tiempo y energÃ­a a mi propio desarrollo]</t>
  </si>
  <si>
    <t>83 [Llevo un calendario y me apego a Ã©l para administrarme]</t>
  </si>
  <si>
    <t>83 [Puedo mantenerme relajado en situaciones de presiÃ³n]</t>
  </si>
  <si>
    <t>84 [Estoy consciente de la forma en la que mis emociones afectan a los demÃ¡s]</t>
  </si>
  <si>
    <t>84 [ActÃºo proactivamente para resolver los contratiempos]</t>
  </si>
  <si>
    <t>85 [Hago listas de pendientes que reviso y actualizo a lo largo del dÃ­a]</t>
  </si>
  <si>
    <t>85 [Suelo tener un plan B por si las cosas no salen como espero]</t>
  </si>
  <si>
    <t>86 [A lo largo de la jornada doy el mÃ¡ximo todo el tiempo]</t>
  </si>
  <si>
    <t>86 [ConfÃ­o en mi capacidad para obtener un logro importante en un lapso de tiempo corto]</t>
  </si>
  <si>
    <t>87 [Generalmente puedo anticipar cÃ³mo reaccionarÃ¡n las personas que conozco ante una situaciÃ³n determinada]</t>
  </si>
  <si>
    <t>87 [AÃºn en condiciones adversas me mantengo firme hasta el final]</t>
  </si>
  <si>
    <t>88 [Disfruto encontrar conexiones poco usuales en la informaciÃ³n que reviso]</t>
  </si>
  <si>
    <t>88 [Me estoy esforzando en mi trabajo para mejorar mi situaciÃ³n en el mediano plazo]</t>
  </si>
  <si>
    <t>89 [Me trazo a mÃ­ mismo objetivos concretos de aprendizaje en funciÃ³n de lo que quiero lograr]</t>
  </si>
  <si>
    <t>89 [Nunca he hecho trampa para ganar]</t>
  </si>
  <si>
    <t>90 [Me gusta participar con otras personas para lograr objetivos en comÃºn]</t>
  </si>
  <si>
    <t>90 [Me preocupo por los problemas de mi paÃ­s y me involucro en las soluciones]</t>
  </si>
  <si>
    <t>91 [Me implico activamente en crear oportunidades que me generen ingresos]</t>
  </si>
  <si>
    <t>91 [Sacrifico horas de sueÃ±o si es necesario para sacar adelante proyectos que para mÃ­ son importantes]</t>
  </si>
  <si>
    <t>92 [Dirijo mi vida en la direcciÃ³n que quiero ir]</t>
  </si>
  <si>
    <t>92 [Puedo trabajar durante muchas horas manteniendo el mismo nivel de energÃ­a]</t>
  </si>
  <si>
    <t>93 [Cuando se pide la participaciÃ³n de todos soy el primero en levantar la mano]</t>
  </si>
  <si>
    <t>93 [Puedo adivinar la intenciÃ³n real de otras personas al hablar con ellos]</t>
  </si>
  <si>
    <t>94 [Hoy estoy cumpliendo con mis propÃ³sitos de vida mÃ¡s importantes]</t>
  </si>
  <si>
    <t>94 [Conozco las barreras que tendrÃ© que superar para lograr mis objetivos]</t>
  </si>
  <si>
    <t>95 [FÃ¡cilmente puedo pensar en estrategias para diversificar mis inversiones]</t>
  </si>
  <si>
    <t>95 [Si alguien no estÃ¡ participando me acerco para ayudarlo a involucrarse]</t>
  </si>
  <si>
    <t>96 [Me comprometo con mis proyectos y objetivos hasta sus Ãºltimas consecuencias]</t>
  </si>
  <si>
    <t>96 [Me aseguro de tener unas finanzas sanas]</t>
  </si>
  <si>
    <t>97 [Mantengo expectativas bajas para mÃ­ mismo]</t>
  </si>
  <si>
    <t>97 [En situaciones difÃ­ciles me pongo serio y pierdo el sentido del humor]</t>
  </si>
  <si>
    <t>98 [Actualmente no estoy desarrollando ninguna nueva habilidad que me ayude a hacer mejor mi trabajo]</t>
  </si>
  <si>
    <t>98 [Me es difÃ­cil concentrar mi energÃ­a en la direcciÃ³n que quiero ir]</t>
  </si>
  <si>
    <t>99 [Cuando algo sale mal tiendo a quejarme, echar la culpa o seÃ±alar a las circunstancias]</t>
  </si>
  <si>
    <t>99 [Prefiero alejarme de la gente]</t>
  </si>
  <si>
    <t>100 [Me distraigo y pierdo el tiempo fÃ¡cilmente]</t>
  </si>
  <si>
    <t>100 [Generalmente las personas no me reconocen como autoridad]</t>
  </si>
  <si>
    <t>101 [Me comprometo con entusiasmo pero luego se me olvida]</t>
  </si>
  <si>
    <t>101 [Las cosas que se me ocurren son aburridas y poco creativas]</t>
  </si>
  <si>
    <t>102 [AceptarÃ­a cualquier trabajo porque sÃ© que de todo puedo aprender muy rÃ¡pido]</t>
  </si>
  <si>
    <t>102 [TodavÃ­a no identifico quÃ© es lo que quiero lograr en mi vida]</t>
  </si>
  <si>
    <t>103 [Me es difÃ­cil anticipar mis cambios de Ã¡nimo]</t>
  </si>
  <si>
    <t>103 [No veo cÃ³mo yo pueda resolver mis problemas actuales]</t>
  </si>
  <si>
    <t>104 [DifÃ­cilmente me entero de lo que se estÃ¡ haciendo en otros campos diferentes al mÃ­o]</t>
  </si>
  <si>
    <t>104 [No estoy disfrutando mi vida como me gustarÃ­a]</t>
  </si>
  <si>
    <t>105 [Cuando no entiendo algo me desespero y lo abandono]</t>
  </si>
  <si>
    <t>105 [Dudo que mi voto sea de mucha utilidad]</t>
  </si>
  <si>
    <t>106 [Actualmente no invierto mi dinero]</t>
  </si>
  <si>
    <t>106 [No veo sentido en exigirme demasiado]</t>
  </si>
  <si>
    <t>107 [Muy poco se me ocurren ideas creativas y novedosas]</t>
  </si>
  <si>
    <t>107 [Sospecho que yo mismo bloqueo las oportunidades, a veces sin darme cuenta]</t>
  </si>
  <si>
    <t>108 [En los Ãºltimos seis meses me quedÃ© sin dinero por lo menos una vez]</t>
  </si>
  <si>
    <t>108 [Tengo un asunto no resuelto que me hace perder la concentraciÃ³n]</t>
  </si>
  <si>
    <t>109 [Si me ofrecieran un trabajo para el que sÃ© que no tengo capacidad suficiente, igual lo tomarÃ­a]</t>
  </si>
  <si>
    <t>109 [Mi desempeÃ±o estÃ¡ por debajo de las expectativas]</t>
  </si>
  <si>
    <t>110 [Algunos dirÃ­an que soy intolerante o que no acepto a las personas como son]</t>
  </si>
  <si>
    <t>110 [Me esfuerzo poco para superarme a mÃ­ mismo]</t>
  </si>
  <si>
    <t>111 [Frecuentemente soy el Ãºltimo en darse cuenta de que las cosas no van bien]</t>
  </si>
  <si>
    <t>111 [Bajo estrÃ©s actÃºo con prisas y de forma descuidada]</t>
  </si>
  <si>
    <t>112 [Con frecuencia confundo mis emociones]</t>
  </si>
  <si>
    <t>112 [Mi desempeÃ±o se disminuye en situaciones de mucha exigencia]</t>
  </si>
  <si>
    <t>113 [Me dejo llevar por lo que opinan los demÃ¡s]</t>
  </si>
  <si>
    <t>113 [A veces aparento tener virtudes que en realidad no poseo]</t>
  </si>
  <si>
    <t>114 [Mi nivel de ingreso se ha mantenido igual desde hace aÃ±os]</t>
  </si>
  <si>
    <t>114 [Se me dificulta reconocer mis errores y fracasos]</t>
  </si>
  <si>
    <t>115 [Soy capaz de mentir para librarme de problemas]</t>
  </si>
  <si>
    <t>115 [A veces siento que no soy lo suficientemente bueno para lograr lo que quiero]</t>
  </si>
  <si>
    <t>116 [Desarrollar nuevas habilidades no es prioritario para mÃ­ en este momento]</t>
  </si>
  <si>
    <t>116 [Me cuesta entender los sentimientos de otras personas]</t>
  </si>
  <si>
    <t>117 [No tengo muchos motivos para enorgullecerme de mÃ­ mismo]</t>
  </si>
  <si>
    <t>117 [Pierdo mucho tiempo buscando mis cosas cuando las necesito]</t>
  </si>
  <si>
    <t>118 [No arriesgarÃ­a recursos propios para abrir un negocio]</t>
  </si>
  <si>
    <t>118 [Se me dificulta cumplir a tiempo con mis obligaciones]</t>
  </si>
  <si>
    <t>119 [Me desanimo con facilidad ante los obstÃ¡culos]</t>
  </si>
  <si>
    <t>119 [Se me ocurren ideas pero me cuesta llevarlas a la prÃ¡ctica]</t>
  </si>
  <si>
    <t>120 [Prefiero ser conservador y esperar lo menos de la vida]</t>
  </si>
  <si>
    <t>120 [En ocasiones soy inconstante o indisciplinado]</t>
  </si>
  <si>
    <t>121 [Se me dificulta reconocer las buenas oportunidades de negocio]</t>
  </si>
  <si>
    <t>121 [Me es difÃ­cil darme cuenta cuando alguien me estÃ¡ mintiendo]</t>
  </si>
  <si>
    <t>122 [Trabajo mucho pero consigo pocos resultados]</t>
  </si>
  <si>
    <t>122 [He alterado la verdad cuando ha sido necesario para zafarme de problemas]</t>
  </si>
  <si>
    <t>123 [Compro cosas sin pensarlo lo suficiente]</t>
  </si>
  <si>
    <t>123 [Desde la Ãºltima vez que fracasÃ© no estoy intentando nada nuevo]</t>
  </si>
  <si>
    <t>124 [Desconozco cÃ³mo es que los cambios en el entorno pudieran afectar mis planes]</t>
  </si>
  <si>
    <t>124 [Se me dificulta relacionarme con los demÃ¡s]</t>
  </si>
  <si>
    <t>125 [Los problemas me crecen por no atender a tiempo mis asuntos]</t>
  </si>
  <si>
    <t>125 [Al discutir con mi pareja (o familia) pierdo rÃ¡pidamente la paciencia]</t>
  </si>
  <si>
    <t>126 [Intento concentrarme pero pierdo el foco con facilidad]</t>
  </si>
  <si>
    <t>126 [Hacer una contribuciÃ³n importante al mundo no es algo que me preocupe por el momento]</t>
  </si>
  <si>
    <t>127 [A veces creo que me quejo mucho pero no propongo]</t>
  </si>
  <si>
    <t>127 [Dudo de mi capacidad para convencer a otros]</t>
  </si>
  <si>
    <t>128 [Me es difÃ­cil imaginar cÃ³mo serÃ¡ mi vida dentro de unos aÃ±os]</t>
  </si>
  <si>
    <t>128 [Soy muy permisivo con los demÃ¡s]</t>
  </si>
  <si>
    <t>129 [Quiero hacer muchas cosas pero me canso con facilidad]</t>
  </si>
  <si>
    <t>129 [Se me dificulta tomar decisiones bajo estrÃ©s]</t>
  </si>
  <si>
    <t>130 [Soy desordenado con mis finanzas]</t>
  </si>
  <si>
    <t>130 [Me cuesta aceptarme como soy]</t>
  </si>
  <si>
    <t>131 [Desconozco quÃ© opciones tengo para invertir mi dinero]</t>
  </si>
  <si>
    <t>131 [Seguir estudiando es lo Ãºltimo que harÃ­a]</t>
  </si>
  <si>
    <t>132 [Desconozco de quÃ© forma podrÃ­a aprovechar mis talentos para generar mayores ingresos]</t>
  </si>
  <si>
    <t>132 [Pospongo lo mÃ¡s que puedo las tareas que no me gustan]</t>
  </si>
  <si>
    <t>133 [En una emergencia se me dificulta mantenerme concentrado]</t>
  </si>
  <si>
    <t>133 [Tiendo a dejar que se me acumulen los pendientes]</t>
  </si>
  <si>
    <t>134 [Dudo que mis circunstancias puedan mejorar para el mes que viene]</t>
  </si>
  <si>
    <t>134 [Estoy poco enterado de los problemas que hay en el mundo]</t>
  </si>
  <si>
    <t>135 [A veces hago las cosas sin seguir un orden lÃ³gico]</t>
  </si>
  <si>
    <t>135 [Inicio con fuerza pero pasado un tiempo, dejo de dar seguimiento a mis avances]</t>
  </si>
  <si>
    <t>136 [Tiendo a perder la paciencia]</t>
  </si>
  <si>
    <t>136 [Me frustra darme cuenta de lo limitado que hoy me siento]</t>
  </si>
  <si>
    <t>137 [Abandono las tareas que me exigen demasiado esfuerzo]</t>
  </si>
  <si>
    <t>137 [Hay veces en las que tomar algo que no es tuyo puede estar justificado]</t>
  </si>
  <si>
    <t>138 [Me es difÃ­cil apegarme a los acuerdos que hago otras personas]</t>
  </si>
  <si>
    <t>138 [Me rindo cuando las cosas parecen no tener soluciÃ³n]</t>
  </si>
  <si>
    <t>139 [Me cuesta prever las consecuencias de mis actos]</t>
  </si>
  <si>
    <t>139 [Cuando las cosas no van bien, pienso que deberÃ­a darme por vencido]</t>
  </si>
  <si>
    <t>140 [Cuando las cosas se tornan complicadas me es difÃ­cil saber quÃ© es lo correcto de hacer]</t>
  </si>
  <si>
    <t>140 [Me hace falta tener mÃ¡s energÃ­a para completar mis actividades del dÃ­a]</t>
  </si>
  <si>
    <t>141 [Desconozco el camino que debo seguir para hacer realidad mi visiÃ³n personal]</t>
  </si>
  <si>
    <t>141 [A menos que sea absolutamente necesario, no estoy dispuesto a cambiar mi forma de trabajo]</t>
  </si>
  <si>
    <t>142 [Se me dificulta pensar ideas innovadoras]</t>
  </si>
  <si>
    <t>142 [Me cierro a vivir nuevas experiencias]</t>
  </si>
  <si>
    <t>143 [Me resulta difÃ­cil disfrutar de mi vida]</t>
  </si>
  <si>
    <t>143 [Prefiero trabajar solo]</t>
  </si>
  <si>
    <t>144 [Me cuesta trabajo hablar en pÃºblico]</t>
  </si>
  <si>
    <t>144 [A veces tengo que pedir prestado para cumplir con mis gastos del mes]</t>
  </si>
  <si>
    <t>145 [Prefiero no tener un plan y dejar que la vida me sorprenda]</t>
  </si>
  <si>
    <t>145 [Cuando estoy estresado suelo reaccionar de mal modo con los demÃ¡s]</t>
  </si>
  <si>
    <t>146 [Para reconocer mis errores, necesito que otros me los hagan ver]</t>
  </si>
  <si>
    <t>146 [He dejado que otros paguen las consecuencias de mis malas decisiones]</t>
  </si>
  <si>
    <t>147 [Soy insensible a los problemas ajenos]</t>
  </si>
  <si>
    <t>147 [Entrar en contacto con otras personas me pone nervioso]</t>
  </si>
  <si>
    <t>148 [Se me dificulta relacionar conceptos complejos o ideas muy abstractas]</t>
  </si>
  <si>
    <t>148 [No acostumbro seguir un presupuesto de gasto]</t>
  </si>
  <si>
    <t>149 [Es difÃ­cil que cambie mi forma de hacer las cosas aunque me de cuenta de que no me estÃ¡n funcionando]</t>
  </si>
  <si>
    <t>149 [Es raro que me ponga a investigar que estÃ¡ sucediendo en mi paÃ­s o en el mundo]</t>
  </si>
  <si>
    <t>150 [Dudo tener el talento que se necesita para lograr el Ã©xito que pretendo]</t>
  </si>
  <si>
    <t>150 [Los proyectos en los que estoy involucrado obstaculizan mi camino hacia mis ideales]</t>
  </si>
  <si>
    <t>151 [Me siento preocupado por temas de dinero]</t>
  </si>
  <si>
    <t>151 [Me va mejor en trabajos de baja responsabilidad]</t>
  </si>
  <si>
    <t>152 [Mis emociones tienden a afectar mi objetividad]</t>
  </si>
  <si>
    <t>152 [DesconfÃ­o del futuro y de las nuevas ideas]</t>
  </si>
  <si>
    <t>153 [TodavÃ­a no tengo claro cuÃ¡l es mi propÃ³sito en la vida]</t>
  </si>
  <si>
    <t>153 [La gente dirÃ­a que me cuesta mucho reponerme de los fracasos]</t>
  </si>
  <si>
    <t>154 [Tiendo a dejar las cosas para despuÃ©s]</t>
  </si>
  <si>
    <t>154 [Desconozco cuÃ¡nto debo, cuÃ¡nto gano o cuÃ¡nto tengo]</t>
  </si>
  <si>
    <t>155 [Me doy cuenta que estoy equivocado hasta que alguien me lo avisa]</t>
  </si>
  <si>
    <t>155 [Me impaciento cuando alguien me platica sus problemas]</t>
  </si>
  <si>
    <t>156 [Me siento intranquilo o irritable ante situaciones nuevas o cambiantes]</t>
  </si>
  <si>
    <t>156 [Invariablemente me quedo sin dinero]</t>
  </si>
  <si>
    <t>157 [Me enfada escuchar crÃ­ticas sobre mi trabajo]</t>
  </si>
  <si>
    <t>157 [Necesito supervisiÃ³n para completar mis tareas]</t>
  </si>
  <si>
    <t>158 [Acepto las nuevas oportunidades de trabajo aunque estas no correspondan a mi predilecciÃ³n]</t>
  </si>
  <si>
    <t>158 [Si un libro se vuelve difÃ­cil de entender, lo abandono y comienzo uno nuevo]</t>
  </si>
  <si>
    <t>159 [Conocer las razones del porquÃ© de los problemas no es interesante para mÃ­]</t>
  </si>
  <si>
    <t>159 [Desconozco quÃ© es lo que mÃ¡s me conviene hacer para lograr mis ideales]</t>
  </si>
  <si>
    <t>160 [Cuando se me agota el entusiasmo inicial, abandono la actividad para ir por otra nueva]</t>
  </si>
  <si>
    <t>160 [En situaciones de presiÃ³n cometo mÃ¡s errores de lo normal]</t>
  </si>
  <si>
    <t>161 [Funciono mejor en trabajos de baja responsabilidad]</t>
  </si>
  <si>
    <t>161 [Invariablemente veo primero por mis propios intereses]</t>
  </si>
  <si>
    <t>162 [En situaciones de conflicto pierdo el profesionalismo]</t>
  </si>
  <si>
    <t>162 [En ocasiones actÃºo impulsivamente]</t>
  </si>
  <si>
    <t>163 [Pierdo la motivaciÃ³n cuando las cosas no salen como quiero]</t>
  </si>
  <si>
    <t>163 [No me motiva recibir reconocimientos por mi buen desempeÃ±o]</t>
  </si>
  <si>
    <t>164 [Ignoro cuÃ¡les son los retos a los que se enfrentarÃ¡ mi profesiÃ³n en el corto plazo]</t>
  </si>
  <si>
    <t>164 [Es comÃºn que en las negociaciones con otros yo salga perdiendo]</t>
  </si>
  <si>
    <t>165 [Me cuesta reconocer mis Ã¡reas de oportunidad]</t>
  </si>
  <si>
    <t>165 [Tiendo a reaccionar a los problemas cuando ya se presentaron o cuando ya es demasiado tarde]</t>
  </si>
  <si>
    <t>166 [Tengo planes, pero no hago mucho por traerlos a la prÃ¡ctica]</t>
  </si>
  <si>
    <t>166 [Cometer errores me desanima al grado de pensar en renunciar a mi objetivo]</t>
  </si>
  <si>
    <t>167 [Prefiero los trabajos de poca exigencia]</t>
  </si>
  <si>
    <t>167 [Discutir temas difÃ­ciles con otros me pone irritable o de mal humor]</t>
  </si>
  <si>
    <t>168 [Me preocupa la idea de no estar acompaÃ±ado]</t>
  </si>
  <si>
    <t>168 [Me frustro cuando pienso en mi situaciÃ³n actual]</t>
  </si>
  <si>
    <t>( - ) Me identifico menos (Mayormente falso)</t>
  </si>
  <si>
    <t>( + ) Me identifico mÃ¡s (Mayormente cierto)</t>
  </si>
  <si>
    <t>Facilito las cosas para que las oportunidades vengan a mí</t>
  </si>
  <si>
    <t>Puedo negociar temas difícíles sin perder la calma</t>
  </si>
  <si>
    <t>Estoy convencido de que el trabajo que hago es útil para los demás</t>
  </si>
  <si>
    <t>He sabido cómo aprovechar mis habilidades y talentos para alcanzar el nivel que hoy tengo</t>
  </si>
  <si>
    <t>Me preocupa que mi trabajo ayude a otras personas a mejorar su vida de alguna forma</t>
  </si>
  <si>
    <t>Estoy convencido de que la manera de producir los mayores resultados es sumando pequeños logros uno a otro</t>
  </si>
  <si>
    <t>Tomo decisiones que me ayudan a fortalecer mi posición</t>
  </si>
  <si>
    <t>Tengo control total sobre mi situación actual</t>
  </si>
  <si>
    <t>La situación que vivo actualmente en mi vida me hace sentir en paz y en calma</t>
  </si>
  <si>
    <t>Puedo hablar de temas difíciles con mi pareja sin entrar en discusiones</t>
  </si>
  <si>
    <t>Llevo un calendario y me apego a él para administrarme</t>
  </si>
  <si>
    <t>Confío en mi capacidad para obtener un logro importante en un lapso de tiempo corto</t>
  </si>
  <si>
    <t>Me estoy esforzando en mi trabajo para mejorar mi situación en el mediano plazo</t>
  </si>
  <si>
    <t xml:space="preserve">Cuando algo sale mal tiendo a quejarme, echar la culpa o señalar a las circunstancias </t>
  </si>
  <si>
    <t>No veo cómo yo pueda resolver mis problemas actuales</t>
  </si>
  <si>
    <t>Sospecho que yo mismo bloqueo las oportunidades, a veces sin darme cuenta</t>
  </si>
  <si>
    <t>Tengo un asunto no resuelto que me hace perder la concentración</t>
  </si>
  <si>
    <t>Me esfuerzo poco para superarme a mí mismo</t>
  </si>
  <si>
    <t>He alterado la verdad cuando ha sido necesario para zafarme de problemas</t>
  </si>
  <si>
    <t xml:space="preserve">Al discutir con mi pareja (o familia) pierdo rápidamente la paciencia </t>
  </si>
  <si>
    <t>Cuando las cosas no van bien, pienso que debería darme por vencido</t>
  </si>
  <si>
    <t>Se me dificulta pensar ideas innovadoras</t>
  </si>
  <si>
    <t>Me cierro a vivir nuevas experiencias</t>
  </si>
  <si>
    <t>Me va mejor en trabajos de baja responsabilidad</t>
  </si>
  <si>
    <t>Desconozco cuánto debo, cuánto gano o cuánto tengo</t>
  </si>
  <si>
    <t>Me enfada escuchar críticas sobre mi trabajo</t>
  </si>
  <si>
    <t>Discutir temas difíciles con otros me pone irritable o de mal humor</t>
  </si>
  <si>
    <t>xxxGerencial</t>
  </si>
  <si>
    <t>Pensamiento lógico</t>
  </si>
  <si>
    <t>Esforzado</t>
  </si>
  <si>
    <t>xxxContribuidor</t>
  </si>
  <si>
    <t>NORMA 412</t>
  </si>
  <si>
    <t>Orientación a Resultados</t>
  </si>
  <si>
    <t>AutoEnfoque</t>
  </si>
  <si>
    <t>Consciencia del entorno*</t>
  </si>
  <si>
    <t>Tolerancia al conflicto*</t>
  </si>
  <si>
    <t>Pensamiento lógico*</t>
  </si>
  <si>
    <t>Visión sistémica*</t>
  </si>
  <si>
    <t>Cálculo</t>
  </si>
  <si>
    <t>No puede haber todavía percentil global porque las puntuaciones del PRO 500 son más altas. Las del PRO 300 son menores. El cálculo debe ser un promedio de sus comportamientos individuales.</t>
  </si>
  <si>
    <t>Norma Global</t>
  </si>
  <si>
    <t>Ambición Positiva</t>
  </si>
  <si>
    <t>Efectividad Personal</t>
  </si>
  <si>
    <t>Nombre Puesto</t>
  </si>
  <si>
    <t>Apego al mercado</t>
  </si>
  <si>
    <t>Gráfico de Competencias</t>
  </si>
  <si>
    <t>Inferior</t>
  </si>
  <si>
    <t>Superior</t>
  </si>
  <si>
    <t/>
  </si>
  <si>
    <t>Licenciatura</t>
  </si>
  <si>
    <t>Supervisor, Jefe o Coordinador</t>
  </si>
  <si>
    <t>De 31,000 a 40,000</t>
  </si>
  <si>
    <t>2023/03/24 10:54:18 PM CST</t>
  </si>
  <si>
    <t>jsperezvazquez@gmail.com</t>
  </si>
  <si>
    <t>Juan SebastiÃ¡n PÃ©rez VÃ¡zquez</t>
  </si>
  <si>
    <t>Villahermosa Tabasco, MÃ©xico</t>
  </si>
  <si>
    <t>Desarrollo web</t>
  </si>
  <si>
    <t>Jefe de Area Biometria de Voz</t>
  </si>
  <si>
    <t>Desarrollo de software empresarial(contabilidad), desarrollo de aplicaciones de comercio electronico(gestion de inventario), desarrollo de aplicaciones moviles.</t>
  </si>
  <si>
    <t>Analista o Especialista</t>
  </si>
  <si>
    <t>De 11,000 a 20,000 pesos</t>
  </si>
  <si>
    <t>2023/03/27 9:36:02 AM CST</t>
  </si>
  <si>
    <t>sfredy188@gmail.com</t>
  </si>
  <si>
    <t>Luis Alfredo SÃ¡nchez LÃ³pez</t>
  </si>
  <si>
    <t>MÃ©xico, Ciudad de MÃ©xico</t>
  </si>
  <si>
    <t>Soy tech lead para desarrollo de proyectos en Full Stack</t>
  </si>
  <si>
    <t>Tech lead Full Stack</t>
  </si>
  <si>
    <t xml:space="preserve">Front end, Back end, Managment </t>
  </si>
  <si>
    <t>2023/03/27 6:58:28 PM CST</t>
  </si>
  <si>
    <t>gabir_sanchez@hotmail.com</t>
  </si>
  <si>
    <t>Gabir Argenis SÃ¡nchez PÃ©rez</t>
  </si>
  <si>
    <t>MÃ©xico - CDMX</t>
  </si>
  <si>
    <t>Desarrollo de aplicaciones Web y Movil</t>
  </si>
  <si>
    <t>Desarrollador FullStack</t>
  </si>
  <si>
    <t>Desarrollo web, Testing, DefiniciÃ³n de requerimientos</t>
  </si>
  <si>
    <t>2023/03/27 9:45:55 PM CST</t>
  </si>
  <si>
    <t>mayjoel1507@gmail.com</t>
  </si>
  <si>
    <t>Joel Abdiel May Canche</t>
  </si>
  <si>
    <t>Desempleado</t>
  </si>
  <si>
    <t>MÃ©rida, YucatÃ¡n, MÃ©xico</t>
  </si>
  <si>
    <t>Superior a licenciatura</t>
  </si>
  <si>
    <t>Dearrollador de software</t>
  </si>
  <si>
    <t>Frontend</t>
  </si>
  <si>
    <t>Desarrollo de software</t>
  </si>
  <si>
    <t>PROMEDIO FORTIA PROGRAMADOR</t>
  </si>
  <si>
    <t>Perfil de ingreso FORTIA</t>
  </si>
  <si>
    <t>Consistencia del perfil</t>
  </si>
  <si>
    <t>Gestión de recursos</t>
  </si>
  <si>
    <t>BLOCKED — confirmar 25/31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</si>
</sst>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00"/>
  </numFmts>
  <fonts count="51">
    <font>
      <sz val="11"/>
      <color theme="1"/>
      <name val="Calibri"/>
      <family val="2"/>
      <scheme val="minor"/>
    </font>
    <font>
      <b/>
      <sz val="11"/>
      <color theme="1"/>
      <name val="Calibri"/>
      <family val="2"/>
      <scheme val="minor"/>
    </font>
    <font>
      <sz val="11"/>
      <name val="Calibri"/>
      <family val="2"/>
      <scheme val="minor"/>
    </font>
    <font>
      <b/>
      <sz val="11"/>
      <name val="Calibri"/>
      <family val="2"/>
      <scheme val="minor"/>
    </font>
    <font>
      <b/>
      <sz val="11"/>
      <name val="Webdings"/>
      <family val="1"/>
      <charset val="2"/>
    </font>
    <font>
      <sz val="11"/>
      <name val="Webdings"/>
      <family val="1"/>
      <charset val="2"/>
    </font>
    <font>
      <sz val="10"/>
      <name val="Calibri"/>
      <family val="2"/>
      <scheme val="minor"/>
    </font>
    <font>
      <b/>
      <sz val="14"/>
      <color theme="1"/>
      <name val="Calibri"/>
      <family val="2"/>
      <scheme val="minor"/>
    </font>
    <font>
      <sz val="11"/>
      <color theme="0" tint="-0.14999847407452621"/>
      <name val="Calibri"/>
      <family val="2"/>
      <scheme val="minor"/>
    </font>
    <font>
      <sz val="8"/>
      <name val="Calibri"/>
      <family val="2"/>
      <scheme val="minor"/>
    </font>
    <font>
      <sz val="11"/>
      <name val="Calibri"/>
      <family val="2"/>
    </font>
    <font>
      <b/>
      <sz val="18"/>
      <name val="Calibri"/>
      <family val="2"/>
      <scheme val="minor"/>
    </font>
    <font>
      <sz val="10"/>
      <color theme="1"/>
      <name val="Calibri"/>
      <family val="2"/>
      <scheme val="minor"/>
    </font>
    <font>
      <b/>
      <i/>
      <sz val="11"/>
      <color theme="1"/>
      <name val="Calibri"/>
      <family val="2"/>
      <scheme val="minor"/>
    </font>
    <font>
      <i/>
      <sz val="11"/>
      <name val="Calibri"/>
      <family val="2"/>
      <scheme val="minor"/>
    </font>
    <font>
      <sz val="16"/>
      <color theme="1"/>
      <name val="Calibri"/>
      <family val="2"/>
      <scheme val="minor"/>
    </font>
    <font>
      <b/>
      <sz val="20"/>
      <color theme="1"/>
      <name val="Calibri"/>
      <family val="2"/>
      <scheme val="minor"/>
    </font>
    <font>
      <b/>
      <sz val="16"/>
      <color theme="1"/>
      <name val="Calibri"/>
      <family val="2"/>
      <scheme val="minor"/>
    </font>
    <font>
      <vertAlign val="superscript"/>
      <sz val="11"/>
      <name val="Calibri"/>
      <family val="2"/>
    </font>
    <font>
      <vertAlign val="superscript"/>
      <sz val="11"/>
      <color theme="1"/>
      <name val="Calibri"/>
      <family val="2"/>
      <scheme val="minor"/>
    </font>
    <font>
      <b/>
      <vertAlign val="superscript"/>
      <sz val="11"/>
      <name val="Calibri"/>
      <family val="2"/>
    </font>
    <font>
      <b/>
      <vertAlign val="superscript"/>
      <sz val="11"/>
      <name val="Calibri"/>
      <family val="2"/>
      <scheme val="minor"/>
    </font>
    <font>
      <vertAlign val="superscript"/>
      <sz val="11"/>
      <name val="Calibri"/>
      <family val="2"/>
      <scheme val="minor"/>
    </font>
    <font>
      <vertAlign val="superscript"/>
      <sz val="10"/>
      <name val="Calibri"/>
      <family val="2"/>
      <scheme val="minor"/>
    </font>
    <font>
      <b/>
      <vertAlign val="superscript"/>
      <sz val="16"/>
      <color theme="1"/>
      <name val="Calibri"/>
      <family val="2"/>
      <scheme val="minor"/>
    </font>
    <font>
      <b/>
      <vertAlign val="superscript"/>
      <sz val="16"/>
      <color theme="1"/>
      <name val="Calibri"/>
      <family val="2"/>
    </font>
    <font>
      <sz val="11"/>
      <color theme="1"/>
      <name val="Calibri"/>
      <family val="2"/>
    </font>
    <font>
      <vertAlign val="superscript"/>
      <sz val="11"/>
      <color theme="1"/>
      <name val="Calibri"/>
      <family val="2"/>
    </font>
    <font>
      <sz val="12"/>
      <name val="Webdings"/>
      <family val="1"/>
      <charset val="2"/>
    </font>
    <font>
      <sz val="8"/>
      <color theme="1"/>
      <name val="Calibri"/>
      <family val="2"/>
      <scheme val="minor"/>
    </font>
    <font>
      <b/>
      <sz val="12"/>
      <color theme="1"/>
      <name val="Calibri"/>
      <family val="2"/>
      <scheme val="minor"/>
    </font>
    <font>
      <sz val="11"/>
      <color theme="0"/>
      <name val="Calibri"/>
      <family val="2"/>
      <scheme val="minor"/>
    </font>
    <font>
      <sz val="9"/>
      <color theme="1"/>
      <name val="Calibri"/>
      <family val="2"/>
      <scheme val="minor"/>
    </font>
    <font>
      <b/>
      <sz val="11"/>
      <color rgb="FFFF0000"/>
      <name val="Calibri"/>
      <family val="2"/>
      <scheme val="minor"/>
    </font>
    <font>
      <b/>
      <sz val="8"/>
      <color theme="1"/>
      <name val="Calibri"/>
      <family val="2"/>
      <scheme val="minor"/>
    </font>
    <font>
      <b/>
      <sz val="12"/>
      <name val="Calibri"/>
      <family val="2"/>
      <scheme val="minor"/>
    </font>
    <font>
      <b/>
      <sz val="8"/>
      <color theme="0"/>
      <name val="Calibri"/>
      <family val="2"/>
      <scheme val="minor"/>
    </font>
    <font>
      <sz val="7"/>
      <color theme="1"/>
      <name val="Calibri"/>
      <family val="2"/>
      <scheme val="minor"/>
    </font>
    <font>
      <sz val="10"/>
      <color rgb="FF000000"/>
      <name val="Helvetica Neue"/>
      <family val="2"/>
    </font>
    <font>
      <sz val="11"/>
      <color rgb="FFFF0000"/>
      <name val="Calibri"/>
      <family val="2"/>
      <scheme val="minor"/>
    </font>
    <font>
      <b/>
      <sz val="8"/>
      <color rgb="FF073B59"/>
      <name val="Calibri"/>
      <family val="2"/>
      <scheme val="minor"/>
    </font>
    <font>
      <sz val="11"/>
      <color theme="0" tint="-0.499984740745262"/>
      <name val="Calibri"/>
      <family val="2"/>
      <scheme val="minor"/>
    </font>
    <font>
      <b/>
      <sz val="11"/>
      <color theme="0"/>
      <name val="Webdings"/>
      <family val="1"/>
      <charset val="2"/>
    </font>
    <font>
      <sz val="11"/>
      <color theme="0"/>
      <name val="Webdings"/>
      <family val="1"/>
      <charset val="2"/>
    </font>
    <font>
      <b/>
      <sz val="11"/>
      <color theme="0"/>
      <name val="Calibri"/>
      <family val="2"/>
      <scheme val="minor"/>
    </font>
    <font>
      <sz val="11"/>
      <color rgb="FF9C0006"/>
      <name val="Calibri"/>
      <family val="2"/>
      <scheme val="minor"/>
    </font>
    <font>
      <b/>
      <sz val="11"/>
      <color rgb="FF9C6500"/>
      <name val="Calibri"/>
      <family val="2"/>
      <scheme val="minor"/>
    </font>
    <font>
      <sz val="9"/>
      <color indexed="81"/>
      <name val="Tahoma"/>
      <charset val="1"/>
    </font>
    <font>
      <b/>
      <sz val="11"/>
      <color rgb="FF9C0006"/>
      <name val="Calibri"/>
      <family val="2"/>
      <scheme val="minor"/>
    </font>
    <font>
      <b/>
      <sz val="11"/>
      <color rgb="FFFFFFFF"/>
      <name val="Calibri"/>
      <family val="2"/>
      <scheme val="minor"/>
    </font>
    <font>
      <sz val="11"/>
      <color rgb="FF1F4E78"/>
      <name val="Calibri"/>
      <family val="2"/>
      <scheme val="minor"/>
    </font>
  </fonts>
  <fills count="34">
    <fill>
      <patternFill patternType="none"/>
    </fill>
    <fill>
      <patternFill patternType="gray125"/>
    </fill>
    <fill>
      <patternFill patternType="solid">
        <fgColor theme="2" tint="-9.9978637043366805E-2"/>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rgb="FFFFFF00"/>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rgb="FF92D050"/>
        <bgColor indexed="64"/>
      </patternFill>
    </fill>
    <fill>
      <patternFill patternType="solid">
        <fgColor rgb="FFA8C365"/>
        <bgColor indexed="64"/>
      </patternFill>
    </fill>
    <fill>
      <patternFill patternType="solid">
        <fgColor rgb="FF073B59"/>
        <bgColor indexed="64"/>
      </patternFill>
    </fill>
    <fill>
      <patternFill patternType="solid">
        <fgColor rgb="FFFFE848"/>
        <bgColor indexed="64"/>
      </patternFill>
    </fill>
    <fill>
      <patternFill patternType="solid">
        <fgColor rgb="FFA8C313"/>
        <bgColor indexed="64"/>
      </patternFill>
    </fill>
    <fill>
      <patternFill patternType="solid">
        <fgColor theme="0" tint="-4.9989318521683403E-2"/>
        <bgColor indexed="64"/>
      </patternFill>
    </fill>
    <fill>
      <patternFill patternType="solid">
        <fgColor rgb="FF006600"/>
        <bgColor indexed="64"/>
      </patternFill>
    </fill>
    <fill>
      <patternFill patternType="solid">
        <fgColor theme="4" tint="-0.499984740745262"/>
        <bgColor indexed="64"/>
      </patternFill>
    </fill>
    <fill>
      <patternFill patternType="solid">
        <fgColor theme="8" tint="0.59999389629810485"/>
        <bgColor indexed="64"/>
      </patternFill>
    </fill>
    <fill>
      <patternFill patternType="solid">
        <fgColor rgb="FFD7CBF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rgb="FFFFF2CC"/>
        <bgColor indexed="64"/>
      </patternFill>
    </fill>
    <fill>
      <patternFill patternType="solid">
        <fgColor rgb="FFFCE8E6"/>
        <bgColor indexed="64"/>
      </patternFill>
    </fill>
    <fill>
      <patternFill patternType="solid">
        <fgColor rgb="FFC00000"/>
        <bgColor indexed="64"/>
      </patternFill>
    </fill>
    <fill>
      <patternFill patternType="solid">
        <fgColor rgb="FFFFC7CE"/>
        <bgColor indexed="64"/>
      </patternFill>
    </fill>
    <fill>
      <patternFill patternType="solid">
        <fgColor rgb="FFDDEBF7"/>
        <bgColor indexed="64"/>
      </patternFill>
    </fill>
    <fill>
      <patternFill patternType="solid">
        <fgColor rgb="FF4472C4"/>
        <bgColor indexed="64"/>
      </patternFill>
    </fill>
    <fill>
      <patternFill patternType="solid">
        <fgColor rgb="FF5B9BD5"/>
        <bgColor indexed="64"/>
      </patternFill>
    </fill>
  </fills>
  <borders count="49">
    <border>
      <left/>
      <right/>
      <top/>
      <bottom/>
      <diagonal/>
    </border>
    <border>
      <left style="thin">
        <color indexed="64"/>
      </left>
      <right/>
      <top style="thin">
        <color indexed="64"/>
      </top>
      <bottom/>
      <diagonal/>
    </border>
    <border>
      <left/>
      <right/>
      <top style="thin">
        <color indexed="64"/>
      </top>
      <bottom/>
      <diagonal/>
    </border>
    <border>
      <left style="thin">
        <color indexed="64"/>
      </left>
      <right style="hair">
        <color auto="1"/>
      </right>
      <top style="thin">
        <color indexed="64"/>
      </top>
      <bottom style="hair">
        <color auto="1"/>
      </bottom>
      <diagonal/>
    </border>
    <border>
      <left style="hair">
        <color auto="1"/>
      </left>
      <right style="hair">
        <color auto="1"/>
      </right>
      <top style="thin">
        <color indexed="64"/>
      </top>
      <bottom style="hair">
        <color auto="1"/>
      </bottom>
      <diagonal/>
    </border>
    <border>
      <left style="hair">
        <color auto="1"/>
      </left>
      <right style="thin">
        <color indexed="64"/>
      </right>
      <top style="thin">
        <color indexed="64"/>
      </top>
      <bottom style="hair">
        <color auto="1"/>
      </bottom>
      <diagonal/>
    </border>
    <border>
      <left/>
      <right style="hair">
        <color auto="1"/>
      </right>
      <top style="thin">
        <color indexed="64"/>
      </top>
      <bottom style="hair">
        <color auto="1"/>
      </bottom>
      <diagonal/>
    </border>
    <border>
      <left style="hair">
        <color auto="1"/>
      </left>
      <right/>
      <top style="thin">
        <color indexed="64"/>
      </top>
      <bottom style="hair">
        <color auto="1"/>
      </bottom>
      <diagonal/>
    </border>
    <border>
      <left style="thin">
        <color indexed="64"/>
      </left>
      <right/>
      <top/>
      <bottom/>
      <diagonal/>
    </border>
    <border>
      <left style="thin">
        <color indexed="64"/>
      </left>
      <right style="hair">
        <color auto="1"/>
      </right>
      <top/>
      <bottom style="hair">
        <color auto="1"/>
      </bottom>
      <diagonal/>
    </border>
    <border>
      <left style="hair">
        <color auto="1"/>
      </left>
      <right style="hair">
        <color auto="1"/>
      </right>
      <top/>
      <bottom style="hair">
        <color auto="1"/>
      </bottom>
      <diagonal/>
    </border>
    <border>
      <left style="hair">
        <color auto="1"/>
      </left>
      <right style="thin">
        <color indexed="64"/>
      </right>
      <top/>
      <bottom style="hair">
        <color auto="1"/>
      </bottom>
      <diagonal/>
    </border>
    <border>
      <left/>
      <right style="hair">
        <color auto="1"/>
      </right>
      <top/>
      <bottom style="hair">
        <color auto="1"/>
      </bottom>
      <diagonal/>
    </border>
    <border>
      <left style="hair">
        <color auto="1"/>
      </left>
      <right/>
      <top/>
      <bottom style="hair">
        <color auto="1"/>
      </bottom>
      <diagonal/>
    </border>
    <border>
      <left style="thin">
        <color indexed="64"/>
      </left>
      <right/>
      <top/>
      <bottom style="thin">
        <color indexed="64"/>
      </bottom>
      <diagonal/>
    </border>
    <border>
      <left/>
      <right/>
      <top/>
      <bottom style="thin">
        <color indexed="64"/>
      </bottom>
      <diagonal/>
    </border>
    <border>
      <left style="thin">
        <color indexed="64"/>
      </left>
      <right style="hair">
        <color auto="1"/>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right style="hair">
        <color auto="1"/>
      </right>
      <top/>
      <bottom style="thin">
        <color indexed="64"/>
      </bottom>
      <diagonal/>
    </border>
    <border>
      <left style="hair">
        <color auto="1"/>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style="hair">
        <color auto="1"/>
      </right>
      <top style="thin">
        <color indexed="64"/>
      </top>
      <bottom style="thin">
        <color indexed="64"/>
      </bottom>
      <diagonal/>
    </border>
    <border>
      <left style="hair">
        <color auto="1"/>
      </left>
      <right style="hair">
        <color auto="1"/>
      </right>
      <top style="thin">
        <color indexed="64"/>
      </top>
      <bottom style="thin">
        <color indexed="64"/>
      </bottom>
      <diagonal/>
    </border>
    <border>
      <left style="hair">
        <color auto="1"/>
      </left>
      <right style="thin">
        <color indexed="64"/>
      </right>
      <top style="thin">
        <color indexed="64"/>
      </top>
      <bottom style="thin">
        <color indexed="64"/>
      </bottom>
      <diagonal/>
    </border>
    <border>
      <left/>
      <right style="hair">
        <color auto="1"/>
      </right>
      <top style="thin">
        <color indexed="64"/>
      </top>
      <bottom style="thin">
        <color indexed="64"/>
      </bottom>
      <diagonal/>
    </border>
    <border>
      <left style="hair">
        <color auto="1"/>
      </left>
      <right/>
      <top style="thin">
        <color indexed="64"/>
      </top>
      <bottom style="thin">
        <color indexed="64"/>
      </bottom>
      <diagonal/>
    </border>
    <border>
      <left/>
      <right/>
      <top/>
      <bottom style="hair">
        <color auto="1"/>
      </bottom>
      <diagonal/>
    </border>
    <border>
      <left style="thin">
        <color rgb="FFF4B183"/>
      </left>
      <right style="thin">
        <color rgb="FFF4B183"/>
      </right>
      <top style="thin">
        <color rgb="FFF4B183"/>
      </top>
      <bottom/>
      <diagonal/>
    </border>
    <border>
      <left style="thin">
        <color rgb="FFF4B183"/>
      </left>
      <right style="thin">
        <color rgb="FFF4B183"/>
      </right>
      <top/>
      <bottom style="thin">
        <color rgb="FFF4B183"/>
      </bottom>
      <diagonal/>
    </border>
    <border>
      <left style="thin">
        <color rgb="FFC00000"/>
      </left>
      <right/>
      <top/>
      <bottom/>
      <diagonal/>
    </border>
    <border>
      <left style="thin">
        <color rgb="FFC00000"/>
      </left>
      <right/>
      <top style="thin">
        <color rgb="FFC00000"/>
      </top>
      <bottom/>
      <diagonal/>
    </border>
    <border>
      <left style="thin">
        <color rgb="FFC00000"/>
      </left>
      <right/>
      <top/>
      <bottom style="thin">
        <color rgb="FFC00000"/>
      </bottom>
      <diagonal/>
    </border>
    <border>
      <left/>
      <right/>
      <top style="thin">
        <color rgb="FFC00000"/>
      </top>
      <bottom/>
      <diagonal/>
    </border>
    <border>
      <left/>
      <right/>
      <top/>
      <bottom style="thin">
        <color rgb="FFC00000"/>
      </bottom>
      <diagonal/>
    </border>
    <border>
      <left style="thin">
        <color rgb="FF4472C4"/>
      </left>
      <right/>
      <top/>
      <bottom/>
      <diagonal/>
    </border>
    <border>
      <left/>
      <right style="thin">
        <color rgb="FF4472C4"/>
      </right>
      <top/>
      <bottom/>
      <diagonal/>
    </border>
    <border>
      <left style="thin">
        <color rgb="FF4472C4"/>
      </left>
      <right/>
      <top style="thin">
        <color rgb="FF4472C4"/>
      </top>
      <bottom/>
      <diagonal/>
    </border>
    <border>
      <left/>
      <right style="thin">
        <color rgb="FF4472C4"/>
      </right>
      <top style="thin">
        <color rgb="FF4472C4"/>
      </top>
      <bottom/>
      <diagonal/>
    </border>
    <border>
      <left style="thin">
        <color rgb="FF4472C4"/>
      </left>
      <right/>
      <top/>
      <bottom style="thin">
        <color rgb="FF4472C4"/>
      </bottom>
      <diagonal/>
    </border>
    <border>
      <left/>
      <right style="thin">
        <color rgb="FF4472C4"/>
      </right>
      <top/>
      <bottom style="thin">
        <color rgb="FF4472C4"/>
      </bottom>
      <diagonal/>
    </border>
  </borders>
  <cellStyleXfs count="1">
    <xf numFmtId="0" fontId="0" fillId="0" borderId="0"/>
  </cellStyleXfs>
  <cellXfs count="254">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0" borderId="0" xfId="0" applyFont="1" applyAlignment="1">
      <alignment vertical="center"/>
    </xf>
    <xf numFmtId="0" fontId="1" fillId="0" borderId="0" xfId="0" applyFont="1" applyAlignment="1">
      <alignment horizontal="center"/>
    </xf>
    <xf numFmtId="0" fontId="0" fillId="2" borderId="0" xfId="0" applyFill="1"/>
    <xf numFmtId="0" fontId="0" fillId="2" borderId="0" xfId="0" applyFill="1" applyAlignment="1">
      <alignment horizontal="left"/>
    </xf>
    <xf numFmtId="0" fontId="0" fillId="4" borderId="0" xfId="0" applyFill="1"/>
    <xf numFmtId="0" fontId="0" fillId="4" borderId="0" xfId="0" applyFill="1" applyAlignment="1">
      <alignment horizontal="left"/>
    </xf>
    <xf numFmtId="0" fontId="0" fillId="4" borderId="0" xfId="0" applyFill="1" applyAlignment="1">
      <alignment horizontal="center"/>
    </xf>
    <xf numFmtId="164" fontId="0" fillId="0" borderId="0" xfId="0" applyNumberFormat="1" applyAlignment="1">
      <alignment horizontal="center"/>
    </xf>
    <xf numFmtId="0" fontId="2" fillId="0" borderId="0" xfId="0" applyFont="1"/>
    <xf numFmtId="0" fontId="3" fillId="0" borderId="0" xfId="0" applyFont="1" applyAlignment="1">
      <alignment vertical="center"/>
    </xf>
    <xf numFmtId="0" fontId="3" fillId="0" borderId="0" xfId="0" applyFont="1" applyAlignment="1">
      <alignment horizontal="center"/>
    </xf>
    <xf numFmtId="0" fontId="4" fillId="0" borderId="0" xfId="0" applyFont="1" applyAlignment="1">
      <alignment horizontal="center" vertical="center"/>
    </xf>
    <xf numFmtId="0" fontId="5" fillId="0" borderId="0" xfId="0" applyFont="1" applyAlignment="1">
      <alignment horizontal="center" vertical="center"/>
    </xf>
    <xf numFmtId="0" fontId="2" fillId="2" borderId="0" xfId="0" applyFont="1" applyFill="1"/>
    <xf numFmtId="0" fontId="3" fillId="0" borderId="0" xfId="0" applyFont="1"/>
    <xf numFmtId="0" fontId="2" fillId="0" borderId="1" xfId="0" applyFont="1" applyBorder="1"/>
    <xf numFmtId="0" fontId="2" fillId="0" borderId="2" xfId="0" applyFont="1" applyBorder="1"/>
    <xf numFmtId="0" fontId="2" fillId="0" borderId="8" xfId="0" applyFont="1" applyBorder="1"/>
    <xf numFmtId="0" fontId="2" fillId="0" borderId="14" xfId="0" applyFont="1" applyBorder="1"/>
    <xf numFmtId="0" fontId="2" fillId="0" borderId="15" xfId="0" applyFont="1" applyBorder="1"/>
    <xf numFmtId="0" fontId="3" fillId="7" borderId="0" xfId="0" applyFont="1" applyFill="1"/>
    <xf numFmtId="0" fontId="5" fillId="0" borderId="6" xfId="0" applyFont="1" applyBorder="1" applyAlignment="1">
      <alignment horizontal="center" vertical="center"/>
    </xf>
    <xf numFmtId="0" fontId="5" fillId="0" borderId="12" xfId="0" applyFont="1" applyBorder="1" applyAlignment="1">
      <alignment horizontal="center" vertical="center"/>
    </xf>
    <xf numFmtId="0" fontId="5" fillId="0" borderId="19" xfId="0" applyFont="1" applyBorder="1" applyAlignment="1">
      <alignment horizontal="center" vertical="center"/>
    </xf>
    <xf numFmtId="0" fontId="5" fillId="0" borderId="4" xfId="0" applyFont="1" applyBorder="1" applyAlignment="1">
      <alignment horizontal="center" vertical="center"/>
    </xf>
    <xf numFmtId="0" fontId="5" fillId="0" borderId="10" xfId="0" applyFont="1" applyBorder="1" applyAlignment="1">
      <alignment horizontal="center" vertical="center"/>
    </xf>
    <xf numFmtId="0" fontId="5" fillId="0" borderId="17" xfId="0" applyFont="1" applyBorder="1" applyAlignment="1">
      <alignment horizontal="center" vertical="center"/>
    </xf>
    <xf numFmtId="0" fontId="0" fillId="5" borderId="0" xfId="0" applyFill="1"/>
    <xf numFmtId="0" fontId="0" fillId="5" borderId="0" xfId="0" applyFill="1" applyAlignment="1">
      <alignment horizontal="left"/>
    </xf>
    <xf numFmtId="0" fontId="0" fillId="5" borderId="0" xfId="0" applyFill="1" applyAlignment="1">
      <alignment horizontal="center"/>
    </xf>
    <xf numFmtId="0" fontId="2" fillId="8" borderId="0" xfId="0" applyFont="1" applyFill="1"/>
    <xf numFmtId="0" fontId="2" fillId="0" borderId="0" xfId="0" applyFont="1" applyAlignment="1">
      <alignment horizontal="right"/>
    </xf>
    <xf numFmtId="0" fontId="3" fillId="0" borderId="0" xfId="0" applyFont="1" applyAlignment="1">
      <alignment horizontal="right" vertical="center"/>
    </xf>
    <xf numFmtId="0" fontId="3" fillId="0" borderId="0" xfId="0" applyFont="1" applyAlignment="1">
      <alignment horizontal="center" vertical="center"/>
    </xf>
    <xf numFmtId="0" fontId="2" fillId="0" borderId="1" xfId="0" applyFont="1" applyBorder="1" applyAlignment="1">
      <alignment horizontal="right"/>
    </xf>
    <xf numFmtId="0" fontId="2" fillId="0" borderId="2" xfId="0" applyFont="1" applyBorder="1" applyAlignment="1">
      <alignment horizontal="right"/>
    </xf>
    <xf numFmtId="0" fontId="3" fillId="0" borderId="2" xfId="0" applyFont="1" applyBorder="1" applyAlignment="1">
      <alignment horizontal="center"/>
    </xf>
    <xf numFmtId="0" fontId="4" fillId="0" borderId="3"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5" fillId="0" borderId="7" xfId="0" applyFont="1" applyBorder="1" applyAlignment="1">
      <alignment horizontal="center" vertical="center"/>
    </xf>
    <xf numFmtId="0" fontId="2" fillId="0" borderId="8" xfId="0" applyFont="1" applyBorder="1" applyAlignment="1">
      <alignment horizontal="right"/>
    </xf>
    <xf numFmtId="0" fontId="4" fillId="0" borderId="9" xfId="0" applyFont="1" applyBorder="1" applyAlignment="1">
      <alignment horizontal="center" vertical="center"/>
    </xf>
    <xf numFmtId="0" fontId="4" fillId="0" borderId="10" xfId="0" applyFont="1" applyBorder="1" applyAlignment="1">
      <alignment horizontal="center" vertical="center"/>
    </xf>
    <xf numFmtId="0" fontId="4" fillId="0" borderId="11" xfId="0" applyFont="1" applyBorder="1" applyAlignment="1">
      <alignment horizontal="center" vertical="center"/>
    </xf>
    <xf numFmtId="0" fontId="5" fillId="0" borderId="13" xfId="0" applyFont="1" applyBorder="1" applyAlignment="1">
      <alignment horizontal="center" vertical="center"/>
    </xf>
    <xf numFmtId="0" fontId="2" fillId="0" borderId="14" xfId="0" applyFont="1" applyBorder="1" applyAlignment="1">
      <alignment horizontal="right"/>
    </xf>
    <xf numFmtId="0" fontId="2" fillId="0" borderId="15" xfId="0" applyFont="1" applyBorder="1" applyAlignment="1">
      <alignment horizontal="right"/>
    </xf>
    <xf numFmtId="0" fontId="3" fillId="0" borderId="15" xfId="0" applyFont="1" applyBorder="1" applyAlignment="1">
      <alignment horizontal="center"/>
    </xf>
    <xf numFmtId="0" fontId="4" fillId="0" borderId="16" xfId="0" applyFont="1" applyBorder="1" applyAlignment="1">
      <alignment horizontal="center" vertical="center"/>
    </xf>
    <xf numFmtId="0" fontId="4" fillId="0" borderId="17" xfId="0" applyFont="1" applyBorder="1" applyAlignment="1">
      <alignment horizontal="center" vertical="center"/>
    </xf>
    <xf numFmtId="0" fontId="4" fillId="0" borderId="18" xfId="0" applyFont="1" applyBorder="1" applyAlignment="1">
      <alignment horizontal="center" vertical="center"/>
    </xf>
    <xf numFmtId="0" fontId="5" fillId="0" borderId="20" xfId="0" applyFont="1" applyBorder="1" applyAlignment="1">
      <alignment horizontal="center" vertical="center"/>
    </xf>
    <xf numFmtId="0" fontId="0" fillId="0" borderId="0" xfId="0" applyAlignment="1">
      <alignment horizontal="right"/>
    </xf>
    <xf numFmtId="0" fontId="4" fillId="0" borderId="6" xfId="0" applyFont="1" applyBorder="1" applyAlignment="1">
      <alignment horizontal="center" vertical="center"/>
    </xf>
    <xf numFmtId="0" fontId="4" fillId="0" borderId="12" xfId="0" applyFont="1" applyBorder="1" applyAlignment="1">
      <alignment horizontal="center" vertical="center"/>
    </xf>
    <xf numFmtId="0" fontId="4" fillId="0" borderId="19" xfId="0" applyFont="1" applyBorder="1" applyAlignment="1">
      <alignment horizontal="center" vertical="center"/>
    </xf>
    <xf numFmtId="0" fontId="3" fillId="0" borderId="21" xfId="0" applyFont="1" applyBorder="1" applyAlignment="1">
      <alignment vertical="center"/>
    </xf>
    <xf numFmtId="0" fontId="3" fillId="0" borderId="22" xfId="0" applyFont="1" applyBorder="1" applyAlignment="1">
      <alignment horizontal="center" vertical="center"/>
    </xf>
    <xf numFmtId="0" fontId="2" fillId="0" borderId="8" xfId="0" applyFont="1" applyBorder="1" applyAlignment="1">
      <alignment vertical="center"/>
    </xf>
    <xf numFmtId="0" fontId="3" fillId="0" borderId="23" xfId="0" applyFont="1" applyBorder="1" applyAlignment="1">
      <alignment horizontal="center" vertical="center"/>
    </xf>
    <xf numFmtId="0" fontId="2" fillId="0" borderId="1" xfId="0" applyFont="1" applyBorder="1" applyAlignment="1">
      <alignment vertical="center"/>
    </xf>
    <xf numFmtId="0" fontId="2" fillId="0" borderId="0" xfId="0" applyFont="1" applyAlignment="1">
      <alignment horizontal="center" vertical="center"/>
    </xf>
    <xf numFmtId="0" fontId="8" fillId="0" borderId="0" xfId="0" applyFont="1" applyAlignment="1">
      <alignment horizontal="center" vertical="center"/>
    </xf>
    <xf numFmtId="0" fontId="10" fillId="0" borderId="0" xfId="0" applyFont="1" applyAlignment="1">
      <alignment horizontal="center" vertical="center"/>
    </xf>
    <xf numFmtId="0" fontId="8" fillId="0" borderId="15" xfId="0" applyFont="1" applyBorder="1" applyAlignment="1">
      <alignment horizontal="center" vertical="center"/>
    </xf>
    <xf numFmtId="0" fontId="2" fillId="6" borderId="0" xfId="0" applyFont="1" applyFill="1"/>
    <xf numFmtId="0" fontId="2" fillId="6" borderId="2" xfId="0" applyFont="1" applyFill="1" applyBorder="1"/>
    <xf numFmtId="0" fontId="2" fillId="6" borderId="15" xfId="0" applyFont="1" applyFill="1" applyBorder="1"/>
    <xf numFmtId="0" fontId="2" fillId="0" borderId="0" xfId="0" applyFont="1" applyAlignment="1">
      <alignment horizontal="left"/>
    </xf>
    <xf numFmtId="0" fontId="1" fillId="0" borderId="0" xfId="0" applyFont="1" applyAlignment="1">
      <alignment vertical="center"/>
    </xf>
    <xf numFmtId="0" fontId="0" fillId="0" borderId="0" xfId="0" applyAlignment="1">
      <alignment vertical="center"/>
    </xf>
    <xf numFmtId="0" fontId="2" fillId="11" borderId="0" xfId="0" applyFont="1" applyFill="1"/>
    <xf numFmtId="0" fontId="3" fillId="0" borderId="25" xfId="0" applyFont="1" applyBorder="1" applyAlignment="1">
      <alignment horizontal="center"/>
    </xf>
    <xf numFmtId="0" fontId="3" fillId="0" borderId="24" xfId="0" applyFont="1" applyBorder="1" applyAlignment="1">
      <alignment horizontal="center"/>
    </xf>
    <xf numFmtId="1" fontId="0" fillId="0" borderId="0" xfId="0" applyNumberFormat="1" applyAlignment="1">
      <alignment horizontal="center"/>
    </xf>
    <xf numFmtId="0" fontId="1" fillId="10" borderId="0" xfId="0" applyFont="1" applyFill="1"/>
    <xf numFmtId="0" fontId="14" fillId="0" borderId="0" xfId="0" applyFont="1" applyAlignment="1">
      <alignment horizontal="right" vertical="center"/>
    </xf>
    <xf numFmtId="0" fontId="2" fillId="9" borderId="0" xfId="0" applyFont="1" applyFill="1"/>
    <xf numFmtId="0" fontId="1" fillId="9" borderId="0" xfId="0" applyFont="1" applyFill="1"/>
    <xf numFmtId="0" fontId="0" fillId="9" borderId="0" xfId="0" applyFill="1" applyAlignment="1">
      <alignment horizontal="center"/>
    </xf>
    <xf numFmtId="0" fontId="0" fillId="9" borderId="0" xfId="0" applyFill="1" applyAlignment="1">
      <alignment horizontal="left"/>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top"/>
    </xf>
    <xf numFmtId="0" fontId="2" fillId="0" borderId="23" xfId="0" applyFont="1" applyBorder="1" applyAlignment="1">
      <alignment horizontal="center" vertical="center"/>
    </xf>
    <xf numFmtId="0" fontId="2" fillId="0" borderId="25" xfId="0" applyFont="1" applyBorder="1" applyAlignment="1">
      <alignment horizontal="center" vertical="center"/>
    </xf>
    <xf numFmtId="0" fontId="0" fillId="0" borderId="8" xfId="0" applyBorder="1"/>
    <xf numFmtId="0" fontId="0" fillId="0" borderId="23" xfId="0" applyBorder="1"/>
    <xf numFmtId="0" fontId="0" fillId="0" borderId="14" xfId="0" applyBorder="1"/>
    <xf numFmtId="0" fontId="0" fillId="0" borderId="24" xfId="0" applyBorder="1"/>
    <xf numFmtId="0" fontId="0" fillId="12" borderId="0" xfId="0" applyFill="1"/>
    <xf numFmtId="0" fontId="2" fillId="0" borderId="0" xfId="0" applyFont="1" applyAlignment="1">
      <alignment horizontal="left" vertical="center"/>
    </xf>
    <xf numFmtId="0" fontId="2" fillId="2" borderId="0" xfId="0" applyFont="1" applyFill="1" applyAlignment="1">
      <alignment horizontal="left"/>
    </xf>
    <xf numFmtId="0" fontId="3" fillId="7" borderId="0" xfId="0" applyFont="1" applyFill="1" applyAlignment="1">
      <alignment horizontal="left"/>
    </xf>
    <xf numFmtId="0" fontId="2" fillId="8" borderId="0" xfId="0" applyFont="1" applyFill="1" applyAlignment="1">
      <alignment horizontal="left"/>
    </xf>
    <xf numFmtId="0" fontId="2" fillId="13" borderId="0" xfId="0" applyFont="1" applyFill="1" applyAlignment="1">
      <alignment vertical="center"/>
    </xf>
    <xf numFmtId="0" fontId="3" fillId="13" borderId="0" xfId="0" applyFont="1" applyFill="1" applyAlignment="1">
      <alignment horizontal="center" vertical="center"/>
    </xf>
    <xf numFmtId="0" fontId="0" fillId="13" borderId="0" xfId="0" applyFill="1"/>
    <xf numFmtId="0" fontId="3" fillId="13" borderId="0" xfId="0" applyFont="1" applyFill="1" applyAlignment="1">
      <alignment vertical="center"/>
    </xf>
    <xf numFmtId="0" fontId="3" fillId="13" borderId="21" xfId="0" applyFont="1" applyFill="1" applyBorder="1" applyAlignment="1">
      <alignment vertical="center"/>
    </xf>
    <xf numFmtId="0" fontId="3" fillId="13" borderId="22" xfId="0" applyFont="1" applyFill="1" applyBorder="1" applyAlignment="1">
      <alignment horizontal="center" vertical="center"/>
    </xf>
    <xf numFmtId="0" fontId="1" fillId="13" borderId="0" xfId="0" applyFont="1" applyFill="1" applyAlignment="1">
      <alignment horizontal="center"/>
    </xf>
    <xf numFmtId="0" fontId="2" fillId="13" borderId="8" xfId="0" applyFont="1" applyFill="1" applyBorder="1" applyAlignment="1">
      <alignment vertical="center"/>
    </xf>
    <xf numFmtId="0" fontId="3" fillId="13" borderId="23" xfId="0" applyFont="1" applyFill="1" applyBorder="1" applyAlignment="1">
      <alignment horizontal="center" vertical="center"/>
    </xf>
    <xf numFmtId="1" fontId="0" fillId="13" borderId="0" xfId="0" applyNumberFormat="1" applyFill="1" applyAlignment="1">
      <alignment horizontal="center"/>
    </xf>
    <xf numFmtId="0" fontId="2" fillId="13" borderId="1" xfId="0" applyFont="1" applyFill="1" applyBorder="1" applyAlignment="1">
      <alignment vertical="center"/>
    </xf>
    <xf numFmtId="0" fontId="2" fillId="13" borderId="25" xfId="0" applyFont="1" applyFill="1" applyBorder="1" applyAlignment="1">
      <alignment horizontal="center" vertical="center"/>
    </xf>
    <xf numFmtId="0" fontId="2" fillId="13" borderId="23" xfId="0" applyFont="1" applyFill="1" applyBorder="1" applyAlignment="1">
      <alignment horizontal="center" vertical="center"/>
    </xf>
    <xf numFmtId="0" fontId="0" fillId="13" borderId="8" xfId="0" applyFill="1" applyBorder="1"/>
    <xf numFmtId="0" fontId="0" fillId="13" borderId="23" xfId="0" applyFill="1" applyBorder="1"/>
    <xf numFmtId="0" fontId="0" fillId="13" borderId="14" xfId="0" applyFill="1" applyBorder="1"/>
    <xf numFmtId="0" fontId="0" fillId="13" borderId="24" xfId="0" applyFill="1" applyBorder="1"/>
    <xf numFmtId="0" fontId="0" fillId="0" borderId="15" xfId="0" applyBorder="1" applyAlignment="1">
      <alignment horizontal="center" vertical="center"/>
    </xf>
    <xf numFmtId="0" fontId="1" fillId="0" borderId="0" xfId="0" applyFont="1" applyAlignment="1">
      <alignment horizontal="right"/>
    </xf>
    <xf numFmtId="0" fontId="1" fillId="0" borderId="0" xfId="0" applyFont="1" applyAlignment="1">
      <alignment horizontal="left"/>
    </xf>
    <xf numFmtId="0" fontId="0" fillId="14" borderId="0" xfId="0" applyFill="1"/>
    <xf numFmtId="2" fontId="0" fillId="0" borderId="0" xfId="0" applyNumberFormat="1" applyAlignment="1">
      <alignment horizontal="center"/>
    </xf>
    <xf numFmtId="0" fontId="16" fillId="0" borderId="0" xfId="0" applyFont="1" applyAlignment="1">
      <alignment vertical="center"/>
    </xf>
    <xf numFmtId="0" fontId="15" fillId="0" borderId="0" xfId="0" applyFont="1" applyAlignment="1">
      <alignment vertical="center"/>
    </xf>
    <xf numFmtId="0" fontId="0" fillId="0" borderId="0" xfId="0" applyAlignment="1">
      <alignment horizontal="right" vertical="center"/>
    </xf>
    <xf numFmtId="0" fontId="7" fillId="0" borderId="0" xfId="0" applyFont="1" applyAlignment="1">
      <alignment horizontal="right" vertical="center"/>
    </xf>
    <xf numFmtId="0" fontId="0" fillId="0" borderId="0" xfId="0" quotePrefix="1" applyAlignment="1">
      <alignment horizontal="center" vertical="center"/>
    </xf>
    <xf numFmtId="0" fontId="28" fillId="15" borderId="26" xfId="0" applyFont="1" applyFill="1" applyBorder="1" applyAlignment="1">
      <alignment horizontal="center" vertical="center"/>
    </xf>
    <xf numFmtId="0" fontId="1" fillId="6" borderId="0" xfId="0" applyFont="1" applyFill="1" applyAlignment="1">
      <alignment horizontal="left"/>
    </xf>
    <xf numFmtId="0" fontId="0" fillId="6" borderId="0" xfId="0" applyFill="1"/>
    <xf numFmtId="0" fontId="13" fillId="0" borderId="0" xfId="0" applyFont="1" applyAlignment="1">
      <alignment vertical="center"/>
    </xf>
    <xf numFmtId="0" fontId="12" fillId="0" borderId="0" xfId="0" applyFont="1" applyAlignment="1">
      <alignment vertical="top" wrapText="1"/>
    </xf>
    <xf numFmtId="0" fontId="1" fillId="0" borderId="0" xfId="0" applyFont="1" applyAlignment="1">
      <alignment horizontal="left" vertical="center"/>
    </xf>
    <xf numFmtId="0" fontId="1" fillId="0" borderId="0" xfId="0" applyFont="1" applyAlignment="1">
      <alignment horizontal="center" vertical="center"/>
    </xf>
    <xf numFmtId="0" fontId="0" fillId="3" borderId="0" xfId="0" applyFill="1" applyAlignment="1">
      <alignment horizontal="center"/>
    </xf>
    <xf numFmtId="0" fontId="16" fillId="0" borderId="0" xfId="0" applyFont="1" applyAlignment="1">
      <alignment horizontal="center"/>
    </xf>
    <xf numFmtId="0" fontId="30" fillId="0" borderId="0" xfId="0" applyFont="1" applyAlignment="1">
      <alignment horizontal="center" vertical="center" wrapText="1"/>
    </xf>
    <xf numFmtId="0" fontId="0" fillId="0" borderId="0" xfId="0" applyAlignment="1">
      <alignment horizontal="center" vertical="center" wrapText="1"/>
    </xf>
    <xf numFmtId="0" fontId="31" fillId="0" borderId="0" xfId="0" applyFont="1" applyAlignment="1">
      <alignment vertical="center"/>
    </xf>
    <xf numFmtId="0" fontId="32" fillId="0" borderId="0" xfId="0" applyFont="1" applyAlignment="1">
      <alignment horizontal="left" vertical="center"/>
    </xf>
    <xf numFmtId="0" fontId="0" fillId="17" borderId="0" xfId="0" applyFill="1"/>
    <xf numFmtId="0" fontId="33" fillId="0" borderId="0" xfId="0" applyFont="1"/>
    <xf numFmtId="0" fontId="0" fillId="0" borderId="27" xfId="0" applyBorder="1"/>
    <xf numFmtId="0" fontId="1" fillId="6" borderId="0" xfId="0" applyFont="1" applyFill="1" applyAlignment="1">
      <alignment horizontal="right"/>
    </xf>
    <xf numFmtId="0" fontId="8" fillId="0" borderId="0" xfId="0" applyFont="1" applyAlignment="1">
      <alignment horizontal="left" vertical="center"/>
    </xf>
    <xf numFmtId="0" fontId="10" fillId="0" borderId="0" xfId="0" applyFont="1" applyAlignment="1">
      <alignment horizontal="left" vertical="center"/>
    </xf>
    <xf numFmtId="0" fontId="8" fillId="0" borderId="15" xfId="0" applyFont="1" applyBorder="1" applyAlignment="1">
      <alignment horizontal="left" vertical="center"/>
    </xf>
    <xf numFmtId="0" fontId="0" fillId="0" borderId="15" xfId="0" applyBorder="1" applyAlignment="1">
      <alignment horizontal="left" vertical="center"/>
    </xf>
    <xf numFmtId="0" fontId="16" fillId="0" borderId="0" xfId="0" applyFont="1" applyAlignment="1">
      <alignment horizontal="left"/>
    </xf>
    <xf numFmtId="0" fontId="30" fillId="0" borderId="0" xfId="0" applyFont="1" applyAlignment="1">
      <alignment horizontal="left" vertical="center"/>
    </xf>
    <xf numFmtId="1" fontId="0" fillId="0" borderId="0" xfId="0" applyNumberFormat="1" applyAlignment="1">
      <alignment horizontal="left" vertical="center"/>
    </xf>
    <xf numFmtId="164" fontId="0" fillId="0" borderId="0" xfId="0" applyNumberFormat="1" applyAlignment="1">
      <alignment horizontal="left" vertical="center"/>
    </xf>
    <xf numFmtId="0" fontId="30" fillId="0" borderId="0" xfId="0" applyFont="1"/>
    <xf numFmtId="0" fontId="30" fillId="17" borderId="27" xfId="0" applyFont="1" applyFill="1" applyBorder="1"/>
    <xf numFmtId="0" fontId="30" fillId="0" borderId="0" xfId="0" applyFont="1" applyAlignment="1">
      <alignment horizontal="left"/>
    </xf>
    <xf numFmtId="0" fontId="1" fillId="15" borderId="0" xfId="0" applyFont="1" applyFill="1" applyAlignment="1">
      <alignment horizontal="left"/>
    </xf>
    <xf numFmtId="0" fontId="30" fillId="15" borderId="0" xfId="0" applyFont="1" applyFill="1" applyAlignment="1">
      <alignment horizontal="left"/>
    </xf>
    <xf numFmtId="0" fontId="30" fillId="15" borderId="0" xfId="0" applyFont="1" applyFill="1"/>
    <xf numFmtId="1" fontId="0" fillId="19" borderId="0" xfId="0" applyNumberFormat="1" applyFill="1" applyAlignment="1">
      <alignment horizontal="center"/>
    </xf>
    <xf numFmtId="2" fontId="0" fillId="0" borderId="0" xfId="0" quotePrefix="1" applyNumberFormat="1" applyAlignment="1">
      <alignment horizontal="center"/>
    </xf>
    <xf numFmtId="0" fontId="4" fillId="0" borderId="30" xfId="0" applyFont="1" applyBorder="1" applyAlignment="1">
      <alignment horizontal="center" vertical="center"/>
    </xf>
    <xf numFmtId="0" fontId="4" fillId="0" borderId="31" xfId="0" applyFont="1" applyBorder="1" applyAlignment="1">
      <alignment horizontal="center" vertical="center"/>
    </xf>
    <xf numFmtId="0" fontId="4" fillId="0" borderId="32" xfId="0" applyFont="1" applyBorder="1" applyAlignment="1">
      <alignment horizontal="center" vertical="center"/>
    </xf>
    <xf numFmtId="0" fontId="5" fillId="0" borderId="33" xfId="0" applyFont="1" applyBorder="1" applyAlignment="1">
      <alignment horizontal="center" vertical="center"/>
    </xf>
    <xf numFmtId="0" fontId="5" fillId="0" borderId="31" xfId="0" applyFont="1" applyBorder="1" applyAlignment="1">
      <alignment horizontal="center" vertical="center"/>
    </xf>
    <xf numFmtId="0" fontId="5" fillId="0" borderId="34" xfId="0" applyFont="1" applyBorder="1" applyAlignment="1">
      <alignment horizontal="center" vertical="center"/>
    </xf>
    <xf numFmtId="165" fontId="0" fillId="0" borderId="0" xfId="0" applyNumberFormat="1"/>
    <xf numFmtId="0" fontId="38" fillId="0" borderId="0" xfId="0" applyFont="1"/>
    <xf numFmtId="0" fontId="0" fillId="23" borderId="0" xfId="0" applyFill="1"/>
    <xf numFmtId="0" fontId="0" fillId="24" borderId="0" xfId="0" applyFill="1"/>
    <xf numFmtId="0" fontId="0" fillId="10" borderId="0" xfId="0" applyFill="1"/>
    <xf numFmtId="0" fontId="1" fillId="12" borderId="0" xfId="0" applyFont="1" applyFill="1" applyAlignment="1">
      <alignment horizontal="left"/>
    </xf>
    <xf numFmtId="2" fontId="39" fillId="0" borderId="0" xfId="0" applyNumberFormat="1" applyFont="1" applyAlignment="1">
      <alignment horizontal="left"/>
    </xf>
    <xf numFmtId="0" fontId="2" fillId="10" borderId="1" xfId="0" applyFont="1" applyFill="1" applyBorder="1" applyAlignment="1">
      <alignment horizontal="right"/>
    </xf>
    <xf numFmtId="0" fontId="2" fillId="10" borderId="8" xfId="0" applyFont="1" applyFill="1" applyBorder="1" applyAlignment="1">
      <alignment horizontal="right"/>
    </xf>
    <xf numFmtId="0" fontId="2" fillId="10" borderId="14" xfId="0" applyFont="1" applyFill="1" applyBorder="1" applyAlignment="1">
      <alignment horizontal="right"/>
    </xf>
    <xf numFmtId="0" fontId="36" fillId="16" borderId="28" xfId="0" applyFont="1" applyFill="1" applyBorder="1" applyAlignment="1">
      <alignment horizontal="center" vertical="center" wrapText="1"/>
    </xf>
    <xf numFmtId="0" fontId="40" fillId="0" borderId="28" xfId="0" applyFont="1" applyBorder="1" applyAlignment="1">
      <alignment horizontal="center" vertical="center" wrapText="1"/>
    </xf>
    <xf numFmtId="0" fontId="9" fillId="15" borderId="28" xfId="0" applyFont="1" applyFill="1" applyBorder="1" applyAlignment="1">
      <alignment horizontal="center" vertical="center" wrapText="1"/>
    </xf>
    <xf numFmtId="0" fontId="41" fillId="0" borderId="0" xfId="0" applyFont="1" applyAlignment="1">
      <alignment horizontal="right" vertical="center"/>
    </xf>
    <xf numFmtId="0" fontId="12" fillId="0" borderId="0" xfId="0" applyFont="1" applyAlignment="1">
      <alignment horizontal="right"/>
    </xf>
    <xf numFmtId="0" fontId="5" fillId="3" borderId="26" xfId="0" applyFont="1" applyFill="1" applyBorder="1" applyAlignment="1">
      <alignment horizontal="center" vertical="center"/>
    </xf>
    <xf numFmtId="0" fontId="5" fillId="2" borderId="26" xfId="0" applyFont="1" applyFill="1" applyBorder="1" applyAlignment="1">
      <alignment horizontal="center" vertical="center"/>
    </xf>
    <xf numFmtId="0" fontId="5" fillId="5" borderId="26" xfId="0" applyFont="1" applyFill="1" applyBorder="1" applyAlignment="1">
      <alignment horizontal="center" vertical="center"/>
    </xf>
    <xf numFmtId="0" fontId="5" fillId="0" borderId="26" xfId="0" applyFont="1" applyBorder="1" applyAlignment="1">
      <alignment horizontal="center" vertical="center"/>
    </xf>
    <xf numFmtId="0" fontId="5" fillId="25" borderId="26" xfId="0" applyFont="1" applyFill="1" applyBorder="1" applyAlignment="1">
      <alignment horizontal="center" vertical="center"/>
    </xf>
    <xf numFmtId="0" fontId="5" fillId="22" borderId="26" xfId="0" applyFont="1" applyFill="1" applyBorder="1" applyAlignment="1">
      <alignment horizontal="center" vertical="center"/>
    </xf>
    <xf numFmtId="0" fontId="5" fillId="26" borderId="26" xfId="0" applyFont="1" applyFill="1" applyBorder="1" applyAlignment="1">
      <alignment horizontal="center" vertical="center"/>
    </xf>
    <xf numFmtId="0" fontId="12" fillId="0" borderId="0" xfId="0" applyFont="1" applyAlignment="1">
      <alignment horizontal="right" vertical="center"/>
    </xf>
    <xf numFmtId="0" fontId="29" fillId="0" borderId="0" xfId="0" applyFont="1" applyAlignment="1">
      <alignment horizontal="right" vertical="center"/>
    </xf>
    <xf numFmtId="0" fontId="0" fillId="0" borderId="27" xfId="0" applyBorder="1" applyAlignment="1">
      <alignment horizontal="center" vertical="center"/>
    </xf>
    <xf numFmtId="164" fontId="0" fillId="0" borderId="27" xfId="0" applyNumberFormat="1" applyBorder="1" applyAlignment="1">
      <alignment horizontal="center" vertical="center"/>
    </xf>
    <xf numFmtId="0" fontId="11" fillId="0" borderId="0" xfId="0" applyFont="1"/>
    <xf numFmtId="0" fontId="0" fillId="10" borderId="0" xfId="0" applyFill="1" applyAlignment="1">
      <alignment horizontal="center"/>
    </xf>
    <xf numFmtId="0" fontId="31" fillId="0" borderId="0" xfId="0" applyFont="1" applyAlignment="1">
      <alignment horizontal="center" vertical="center"/>
    </xf>
    <xf numFmtId="0" fontId="31" fillId="0" borderId="0" xfId="0" applyFont="1" applyAlignment="1">
      <alignment horizontal="right" vertical="center"/>
    </xf>
    <xf numFmtId="0" fontId="42" fillId="0" borderId="0" xfId="0" applyFont="1" applyAlignment="1">
      <alignment horizontal="center" vertical="center"/>
    </xf>
    <xf numFmtId="0" fontId="43" fillId="0" borderId="0" xfId="0" applyFont="1" applyAlignment="1">
      <alignment horizontal="center" vertical="center"/>
    </xf>
    <xf numFmtId="0" fontId="0" fillId="0" borderId="2" xfId="0" applyBorder="1"/>
    <xf numFmtId="0" fontId="29" fillId="0" borderId="2" xfId="0" applyFont="1" applyBorder="1" applyAlignment="1">
      <alignment horizontal="center" vertical="center" wrapText="1"/>
    </xf>
    <xf numFmtId="0" fontId="29" fillId="0" borderId="0" xfId="0" applyFont="1" applyAlignment="1">
      <alignment horizontal="center" vertical="center" wrapText="1"/>
    </xf>
    <xf numFmtId="0" fontId="0" fillId="0" borderId="0" xfId="0" applyAlignment="1">
      <alignment horizontal="center" vertical="center"/>
    </xf>
    <xf numFmtId="0" fontId="17" fillId="0" borderId="0" xfId="0" applyFont="1" applyAlignment="1">
      <alignment horizontal="center" vertical="center"/>
    </xf>
    <xf numFmtId="0" fontId="0" fillId="0" borderId="0" xfId="0" applyAlignment="1">
      <alignment horizontal="justify" vertical="center" wrapText="1"/>
    </xf>
    <xf numFmtId="0" fontId="16" fillId="0" borderId="0" xfId="0" applyFont="1" applyAlignment="1">
      <alignment horizontal="center"/>
    </xf>
    <xf numFmtId="0" fontId="2" fillId="0" borderId="0" xfId="0" applyFont="1" applyAlignment="1">
      <alignment horizontal="right" vertical="center"/>
    </xf>
    <xf numFmtId="0" fontId="9" fillId="0" borderId="15" xfId="0" applyFont="1" applyBorder="1" applyAlignment="1">
      <alignment horizontal="right" vertical="center"/>
    </xf>
    <xf numFmtId="0" fontId="6" fillId="0" borderId="0" xfId="0" applyFont="1" applyAlignment="1">
      <alignment horizontal="right" vertical="center"/>
    </xf>
    <xf numFmtId="0" fontId="9" fillId="0" borderId="0" xfId="0" applyFont="1" applyAlignment="1">
      <alignment horizontal="right" vertical="center"/>
    </xf>
    <xf numFmtId="0" fontId="34" fillId="18" borderId="21" xfId="0" applyFont="1" applyFill="1" applyBorder="1" applyAlignment="1">
      <alignment horizontal="center" vertical="top" wrapText="1"/>
    </xf>
    <xf numFmtId="0" fontId="34" fillId="18" borderId="29" xfId="0" applyFont="1" applyFill="1" applyBorder="1" applyAlignment="1">
      <alignment horizontal="center" vertical="top" wrapText="1"/>
    </xf>
    <xf numFmtId="0" fontId="34" fillId="18" borderId="22" xfId="0" applyFont="1" applyFill="1" applyBorder="1" applyAlignment="1">
      <alignment horizontal="center" vertical="top" wrapText="1"/>
    </xf>
    <xf numFmtId="0" fontId="34" fillId="22" borderId="21" xfId="0" applyFont="1" applyFill="1" applyBorder="1" applyAlignment="1">
      <alignment horizontal="center" vertical="top" wrapText="1"/>
    </xf>
    <xf numFmtId="0" fontId="34" fillId="22" borderId="29" xfId="0" applyFont="1" applyFill="1" applyBorder="1" applyAlignment="1">
      <alignment horizontal="center" vertical="top" wrapText="1"/>
    </xf>
    <xf numFmtId="0" fontId="34" fillId="22" borderId="22" xfId="0" applyFont="1" applyFill="1" applyBorder="1" applyAlignment="1">
      <alignment horizontal="center" vertical="top" wrapText="1"/>
    </xf>
    <xf numFmtId="0" fontId="37" fillId="0" borderId="8" xfId="0" applyFont="1" applyBorder="1" applyAlignment="1">
      <alignment horizontal="center" vertical="top" wrapText="1"/>
    </xf>
    <xf numFmtId="0" fontId="37" fillId="0" borderId="0" xfId="0" applyFont="1" applyAlignment="1">
      <alignment horizontal="center" vertical="top" wrapText="1"/>
    </xf>
    <xf numFmtId="0" fontId="37" fillId="0" borderId="23" xfId="0" applyFont="1" applyBorder="1" applyAlignment="1">
      <alignment horizontal="center" vertical="top" wrapText="1"/>
    </xf>
    <xf numFmtId="0" fontId="37" fillId="0" borderId="1" xfId="0" applyFont="1" applyBorder="1" applyAlignment="1">
      <alignment horizontal="center" vertical="top" wrapText="1"/>
    </xf>
    <xf numFmtId="0" fontId="37" fillId="0" borderId="2" xfId="0" applyFont="1" applyBorder="1" applyAlignment="1">
      <alignment horizontal="center" vertical="top" wrapText="1"/>
    </xf>
    <xf numFmtId="0" fontId="37" fillId="0" borderId="25" xfId="0" applyFont="1" applyBorder="1" applyAlignment="1">
      <alignment horizontal="center" vertical="top" wrapText="1"/>
    </xf>
    <xf numFmtId="0" fontId="37" fillId="0" borderId="14" xfId="0" applyFont="1" applyBorder="1" applyAlignment="1">
      <alignment horizontal="center" vertical="top" wrapText="1"/>
    </xf>
    <xf numFmtId="0" fontId="37" fillId="0" borderId="15" xfId="0" applyFont="1" applyBorder="1" applyAlignment="1">
      <alignment horizontal="center" vertical="top" wrapText="1"/>
    </xf>
    <xf numFmtId="0" fontId="37" fillId="0" borderId="24" xfId="0" applyFont="1" applyBorder="1" applyAlignment="1">
      <alignment horizontal="center" vertical="top" wrapText="1"/>
    </xf>
    <xf numFmtId="0" fontId="11" fillId="0" borderId="0" xfId="0" applyFont="1" applyAlignment="1">
      <alignment horizontal="center" vertical="center"/>
    </xf>
    <xf numFmtId="0" fontId="1" fillId="0" borderId="0" xfId="0" applyFont="1" applyAlignment="1">
      <alignment horizontal="right" vertical="center"/>
    </xf>
    <xf numFmtId="0" fontId="36" fillId="20" borderId="21" xfId="0" applyFont="1" applyFill="1" applyBorder="1" applyAlignment="1">
      <alignment horizontal="center" vertical="top" wrapText="1"/>
    </xf>
    <xf numFmtId="0" fontId="36" fillId="20" borderId="29" xfId="0" applyFont="1" applyFill="1" applyBorder="1" applyAlignment="1">
      <alignment horizontal="center" vertical="top" wrapText="1"/>
    </xf>
    <xf numFmtId="0" fontId="36" fillId="20" borderId="22" xfId="0" applyFont="1" applyFill="1" applyBorder="1" applyAlignment="1">
      <alignment horizontal="center" vertical="top" wrapText="1"/>
    </xf>
    <xf numFmtId="0" fontId="36" fillId="21" borderId="21" xfId="0" applyFont="1" applyFill="1" applyBorder="1" applyAlignment="1">
      <alignment horizontal="center" vertical="top" wrapText="1"/>
    </xf>
    <xf numFmtId="0" fontId="36" fillId="21" borderId="29" xfId="0" applyFont="1" applyFill="1" applyBorder="1" applyAlignment="1">
      <alignment horizontal="center" vertical="top" wrapText="1"/>
    </xf>
    <xf numFmtId="0" fontId="36" fillId="21" borderId="22" xfId="0" applyFont="1" applyFill="1" applyBorder="1" applyAlignment="1">
      <alignment horizontal="center" vertical="top" wrapText="1"/>
    </xf>
    <xf numFmtId="0" fontId="44" fillId="0" borderId="0" xfId="0" applyFont="1" applyAlignment="1">
      <alignment horizontal="right" vertical="center"/>
    </xf>
    <xf numFmtId="2" fontId="31" fillId="0" borderId="0" xfId="0" applyNumberFormat="1" applyFont="1" applyAlignment="1">
      <alignment horizontal="left" vertical="center"/>
    </xf>
    <xf numFmtId="0" fontId="35" fillId="0" borderId="0" xfId="0" applyFont="1" applyAlignment="1">
      <alignment horizontal="center"/>
    </xf>
    <xf numFmtId="0" fontId="11" fillId="0" borderId="0" xfId="0" applyFont="1" applyAlignment="1">
      <alignment horizontal="center" vertical="top"/>
    </xf>
    <xf numFmtId="0" fontId="1" fillId="0" borderId="35" xfId="0" applyFont="1" applyBorder="1" applyAlignment="1">
      <alignment horizontal="center" vertical="center"/>
    </xf>
    <xf numFmtId="0" fontId="12" fillId="0" borderId="0" xfId="0" applyFont="1" applyAlignment="1">
      <alignment horizontal="right"/>
    </xf>
    <xf numFmtId="0" fontId="29" fillId="0" borderId="0" xfId="0" applyFont="1" applyAlignment="1">
      <alignment horizontal="right" vertical="center"/>
    </xf>
    <xf numFmtId="0" fontId="3" fillId="0" borderId="0" xfId="0" applyFont="1" applyAlignment="1">
      <alignment horizontal="right" vertical="center"/>
    </xf>
    <xf numFmtId="164" fontId="46" fillId="27" borderId="36" xfId="0" applyNumberFormat="1" applyFont="1" applyFill="1" applyBorder="1" applyAlignment="1">
      <alignment horizontal="center"/>
    </xf>
    <xf numFmtId="164" fontId="46" fillId="27" borderId="37" xfId="0" applyNumberFormat="1" applyFont="1" applyFill="1" applyBorder="1" applyAlignment="1">
      <alignment horizontal="center"/>
    </xf>
    <xf numFmtId="1" fontId="45" fillId="28" borderId="0" xfId="0" applyNumberFormat="1" applyFont="1" applyFill="1" applyBorder="1" applyAlignment="1">
      <alignment horizontal="center"/>
    </xf>
    <xf numFmtId="1" fontId="45" fillId="28" borderId="38" xfId="0" applyNumberFormat="1" applyFont="1" applyFill="1" applyBorder="1" applyAlignment="1">
      <alignment horizontal="center"/>
    </xf>
    <xf numFmtId="0" fontId="45" fillId="28" borderId="40" xfId="0" applyFont="1" applyFill="1" applyBorder="1"/>
    <xf numFmtId="0" fontId="49" fillId="29" borderId="39" xfId="0" applyFont="1" applyFill="1" applyBorder="1" applyAlignment="1">
      <alignment horizontal="left"/>
    </xf>
    <xf numFmtId="0" fontId="48" fillId="28" borderId="41" xfId="0" applyFont="1" applyFill="1" applyBorder="1"/>
    <xf numFmtId="1" fontId="48" fillId="30" borderId="42" xfId="0" applyNumberFormat="1" applyFont="1" applyFill="1" applyBorder="1" applyAlignment="1">
      <alignment horizontal="center"/>
    </xf>
    <xf numFmtId="0" fontId="50" fillId="31" borderId="43" xfId="0" applyFont="1" applyFill="1" applyBorder="1"/>
    <xf numFmtId="0" fontId="50" fillId="31" borderId="44" xfId="0" applyFont="1" applyFill="1" applyBorder="1"/>
    <xf numFmtId="0" fontId="50" fillId="31" borderId="47" xfId="0" applyFont="1" applyFill="1" applyBorder="1"/>
    <xf numFmtId="0" fontId="50" fillId="31" borderId="48" xfId="0" applyFont="1" applyFill="1" applyBorder="1"/>
    <xf numFmtId="0" fontId="49" fillId="32" borderId="45" xfId="0" applyFont="1" applyFill="1" applyBorder="1"/>
    <xf numFmtId="0" fontId="49" fillId="33" borderId="46" xfId="0" applyFont="1" applyFill="1" applyBorder="1" applyAlignment="1">
      <alignment wrapText="1"/>
    </xf>
  </cellXfs>
  <cellStyles count="1">
    <cellStyle name="Normal" xfId="0" builtinId="0"/>
  </cellStyles>
  <dxfs count="1">
    <dxf>
      <fill>
        <patternFill>
          <bgColor rgb="FFFFC000"/>
        </patternFill>
      </fill>
    </dxf>
  </dxfs>
  <tableStyles count="0" defaultTableStyle="TableStyleMedium2" defaultPivotStyle="PivotStyleLight16"/>
  <colors>
    <mruColors>
      <color rgb="FFFFFFCC"/>
      <color rgb="FFA8C313"/>
      <color rgb="FF006600"/>
      <color rgb="FFA8C365"/>
      <color rgb="FFFFE848"/>
      <color rgb="FF073B59"/>
      <color rgb="FFFF6A13"/>
      <color rgb="FF929292"/>
      <color rgb="FF92D05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dLbls>
            <c:dLbl>
              <c:idx val="0"/>
              <c:layout>
                <c:manualLayout>
                  <c:x val="-0.1262557146112151"/>
                  <c:y val="3.6163308593978878E-2"/>
                </c:manualLayout>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0-00F0-DE45-AAF7-0C3B384AF3B4}"/>
                </c:ext>
              </c:extLst>
            </c:dLbl>
            <c:dLbl>
              <c:idx val="1"/>
              <c:layout>
                <c:manualLayout>
                  <c:x val="-6.6465962521468802E-2"/>
                  <c:y val="-3.3014038923630508E-2"/>
                </c:manualLayout>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00F0-DE45-AAF7-0C3B384AF3B4}"/>
                </c:ext>
              </c:extLst>
            </c:dLbl>
            <c:dLbl>
              <c:idx val="2"/>
              <c:layout>
                <c:manualLayout>
                  <c:x val="-5.5936076076083689E-2"/>
                  <c:y val="-3.294573643410853E-2"/>
                </c:manualLayout>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00F0-DE45-AAF7-0C3B384AF3B4}"/>
                </c:ext>
              </c:extLst>
            </c:dLbl>
            <c:dLbl>
              <c:idx val="3"/>
              <c:layout>
                <c:manualLayout>
                  <c:x val="-0.12968968296871944"/>
                  <c:y val="-4.2182282531534651E-2"/>
                </c:manualLayout>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00F0-DE45-AAF7-0C3B384AF3B4}"/>
                </c:ext>
              </c:extLst>
            </c:dLbl>
            <c:dLbl>
              <c:idx val="4"/>
              <c:layout>
                <c:manualLayout>
                  <c:x val="-7.0992155579418764E-2"/>
                  <c:y val="-2.5842409986876889E-2"/>
                </c:manualLayout>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00F0-DE45-AAF7-0C3B384AF3B4}"/>
                </c:ext>
              </c:extLst>
            </c:dLbl>
            <c:dLbl>
              <c:idx val="5"/>
              <c:layout>
                <c:manualLayout>
                  <c:x val="-7.1826026860558431E-2"/>
                  <c:y val="2.608523955324234E-2"/>
                </c:manualLayout>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00F0-DE45-AAF7-0C3B384AF3B4}"/>
                </c:ext>
              </c:extLst>
            </c:dLbl>
            <c:dLbl>
              <c:idx val="6"/>
              <c:layout>
                <c:manualLayout>
                  <c:x val="7.6192688744122633E-2"/>
                  <c:y val="-1.5777116739975915E-2"/>
                </c:manualLayout>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00F0-DE45-AAF7-0C3B384AF3B4}"/>
                </c:ext>
              </c:extLst>
            </c:dLbl>
            <c:dLbl>
              <c:idx val="7"/>
              <c:layout>
                <c:manualLayout>
                  <c:x val="-0.15872408839066721"/>
                  <c:y val="1.3634223634067584E-2"/>
                </c:manualLayout>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00F0-DE45-AAF7-0C3B384AF3B4}"/>
                </c:ext>
              </c:extLst>
            </c:dLbl>
            <c:dLbl>
              <c:idx val="8"/>
              <c:layout>
                <c:manualLayout>
                  <c:x val="-7.9610318243930209E-2"/>
                  <c:y val="4.4710295750458658E-2"/>
                </c:manualLayout>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00F0-DE45-AAF7-0C3B384AF3B4}"/>
                </c:ext>
              </c:extLst>
            </c:dLbl>
            <c:dLbl>
              <c:idx val="9"/>
              <c:layout>
                <c:manualLayout>
                  <c:x val="-0.15101269707869508"/>
                  <c:y val="3.7889100393337018E-2"/>
                </c:manualLayout>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00F0-DE45-AAF7-0C3B384AF3B4}"/>
                </c:ext>
              </c:extLst>
            </c:dLbl>
            <c:dLbl>
              <c:idx val="10"/>
              <c:layout>
                <c:manualLayout>
                  <c:x val="-7.6440835145393501E-2"/>
                  <c:y val="3.2902301092675203E-2"/>
                </c:manualLayout>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A-00F0-DE45-AAF7-0C3B384AF3B4}"/>
                </c:ext>
              </c:extLst>
            </c:dLbl>
            <c:dLbl>
              <c:idx val="11"/>
              <c:layout>
                <c:manualLayout>
                  <c:x val="-0.12359049406006398"/>
                  <c:y val="-1.672373786520184E-2"/>
                </c:manualLayout>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B-00F0-DE45-AAF7-0C3B384AF3B4}"/>
                </c:ext>
              </c:extLst>
            </c:dLbl>
            <c:dLbl>
              <c:idx val="12"/>
              <c:layout>
                <c:manualLayout>
                  <c:x val="-7.83006674341956E-2"/>
                  <c:y val="-2.1761279409918614E-2"/>
                </c:manualLayout>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C-00F0-DE45-AAF7-0C3B384AF3B4}"/>
                </c:ext>
              </c:extLst>
            </c:dLbl>
            <c:dLbl>
              <c:idx val="13"/>
              <c:layout>
                <c:manualLayout>
                  <c:x val="-0.11315593914665752"/>
                  <c:y val="-1.1585032960597761E-2"/>
                </c:manualLayout>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D-00F0-DE45-AAF7-0C3B384AF3B4}"/>
                </c:ext>
              </c:extLst>
            </c:dLbl>
            <c:dLbl>
              <c:idx val="14"/>
              <c:layout>
                <c:manualLayout>
                  <c:x val="1.1187215215216727E-2"/>
                  <c:y val="-3.4883720930232558E-2"/>
                </c:manualLayout>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E-00F0-DE45-AAF7-0C3B384AF3B4}"/>
                </c:ext>
              </c:extLst>
            </c:dLbl>
            <c:dLbl>
              <c:idx val="15"/>
              <c:layout>
                <c:manualLayout>
                  <c:x val="2.1719192477487798E-3"/>
                  <c:y val="-3.2423992511945936E-2"/>
                </c:manualLayout>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F-00F0-DE45-AAF7-0C3B384AF3B4}"/>
                </c:ext>
              </c:extLst>
            </c:dLbl>
            <c:dLbl>
              <c:idx val="16"/>
              <c:layout>
                <c:manualLayout>
                  <c:x val="-2.9172559618708856E-2"/>
                  <c:y val="2.8548123369254014E-2"/>
                </c:manualLayout>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0-00F0-DE45-AAF7-0C3B384AF3B4}"/>
                </c:ext>
              </c:extLst>
            </c:dLbl>
            <c:dLbl>
              <c:idx val="17"/>
              <c:layout>
                <c:manualLayout>
                  <c:x val="1.4383562419564363E-2"/>
                  <c:y val="1.937984496124031E-2"/>
                </c:manualLayout>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1-00F0-DE45-AAF7-0C3B384AF3B4}"/>
                </c:ext>
              </c:extLst>
            </c:dLbl>
            <c:dLbl>
              <c:idx val="18"/>
              <c:layout>
                <c:manualLayout>
                  <c:x val="1.7921490857182382E-2"/>
                  <c:y val="-3.0115179032426373E-2"/>
                </c:manualLayout>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2-00F0-DE45-AAF7-0C3B384AF3B4}"/>
                </c:ext>
              </c:extLst>
            </c:dLbl>
            <c:dLbl>
              <c:idx val="19"/>
              <c:layout>
                <c:manualLayout>
                  <c:x val="-7.7851593389655582E-2"/>
                  <c:y val="3.0051146188709445E-2"/>
                </c:manualLayout>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3-00F0-DE45-AAF7-0C3B384AF3B4}"/>
                </c:ext>
              </c:extLst>
            </c:dLbl>
            <c:dLbl>
              <c:idx val="20"/>
              <c:layout>
                <c:manualLayout>
                  <c:x val="-8.1304198256720472E-2"/>
                  <c:y val="-3.4610461899755258E-2"/>
                </c:manualLayout>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14-00F0-DE45-AAF7-0C3B384AF3B4}"/>
                </c:ext>
              </c:extLst>
            </c:dLbl>
            <c:dLbl>
              <c:idx val="21"/>
              <c:layout>
                <c:manualLayout>
                  <c:x val="-5.7502052646987392E-2"/>
                  <c:y val="-4.1674803957315668E-2"/>
                </c:manualLayout>
              </c:layout>
              <c:tx>
                <c:rich>
                  <a:bodyPr/>
                  <a:lstStyle/>
                  <a:p>
                    <a:fld id="{5091B610-FDA0-FB47-9741-05519369934D}" type="CELLRANGE">
                      <a:rPr lang="en-US"/>
                      <a:pPr/>
                      <a:t>[CELLRANGE]</a:t>
                    </a:fld>
                    <a:endParaRPr lang="es-MX"/>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00F0-DE45-AAF7-0C3B384AF3B4}"/>
                </c:ext>
              </c:extLst>
            </c:dLbl>
            <c:dLbl>
              <c:idx val="22"/>
              <c:tx>
                <c:rich>
                  <a:bodyPr/>
                  <a:lstStyle/>
                  <a:p>
                    <a:endParaRPr lang="es-MX"/>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00F0-DE45-AAF7-0C3B384AF3B4}"/>
                </c:ext>
              </c:extLst>
            </c:dLbl>
            <c:dLbl>
              <c:idx val="23"/>
              <c:tx>
                <c:rich>
                  <a:bodyPr/>
                  <a:lstStyle/>
                  <a:p>
                    <a:endParaRPr lang="es-MX"/>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00F0-DE45-AAF7-0C3B384AF3B4}"/>
                </c:ext>
              </c:extLst>
            </c:dLbl>
            <c:dLbl>
              <c:idx val="24"/>
              <c:tx>
                <c:rich>
                  <a:bodyPr/>
                  <a:lstStyle/>
                  <a:p>
                    <a:endParaRPr lang="es-MX"/>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00F0-DE45-AAF7-0C3B384AF3B4}"/>
                </c:ext>
              </c:extLst>
            </c:dLbl>
            <c:dLbl>
              <c:idx val="25"/>
              <c:tx>
                <c:rich>
                  <a:bodyPr/>
                  <a:lstStyle/>
                  <a:p>
                    <a:endParaRPr lang="es-MX"/>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00F0-DE45-AAF7-0C3B384AF3B4}"/>
                </c:ext>
              </c:extLst>
            </c:dLbl>
            <c:dLbl>
              <c:idx val="26"/>
              <c:tx>
                <c:rich>
                  <a:bodyPr/>
                  <a:lstStyle/>
                  <a:p>
                    <a:endParaRPr lang="es-MX"/>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00F0-DE45-AAF7-0C3B384AF3B4}"/>
                </c:ext>
              </c:extLst>
            </c:dLbl>
            <c:dLbl>
              <c:idx val="27"/>
              <c:tx>
                <c:rich>
                  <a:bodyPr/>
                  <a:lstStyle/>
                  <a:p>
                    <a:endParaRPr lang="es-MX"/>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00F0-DE45-AAF7-0C3B384AF3B4}"/>
                </c:ext>
              </c:extLst>
            </c:dLbl>
            <c:dLbl>
              <c:idx val="28"/>
              <c:tx>
                <c:rich>
                  <a:bodyPr/>
                  <a:lstStyle/>
                  <a:p>
                    <a:endParaRPr lang="es-MX"/>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00F0-DE45-AAF7-0C3B384AF3B4}"/>
                </c:ext>
              </c:extLst>
            </c:dLbl>
            <c:dLbl>
              <c:idx val="29"/>
              <c:tx>
                <c:rich>
                  <a:bodyPr/>
                  <a:lstStyle/>
                  <a:p>
                    <a:endParaRPr lang="es-MX"/>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00F0-DE45-AAF7-0C3B384AF3B4}"/>
                </c:ext>
              </c:extLst>
            </c:dLbl>
            <c:dLbl>
              <c:idx val="30"/>
              <c:tx>
                <c:rich>
                  <a:bodyPr/>
                  <a:lstStyle/>
                  <a:p>
                    <a:endParaRPr lang="es-MX"/>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00F0-DE45-AAF7-0C3B384AF3B4}"/>
                </c:ext>
              </c:extLst>
            </c:dLbl>
            <c:dLbl>
              <c:idx val="31"/>
              <c:tx>
                <c:rich>
                  <a:bodyPr/>
                  <a:lstStyle/>
                  <a:p>
                    <a:endParaRPr lang="es-MX"/>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00F0-DE45-AAF7-0C3B384AF3B4}"/>
                </c:ext>
              </c:extLst>
            </c:dLbl>
            <c:dLbl>
              <c:idx val="32"/>
              <c:tx>
                <c:rich>
                  <a:bodyPr/>
                  <a:lstStyle/>
                  <a:p>
                    <a:endParaRPr lang="es-MX"/>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00F0-DE45-AAF7-0C3B384AF3B4}"/>
                </c:ext>
              </c:extLst>
            </c:dLbl>
            <c:dLbl>
              <c:idx val="33"/>
              <c:tx>
                <c:rich>
                  <a:bodyPr/>
                  <a:lstStyle/>
                  <a:p>
                    <a:endParaRPr lang="es-MX"/>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00F0-DE45-AAF7-0C3B384AF3B4}"/>
                </c:ext>
              </c:extLst>
            </c:dLbl>
            <c:dLbl>
              <c:idx val="34"/>
              <c:tx>
                <c:rich>
                  <a:bodyPr/>
                  <a:lstStyle/>
                  <a:p>
                    <a:endParaRPr lang="es-MX"/>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00F0-DE45-AAF7-0C3B384AF3B4}"/>
                </c:ext>
              </c:extLst>
            </c:dLbl>
            <c:dLbl>
              <c:idx val="35"/>
              <c:tx>
                <c:rich>
                  <a:bodyPr/>
                  <a:lstStyle/>
                  <a:p>
                    <a:endParaRPr lang="es-MX"/>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00F0-DE45-AAF7-0C3B384AF3B4}"/>
                </c:ext>
              </c:extLst>
            </c:dLbl>
            <c:dLbl>
              <c:idx val="36"/>
              <c:tx>
                <c:rich>
                  <a:bodyPr/>
                  <a:lstStyle/>
                  <a:p>
                    <a:endParaRPr lang="es-MX"/>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00F0-DE45-AAF7-0C3B384AF3B4}"/>
                </c:ext>
              </c:extLst>
            </c:dLbl>
            <c:dLbl>
              <c:idx val="37"/>
              <c:tx>
                <c:rich>
                  <a:bodyPr/>
                  <a:lstStyle/>
                  <a:p>
                    <a:endParaRPr lang="es-MX"/>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00F0-DE45-AAF7-0C3B384AF3B4}"/>
                </c:ext>
              </c:extLst>
            </c:dLbl>
            <c:dLbl>
              <c:idx val="38"/>
              <c:tx>
                <c:rich>
                  <a:bodyPr/>
                  <a:lstStyle/>
                  <a:p>
                    <a:endParaRPr lang="es-MX"/>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00F0-DE45-AAF7-0C3B384AF3B4}"/>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Liderazgo!$G$16:$G$54</c:f>
              <c:numCache>
                <c:formatCode>General</c:formatCode>
                <c:ptCount val="39"/>
              </c:numCache>
            </c:numRef>
          </c:xVal>
          <c:yVal>
            <c:numRef>
              <c:f>Liderazgo!$F$16:$F$54</c:f>
              <c:numCache>
                <c:formatCode>General</c:formatCode>
                <c:ptCount val="39"/>
              </c:numCache>
            </c:numRef>
          </c:yVal>
          <c:smooth val="0"/>
          <c:extLst>
            <c:ext xmlns:c15="http://schemas.microsoft.com/office/drawing/2012/chart" uri="{02D57815-91ED-43cb-92C2-25804820EDAC}">
              <c15:datalabelsRange>
                <c15:f>Liderazgo!$E$16:$E$54</c15:f>
                <c15:dlblRangeCache>
                  <c:ptCount val="39"/>
                </c15:dlblRangeCache>
              </c15:datalabelsRange>
            </c:ext>
            <c:ext xmlns:c16="http://schemas.microsoft.com/office/drawing/2014/chart" uri="{C3380CC4-5D6E-409C-BE32-E72D297353CC}">
              <c16:uniqueId val="{00000015-00F0-DE45-AAF7-0C3B384AF3B4}"/>
            </c:ext>
          </c:extLst>
        </c:ser>
        <c:dLbls>
          <c:showLegendKey val="0"/>
          <c:showVal val="0"/>
          <c:showCatName val="0"/>
          <c:showSerName val="0"/>
          <c:showPercent val="0"/>
          <c:showBubbleSize val="0"/>
        </c:dLbls>
        <c:axId val="1794969344"/>
        <c:axId val="1794971008"/>
      </c:scatterChart>
      <c:valAx>
        <c:axId val="1794969344"/>
        <c:scaling>
          <c:orientation val="minMax"/>
          <c:max val="10.5"/>
        </c:scaling>
        <c:delete val="1"/>
        <c:axPos val="b"/>
        <c:majorGridlines>
          <c:spPr>
            <a:ln w="19050" cap="flat" cmpd="sng" algn="ctr">
              <a:solidFill>
                <a:sysClr val="windowText" lastClr="000000"/>
              </a:solidFill>
              <a:round/>
            </a:ln>
            <a:effectLst/>
          </c:spPr>
        </c:majorGridlines>
        <c:minorGridlines>
          <c:spPr>
            <a:ln w="9525" cap="flat" cmpd="sng" algn="ctr">
              <a:solidFill>
                <a:srgbClr val="C3C3C3"/>
              </a:solidFill>
              <a:round/>
            </a:ln>
            <a:effectLst/>
          </c:spPr>
        </c:minorGridlines>
        <c:numFmt formatCode="General" sourceLinked="1"/>
        <c:majorTickMark val="out"/>
        <c:minorTickMark val="none"/>
        <c:tickLblPos val="nextTo"/>
        <c:crossAx val="1794971008"/>
        <c:crosses val="autoZero"/>
        <c:crossBetween val="midCat"/>
        <c:majorUnit val="5.25"/>
        <c:minorUnit val="2.625"/>
      </c:valAx>
      <c:valAx>
        <c:axId val="1794971008"/>
        <c:scaling>
          <c:orientation val="minMax"/>
          <c:max val="10.5"/>
        </c:scaling>
        <c:delete val="1"/>
        <c:axPos val="l"/>
        <c:majorGridlines>
          <c:spPr>
            <a:ln w="19050" cap="flat" cmpd="sng" algn="ctr">
              <a:solidFill>
                <a:schemeClr val="tx1"/>
              </a:solidFill>
              <a:round/>
            </a:ln>
            <a:effectLst/>
          </c:spPr>
        </c:majorGridlines>
        <c:minorGridlines>
          <c:spPr>
            <a:ln w="9525" cap="flat" cmpd="sng" algn="ctr">
              <a:solidFill>
                <a:srgbClr val="C3C3C3"/>
              </a:solidFill>
              <a:round/>
            </a:ln>
            <a:effectLst/>
          </c:spPr>
        </c:minorGridlines>
        <c:numFmt formatCode="General" sourceLinked="1"/>
        <c:majorTickMark val="out"/>
        <c:minorTickMark val="none"/>
        <c:tickLblPos val="nextTo"/>
        <c:crossAx val="1794969344"/>
        <c:crosses val="autoZero"/>
        <c:crossBetween val="midCat"/>
        <c:majorUnit val="5.25"/>
        <c:minorUnit val="2.625"/>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percentStacked"/>
        <c:varyColors val="0"/>
        <c:ser>
          <c:idx val="0"/>
          <c:order val="0"/>
          <c:spPr>
            <a:solidFill>
              <a:schemeClr val="accent5">
                <a:lumMod val="75000"/>
              </a:schemeClr>
            </a:solidFill>
            <a:ln>
              <a:solidFill>
                <a:sysClr val="windowText" lastClr="000000"/>
              </a:solidFill>
            </a:ln>
          </c:spPr>
          <c:invertIfNegative val="0"/>
          <c:cat>
            <c:strRef>
              <c:f>'Gráfica Rendimiento'!$C$8:$C$17</c:f>
              <c:strCache>
                <c:ptCount val="10"/>
                <c:pt idx="0">
                  <c:v>Adaptable</c:v>
                </c:pt>
                <c:pt idx="1">
                  <c:v>Analítico</c:v>
                </c:pt>
                <c:pt idx="2">
                  <c:v>Apegado</c:v>
                </c:pt>
                <c:pt idx="3">
                  <c:v>Aprovechamiento</c:v>
                </c:pt>
                <c:pt idx="4">
                  <c:v>Disciplinado</c:v>
                </c:pt>
                <c:pt idx="5">
                  <c:v>Social-Influyente</c:v>
                </c:pt>
                <c:pt idx="6">
                  <c:v>Innovador</c:v>
                </c:pt>
                <c:pt idx="7">
                  <c:v>Obstinado</c:v>
                </c:pt>
                <c:pt idx="8">
                  <c:v>Planeador</c:v>
                </c:pt>
                <c:pt idx="9">
                  <c:v>Superacional</c:v>
                </c:pt>
              </c:strCache>
            </c:strRef>
          </c:cat>
          <c:val>
            <c:numRef>
              <c:f>'Gráfica Rendimiento'!$D$8:$D$17</c:f>
              <c:numCache>
                <c:formatCode>General</c:formatCode>
                <c:ptCount val="10"/>
                <c:pt idx="0">
                  <c:v>10</c:v>
                </c:pt>
                <c:pt idx="1">
                  <c:v>3</c:v>
                </c:pt>
                <c:pt idx="2">
                  <c:v>2</c:v>
                </c:pt>
                <c:pt idx="3">
                  <c:v>9</c:v>
                </c:pt>
                <c:pt idx="4">
                  <c:v>2</c:v>
                </c:pt>
                <c:pt idx="5">
                  <c:v>9</c:v>
                </c:pt>
                <c:pt idx="6">
                  <c:v>7</c:v>
                </c:pt>
                <c:pt idx="7">
                  <c:v>7</c:v>
                </c:pt>
                <c:pt idx="8">
                  <c:v>6</c:v>
                </c:pt>
                <c:pt idx="9">
                  <c:v>1</c:v>
                </c:pt>
              </c:numCache>
            </c:numRef>
          </c:val>
          <c:extLst>
            <c:ext xmlns:c16="http://schemas.microsoft.com/office/drawing/2014/chart" uri="{C3380CC4-5D6E-409C-BE32-E72D297353CC}">
              <c16:uniqueId val="{00000000-B9B5-4DE0-BD07-26655D35FBE7}"/>
            </c:ext>
          </c:extLst>
        </c:ser>
        <c:ser>
          <c:idx val="1"/>
          <c:order val="1"/>
          <c:spPr>
            <a:solidFill>
              <a:srgbClr val="FFFFFF">
                <a:alpha val="74902"/>
              </a:srgbClr>
            </a:solidFill>
            <a:ln>
              <a:solidFill>
                <a:sysClr val="windowText" lastClr="000000"/>
              </a:solidFill>
            </a:ln>
          </c:spPr>
          <c:invertIfNegative val="0"/>
          <c:cat>
            <c:strRef>
              <c:f>'Gráfica Rendimiento'!$C$8:$C$17</c:f>
              <c:strCache>
                <c:ptCount val="10"/>
                <c:pt idx="0">
                  <c:v>Adaptable</c:v>
                </c:pt>
                <c:pt idx="1">
                  <c:v>Analítico</c:v>
                </c:pt>
                <c:pt idx="2">
                  <c:v>Apegado</c:v>
                </c:pt>
                <c:pt idx="3">
                  <c:v>Aprovechamiento</c:v>
                </c:pt>
                <c:pt idx="4">
                  <c:v>Disciplinado</c:v>
                </c:pt>
                <c:pt idx="5">
                  <c:v>Social-Influyente</c:v>
                </c:pt>
                <c:pt idx="6">
                  <c:v>Innovador</c:v>
                </c:pt>
                <c:pt idx="7">
                  <c:v>Obstinado</c:v>
                </c:pt>
                <c:pt idx="8">
                  <c:v>Planeador</c:v>
                </c:pt>
                <c:pt idx="9">
                  <c:v>Superacional</c:v>
                </c:pt>
              </c:strCache>
            </c:strRef>
          </c:cat>
          <c:val>
            <c:numRef>
              <c:f>'Gráfica Rendimiento'!$E$8:$E$17</c:f>
              <c:numCache>
                <c:formatCode>General</c:formatCode>
                <c:ptCount val="10"/>
                <c:pt idx="0">
                  <c:v>0</c:v>
                </c:pt>
                <c:pt idx="1">
                  <c:v>7</c:v>
                </c:pt>
                <c:pt idx="2">
                  <c:v>8</c:v>
                </c:pt>
                <c:pt idx="3">
                  <c:v>1</c:v>
                </c:pt>
                <c:pt idx="4">
                  <c:v>8</c:v>
                </c:pt>
                <c:pt idx="5">
                  <c:v>1</c:v>
                </c:pt>
                <c:pt idx="6">
                  <c:v>3</c:v>
                </c:pt>
                <c:pt idx="7">
                  <c:v>3</c:v>
                </c:pt>
                <c:pt idx="8">
                  <c:v>4</c:v>
                </c:pt>
                <c:pt idx="9">
                  <c:v>9</c:v>
                </c:pt>
              </c:numCache>
            </c:numRef>
          </c:val>
          <c:extLst>
            <c:ext xmlns:c16="http://schemas.microsoft.com/office/drawing/2014/chart" uri="{C3380CC4-5D6E-409C-BE32-E72D297353CC}">
              <c16:uniqueId val="{00000001-B9B5-4DE0-BD07-26655D35FBE7}"/>
            </c:ext>
          </c:extLst>
        </c:ser>
        <c:dLbls>
          <c:showLegendKey val="0"/>
          <c:showVal val="0"/>
          <c:showCatName val="0"/>
          <c:showSerName val="0"/>
          <c:showPercent val="0"/>
          <c:showBubbleSize val="0"/>
        </c:dLbls>
        <c:gapWidth val="50"/>
        <c:overlap val="100"/>
        <c:axId val="154458752"/>
        <c:axId val="194843776"/>
      </c:barChart>
      <c:catAx>
        <c:axId val="154458752"/>
        <c:scaling>
          <c:orientation val="maxMin"/>
        </c:scaling>
        <c:delete val="0"/>
        <c:axPos val="l"/>
        <c:numFmt formatCode="General" sourceLinked="0"/>
        <c:majorTickMark val="out"/>
        <c:minorTickMark val="none"/>
        <c:tickLblPos val="nextTo"/>
        <c:txPr>
          <a:bodyPr/>
          <a:lstStyle/>
          <a:p>
            <a:pPr>
              <a:defRPr sz="800"/>
            </a:pPr>
            <a:endParaRPr lang="es-MX"/>
          </a:p>
        </c:txPr>
        <c:crossAx val="194843776"/>
        <c:crosses val="autoZero"/>
        <c:auto val="1"/>
        <c:lblAlgn val="ctr"/>
        <c:lblOffset val="100"/>
        <c:noMultiLvlLbl val="0"/>
      </c:catAx>
      <c:valAx>
        <c:axId val="194843776"/>
        <c:scaling>
          <c:orientation val="minMax"/>
        </c:scaling>
        <c:delete val="0"/>
        <c:axPos val="t"/>
        <c:majorGridlines/>
        <c:numFmt formatCode="0%" sourceLinked="1"/>
        <c:majorTickMark val="out"/>
        <c:minorTickMark val="none"/>
        <c:tickLblPos val="nextTo"/>
        <c:txPr>
          <a:bodyPr/>
          <a:lstStyle/>
          <a:p>
            <a:pPr>
              <a:defRPr sz="800"/>
            </a:pPr>
            <a:endParaRPr lang="es-MX"/>
          </a:p>
        </c:txPr>
        <c:crossAx val="154458752"/>
        <c:crosses val="autoZero"/>
        <c:crossBetween val="between"/>
        <c:majorUnit val="0.25"/>
      </c:valAx>
    </c:plotArea>
    <c:plotVisOnly val="1"/>
    <c:dispBlanksAs val="gap"/>
    <c:showDLblsOverMax val="0"/>
  </c:chart>
  <c:spPr>
    <a:solidFill>
      <a:schemeClr val="bg1"/>
    </a:solidFill>
    <a:ln>
      <a:solidFill>
        <a:schemeClr val="bg1">
          <a:lumMod val="50000"/>
        </a:schemeClr>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filled"/>
        <c:varyColors val="0"/>
        <c:ser>
          <c:idx val="0"/>
          <c:order val="0"/>
          <c:spPr>
            <a:solidFill>
              <a:srgbClr val="A8C313">
                <a:alpha val="65098"/>
              </a:srgbClr>
            </a:solidFill>
            <a:ln w="19050">
              <a:solidFill>
                <a:srgbClr val="073B59"/>
              </a:solidFill>
            </a:ln>
          </c:spPr>
          <c:cat>
            <c:strRef>
              <c:f>'Gráfica Rendimiento'!$R$8:$R$17</c:f>
              <c:strCache>
                <c:ptCount val="10"/>
                <c:pt idx="0">
                  <c:v>Adaptable</c:v>
                </c:pt>
                <c:pt idx="1">
                  <c:v>Analítico</c:v>
                </c:pt>
                <c:pt idx="2">
                  <c:v>Apegado</c:v>
                </c:pt>
                <c:pt idx="3">
                  <c:v>Aprovecha-miento</c:v>
                </c:pt>
                <c:pt idx="4">
                  <c:v>Disciplinado</c:v>
                </c:pt>
                <c:pt idx="5">
                  <c:v>Social-Influyente</c:v>
                </c:pt>
                <c:pt idx="6">
                  <c:v>Innovador</c:v>
                </c:pt>
                <c:pt idx="7">
                  <c:v>Obstinado</c:v>
                </c:pt>
                <c:pt idx="8">
                  <c:v>Planeador</c:v>
                </c:pt>
                <c:pt idx="9">
                  <c:v>Superacional</c:v>
                </c:pt>
              </c:strCache>
            </c:strRef>
          </c:cat>
          <c:val>
            <c:numRef>
              <c:f>'Gráfica Rendimiento'!$S$8:$S$17</c:f>
              <c:numCache>
                <c:formatCode>General</c:formatCode>
                <c:ptCount val="10"/>
                <c:pt idx="0">
                  <c:v>5.2941176470588234</c:v>
                </c:pt>
                <c:pt idx="1">
                  <c:v>7.0588235294117654</c:v>
                </c:pt>
                <c:pt idx="2">
                  <c:v>4.7058823529411766</c:v>
                </c:pt>
                <c:pt idx="3">
                  <c:v>7.6470588235294112</c:v>
                </c:pt>
                <c:pt idx="4">
                  <c:v>5.2941176470588234</c:v>
                </c:pt>
                <c:pt idx="5">
                  <c:v>5.882352941176471</c:v>
                </c:pt>
                <c:pt idx="6">
                  <c:v>4.7058823529411766</c:v>
                </c:pt>
                <c:pt idx="7">
                  <c:v>4.7058823529411766</c:v>
                </c:pt>
                <c:pt idx="8">
                  <c:v>4.7058823529411766</c:v>
                </c:pt>
                <c:pt idx="9">
                  <c:v>4.7058823529411766</c:v>
                </c:pt>
              </c:numCache>
            </c:numRef>
          </c:val>
          <c:extLst>
            <c:ext xmlns:c16="http://schemas.microsoft.com/office/drawing/2014/chart" uri="{C3380CC4-5D6E-409C-BE32-E72D297353CC}">
              <c16:uniqueId val="{00000000-8E42-B24D-A57C-2C9900D9F324}"/>
            </c:ext>
          </c:extLst>
        </c:ser>
        <c:ser>
          <c:idx val="1"/>
          <c:order val="1"/>
          <c:spPr>
            <a:solidFill>
              <a:srgbClr val="FF6A13">
                <a:alpha val="65098"/>
              </a:srgbClr>
            </a:solidFill>
            <a:ln w="25400">
              <a:noFill/>
            </a:ln>
          </c:spPr>
          <c:cat>
            <c:strRef>
              <c:f>'Gráfica Rendimiento'!$R$8:$R$17</c:f>
              <c:strCache>
                <c:ptCount val="10"/>
                <c:pt idx="0">
                  <c:v>Adaptable</c:v>
                </c:pt>
                <c:pt idx="1">
                  <c:v>Analítico</c:v>
                </c:pt>
                <c:pt idx="2">
                  <c:v>Apegado</c:v>
                </c:pt>
                <c:pt idx="3">
                  <c:v>Aprovecha-miento</c:v>
                </c:pt>
                <c:pt idx="4">
                  <c:v>Disciplinado</c:v>
                </c:pt>
                <c:pt idx="5">
                  <c:v>Social-Influyente</c:v>
                </c:pt>
                <c:pt idx="6">
                  <c:v>Innovador</c:v>
                </c:pt>
                <c:pt idx="7">
                  <c:v>Obstinado</c:v>
                </c:pt>
                <c:pt idx="8">
                  <c:v>Planeador</c:v>
                </c:pt>
                <c:pt idx="9">
                  <c:v>Superacional</c:v>
                </c:pt>
              </c:strCache>
            </c:strRef>
          </c:cat>
          <c:val>
            <c:numRef>
              <c:f>'Gráfica Rendimiento'!$T$8:$T$17</c:f>
              <c:numCache>
                <c:formatCode>General</c:formatCode>
                <c:ptCount val="10"/>
                <c:pt idx="0">
                  <c:v>10</c:v>
                </c:pt>
                <c:pt idx="1">
                  <c:v>3</c:v>
                </c:pt>
                <c:pt idx="2">
                  <c:v>2</c:v>
                </c:pt>
                <c:pt idx="3">
                  <c:v>9</c:v>
                </c:pt>
                <c:pt idx="4">
                  <c:v>2</c:v>
                </c:pt>
                <c:pt idx="5">
                  <c:v>9</c:v>
                </c:pt>
                <c:pt idx="6">
                  <c:v>7</c:v>
                </c:pt>
                <c:pt idx="7">
                  <c:v>7</c:v>
                </c:pt>
                <c:pt idx="8">
                  <c:v>6</c:v>
                </c:pt>
                <c:pt idx="9">
                  <c:v>1</c:v>
                </c:pt>
              </c:numCache>
            </c:numRef>
          </c:val>
          <c:extLst>
            <c:ext xmlns:c16="http://schemas.microsoft.com/office/drawing/2014/chart" uri="{C3380CC4-5D6E-409C-BE32-E72D297353CC}">
              <c16:uniqueId val="{00000001-8E42-B24D-A57C-2C9900D9F324}"/>
            </c:ext>
          </c:extLst>
        </c:ser>
        <c:dLbls>
          <c:showLegendKey val="0"/>
          <c:showVal val="0"/>
          <c:showCatName val="0"/>
          <c:showSerName val="0"/>
          <c:showPercent val="0"/>
          <c:showBubbleSize val="0"/>
        </c:dLbls>
        <c:axId val="134392832"/>
        <c:axId val="134398720"/>
      </c:radarChart>
      <c:catAx>
        <c:axId val="134392832"/>
        <c:scaling>
          <c:orientation val="minMax"/>
        </c:scaling>
        <c:delete val="0"/>
        <c:axPos val="b"/>
        <c:majorGridlines/>
        <c:numFmt formatCode="General" sourceLinked="0"/>
        <c:majorTickMark val="out"/>
        <c:minorTickMark val="none"/>
        <c:tickLblPos val="nextTo"/>
        <c:txPr>
          <a:bodyPr/>
          <a:lstStyle/>
          <a:p>
            <a:pPr>
              <a:defRPr sz="800"/>
            </a:pPr>
            <a:endParaRPr lang="es-MX"/>
          </a:p>
        </c:txPr>
        <c:crossAx val="134398720"/>
        <c:crosses val="autoZero"/>
        <c:auto val="1"/>
        <c:lblAlgn val="ctr"/>
        <c:lblOffset val="100"/>
        <c:noMultiLvlLbl val="0"/>
      </c:catAx>
      <c:valAx>
        <c:axId val="134398720"/>
        <c:scaling>
          <c:orientation val="minMax"/>
          <c:max val="10"/>
        </c:scaling>
        <c:delete val="0"/>
        <c:axPos val="l"/>
        <c:majorGridlines>
          <c:spPr>
            <a:ln>
              <a:solidFill>
                <a:schemeClr val="bg1">
                  <a:lumMod val="75000"/>
                </a:schemeClr>
              </a:solidFill>
            </a:ln>
          </c:spPr>
        </c:majorGridlines>
        <c:numFmt formatCode="General" sourceLinked="1"/>
        <c:majorTickMark val="cross"/>
        <c:minorTickMark val="none"/>
        <c:tickLblPos val="nextTo"/>
        <c:txPr>
          <a:bodyPr/>
          <a:lstStyle/>
          <a:p>
            <a:pPr>
              <a:defRPr sz="100" baseline="0">
                <a:solidFill>
                  <a:schemeClr val="bg1"/>
                </a:solidFill>
              </a:defRPr>
            </a:pPr>
            <a:endParaRPr lang="es-MX"/>
          </a:p>
        </c:txPr>
        <c:crossAx val="134392832"/>
        <c:crosses val="autoZero"/>
        <c:crossBetween val="between"/>
        <c:minorUnit val="0.2"/>
      </c:valAx>
    </c:plotArea>
    <c:plotVisOnly val="1"/>
    <c:dispBlanksAs val="gap"/>
    <c:showDLblsOverMax val="0"/>
  </c:chart>
  <c:spPr>
    <a:ln w="12700">
      <a:solidFill>
        <a:schemeClr val="bg1">
          <a:lumMod val="50000"/>
        </a:schemeClr>
      </a:solidFill>
    </a:ln>
  </c:sp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ndard"/>
        <c:varyColors val="0"/>
        <c:dLbls>
          <c:showLegendKey val="0"/>
          <c:showVal val="0"/>
          <c:showCatName val="0"/>
          <c:showSerName val="0"/>
          <c:showPercent val="0"/>
          <c:showBubbleSize val="0"/>
        </c:dLbls>
        <c:axId val="419362304"/>
        <c:axId val="419363840"/>
      </c:areaChart>
      <c:areaChart>
        <c:grouping val="standard"/>
        <c:varyColors val="0"/>
        <c:ser>
          <c:idx val="1"/>
          <c:order val="1"/>
          <c:spPr>
            <a:solidFill>
              <a:srgbClr val="A8C365">
                <a:alpha val="99000"/>
              </a:srgbClr>
            </a:solidFill>
            <a:ln>
              <a:noFill/>
            </a:ln>
          </c:spPr>
          <c:cat>
            <c:strRef>
              <c:f>'Gráfica Rendimiento'!$F$36:$F$43</c:f>
              <c:strCache>
                <c:ptCount val="8"/>
                <c:pt idx="0">
                  <c:v>Visión estratégica</c:v>
                </c:pt>
                <c:pt idx="1">
                  <c:v>Razonamiento Analítico</c:v>
                </c:pt>
                <c:pt idx="2">
                  <c:v>Relaciones Interpersonales</c:v>
                </c:pt>
                <c:pt idx="3">
                  <c:v>Negociación e Influencia</c:v>
                </c:pt>
                <c:pt idx="4">
                  <c:v>Trabajo en Equipo</c:v>
                </c:pt>
                <c:pt idx="5">
                  <c:v>Merecimiento Proactivo</c:v>
                </c:pt>
                <c:pt idx="6">
                  <c:v>Involucramiento</c:v>
                </c:pt>
                <c:pt idx="7">
                  <c:v>Planeación &amp; Organización</c:v>
                </c:pt>
              </c:strCache>
            </c:strRef>
          </c:cat>
          <c:val>
            <c:numRef>
              <c:f>'Gráfica Rendimiento'!$H$36:$H$43</c:f>
              <c:numCache>
                <c:formatCode>General</c:formatCode>
                <c:ptCount val="8"/>
                <c:pt idx="0">
                  <c:v>3</c:v>
                </c:pt>
                <c:pt idx="1">
                  <c:v>4</c:v>
                </c:pt>
                <c:pt idx="2">
                  <c:v>6</c:v>
                </c:pt>
                <c:pt idx="3">
                  <c:v>7</c:v>
                </c:pt>
                <c:pt idx="4">
                  <c:v>7</c:v>
                </c:pt>
                <c:pt idx="5">
                  <c:v>5</c:v>
                </c:pt>
                <c:pt idx="6">
                  <c:v>4</c:v>
                </c:pt>
                <c:pt idx="7">
                  <c:v>4</c:v>
                </c:pt>
              </c:numCache>
            </c:numRef>
          </c:val>
          <c:extLst>
            <c:ext xmlns:c16="http://schemas.microsoft.com/office/drawing/2014/chart" uri="{C3380CC4-5D6E-409C-BE32-E72D297353CC}">
              <c16:uniqueId val="{00000001-D568-5041-9635-077765B228CC}"/>
            </c:ext>
          </c:extLst>
        </c:ser>
        <c:dLbls>
          <c:showLegendKey val="0"/>
          <c:showVal val="0"/>
          <c:showCatName val="0"/>
          <c:showSerName val="0"/>
          <c:showPercent val="0"/>
          <c:showBubbleSize val="0"/>
        </c:dLbls>
        <c:axId val="419362304"/>
        <c:axId val="419363840"/>
      </c:areaChart>
      <c:barChart>
        <c:barDir val="col"/>
        <c:grouping val="stacked"/>
        <c:varyColors val="0"/>
        <c:ser>
          <c:idx val="0"/>
          <c:order val="0"/>
          <c:spPr>
            <a:solidFill>
              <a:srgbClr val="FF6A13">
                <a:alpha val="65098"/>
              </a:srgbClr>
            </a:solidFill>
          </c:spPr>
          <c:invertIfNegative val="0"/>
          <c:cat>
            <c:strRef>
              <c:f>'Gráfica Rendimiento'!$F$36:$F$43</c:f>
              <c:strCache>
                <c:ptCount val="8"/>
                <c:pt idx="0">
                  <c:v>Visión estratégica</c:v>
                </c:pt>
                <c:pt idx="1">
                  <c:v>Razonamiento Analítico</c:v>
                </c:pt>
                <c:pt idx="2">
                  <c:v>Relaciones Interpersonales</c:v>
                </c:pt>
                <c:pt idx="3">
                  <c:v>Negociación e Influencia</c:v>
                </c:pt>
                <c:pt idx="4">
                  <c:v>Trabajo en Equipo</c:v>
                </c:pt>
                <c:pt idx="5">
                  <c:v>Merecimiento Proactivo</c:v>
                </c:pt>
                <c:pt idx="6">
                  <c:v>Involucramiento</c:v>
                </c:pt>
                <c:pt idx="7">
                  <c:v>Planeación &amp; Organización</c:v>
                </c:pt>
              </c:strCache>
            </c:strRef>
          </c:cat>
          <c:val>
            <c:numRef>
              <c:f>'Gráfica Rendimiento'!$G$36:$G$43</c:f>
              <c:numCache>
                <c:formatCode>General</c:formatCode>
                <c:ptCount val="8"/>
                <c:pt idx="0">
                  <c:v>2</c:v>
                </c:pt>
                <c:pt idx="1">
                  <c:v>3</c:v>
                </c:pt>
                <c:pt idx="2">
                  <c:v>10</c:v>
                </c:pt>
                <c:pt idx="3">
                  <c:v>6</c:v>
                </c:pt>
                <c:pt idx="4">
                  <c:v>4</c:v>
                </c:pt>
                <c:pt idx="5">
                  <c:v>3</c:v>
                </c:pt>
                <c:pt idx="6">
                  <c:v>5</c:v>
                </c:pt>
                <c:pt idx="7">
                  <c:v>6</c:v>
                </c:pt>
              </c:numCache>
            </c:numRef>
          </c:val>
          <c:extLst>
            <c:ext xmlns:c16="http://schemas.microsoft.com/office/drawing/2014/chart" uri="{C3380CC4-5D6E-409C-BE32-E72D297353CC}">
              <c16:uniqueId val="{00000003-FF4A-4A48-95BB-51838A2C6788}"/>
            </c:ext>
          </c:extLst>
        </c:ser>
        <c:dLbls>
          <c:showLegendKey val="0"/>
          <c:showVal val="0"/>
          <c:showCatName val="0"/>
          <c:showSerName val="0"/>
          <c:showPercent val="0"/>
          <c:showBubbleSize val="0"/>
        </c:dLbls>
        <c:gapWidth val="50"/>
        <c:overlap val="100"/>
        <c:axId val="419362304"/>
        <c:axId val="419363840"/>
      </c:barChart>
      <c:catAx>
        <c:axId val="419362304"/>
        <c:scaling>
          <c:orientation val="minMax"/>
        </c:scaling>
        <c:delete val="0"/>
        <c:axPos val="b"/>
        <c:numFmt formatCode="General" sourceLinked="0"/>
        <c:majorTickMark val="out"/>
        <c:minorTickMark val="none"/>
        <c:tickLblPos val="nextTo"/>
        <c:txPr>
          <a:bodyPr/>
          <a:lstStyle/>
          <a:p>
            <a:pPr>
              <a:defRPr sz="800"/>
            </a:pPr>
            <a:endParaRPr lang="es-MX"/>
          </a:p>
        </c:txPr>
        <c:crossAx val="419363840"/>
        <c:crosses val="autoZero"/>
        <c:auto val="1"/>
        <c:lblAlgn val="ctr"/>
        <c:lblOffset val="100"/>
        <c:noMultiLvlLbl val="0"/>
      </c:catAx>
      <c:valAx>
        <c:axId val="419363840"/>
        <c:scaling>
          <c:orientation val="minMax"/>
          <c:max val="10"/>
        </c:scaling>
        <c:delete val="0"/>
        <c:axPos val="l"/>
        <c:numFmt formatCode="0" sourceLinked="1"/>
        <c:majorTickMark val="out"/>
        <c:minorTickMark val="none"/>
        <c:tickLblPos val="nextTo"/>
        <c:txPr>
          <a:bodyPr/>
          <a:lstStyle/>
          <a:p>
            <a:pPr>
              <a:defRPr sz="800"/>
            </a:pPr>
            <a:endParaRPr lang="es-MX"/>
          </a:p>
        </c:txPr>
        <c:crossAx val="419362304"/>
        <c:crosses val="autoZero"/>
        <c:crossBetween val="between"/>
      </c:valAx>
    </c:plotArea>
    <c:plotVisOnly val="1"/>
    <c:dispBlanksAs val="gap"/>
    <c:showDLblsOverMax val="0"/>
  </c:chart>
  <c:spPr>
    <a:ln>
      <a:no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8</xdr:col>
      <xdr:colOff>565785</xdr:colOff>
      <xdr:row>10</xdr:row>
      <xdr:rowOff>69850</xdr:rowOff>
    </xdr:from>
    <xdr:to>
      <xdr:col>15</xdr:col>
      <xdr:colOff>260985</xdr:colOff>
      <xdr:row>25</xdr:row>
      <xdr:rowOff>161290</xdr:rowOff>
    </xdr:to>
    <xdr:sp macro="" textlink="">
      <xdr:nvSpPr>
        <xdr:cNvPr id="2" name="Rectángulo: esquinas redondeadas 1">
          <a:extLst>
            <a:ext uri="{FF2B5EF4-FFF2-40B4-BE49-F238E27FC236}">
              <a16:creationId xmlns:a16="http://schemas.microsoft.com/office/drawing/2014/main" id="{00000000-0008-0000-0100-000002000000}"/>
            </a:ext>
          </a:extLst>
        </xdr:cNvPr>
        <xdr:cNvSpPr/>
      </xdr:nvSpPr>
      <xdr:spPr>
        <a:xfrm>
          <a:off x="6661785" y="1974850"/>
          <a:ext cx="5029200" cy="2948940"/>
        </a:xfrm>
        <a:prstGeom prst="roundRect">
          <a:avLst/>
        </a:prstGeom>
        <a:solidFill>
          <a:srgbClr val="FF6A1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2800" b="1"/>
            <a:t>ANTES DE INICIAR</a:t>
          </a:r>
        </a:p>
        <a:p>
          <a:pPr algn="ctr"/>
          <a:r>
            <a:rPr lang="es-MX" sz="1400"/>
            <a:t>1 PEGA AQUÍ LOS REPORTES XPS QUE VAS A MOSTRAR</a:t>
          </a:r>
        </a:p>
        <a:p>
          <a:pPr algn="ctr"/>
          <a:r>
            <a:rPr lang="es-MX" sz="1400" b="1" baseline="0"/>
            <a:t>2 ASEGÚRATE DE TENER DATOS EN LA PESTAÑA "BASE RESULTADOS", TAMBIÉN</a:t>
          </a:r>
        </a:p>
        <a:p>
          <a:pPr algn="ctr"/>
          <a:r>
            <a:rPr lang="es-MX" sz="1400" b="1" baseline="0"/>
            <a:t>3 REVISA LOS DATOS DE LA PORTADA</a:t>
          </a:r>
        </a:p>
        <a:p>
          <a:pPr algn="ctr"/>
          <a:r>
            <a:rPr lang="es-MX" sz="1400" b="1" baseline="0"/>
            <a:t>4 REVISA QUE LOS NOMBRES DE LOS PARTICIPANTES ESTÉN BIEN ESCRITOS</a:t>
          </a:r>
        </a:p>
        <a:p>
          <a:pPr algn="ctr"/>
          <a:r>
            <a:rPr lang="es-MX" sz="1400" b="1" baseline="0"/>
            <a:t>5 ESCRIBE COMPETENCIAS QUE VAS A CONSIDERAR Y SUS PORCENTAJES EN "EQUIVALENCIAS"</a:t>
          </a:r>
        </a:p>
        <a:p>
          <a:pPr algn="ctr"/>
          <a:endParaRPr lang="es-MX" sz="1400" b="1" baseline="0"/>
        </a:p>
      </xdr:txBody>
    </xdr:sp>
    <xdr:clientData/>
  </xdr:twoCellAnchor>
  <xdr:twoCellAnchor editAs="absolute">
    <xdr:from>
      <xdr:col>8</xdr:col>
      <xdr:colOff>368300</xdr:colOff>
      <xdr:row>19</xdr:row>
      <xdr:rowOff>123825</xdr:rowOff>
    </xdr:from>
    <xdr:to>
      <xdr:col>10</xdr:col>
      <xdr:colOff>279400</xdr:colOff>
      <xdr:row>21</xdr:row>
      <xdr:rowOff>149225</xdr:rowOff>
    </xdr:to>
    <xdr:sp macro="" textlink="">
      <xdr:nvSpPr>
        <xdr:cNvPr id="6145" name="CommandButton1" hidden="1">
          <a:extLst>
            <a:ext uri="{63B3BB69-23CF-44E3-9099-C40C66FF867C}">
              <a14:compatExt xmlns:a14="http://schemas.microsoft.com/office/drawing/2010/main"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1</xdr:colOff>
      <xdr:row>3</xdr:row>
      <xdr:rowOff>180975</xdr:rowOff>
    </xdr:from>
    <xdr:to>
      <xdr:col>15</xdr:col>
      <xdr:colOff>133351</xdr:colOff>
      <xdr:row>7</xdr:row>
      <xdr:rowOff>77515</xdr:rowOff>
    </xdr:to>
    <xdr:pic>
      <xdr:nvPicPr>
        <xdr:cNvPr id="4" name="3 Imagen">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a:stretch>
          <a:fillRect/>
        </a:stretch>
      </xdr:blipFill>
      <xdr:spPr>
        <a:xfrm>
          <a:off x="1981201" y="561975"/>
          <a:ext cx="1866900" cy="65854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768374</xdr:colOff>
      <xdr:row>1</xdr:row>
      <xdr:rowOff>149622</xdr:rowOff>
    </xdr:to>
    <xdr:pic>
      <xdr:nvPicPr>
        <xdr:cNvPr id="3" name="2 Imagen">
          <a:extLst>
            <a:ext uri="{FF2B5EF4-FFF2-40B4-BE49-F238E27FC236}">
              <a16:creationId xmlns:a16="http://schemas.microsoft.com/office/drawing/2014/main" id="{713217FB-017E-1646-BCDF-EC1601237CA0}"/>
            </a:ext>
          </a:extLst>
        </xdr:cNvPr>
        <xdr:cNvPicPr>
          <a:picLocks noChangeAspect="1"/>
        </xdr:cNvPicPr>
      </xdr:nvPicPr>
      <xdr:blipFill>
        <a:blip xmlns:r="http://schemas.openxmlformats.org/officeDocument/2006/relationships" r:embed="rId1"/>
        <a:stretch>
          <a:fillRect/>
        </a:stretch>
      </xdr:blipFill>
      <xdr:spPr>
        <a:xfrm>
          <a:off x="0" y="0"/>
          <a:ext cx="1123974" cy="36552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362855</xdr:colOff>
      <xdr:row>5</xdr:row>
      <xdr:rowOff>290288</xdr:rowOff>
    </xdr:from>
    <xdr:to>
      <xdr:col>11</xdr:col>
      <xdr:colOff>888998</xdr:colOff>
      <xdr:row>61</xdr:row>
      <xdr:rowOff>145146</xdr:rowOff>
    </xdr:to>
    <xdr:grpSp>
      <xdr:nvGrpSpPr>
        <xdr:cNvPr id="3" name="Grupo 2">
          <a:extLst>
            <a:ext uri="{FF2B5EF4-FFF2-40B4-BE49-F238E27FC236}">
              <a16:creationId xmlns:a16="http://schemas.microsoft.com/office/drawing/2014/main" id="{BB8CB3AF-9E48-8244-BF0E-C77161664AED}"/>
            </a:ext>
          </a:extLst>
        </xdr:cNvPr>
        <xdr:cNvGrpSpPr/>
      </xdr:nvGrpSpPr>
      <xdr:grpSpPr>
        <a:xfrm>
          <a:off x="362855" y="1378859"/>
          <a:ext cx="10210074" cy="10522858"/>
          <a:chOff x="181909" y="7581422"/>
          <a:chExt cx="8530290" cy="7186864"/>
        </a:xfrm>
      </xdr:grpSpPr>
      <xdr:graphicFrame macro="">
        <xdr:nvGraphicFramePr>
          <xdr:cNvPr id="4" name="Gráfico 3">
            <a:extLst>
              <a:ext uri="{FF2B5EF4-FFF2-40B4-BE49-F238E27FC236}">
                <a16:creationId xmlns:a16="http://schemas.microsoft.com/office/drawing/2014/main" id="{7836DC6F-8F2D-FE49-BFE4-7A65CD736612}"/>
              </a:ext>
            </a:extLst>
          </xdr:cNvPr>
          <xdr:cNvGraphicFramePr/>
        </xdr:nvGraphicFramePr>
        <xdr:xfrm>
          <a:off x="181909" y="7581422"/>
          <a:ext cx="7834085" cy="6792686"/>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5" name="CuadroTexto 4">
            <a:extLst>
              <a:ext uri="{FF2B5EF4-FFF2-40B4-BE49-F238E27FC236}">
                <a16:creationId xmlns:a16="http://schemas.microsoft.com/office/drawing/2014/main" id="{C387844F-EB78-DC47-B1AF-C4219D5A53F6}"/>
              </a:ext>
            </a:extLst>
          </xdr:cNvPr>
          <xdr:cNvSpPr txBox="1"/>
        </xdr:nvSpPr>
        <xdr:spPr>
          <a:xfrm>
            <a:off x="2422073" y="14445343"/>
            <a:ext cx="3367311" cy="3229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600" b="1"/>
              <a:t>TRABAJO EN EQUIPO, INFLUENCIA</a:t>
            </a:r>
          </a:p>
        </xdr:txBody>
      </xdr:sp>
      <xdr:sp macro="" textlink="">
        <xdr:nvSpPr>
          <xdr:cNvPr id="6" name="CuadroTexto 5">
            <a:extLst>
              <a:ext uri="{FF2B5EF4-FFF2-40B4-BE49-F238E27FC236}">
                <a16:creationId xmlns:a16="http://schemas.microsoft.com/office/drawing/2014/main" id="{3C76775F-4FA6-F040-8F30-2FFE4286F21A}"/>
              </a:ext>
            </a:extLst>
          </xdr:cNvPr>
          <xdr:cNvSpPr txBox="1"/>
        </xdr:nvSpPr>
        <xdr:spPr>
          <a:xfrm>
            <a:off x="6714670" y="14488886"/>
            <a:ext cx="1162960" cy="2467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MX" sz="1100" b="1"/>
              <a:t>Alto</a:t>
            </a:r>
          </a:p>
        </xdr:txBody>
      </xdr:sp>
      <xdr:sp macro="" textlink="">
        <xdr:nvSpPr>
          <xdr:cNvPr id="7" name="CuadroTexto 6">
            <a:extLst>
              <a:ext uri="{FF2B5EF4-FFF2-40B4-BE49-F238E27FC236}">
                <a16:creationId xmlns:a16="http://schemas.microsoft.com/office/drawing/2014/main" id="{68373FA4-1336-4F4A-BAE7-7B088F919B0A}"/>
              </a:ext>
            </a:extLst>
          </xdr:cNvPr>
          <xdr:cNvSpPr txBox="1"/>
        </xdr:nvSpPr>
        <xdr:spPr>
          <a:xfrm>
            <a:off x="435427" y="14478000"/>
            <a:ext cx="1162960" cy="2467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MX" sz="1100" b="1"/>
              <a:t>Bajo</a:t>
            </a:r>
          </a:p>
        </xdr:txBody>
      </xdr:sp>
      <xdr:sp macro="" textlink="">
        <xdr:nvSpPr>
          <xdr:cNvPr id="8" name="CuadroTexto 7">
            <a:extLst>
              <a:ext uri="{FF2B5EF4-FFF2-40B4-BE49-F238E27FC236}">
                <a16:creationId xmlns:a16="http://schemas.microsoft.com/office/drawing/2014/main" id="{10B7475B-67C3-434E-A0EF-7BC4165FE67E}"/>
              </a:ext>
            </a:extLst>
          </xdr:cNvPr>
          <xdr:cNvSpPr txBox="1"/>
        </xdr:nvSpPr>
        <xdr:spPr>
          <a:xfrm rot="5400000">
            <a:off x="6746424" y="10792283"/>
            <a:ext cx="3497939" cy="433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600" b="1"/>
              <a:t>DRIVE (MERECIMIENTO PROACTIVO)</a:t>
            </a:r>
          </a:p>
        </xdr:txBody>
      </xdr:sp>
      <xdr:sp macro="" textlink="">
        <xdr:nvSpPr>
          <xdr:cNvPr id="9" name="CuadroTexto 8">
            <a:extLst>
              <a:ext uri="{FF2B5EF4-FFF2-40B4-BE49-F238E27FC236}">
                <a16:creationId xmlns:a16="http://schemas.microsoft.com/office/drawing/2014/main" id="{00E0B3AF-F366-604D-9430-1E5FC5809761}"/>
              </a:ext>
            </a:extLst>
          </xdr:cNvPr>
          <xdr:cNvSpPr txBox="1"/>
        </xdr:nvSpPr>
        <xdr:spPr>
          <a:xfrm rot="5400000">
            <a:off x="7709807" y="13477421"/>
            <a:ext cx="1237346" cy="2159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MX" sz="1100" b="1"/>
              <a:t>Bajo</a:t>
            </a:r>
          </a:p>
        </xdr:txBody>
      </xdr:sp>
      <xdr:sp macro="" textlink="">
        <xdr:nvSpPr>
          <xdr:cNvPr id="10" name="CuadroTexto 9">
            <a:extLst>
              <a:ext uri="{FF2B5EF4-FFF2-40B4-BE49-F238E27FC236}">
                <a16:creationId xmlns:a16="http://schemas.microsoft.com/office/drawing/2014/main" id="{8E1AD135-1C88-B441-8C78-235D47142024}"/>
              </a:ext>
            </a:extLst>
          </xdr:cNvPr>
          <xdr:cNvSpPr txBox="1"/>
        </xdr:nvSpPr>
        <xdr:spPr>
          <a:xfrm rot="5400000">
            <a:off x="7713433" y="8241392"/>
            <a:ext cx="1230089" cy="2159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MX" sz="1100" b="1"/>
              <a:t>Alto</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33131</xdr:colOff>
      <xdr:row>5</xdr:row>
      <xdr:rowOff>100831</xdr:rowOff>
    </xdr:from>
    <xdr:to>
      <xdr:col>14</xdr:col>
      <xdr:colOff>121479</xdr:colOff>
      <xdr:row>17</xdr:row>
      <xdr:rowOff>143566</xdr:rowOff>
    </xdr:to>
    <xdr:graphicFrame macro="">
      <xdr:nvGraphicFramePr>
        <xdr:cNvPr id="2" name="Gráfico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198784</xdr:colOff>
      <xdr:row>5</xdr:row>
      <xdr:rowOff>99393</xdr:rowOff>
    </xdr:from>
    <xdr:to>
      <xdr:col>25</xdr:col>
      <xdr:colOff>11045</xdr:colOff>
      <xdr:row>17</xdr:row>
      <xdr:rowOff>132523</xdr:rowOff>
    </xdr:to>
    <xdr:graphicFrame macro="">
      <xdr:nvGraphicFramePr>
        <xdr:cNvPr id="4" name="4 Gráfico">
          <a:extLst>
            <a:ext uri="{FF2B5EF4-FFF2-40B4-BE49-F238E27FC236}">
              <a16:creationId xmlns:a16="http://schemas.microsoft.com/office/drawing/2014/main" id="{E1380B01-6E04-8A44-8344-8D67A401BE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143565</xdr:colOff>
      <xdr:row>32</xdr:row>
      <xdr:rowOff>143563</xdr:rowOff>
    </xdr:from>
    <xdr:to>
      <xdr:col>14</xdr:col>
      <xdr:colOff>198781</xdr:colOff>
      <xdr:row>46</xdr:row>
      <xdr:rowOff>165650</xdr:rowOff>
    </xdr:to>
    <xdr:graphicFrame macro="">
      <xdr:nvGraphicFramePr>
        <xdr:cNvPr id="5" name="15 Gráfico">
          <a:extLst>
            <a:ext uri="{FF2B5EF4-FFF2-40B4-BE49-F238E27FC236}">
              <a16:creationId xmlns:a16="http://schemas.microsoft.com/office/drawing/2014/main" id="{51A8DE68-9E82-0B4B-8A90-A0174BD291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4</xdr:col>
      <xdr:colOff>33016</xdr:colOff>
      <xdr:row>1</xdr:row>
      <xdr:rowOff>135955</xdr:rowOff>
    </xdr:to>
    <xdr:pic>
      <xdr:nvPicPr>
        <xdr:cNvPr id="7" name="2 Imagen">
          <a:extLst>
            <a:ext uri="{FF2B5EF4-FFF2-40B4-BE49-F238E27FC236}">
              <a16:creationId xmlns:a16="http://schemas.microsoft.com/office/drawing/2014/main" id="{6585677E-3E09-3E4D-8EB4-EA049B634AC1}"/>
            </a:ext>
          </a:extLst>
        </xdr:cNvPr>
        <xdr:cNvPicPr>
          <a:picLocks noChangeAspect="1"/>
        </xdr:cNvPicPr>
      </xdr:nvPicPr>
      <xdr:blipFill>
        <a:blip xmlns:r="http://schemas.openxmlformats.org/officeDocument/2006/relationships" r:embed="rId4"/>
        <a:stretch>
          <a:fillRect/>
        </a:stretch>
      </xdr:blipFill>
      <xdr:spPr>
        <a:xfrm>
          <a:off x="0" y="0"/>
          <a:ext cx="1137364" cy="3568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70564</xdr:colOff>
      <xdr:row>1</xdr:row>
      <xdr:rowOff>140925</xdr:rowOff>
    </xdr:to>
    <xdr:pic>
      <xdr:nvPicPr>
        <xdr:cNvPr id="3" name="2 Imagen">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0" y="0"/>
          <a:ext cx="1137364" cy="35682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Luis Toledo" id="{217BBBE0-00A4-4C2A-B449-4042D41AD0B4}" userId="56bc715170945b2d" providerId="Windows Live"/>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Z5" dT="2026-08-14T14:15:58.03" personId="{217BBBE0-00A4-4C2A-B449-4042D41AD0B4}" id="{4BA75819-E3CB-4654-AA09-8E6CB9BB98D3}">
    <text>WARNING — Punto de corte duplicado en deciles consecutivos.
Target: Percepción Interpersonal
Deciles/posiciones: 2 y 3
Punto de corte compartido: 2
Pendiente confirmar si es intencional. Conservar exactamente como está mientras se valida.</text>
  </threadedComment>
  <threadedComment ref="FZ5" dT="2026-08-14T14:16:07.61" personId="{217BBBE0-00A4-4C2A-B449-4042D41AD0B4}" id="{90CB2B7A-88D0-4577-93A0-67E38DB66327}">
    <text>WARNING — Punto de corte duplicado en deciles consecutivos.
Target: Percepción Interpersonal
Deciles/posiciones: 2 y 3
Punto de corte compartido: 2
Pendiente confirmar si es intencional. Conservar exactamente como está mientras se valida.</text>
  </threadedComment>
  <threadedComment ref="V8" dT="2026-08-14T14:15:57.84" personId="{217BBBE0-00A4-4C2A-B449-4042D41AD0B4}" id="{C31BBE2B-7563-4074-8208-B95D446F2C51}">
    <text>WARNING — Punto de corte duplicado en deciles consecutivos.
Target: Adaptación
Deciles/posiciones: 0.4 y 0.5
Punto de corte compartido: 12
Pendiente confirmar si es intencional. Conservar exactamente como está mientras se valida.</text>
  </threadedComment>
  <threadedComment ref="AF8" dT="2026-08-14T14:15:57.87" personId="{217BBBE0-00A4-4C2A-B449-4042D41AD0B4}" id="{9C5A91AF-45BE-4F07-BE8E-B2BC13AB068A}">
    <text>WARNING — Punto de corte duplicado en deciles consecutivos.
Target: Superación
Deciles/posiciones: 5 y 6
Punto de corte compartido: 11
Pendiente confirmar si es intencional. Conservar exactamente como está mientras se valida.</text>
  </threadedComment>
  <threadedComment ref="CD8" dT="2026-08-14T14:15:58.09" personId="{217BBBE0-00A4-4C2A-B449-4042D41AD0B4}" id="{A7EB7C57-5494-4D47-AF2F-2315DBBF9BE9}">
    <text>WARNING — Punto de corte duplicado en deciles consecutivos.
Target: Consciencia del Entorno
Deciles/posiciones: 5 y 6
Punto de corte compartido: 9
Pendiente confirmar si es intencional. Conservar exactamente como está mientras se valida.</text>
  </threadedComment>
  <threadedComment ref="DL8" dT="2026-08-14T14:15:58.79" personId="{217BBBE0-00A4-4C2A-B449-4042D41AD0B4}" id="{AA0BD294-5786-48B1-9435-1CF82B1FFE37}">
    <text>WARNING — Punto de corte duplicado en deciles consecutivos.
Target: Sentido de contribución
Deciles/posiciones: 5 y 6
Punto de corte compartido: 8
Pendiente confirmar si es intencional. Conservar exactamente como está mientras se valida.</text>
  </threadedComment>
  <threadedComment ref="DV8" dT="2026-08-14T14:15:58.97" personId="{217BBBE0-00A4-4C2A-B449-4042D41AD0B4}" id="{DE933C11-0651-40D6-8E40-CA23DCA6B2E8}">
    <text>WARNING — Punto de corte duplicado en deciles consecutivos.
Target: Adaptación
Deciles/posiciones: 0.4 y 0.5
Punto de corte compartido: 12
Pendiente confirmar si es intencional. Conservar exactamente como está mientras se valida.</text>
  </threadedComment>
  <threadedComment ref="EF8" dT="2026-08-14T14:15:59.65" personId="{217BBBE0-00A4-4C2A-B449-4042D41AD0B4}" id="{454C61BC-14DD-4F6D-BE28-D3354130F834}">
    <text>WARNING — Punto de corte duplicado en deciles consecutivos.
Target: Superación
Deciles/posiciones: 5 y 6
Punto de corte compartido: 11
Pendiente confirmar si es intencional. Conservar exactamente como está mientras se valida.</text>
  </threadedComment>
  <threadedComment ref="GD8" dT="2026-08-14T14:16:10.24" personId="{217BBBE0-00A4-4C2A-B449-4042D41AD0B4}" id="{5404357E-AC11-47FE-948A-DE9A2D6013ED}">
    <text>WARNING — Punto de corte duplicado en deciles consecutivos.
Target: Consciencia del Entorno
Deciles/posiciones: 5 y 6
Punto de corte compartido: 9
Pendiente confirmar si es intencional. Conservar exactamente como está mientras se valida.</text>
  </threadedComment>
  <threadedComment ref="HL8" dT="2026-08-14T14:16:38.22" personId="{217BBBE0-00A4-4C2A-B449-4042D41AD0B4}" id="{F4E6FF8D-F0F7-4778-ABBC-2138A9B01962}">
    <text>WARNING — Punto de corte duplicado en deciles consecutivos.
Target: Sentido de contribución
Deciles/posiciones: 5 y 6
Punto de corte compartido: 8
Pendiente confirmar si es intencional. Conservar exactamente como está mientras se valida.</text>
  </threadedComment>
  <threadedComment ref="AP9" dT="2026-08-14T14:15:57.92" personId="{217BBBE0-00A4-4C2A-B449-4042D41AD0B4}" id="{FEBC73DE-0825-4BDE-8085-3B6CA3C0783A}">
    <text>WARNING — Punto de corte duplicado en deciles consecutivos.
Target: Autocontrol
Deciles/posiciones: 6 y 7
Punto de corte compartido: 11
Pendiente confirmar si es intencional. Conservar exactamente como está mientras se valida.</text>
  </threadedComment>
  <threadedComment ref="CJ9" dT="2026-08-14T14:15:58.16" personId="{217BBBE0-00A4-4C2A-B449-4042D41AD0B4}" id="{445C134E-F02F-42E4-A4C8-BABD2B77DED6}">
    <text>WARNING — Punto de corte duplicado en deciles consecutivos.
Target: Anticipación
Deciles/posiciones: 6 y 7
Punto de corte compartido: 14
Pendiente confirmar si es intencional. Conservar exactamente como está mientras se valida.</text>
  </threadedComment>
  <threadedComment ref="DB9" dT="2026-08-14T14:15:58.48" personId="{217BBBE0-00A4-4C2A-B449-4042D41AD0B4}" id="{912150E8-EF14-41DB-AB25-2939F643E978}">
    <text>WARNING — Punto de corte duplicado en deciles consecutivos.
Target: Alineamiento de Acciones
Deciles/posiciones: 6 y 7
Punto de corte compartido: 11
Pendiente confirmar si es intencional. Conservar exactamente como está mientras se valida.</text>
  </threadedComment>
  <threadedComment ref="DJ9" dT="2026-08-14T14:15:58.62" personId="{217BBBE0-00A4-4C2A-B449-4042D41AD0B4}" id="{4677B9E0-20B2-4C79-A04B-1B59C7FA862F}">
    <text>WARNING — Punto de corte duplicado en deciles consecutivos.
Target: Aprovechamiento de Talentos
Deciles/posiciones: 6 y 7
Punto de corte compartido: 14
Pendiente confirmar si es intencional. Conservar exactamente como está mientras se valida.</text>
  </threadedComment>
  <threadedComment ref="EP9" dT="2026-08-14T14:16:01.82" personId="{217BBBE0-00A4-4C2A-B449-4042D41AD0B4}" id="{BC21F692-2770-45DA-98AB-CDF68E10FB00}">
    <text>WARNING — Punto de corte duplicado en deciles consecutivos.
Target: Autocontrol
Deciles/posiciones: 6 y 7
Punto de corte compartido: 11
Pendiente confirmar si es intencional. Conservar exactamente como está mientras se valida.</text>
  </threadedComment>
  <threadedComment ref="GJ9" dT="2026-08-14T14:16:13.45" personId="{217BBBE0-00A4-4C2A-B449-4042D41AD0B4}" id="{6CB24849-3947-4B1F-89D8-A869FA4E5550}">
    <text>WARNING — Punto de corte duplicado en deciles consecutivos.
Target: Anticipación
Deciles/posiciones: 6 y 7
Punto de corte compartido: 14
Pendiente confirmar si es intencional. Conservar exactamente como está mientras se valida.</text>
  </threadedComment>
  <threadedComment ref="HB9" dT="2026-08-14T14:16:26.44" personId="{217BBBE0-00A4-4C2A-B449-4042D41AD0B4}" id="{4A0A8AA1-04D2-4CE3-BE64-8F85E564E725}">
    <text>WARNING — Punto de corte duplicado en deciles consecutivos.
Target: Alineamiento de Acciones
Deciles/posiciones: 6 y 7
Punto de corte compartido: 11
Pendiente confirmar si es intencional. Conservar exactamente como está mientras se valida.</text>
  </threadedComment>
  <threadedComment ref="HJ9" dT="2026-08-14T14:16:32.06" personId="{217BBBE0-00A4-4C2A-B449-4042D41AD0B4}" id="{1857D26B-9043-4D1A-9612-BB3663BABB45}">
    <text>WARNING — Punto de corte duplicado en deciles consecutivos.
Target: Aprovechamiento de Talentos
Deciles/posiciones: 6 y 7
Punto de corte compartido: 14
Pendiente confirmar si es intencional. Conservar exactamente como está mientras se valida.</text>
  </threadedComment>
  <threadedComment ref="AN10" dT="2026-08-14T14:15:57.89" personId="{217BBBE0-00A4-4C2A-B449-4042D41AD0B4}" id="{4C4843C5-4E6D-4178-9658-0251D829FB1F}">
    <text>WARNING — Punto de corte duplicado en deciles consecutivos.
Target: Autoconocimiento
Deciles/posiciones: 7 y 8
Punto de corte compartido: 12
Pendiente confirmar si es intencional. Conservar exactamente como está mientras se valida.</text>
  </threadedComment>
  <threadedComment ref="BH10" dT="2026-08-14T14:15:57.95" personId="{217BBBE0-00A4-4C2A-B449-4042D41AD0B4}" id="{A39B0A9F-0F01-4DB3-BA1F-CC3F9BF62A82}">
    <text>WARNING — Punto de corte duplicado en deciles consecutivos.
Target: Esfuerzo
Deciles/posiciones: 7 y 8
Punto de corte compartido: 17
Pendiente confirmar si es intencional. Conservar exactamente como está mientras se valida.</text>
  </threadedComment>
  <threadedComment ref="CT10" dT="2026-08-14T14:15:58.37" personId="{217BBBE0-00A4-4C2A-B449-4042D41AD0B4}" id="{28C44AD7-1C32-4C0E-A2B5-9C61B83A3E90}">
    <text>WARNING — Punto de corte duplicado en deciles consecutivos.
Target: Recuperación
Deciles/posiciones: 7 y 8
Punto de corte compartido: 16
Pendiente confirmar si es intencional. Conservar exactamente como está mientras se valida.</text>
  </threadedComment>
  <threadedComment ref="EN10" dT="2026-08-14T14:16:00.58" personId="{217BBBE0-00A4-4C2A-B449-4042D41AD0B4}" id="{43F1E9CF-8F40-468A-85EA-7E4867A4B465}">
    <text>WARNING — Punto de corte duplicado en deciles consecutivos.
Target: Autoconocimiento
Deciles/posiciones: 7 y 8
Punto de corte compartido: 12
Pendiente confirmar si es intencional. Conservar exactamente como está mientras se valida.</text>
  </threadedComment>
  <threadedComment ref="FH10" dT="2026-08-14T14:16:03.43" personId="{217BBBE0-00A4-4C2A-B449-4042D41AD0B4}" id="{445D5337-C64F-4898-B2BF-38D0D5034892}">
    <text>WARNING — Punto de corte duplicado en deciles consecutivos.
Target: Esfuerzo
Deciles/posiciones: 7 y 8
Punto de corte compartido: 17
Pendiente confirmar si es intencional. Conservar exactamente como está mientras se valida.</text>
  </threadedComment>
  <threadedComment ref="GT10" dT="2026-08-14T14:16:21.52" personId="{217BBBE0-00A4-4C2A-B449-4042D41AD0B4}" id="{882F654D-B1CE-49E7-8593-716D4EE0DBBC}">
    <text>WARNING — Punto de corte duplicado en deciles consecutivos.
Target: Recuperación
Deciles/posiciones: 7 y 8
Punto de corte compartido: 16
Pendiente confirmar si es intencional. Conservar exactamente como está mientras se valida.</text>
  </threadedComment>
  <threadedComment ref="BR12" dT="2026-08-14T14:15:57.98" personId="{217BBBE0-00A4-4C2A-B449-4042D41AD0B4}" id="{BD6AC20E-4610-44AC-BD9B-622CD9D54D22}">
    <text>WARNING — Punto de corte duplicado en deciles consecutivos.
Target: Compromiso
Deciles/posiciones: 9 y 10
Punto de corte compartido: 18
Pendiente confirmar si es intencional. Conservar exactamente como está mientras se valida.</text>
  </threadedComment>
  <threadedComment ref="CL12" dT="2026-08-14T14:15:58.26" personId="{217BBBE0-00A4-4C2A-B449-4042D41AD0B4}" id="{263C01D5-6E20-4C2D-93FF-1B2D2D0C12A5}">
    <text>WARNING — Punto de corte duplicado en deciles consecutivos.
Target: Participación
Deciles/posiciones: 9 y 10
Punto de corte compartido: 16
Pendiente confirmar si es intencional. Conservar exactamente como está mientras se valida.</text>
  </threadedComment>
  <threadedComment ref="FR12" dT="2026-08-14T14:16:05.31" personId="{217BBBE0-00A4-4C2A-B449-4042D41AD0B4}" id="{200DFDDA-4002-4AB9-BADE-946858442169}">
    <text>WARNING — Punto de corte duplicado en deciles consecutivos.
Target: Compromiso
Deciles/posiciones: 9 y 10
Punto de corte compartido: 18
Pendiente confirmar si es intencional. Conservar exactamente como está mientras se valida.</text>
  </threadedComment>
  <threadedComment ref="GL12" dT="2026-08-14T14:16:17.26" personId="{217BBBE0-00A4-4C2A-B449-4042D41AD0B4}" id="{E570CD93-94A8-4F73-92DF-F3826021123B}">
    <text>WARNING — Punto de corte duplicado en deciles consecutivos.
Target: Participación
Deciles/posiciones: 9 y 10
Punto de corte compartido: 16
Pendiente confirmar si es intencional. Conservar exactamente como está mientras se valida.</text>
  </threadedComment>
  <threadedComment ref="CJ15" dT="2026-08-14T14:19:04.23" personId="{217BBBE0-00A4-4C2A-B449-4042D41AD0B4}" id="{03D9B4F2-457E-4776-80E3-CC19A33E92DF}">
    <text>BLOCKED — Tabla normativa incompleta o inconsistente.
Target: Búsqueda de Significado Psicoproductivo
Necesitamos que el cliente proporcione o confirme la tabla completa de baremos, deciles 1 a 10. Los valores actuales no permiten reconstruir este resultado con certeza.
No corregir ni sustituir los valores; mantener este target bloqueado hasta recibir confirmación.</text>
  </threadedComment>
  <threadedComment ref="CL15" dT="2026-08-14T14:19:04.27" personId="{217BBBE0-00A4-4C2A-B449-4042D41AD0B4}" id="{C07B5194-2CAA-4470-A7E4-43A854399090}">
    <text>BLOCKED — Tabla normativa incompleta o inconsistente.
Target: Cuadrantes
Necesitamos que el cliente proporcione o confirme la tabla completa de baremos, deciles 1 a 10. Los valores actuales no permiten reconstruir este resultado con certeza.
No corregir ni sustituir los valores; mantener este target bloqueado hasta recibir confirmación.</text>
  </threadedComment>
  <threadedComment ref="CN15" dT="2026-08-14T14:22:02.81" personId="{217BBBE0-00A4-4C2A-B449-4042D41AD0B4}" id="{BCF2A4E4-C61D-4379-A4D5-0D8F908041DB}">
    <text>PENDIENTE / BLOCKED — Gestión de recursos no está incluida en el archivo actual. La documentación menciona 31 preguntas Likert de cinco niveles, pero se reporta un formulario con 25 afirmaciones puntuables. Confirmar si la versión definitiva contiene 25 o 31 preguntas. Si son 31, solicitar las seis preguntas faltantes y su orden. No inventar ni calificar esta sección hasta recibir confirmación.</text>
  </threadedComment>
  <threadedComment ref="GJ15" dT="2026-08-14T14:19:04.33" personId="{217BBBE0-00A4-4C2A-B449-4042D41AD0B4}" id="{35E2E27F-D240-4665-A9DB-F60723B1F23C}">
    <text>BLOCKED — Tabla normativa incompleta o inconsistente.
Target: Búsqueda de Significado Psicoproductivo
Necesitamos que el cliente proporcione o confirme la tabla completa de baremos, deciles 1 a 10. Los valores actuales no permiten reconstruir este resultado con certeza.
No corregir ni sustituir los valores; mantener este target bloqueado hasta recibir confirmación.</text>
  </threadedComment>
  <threadedComment ref="GL15" dT="2026-08-14T14:19:04.39" personId="{217BBBE0-00A4-4C2A-B449-4042D41AD0B4}" id="{8229CC96-134C-49E1-A826-B65E0C4B5FB6}">
    <text>BLOCKED — Tabla normativa incompleta o inconsistente.
Target: Cuadrantes
Necesitamos que el cliente proporcione o confirme la tabla completa de baremos, deciles 1 a 10. Los valores actuales no permiten reconstruir este resultado con certeza.
No corregir ni sustituir los valores; mantener este target bloqueado hasta recibir confirmación.</text>
  </threadedComment>
  <threadedComment ref="GN15" dT="2026-08-14T14:22:03.02" personId="{217BBBE0-00A4-4C2A-B449-4042D41AD0B4}" id="{4B64138B-5A0F-46C5-A528-F79DA0301BA7}">
    <text>PENDIENTE / BLOCKED — Gestión de recursos no está incluida en el archivo actual. La documentación menciona 31 preguntas Likert de cinco niveles, pero se reporta un formulario con 25 afirmaciones puntuables. Confirmar si la versión definitiva contiene 25 o 31 preguntas. Si son 31, solicitar las seis preguntas faltantes y su orden. No inventar ni calificar esta sección hasta recibir confirmación.</text>
  </threadedComment>
  <threadedComment ref="FZ43" dT="2026-08-14T14:16:08.44" personId="{217BBBE0-00A4-4C2A-B449-4042D41AD0B4}" id="{156061E5-68D3-40E0-8901-3544FF05FF63}">
    <text>WARNING — Punto de corte duplicado en deciles consecutivos.
Target: Percepción Interpersonal
Deciles/posiciones: 2 y 3
Punto de corte compartido: 2
Pendiente confirmar si es intencional. Conservar exactamente como está mientras se valida.</text>
  </threadedComment>
  <threadedComment ref="DV46" dT="2026-08-14T14:15:59.17" personId="{217BBBE0-00A4-4C2A-B449-4042D41AD0B4}" id="{52A29646-DAE3-4C08-8F26-FD7D50A1F15D}">
    <text>WARNING — Punto de corte duplicado en deciles consecutivos.
Target: Adaptación
Deciles/posiciones: 0.4 y 0.5
Punto de corte compartido: 12
Pendiente confirmar si es intencional. Conservar exactamente como está mientras se valida.</text>
  </threadedComment>
  <threadedComment ref="EF46" dT="2026-08-14T14:15:59.94" personId="{217BBBE0-00A4-4C2A-B449-4042D41AD0B4}" id="{C93D5799-6362-4E2B-8936-EDA2A8C75EED}">
    <text>WARNING — Punto de corte duplicado en deciles consecutivos.
Target: Superación
Deciles/posiciones: 5 y 6
Punto de corte compartido: 11
Pendiente confirmar si es intencional. Conservar exactamente como está mientras se valida.</text>
  </threadedComment>
  <threadedComment ref="GD46" dT="2026-08-14T14:16:11.21" personId="{217BBBE0-00A4-4C2A-B449-4042D41AD0B4}" id="{A64C1D3C-7705-4A5D-82A7-68AD7B955B57}">
    <text>WARNING — Punto de corte duplicado en deciles consecutivos.
Target: Consciencia del Entorno
Deciles/posiciones: 5 y 6
Punto de corte compartido: 9
Pendiente confirmar si es intencional. Conservar exactamente como está mientras se valida.</text>
  </threadedComment>
  <threadedComment ref="HL46" dT="2026-08-14T14:16:40.42" personId="{217BBBE0-00A4-4C2A-B449-4042D41AD0B4}" id="{61674285-C766-46D4-A83A-988296AC6242}">
    <text>WARNING — Punto de corte duplicado en deciles consecutivos.
Target: Sentido de contribución
Deciles/posiciones: 5 y 6
Punto de corte compartido: 8
Pendiente confirmar si es intencional. Conservar exactamente como está mientras se valida.</text>
  </threadedComment>
  <threadedComment ref="EP47" dT="2026-08-14T14:16:02.35" personId="{217BBBE0-00A4-4C2A-B449-4042D41AD0B4}" id="{3FD4C7FC-2CC3-46A3-A3DF-50C316DCD225}">
    <text>WARNING — Punto de corte duplicado en deciles consecutivos.
Target: Autocontrol
Deciles/posiciones: 6 y 7
Punto de corte compartido: 11
Pendiente confirmar si es intencional. Conservar exactamente como está mientras se valida.</text>
  </threadedComment>
  <threadedComment ref="GJ47" dT="2026-08-14T14:16:14.62" personId="{217BBBE0-00A4-4C2A-B449-4042D41AD0B4}" id="{A73D7CBF-0A70-45FC-9E4B-99E2A9B86A09}">
    <text>WARNING — Punto de corte duplicado en deciles consecutivos.
Target: Anticipación
Deciles/posiciones: 6 y 7
Punto de corte compartido: 14
Pendiente confirmar si es intencional. Conservar exactamente como está mientras se valida.</text>
  </threadedComment>
  <threadedComment ref="HB47" dT="2026-08-14T14:16:28.24" personId="{217BBBE0-00A4-4C2A-B449-4042D41AD0B4}" id="{4DFE303F-0C30-4487-9382-63F01B9E0F0C}">
    <text>WARNING — Punto de corte duplicado en deciles consecutivos.
Target: Alineamiento de Acciones
Deciles/posiciones: 6 y 7
Punto de corte compartido: 11
Pendiente confirmar si es intencional. Conservar exactamente como está mientras se valida.</text>
  </threadedComment>
  <threadedComment ref="HJ47" dT="2026-08-14T14:16:34.00" personId="{217BBBE0-00A4-4C2A-B449-4042D41AD0B4}" id="{43CCEB75-A8AB-497D-BE06-4BD483A99D86}">
    <text>WARNING — Punto de corte duplicado en deciles consecutivos.
Target: Aprovechamiento de Talentos
Deciles/posiciones: 6 y 7
Punto de corte compartido: 14
Pendiente confirmar si es intencional. Conservar exactamente como está mientras se valida.</text>
  </threadedComment>
  <threadedComment ref="EN48" dT="2026-08-14T14:16:00.98" personId="{217BBBE0-00A4-4C2A-B449-4042D41AD0B4}" id="{11D13F60-548D-4F22-B9EC-8600B50722BB}">
    <text>WARNING — Punto de corte duplicado en deciles consecutivos.
Target: Autoconocimiento
Deciles/posiciones: 7 y 8
Punto de corte compartido: 12
Pendiente confirmar si es intencional. Conservar exactamente como está mientras se valida.</text>
  </threadedComment>
  <threadedComment ref="FH48" dT="2026-08-14T14:16:03.99" personId="{217BBBE0-00A4-4C2A-B449-4042D41AD0B4}" id="{C862B181-EE85-4DDC-ADEF-C202241F95A9}">
    <text>WARNING — Punto de corte duplicado en deciles consecutivos.
Target: Esfuerzo
Deciles/posiciones: 7 y 8
Punto de corte compartido: 17
Pendiente confirmar si es intencional. Conservar exactamente como está mientras se valida.</text>
  </threadedComment>
  <threadedComment ref="GT48" dT="2026-08-14T14:16:23.12" personId="{217BBBE0-00A4-4C2A-B449-4042D41AD0B4}" id="{6C236AC9-0AB2-45A8-B6E9-17AD6CA6CE4E}">
    <text>WARNING — Punto de corte duplicado en deciles consecutivos.
Target: Recuperación
Deciles/posiciones: 7 y 8
Punto de corte compartido: 16
Pendiente confirmar si es intencional. Conservar exactamente como está mientras se valida.</text>
  </threadedComment>
  <threadedComment ref="FR50" dT="2026-08-14T14:16:06.03" personId="{217BBBE0-00A4-4C2A-B449-4042D41AD0B4}" id="{17AD1329-3527-417D-9B1B-DAE0806CD824}">
    <text>WARNING — Punto de corte duplicado en deciles consecutivos.
Target: Compromiso
Deciles/posiciones: 9 y 10
Punto de corte compartido: 18
Pendiente confirmar si es intencional. Conservar exactamente como está mientras se valida.</text>
  </threadedComment>
  <threadedComment ref="GL50" dT="2026-08-14T14:16:18.59" personId="{217BBBE0-00A4-4C2A-B449-4042D41AD0B4}" id="{62367A81-68D8-477B-A8AA-27358A560F2E}">
    <text>WARNING — Punto de corte duplicado en deciles consecutivos.
Target: Participación
Deciles/posiciones: 9 y 10
Punto de corte compartido: 16
Pendiente confirmar si es intencional. Conservar exactamente como está mientras se valida.</text>
  </threadedComment>
  <threadedComment ref="GJ53" dT="2026-08-14T14:19:04.47" personId="{217BBBE0-00A4-4C2A-B449-4042D41AD0B4}" id="{E891F785-90E8-4808-8688-12B061952306}">
    <text>BLOCKED — Tabla normativa incompleta o inconsistente.
Target: Búsqueda de Significado Psicoproductivo
Necesitamos que el cliente proporcione o confirme la tabla completa de baremos, deciles 1 a 10. Los valores actuales no permiten reconstruir este resultado con certeza.
No corregir ni sustituir los valores; mantener este target bloqueado hasta recibir confirmación.</text>
  </threadedComment>
  <threadedComment ref="GL53" dT="2026-08-14T14:19:04.59" personId="{217BBBE0-00A4-4C2A-B449-4042D41AD0B4}" id="{C84F763A-74C6-4F46-A33C-41ED0F1BFC2E}">
    <text>BLOCKED — Tabla normativa incompleta o inconsistente.
Target: Cuadrantes
Necesitamos que el cliente proporcione o confirme la tabla completa de baremos, deciles 1 a 10. Los valores actuales no permiten reconstruir este resultado con certeza.
No corregir ni sustituir los valores; mantener este target bloqueado hasta recibir confirmación.</text>
  </threadedComment>
  <threadedComment ref="GN53" dT="2026-08-14T14:22:03.27" personId="{217BBBE0-00A4-4C2A-B449-4042D41AD0B4}" id="{BE019453-8D99-4912-9F97-92AFA19A775E}">
    <text>PENDIENTE / BLOCKED — Gestión de recursos no está incluida en el archivo actual. La documentación menciona 31 preguntas Likert de cinco niveles, pero se reporta un formulario con 25 afirmaciones puntuables. Confirmar si la versión definitiva contiene 25 o 31 preguntas. Si son 31, solicitar las seis preguntas faltantes y su orden. No inventar ni calificar esta sección hasta recibir confirmación.</text>
  </threadedComment>
  <threadedComment ref="FZ81" dT="2026-08-14T14:16:09.33" personId="{217BBBE0-00A4-4C2A-B449-4042D41AD0B4}" id="{F0277547-A749-4FE3-84C7-BAC876FD3EE1}">
    <text>WARNING — Punto de corte duplicado en deciles consecutivos.
Target: Percepción Interpersonal
Deciles/posiciones: 2 y 3
Punto de corte compartido: 2
Pendiente confirmar si es intencional. Conservar exactamente como está mientras se valida.</text>
  </threadedComment>
  <threadedComment ref="DV84" dT="2026-08-14T14:15:59.40" personId="{217BBBE0-00A4-4C2A-B449-4042D41AD0B4}" id="{34D10FD2-8907-4504-A309-479F9EEBC2D7}">
    <text>WARNING — Punto de corte duplicado en deciles consecutivos.
Target: Adaptación
Deciles/posiciones: 0.4 y 0.5
Punto de corte compartido: 12
Pendiente confirmar si es intencional. Conservar exactamente como está mientras se valida.</text>
  </threadedComment>
  <threadedComment ref="EF84" dT="2026-08-14T14:16:00.25" personId="{217BBBE0-00A4-4C2A-B449-4042D41AD0B4}" id="{CC0D03EA-55B5-4CBD-AB32-281A40758F00}">
    <text>WARNING — Punto de corte duplicado en deciles consecutivos.
Target: Superación
Deciles/posiciones: 5 y 6
Punto de corte compartido: 11
Pendiente confirmar si es intencional. Conservar exactamente como está mientras se valida.</text>
  </threadedComment>
  <threadedComment ref="GD84" dT="2026-08-14T14:16:12.34" personId="{217BBBE0-00A4-4C2A-B449-4042D41AD0B4}" id="{D4839309-78D1-43D8-B909-649EC1BCBBA2}">
    <text>WARNING — Punto de corte duplicado en deciles consecutivos.
Target: Consciencia del Entorno
Deciles/posiciones: 5 y 6
Punto de corte compartido: 9
Pendiente confirmar si es intencional. Conservar exactamente como está mientras se valida.</text>
  </threadedComment>
  <threadedComment ref="HL84" dT="2026-08-14T14:16:42.74" personId="{217BBBE0-00A4-4C2A-B449-4042D41AD0B4}" id="{885FEDF4-9414-416E-8872-CDF1CBEC1D76}">
    <text>WARNING — Punto de corte duplicado en deciles consecutivos.
Target: Sentido de contribución
Deciles/posiciones: 5 y 6
Punto de corte compartido: 8
Pendiente confirmar si es intencional. Conservar exactamente como está mientras se valida.</text>
  </threadedComment>
  <threadedComment ref="EP85" dT="2026-08-14T14:16:02.83" personId="{217BBBE0-00A4-4C2A-B449-4042D41AD0B4}" id="{C1A9E5F7-C70C-462A-A076-E5C07240F7EB}">
    <text>WARNING — Punto de corte duplicado en deciles consecutivos.
Target: Autocontrol
Deciles/posiciones: 6 y 7
Punto de corte compartido: 11
Pendiente confirmar si es intencional. Conservar exactamente como está mientras se valida.</text>
  </threadedComment>
  <threadedComment ref="GJ85" dT="2026-08-14T14:16:15.95" personId="{217BBBE0-00A4-4C2A-B449-4042D41AD0B4}" id="{18F53EF3-F3EC-4324-8814-21675D3F1A97}">
    <text>WARNING — Punto de corte duplicado en deciles consecutivos.
Target: Anticipación
Deciles/posiciones: 6 y 7
Punto de corte compartido: 14
Pendiente confirmar si es intencional. Conservar exactamente como está mientras se valida.</text>
  </threadedComment>
  <threadedComment ref="HB85" dT="2026-08-14T14:16:30.07" personId="{217BBBE0-00A4-4C2A-B449-4042D41AD0B4}" id="{9DE29D54-2F34-4D54-87CB-14923B1ADF98}">
    <text>WARNING — Punto de corte duplicado en deciles consecutivos.
Target: Alineamiento de Acciones
Deciles/posiciones: 6 y 7
Punto de corte compartido: 11
Pendiente confirmar si es intencional. Conservar exactamente como está mientras se valida.</text>
  </threadedComment>
  <threadedComment ref="HJ85" dT="2026-08-14T14:16:36.04" personId="{217BBBE0-00A4-4C2A-B449-4042D41AD0B4}" id="{F27D7650-3EBC-48B2-8447-5BD3E103EF2E}">
    <text>WARNING — Punto de corte duplicado en deciles consecutivos.
Target: Aprovechamiento de Talentos
Deciles/posiciones: 6 y 7
Punto de corte compartido: 14
Pendiente confirmar si es intencional. Conservar exactamente como está mientras se valida.</text>
  </threadedComment>
  <threadedComment ref="EN86" dT="2026-08-14T14:16:01.41" personId="{217BBBE0-00A4-4C2A-B449-4042D41AD0B4}" id="{277FFECE-B620-4953-94C0-A63A66471994}">
    <text>WARNING — Punto de corte duplicado en deciles consecutivos.
Target: Autoconocimiento
Deciles/posiciones: 7 y 8
Punto de corte compartido: 12
Pendiente confirmar si es intencional. Conservar exactamente como está mientras se valida.</text>
  </threadedComment>
  <threadedComment ref="FH86" dT="2026-08-14T14:16:04.65" personId="{217BBBE0-00A4-4C2A-B449-4042D41AD0B4}" id="{8CDE668D-793C-47EE-AD72-7EED932FE2B3}">
    <text>WARNING — Punto de corte duplicado en deciles consecutivos.
Target: Esfuerzo
Deciles/posiciones: 7 y 8
Punto de corte compartido: 17
Pendiente confirmar si es intencional. Conservar exactamente como está mientras se valida.</text>
  </threadedComment>
  <threadedComment ref="GT86" dT="2026-08-14T14:16:24.75" personId="{217BBBE0-00A4-4C2A-B449-4042D41AD0B4}" id="{2E2040FB-41F3-4030-A426-79C00A2D8E13}">
    <text>WARNING — Punto de corte duplicado en deciles consecutivos.
Target: Recuperación
Deciles/posiciones: 7 y 8
Punto de corte compartido: 16
Pendiente confirmar si es intencional. Conservar exactamente como está mientras se valida.</text>
  </threadedComment>
  <threadedComment ref="FR88" dT="2026-08-14T14:16:06.79" personId="{217BBBE0-00A4-4C2A-B449-4042D41AD0B4}" id="{93F5A2D7-D0B5-4BBF-BB5C-8722DE357081}">
    <text>WARNING — Punto de corte duplicado en deciles consecutivos.
Target: Compromiso
Deciles/posiciones: 9 y 10
Punto de corte compartido: 18
Pendiente confirmar si es intencional. Conservar exactamente como está mientras se valida.</text>
  </threadedComment>
  <threadedComment ref="GL88" dT="2026-08-14T14:16:20.02" personId="{217BBBE0-00A4-4C2A-B449-4042D41AD0B4}" id="{FD311DE4-318B-41A1-88CA-365FE838CC90}">
    <text>WARNING — Punto de corte duplicado en deciles consecutivos.
Target: Participación
Deciles/posiciones: 9 y 10
Punto de corte compartido: 16
Pendiente confirmar si es intencional. Conservar exactamente como está mientras se valida.</text>
  </threadedComment>
  <threadedComment ref="GJ91" dT="2026-08-14T14:19:04.73" personId="{217BBBE0-00A4-4C2A-B449-4042D41AD0B4}" id="{F96CAF51-54D3-4C0A-82D8-5AD65884D7B3}">
    <text>BLOCKED — Tabla normativa incompleta o inconsistente.
Target: Búsqueda de Significado Psicoproductivo
Necesitamos que el cliente proporcione o confirme la tabla completa de baremos, deciles 1 a 10. Los valores actuales no permiten reconstruir este resultado con certeza.
No corregir ni sustituir los valores; mantener este target bloqueado hasta recibir confirmación.</text>
  </threadedComment>
  <threadedComment ref="GL91" dT="2026-08-14T14:19:04.90" personId="{217BBBE0-00A4-4C2A-B449-4042D41AD0B4}" id="{334875F1-FFD2-449A-8032-11E7F21B0D1F}">
    <text>BLOCKED — Tabla normativa incompleta o inconsistente.
Target: Cuadrantes
Necesitamos que el cliente proporcione o confirme la tabla completa de baremos, deciles 1 a 10. Los valores actuales no permiten reconstruir este resultado con certeza.
No corregir ni sustituir los valores; mantener este target bloqueado hasta recibir confirmación.</text>
  </threadedComment>
  <threadedComment ref="GN91" dT="2026-08-14T14:22:03.63" personId="{217BBBE0-00A4-4C2A-B449-4042D41AD0B4}" id="{A3A6E56F-B353-42EF-AB2A-4C290F2AF506}">
    <text>PENDIENTE / BLOCKED — Gestión de recursos no está incluida en el archivo actual. La documentación menciona 31 preguntas Likert de cinco niveles, pero se reporta un formulario con 25 afirmaciones puntuables. Confirmar si la versión definitiva contiene 25 o 31 preguntas. Si son 31, solicitar las seis preguntas faltantes y su orden. No inventar ni calificar esta sección hasta recibir confirmación.</text>
  </threadedComment>
</ThreadedComment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BAC052-BFFF-1D42-8528-F92AAC484E75}">
  <sheetPr codeName="Hoja8">
    <tabColor theme="8" tint="-0.249977111117893"/>
  </sheetPr>
  <dimension ref="A1:F47"/>
  <sheetViews>
    <sheetView workbookViewId="0">
      <selection activeCell="I7" sqref="I7"/>
    </sheetView>
  </sheetViews>
  <sheetFormatPr baseColWidth="10" defaultRowHeight="14.4"/>
  <sheetData>
    <row r="1" spans="1:6">
      <c r="A1" t="s">
        <v>397</v>
      </c>
      <c r="B1" t="s">
        <v>396</v>
      </c>
      <c r="C1" t="s">
        <v>1090</v>
      </c>
      <c r="D1" t="s">
        <v>1099</v>
      </c>
      <c r="E1" t="s">
        <v>1106</v>
      </c>
      <c r="F1" t="s">
        <v>1113</v>
      </c>
    </row>
    <row r="2" spans="1:6">
      <c r="C2" t="s">
        <v>1091</v>
      </c>
      <c r="D2" t="s">
        <v>1100</v>
      </c>
      <c r="E2" t="s">
        <v>1107</v>
      </c>
      <c r="F2" t="s">
        <v>1114</v>
      </c>
    </row>
    <row r="3" spans="1:6">
      <c r="C3" t="s">
        <v>1092</v>
      </c>
      <c r="D3" t="s">
        <v>1101</v>
      </c>
      <c r="E3" t="s">
        <v>1108</v>
      </c>
      <c r="F3" t="s">
        <v>1115</v>
      </c>
    </row>
    <row r="4" spans="1:6">
      <c r="C4" t="s">
        <v>694</v>
      </c>
      <c r="D4" t="s">
        <v>694</v>
      </c>
      <c r="E4" t="s">
        <v>694</v>
      </c>
      <c r="F4" t="s">
        <v>1116</v>
      </c>
    </row>
    <row r="5" spans="1:6">
      <c r="C5" t="s">
        <v>618</v>
      </c>
      <c r="D5" t="s">
        <v>618</v>
      </c>
      <c r="E5" t="s">
        <v>618</v>
      </c>
      <c r="F5" t="s">
        <v>618</v>
      </c>
    </row>
    <row r="6" spans="1:6">
      <c r="C6">
        <v>23</v>
      </c>
      <c r="D6">
        <v>26</v>
      </c>
      <c r="E6">
        <v>41</v>
      </c>
      <c r="F6">
        <v>27</v>
      </c>
    </row>
    <row r="7" spans="1:6">
      <c r="C7" t="s">
        <v>1093</v>
      </c>
      <c r="D7" t="s">
        <v>1102</v>
      </c>
      <c r="E7" t="s">
        <v>1109</v>
      </c>
      <c r="F7" t="s">
        <v>1117</v>
      </c>
    </row>
    <row r="8" spans="1:6">
      <c r="C8" t="s">
        <v>1087</v>
      </c>
      <c r="D8" t="s">
        <v>1087</v>
      </c>
      <c r="E8" t="s">
        <v>1087</v>
      </c>
      <c r="F8" t="s">
        <v>1118</v>
      </c>
    </row>
    <row r="9" spans="1:6">
      <c r="C9" t="s">
        <v>1094</v>
      </c>
      <c r="D9" t="s">
        <v>1103</v>
      </c>
      <c r="E9" t="s">
        <v>1110</v>
      </c>
      <c r="F9" t="s">
        <v>1119</v>
      </c>
    </row>
    <row r="10" spans="1:6">
      <c r="C10" t="s">
        <v>1095</v>
      </c>
      <c r="D10" t="s">
        <v>1104</v>
      </c>
      <c r="E10" t="s">
        <v>1111</v>
      </c>
      <c r="F10" t="s">
        <v>1120</v>
      </c>
    </row>
    <row r="11" spans="1:6">
      <c r="C11" t="s">
        <v>1096</v>
      </c>
      <c r="D11" t="s">
        <v>1105</v>
      </c>
      <c r="E11" t="s">
        <v>1112</v>
      </c>
      <c r="F11" t="s">
        <v>1121</v>
      </c>
    </row>
    <row r="12" spans="1:6">
      <c r="C12" t="s">
        <v>1097</v>
      </c>
      <c r="D12" t="s">
        <v>1088</v>
      </c>
      <c r="E12" t="s">
        <v>1097</v>
      </c>
      <c r="F12" t="s">
        <v>1097</v>
      </c>
    </row>
    <row r="13" spans="1:6">
      <c r="C13" t="s">
        <v>1098</v>
      </c>
      <c r="D13" t="s">
        <v>1089</v>
      </c>
      <c r="E13" t="s">
        <v>1089</v>
      </c>
      <c r="F13" t="s">
        <v>693</v>
      </c>
    </row>
    <row r="14" spans="1:6">
      <c r="C14" t="s">
        <v>459</v>
      </c>
      <c r="D14" t="s">
        <v>459</v>
      </c>
      <c r="E14" t="s">
        <v>459</v>
      </c>
      <c r="F14" t="s">
        <v>459</v>
      </c>
    </row>
    <row r="15" spans="1:6">
      <c r="A15" t="s">
        <v>527</v>
      </c>
      <c r="B15" t="s">
        <v>143</v>
      </c>
      <c r="C15">
        <v>6</v>
      </c>
      <c r="D15">
        <v>10</v>
      </c>
      <c r="E15">
        <v>6</v>
      </c>
      <c r="F15">
        <v>6</v>
      </c>
    </row>
    <row r="16" spans="1:6">
      <c r="A16" t="s">
        <v>527</v>
      </c>
      <c r="B16" t="s">
        <v>17</v>
      </c>
      <c r="C16">
        <v>1</v>
      </c>
      <c r="D16">
        <v>2</v>
      </c>
      <c r="E16">
        <v>6</v>
      </c>
      <c r="F16">
        <v>5</v>
      </c>
    </row>
    <row r="17" spans="1:6">
      <c r="A17" t="s">
        <v>523</v>
      </c>
      <c r="B17" t="s">
        <v>686</v>
      </c>
      <c r="C17">
        <v>10</v>
      </c>
      <c r="D17">
        <v>3</v>
      </c>
      <c r="E17">
        <v>8</v>
      </c>
      <c r="F17">
        <v>9</v>
      </c>
    </row>
    <row r="18" spans="1:6">
      <c r="A18" t="s">
        <v>523</v>
      </c>
      <c r="B18" t="s">
        <v>391</v>
      </c>
      <c r="C18">
        <v>9</v>
      </c>
      <c r="D18">
        <v>9</v>
      </c>
      <c r="E18">
        <v>3</v>
      </c>
      <c r="F18">
        <v>10</v>
      </c>
    </row>
    <row r="19" spans="1:6">
      <c r="A19" t="s">
        <v>524</v>
      </c>
      <c r="B19" t="s">
        <v>569</v>
      </c>
      <c r="C19">
        <v>10</v>
      </c>
      <c r="D19">
        <v>9</v>
      </c>
      <c r="E19">
        <v>6</v>
      </c>
      <c r="F19">
        <v>2</v>
      </c>
    </row>
    <row r="20" spans="1:6">
      <c r="A20" t="s">
        <v>524</v>
      </c>
      <c r="B20" t="s">
        <v>465</v>
      </c>
      <c r="C20">
        <v>8</v>
      </c>
      <c r="D20">
        <v>6</v>
      </c>
      <c r="E20">
        <v>5</v>
      </c>
      <c r="F20">
        <v>5</v>
      </c>
    </row>
    <row r="21" spans="1:6">
      <c r="A21" t="s">
        <v>528</v>
      </c>
      <c r="B21" t="s">
        <v>106</v>
      </c>
      <c r="C21">
        <v>10</v>
      </c>
      <c r="D21">
        <v>7</v>
      </c>
      <c r="E21">
        <v>6</v>
      </c>
      <c r="F21">
        <v>7</v>
      </c>
    </row>
    <row r="22" spans="1:6">
      <c r="A22" t="s">
        <v>528</v>
      </c>
      <c r="B22" t="s">
        <v>393</v>
      </c>
      <c r="C22">
        <v>10</v>
      </c>
      <c r="D22">
        <v>8</v>
      </c>
      <c r="E22">
        <v>10</v>
      </c>
      <c r="F22">
        <v>10</v>
      </c>
    </row>
    <row r="23" spans="1:6">
      <c r="A23" t="s">
        <v>529</v>
      </c>
      <c r="B23" t="s">
        <v>474</v>
      </c>
      <c r="C23">
        <v>10</v>
      </c>
      <c r="D23">
        <v>7</v>
      </c>
      <c r="E23">
        <v>5</v>
      </c>
      <c r="F23">
        <v>10</v>
      </c>
    </row>
    <row r="24" spans="1:6">
      <c r="A24" t="s">
        <v>529</v>
      </c>
      <c r="B24" t="s">
        <v>469</v>
      </c>
      <c r="C24">
        <v>1</v>
      </c>
      <c r="D24">
        <v>10</v>
      </c>
      <c r="E24">
        <v>9</v>
      </c>
      <c r="F24">
        <v>4</v>
      </c>
    </row>
    <row r="25" spans="1:6">
      <c r="A25" t="s">
        <v>526</v>
      </c>
      <c r="B25" t="s">
        <v>63</v>
      </c>
      <c r="C25">
        <v>10</v>
      </c>
      <c r="D25">
        <v>6</v>
      </c>
      <c r="E25">
        <v>6</v>
      </c>
      <c r="F25">
        <v>8</v>
      </c>
    </row>
    <row r="26" spans="1:6">
      <c r="A26" t="s">
        <v>526</v>
      </c>
      <c r="B26" t="s">
        <v>621</v>
      </c>
      <c r="C26">
        <v>10</v>
      </c>
      <c r="D26">
        <v>8</v>
      </c>
      <c r="E26">
        <v>6</v>
      </c>
      <c r="F26">
        <v>7</v>
      </c>
    </row>
    <row r="27" spans="1:6">
      <c r="A27" t="s">
        <v>525</v>
      </c>
      <c r="B27" t="s">
        <v>475</v>
      </c>
      <c r="C27">
        <v>4</v>
      </c>
      <c r="D27">
        <v>2</v>
      </c>
      <c r="E27">
        <v>9</v>
      </c>
      <c r="F27">
        <v>9</v>
      </c>
    </row>
    <row r="28" spans="1:6">
      <c r="A28" t="s">
        <v>525</v>
      </c>
      <c r="B28" t="s">
        <v>392</v>
      </c>
      <c r="C28">
        <v>4</v>
      </c>
      <c r="D28">
        <v>5</v>
      </c>
      <c r="E28">
        <v>7</v>
      </c>
      <c r="F28">
        <v>7</v>
      </c>
    </row>
    <row r="29" spans="1:6">
      <c r="A29" t="s">
        <v>530</v>
      </c>
      <c r="B29" t="s">
        <v>442</v>
      </c>
      <c r="C29">
        <v>8</v>
      </c>
      <c r="D29">
        <v>10</v>
      </c>
      <c r="E29">
        <v>4</v>
      </c>
      <c r="F29">
        <v>9</v>
      </c>
    </row>
    <row r="30" spans="1:6">
      <c r="A30" t="s">
        <v>530</v>
      </c>
      <c r="B30" t="s">
        <v>620</v>
      </c>
      <c r="C30">
        <v>9</v>
      </c>
      <c r="D30">
        <v>5</v>
      </c>
      <c r="E30">
        <v>2</v>
      </c>
      <c r="F30">
        <v>6</v>
      </c>
    </row>
    <row r="31" spans="1:6">
      <c r="A31" t="s">
        <v>446</v>
      </c>
      <c r="B31" t="s">
        <v>446</v>
      </c>
      <c r="C31">
        <v>4</v>
      </c>
      <c r="D31">
        <v>1</v>
      </c>
      <c r="E31">
        <v>4</v>
      </c>
      <c r="F31">
        <v>8</v>
      </c>
    </row>
    <row r="32" spans="1:6">
      <c r="A32" t="s">
        <v>625</v>
      </c>
      <c r="B32" t="s">
        <v>625</v>
      </c>
      <c r="C32">
        <v>1</v>
      </c>
      <c r="D32">
        <v>3</v>
      </c>
      <c r="E32">
        <v>4</v>
      </c>
      <c r="F32">
        <v>5</v>
      </c>
    </row>
    <row r="33" spans="1:6">
      <c r="A33" t="s">
        <v>394</v>
      </c>
      <c r="B33" t="s">
        <v>394</v>
      </c>
      <c r="C33">
        <v>7</v>
      </c>
      <c r="D33">
        <v>5</v>
      </c>
      <c r="E33">
        <v>7</v>
      </c>
      <c r="F33">
        <v>6</v>
      </c>
    </row>
    <row r="34" spans="1:6">
      <c r="A34" t="s">
        <v>466</v>
      </c>
      <c r="B34" t="s">
        <v>466</v>
      </c>
      <c r="C34">
        <v>10</v>
      </c>
      <c r="D34">
        <v>10</v>
      </c>
      <c r="E34">
        <v>10</v>
      </c>
      <c r="F34">
        <v>9</v>
      </c>
    </row>
    <row r="35" spans="1:6">
      <c r="A35" t="s">
        <v>531</v>
      </c>
      <c r="B35" t="s">
        <v>531</v>
      </c>
      <c r="C35">
        <v>6</v>
      </c>
      <c r="D35">
        <v>2</v>
      </c>
      <c r="E35">
        <v>4</v>
      </c>
      <c r="F35">
        <v>4</v>
      </c>
    </row>
    <row r="36" spans="1:6">
      <c r="A36" t="s">
        <v>682</v>
      </c>
      <c r="B36" t="s">
        <v>682</v>
      </c>
      <c r="C36">
        <v>2</v>
      </c>
      <c r="D36">
        <v>8</v>
      </c>
      <c r="E36">
        <v>1</v>
      </c>
      <c r="F36">
        <v>6</v>
      </c>
    </row>
    <row r="37" spans="1:6">
      <c r="A37" t="s">
        <v>536</v>
      </c>
      <c r="B37" t="s">
        <v>536</v>
      </c>
      <c r="C37">
        <v>8</v>
      </c>
      <c r="D37">
        <v>8</v>
      </c>
      <c r="E37">
        <v>5</v>
      </c>
      <c r="F37">
        <v>5</v>
      </c>
    </row>
    <row r="38" spans="1:6">
      <c r="A38" t="s">
        <v>571</v>
      </c>
      <c r="B38" t="s">
        <v>571</v>
      </c>
      <c r="C38">
        <v>6</v>
      </c>
      <c r="D38">
        <v>10</v>
      </c>
      <c r="E38">
        <v>6</v>
      </c>
      <c r="F38">
        <v>4</v>
      </c>
    </row>
    <row r="39" spans="1:6">
      <c r="A39" t="s">
        <v>549</v>
      </c>
      <c r="B39" t="s">
        <v>549</v>
      </c>
      <c r="C39">
        <v>8</v>
      </c>
      <c r="D39">
        <v>2</v>
      </c>
      <c r="E39">
        <v>8</v>
      </c>
      <c r="F39">
        <v>2</v>
      </c>
    </row>
    <row r="40" spans="1:6">
      <c r="A40" t="s">
        <v>390</v>
      </c>
      <c r="B40" t="s">
        <v>390</v>
      </c>
      <c r="C40">
        <v>2</v>
      </c>
      <c r="D40">
        <v>6</v>
      </c>
      <c r="E40">
        <v>1</v>
      </c>
      <c r="F40">
        <v>8</v>
      </c>
    </row>
    <row r="41" spans="1:6">
      <c r="A41" t="s">
        <v>515</v>
      </c>
      <c r="B41" t="s">
        <v>515</v>
      </c>
      <c r="C41">
        <v>1</v>
      </c>
      <c r="D41">
        <v>1</v>
      </c>
      <c r="E41">
        <v>2</v>
      </c>
      <c r="F41">
        <v>4</v>
      </c>
    </row>
    <row r="42" spans="1:6">
      <c r="A42" t="s">
        <v>467</v>
      </c>
      <c r="B42" t="s">
        <v>467</v>
      </c>
      <c r="C42">
        <v>6</v>
      </c>
      <c r="D42">
        <v>9</v>
      </c>
      <c r="E42">
        <v>10</v>
      </c>
      <c r="F42">
        <v>7</v>
      </c>
    </row>
    <row r="43" spans="1:6">
      <c r="A43" t="s">
        <v>680</v>
      </c>
      <c r="B43" t="s">
        <v>1079</v>
      </c>
      <c r="C43">
        <v>1</v>
      </c>
      <c r="D43">
        <v>8</v>
      </c>
      <c r="E43">
        <v>2</v>
      </c>
      <c r="F43">
        <v>6</v>
      </c>
    </row>
    <row r="44" spans="1:6">
      <c r="A44" t="s">
        <v>472</v>
      </c>
      <c r="B44" t="s">
        <v>472</v>
      </c>
      <c r="C44">
        <v>10</v>
      </c>
      <c r="D44">
        <v>6</v>
      </c>
      <c r="E44">
        <v>6</v>
      </c>
      <c r="F44">
        <v>5</v>
      </c>
    </row>
    <row r="45" spans="1:6">
      <c r="A45" t="s">
        <v>24</v>
      </c>
      <c r="B45" t="s">
        <v>24</v>
      </c>
      <c r="C45">
        <v>1</v>
      </c>
      <c r="D45">
        <v>8</v>
      </c>
      <c r="E45">
        <v>8</v>
      </c>
      <c r="F45">
        <v>4</v>
      </c>
    </row>
    <row r="46" spans="1:6">
      <c r="A46" t="s">
        <v>547</v>
      </c>
      <c r="B46" t="s">
        <v>547</v>
      </c>
      <c r="C46">
        <v>1</v>
      </c>
      <c r="D46">
        <v>9</v>
      </c>
      <c r="E46">
        <v>1</v>
      </c>
      <c r="F46">
        <v>9</v>
      </c>
    </row>
    <row r="47" spans="1:6">
      <c r="A47" t="s">
        <v>30</v>
      </c>
      <c r="B47" t="s">
        <v>30</v>
      </c>
      <c r="C47">
        <v>3</v>
      </c>
      <c r="D47">
        <v>8</v>
      </c>
      <c r="E47">
        <v>8</v>
      </c>
      <c r="F47">
        <v>2</v>
      </c>
    </row>
  </sheetData>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tabColor theme="8" tint="-0.249977111117893"/>
  </sheetPr>
  <dimension ref="A1:MK1"/>
  <sheetViews>
    <sheetView workbookViewId="0">
      <selection activeCell="A2" sqref="A2"/>
    </sheetView>
  </sheetViews>
  <sheetFormatPr baseColWidth="10" defaultRowHeight="14.4"/>
  <sheetData>
    <row r="1" spans="1:349" s="1" customFormat="1">
      <c r="A1" s="1" t="s">
        <v>0</v>
      </c>
      <c r="B1" s="1" t="s">
        <v>1</v>
      </c>
      <c r="C1" s="1" t="s">
        <v>611</v>
      </c>
      <c r="D1" s="1" t="s">
        <v>2</v>
      </c>
      <c r="E1" s="1" t="s">
        <v>3</v>
      </c>
      <c r="F1" s="1" t="s">
        <v>4</v>
      </c>
      <c r="G1" s="1" t="s">
        <v>695</v>
      </c>
      <c r="H1" s="1" t="s">
        <v>5</v>
      </c>
      <c r="I1" s="1" t="s">
        <v>696</v>
      </c>
      <c r="J1" s="1" t="s">
        <v>697</v>
      </c>
      <c r="K1" s="1" t="s">
        <v>698</v>
      </c>
      <c r="L1" s="1" t="s">
        <v>699</v>
      </c>
      <c r="M1" s="1" t="s">
        <v>700</v>
      </c>
      <c r="N1" s="1" t="s">
        <v>701</v>
      </c>
      <c r="O1" s="1" t="s">
        <v>702</v>
      </c>
      <c r="P1" s="1" t="s">
        <v>703</v>
      </c>
      <c r="Q1" s="1" t="s">
        <v>704</v>
      </c>
      <c r="R1" s="1" t="s">
        <v>705</v>
      </c>
      <c r="S1" s="1" t="s">
        <v>706</v>
      </c>
      <c r="T1" s="1" t="s">
        <v>707</v>
      </c>
      <c r="U1" s="1" t="s">
        <v>708</v>
      </c>
      <c r="V1" s="1" t="s">
        <v>7</v>
      </c>
      <c r="W1" s="1" t="s">
        <v>709</v>
      </c>
      <c r="X1" s="1" t="s">
        <v>710</v>
      </c>
      <c r="Y1" s="1" t="s">
        <v>711</v>
      </c>
      <c r="Z1" s="1" t="s">
        <v>712</v>
      </c>
      <c r="AA1" s="1" t="s">
        <v>713</v>
      </c>
      <c r="AB1" s="1" t="s">
        <v>714</v>
      </c>
      <c r="AC1" s="1" t="s">
        <v>715</v>
      </c>
      <c r="AD1" s="1" t="s">
        <v>716</v>
      </c>
      <c r="AE1" s="1" t="s">
        <v>717</v>
      </c>
      <c r="AF1" s="1" t="s">
        <v>718</v>
      </c>
      <c r="AG1" s="1" t="s">
        <v>719</v>
      </c>
      <c r="AH1" s="1" t="s">
        <v>720</v>
      </c>
      <c r="AI1" s="1" t="s">
        <v>721</v>
      </c>
      <c r="AJ1" s="1" t="s">
        <v>722</v>
      </c>
      <c r="AK1" s="1" t="s">
        <v>723</v>
      </c>
      <c r="AL1" s="1" t="s">
        <v>724</v>
      </c>
      <c r="AM1" s="1" t="s">
        <v>725</v>
      </c>
      <c r="AN1" s="1" t="s">
        <v>726</v>
      </c>
      <c r="AO1" s="1" t="s">
        <v>727</v>
      </c>
      <c r="AP1" s="1" t="s">
        <v>728</v>
      </c>
      <c r="AQ1" s="1" t="s">
        <v>729</v>
      </c>
      <c r="AR1" s="1" t="s">
        <v>730</v>
      </c>
      <c r="AS1" s="1" t="s">
        <v>731</v>
      </c>
      <c r="AT1" s="1" t="s">
        <v>732</v>
      </c>
      <c r="AU1" s="1" t="s">
        <v>733</v>
      </c>
      <c r="AV1" s="1" t="s">
        <v>734</v>
      </c>
      <c r="AW1" s="1" t="s">
        <v>735</v>
      </c>
      <c r="AX1" s="1" t="s">
        <v>736</v>
      </c>
      <c r="AY1" s="1" t="s">
        <v>737</v>
      </c>
      <c r="AZ1" s="1" t="s">
        <v>738</v>
      </c>
      <c r="BA1" s="1" t="s">
        <v>739</v>
      </c>
      <c r="BB1" s="1" t="s">
        <v>740</v>
      </c>
      <c r="BC1" s="1" t="s">
        <v>741</v>
      </c>
      <c r="BD1" s="1" t="s">
        <v>742</v>
      </c>
      <c r="BE1" s="1" t="s">
        <v>743</v>
      </c>
      <c r="BF1" s="1" t="s">
        <v>744</v>
      </c>
      <c r="BG1" s="1" t="s">
        <v>745</v>
      </c>
      <c r="BH1" s="1" t="s">
        <v>746</v>
      </c>
      <c r="BI1" s="1" t="s">
        <v>747</v>
      </c>
      <c r="BJ1" s="1" t="s">
        <v>748</v>
      </c>
      <c r="BK1" s="1" t="s">
        <v>749</v>
      </c>
      <c r="BL1" s="1" t="s">
        <v>750</v>
      </c>
      <c r="BM1" s="1" t="s">
        <v>751</v>
      </c>
      <c r="BN1" s="1" t="s">
        <v>752</v>
      </c>
      <c r="BO1" s="1" t="s">
        <v>753</v>
      </c>
      <c r="BP1" s="1" t="s">
        <v>754</v>
      </c>
      <c r="BQ1" s="1" t="s">
        <v>755</v>
      </c>
      <c r="BR1" s="1" t="s">
        <v>756</v>
      </c>
      <c r="BS1" s="1" t="s">
        <v>757</v>
      </c>
      <c r="BT1" s="1" t="s">
        <v>758</v>
      </c>
      <c r="BU1" s="1" t="s">
        <v>759</v>
      </c>
      <c r="BV1" s="1" t="s">
        <v>760</v>
      </c>
      <c r="BW1" s="1" t="s">
        <v>761</v>
      </c>
      <c r="BX1" s="1" t="s">
        <v>762</v>
      </c>
      <c r="BY1" s="1" t="s">
        <v>763</v>
      </c>
      <c r="BZ1" s="1" t="s">
        <v>764</v>
      </c>
      <c r="CA1" s="1" t="s">
        <v>765</v>
      </c>
      <c r="CB1" s="1" t="s">
        <v>766</v>
      </c>
      <c r="CC1" s="1" t="s">
        <v>767</v>
      </c>
      <c r="CD1" s="1" t="s">
        <v>768</v>
      </c>
      <c r="CE1" s="1" t="s">
        <v>769</v>
      </c>
      <c r="CF1" s="1" t="s">
        <v>770</v>
      </c>
      <c r="CG1" s="1" t="s">
        <v>771</v>
      </c>
      <c r="CH1" s="1" t="s">
        <v>772</v>
      </c>
      <c r="CI1" s="1" t="s">
        <v>773</v>
      </c>
      <c r="CJ1" s="1" t="s">
        <v>774</v>
      </c>
      <c r="CK1" s="1" t="s">
        <v>775</v>
      </c>
      <c r="CL1" s="1" t="s">
        <v>776</v>
      </c>
      <c r="CM1" s="1" t="s">
        <v>777</v>
      </c>
      <c r="CN1" s="1" t="s">
        <v>778</v>
      </c>
      <c r="CO1" s="1" t="s">
        <v>779</v>
      </c>
      <c r="CP1" s="1" t="s">
        <v>780</v>
      </c>
      <c r="CQ1" s="1" t="s">
        <v>781</v>
      </c>
      <c r="CR1" s="1" t="s">
        <v>782</v>
      </c>
      <c r="CS1" s="1" t="s">
        <v>783</v>
      </c>
      <c r="CT1" s="1" t="s">
        <v>784</v>
      </c>
      <c r="CU1" s="1" t="s">
        <v>785</v>
      </c>
      <c r="CV1" s="1" t="s">
        <v>786</v>
      </c>
      <c r="CW1" s="1" t="s">
        <v>787</v>
      </c>
      <c r="CX1" s="1" t="s">
        <v>788</v>
      </c>
      <c r="CY1" s="1" t="s">
        <v>789</v>
      </c>
      <c r="CZ1" s="1" t="s">
        <v>790</v>
      </c>
      <c r="DA1" s="1" t="s">
        <v>791</v>
      </c>
      <c r="DB1" s="1" t="s">
        <v>792</v>
      </c>
      <c r="DC1" s="1" t="s">
        <v>793</v>
      </c>
      <c r="DD1" s="1" t="s">
        <v>794</v>
      </c>
      <c r="DE1" s="1" t="s">
        <v>795</v>
      </c>
      <c r="DF1" s="1" t="s">
        <v>796</v>
      </c>
      <c r="DG1" s="1" t="s">
        <v>797</v>
      </c>
      <c r="DH1" s="1" t="s">
        <v>798</v>
      </c>
      <c r="DI1" s="1" t="s">
        <v>799</v>
      </c>
      <c r="DJ1" s="1" t="s">
        <v>800</v>
      </c>
      <c r="DK1" s="1" t="s">
        <v>801</v>
      </c>
      <c r="DL1" s="1" t="s">
        <v>802</v>
      </c>
      <c r="DM1" s="1" t="s">
        <v>803</v>
      </c>
      <c r="DN1" s="1" t="s">
        <v>804</v>
      </c>
      <c r="DO1" s="1" t="s">
        <v>805</v>
      </c>
      <c r="DP1" s="1" t="s">
        <v>806</v>
      </c>
      <c r="DQ1" s="1" t="s">
        <v>807</v>
      </c>
      <c r="DR1" s="1" t="s">
        <v>808</v>
      </c>
      <c r="DS1" s="1" t="s">
        <v>809</v>
      </c>
      <c r="DT1" s="1" t="s">
        <v>810</v>
      </c>
      <c r="DU1" s="1" t="s">
        <v>811</v>
      </c>
      <c r="DV1" s="1" t="s">
        <v>812</v>
      </c>
      <c r="DW1" s="1" t="s">
        <v>813</v>
      </c>
      <c r="DX1" s="1" t="s">
        <v>814</v>
      </c>
      <c r="DY1" s="1" t="s">
        <v>815</v>
      </c>
      <c r="DZ1" s="1" t="s">
        <v>816</v>
      </c>
      <c r="EA1" s="1" t="s">
        <v>817</v>
      </c>
      <c r="EB1" s="1" t="s">
        <v>818</v>
      </c>
      <c r="EC1" s="1" t="s">
        <v>819</v>
      </c>
      <c r="ED1" s="1" t="s">
        <v>820</v>
      </c>
      <c r="EE1" s="1" t="s">
        <v>821</v>
      </c>
      <c r="EF1" s="1" t="s">
        <v>822</v>
      </c>
      <c r="EG1" s="1" t="s">
        <v>823</v>
      </c>
      <c r="EH1" s="1" t="s">
        <v>824</v>
      </c>
      <c r="EI1" s="1" t="s">
        <v>825</v>
      </c>
      <c r="EJ1" s="1" t="s">
        <v>826</v>
      </c>
      <c r="EK1" s="1" t="s">
        <v>827</v>
      </c>
      <c r="EL1" s="1" t="s">
        <v>828</v>
      </c>
      <c r="EM1" s="1" t="s">
        <v>829</v>
      </c>
      <c r="EN1" s="1" t="s">
        <v>830</v>
      </c>
      <c r="EO1" s="1" t="s">
        <v>831</v>
      </c>
      <c r="EP1" s="1" t="s">
        <v>832</v>
      </c>
      <c r="EQ1" s="1" t="s">
        <v>833</v>
      </c>
      <c r="ER1" s="1" t="s">
        <v>834</v>
      </c>
      <c r="ES1" s="1" t="s">
        <v>835</v>
      </c>
      <c r="ET1" s="1" t="s">
        <v>836</v>
      </c>
      <c r="EU1" s="1" t="s">
        <v>837</v>
      </c>
      <c r="EV1" s="1" t="s">
        <v>838</v>
      </c>
      <c r="EW1" s="1" t="s">
        <v>839</v>
      </c>
      <c r="EX1" s="1" t="s">
        <v>840</v>
      </c>
      <c r="EY1" s="1" t="s">
        <v>841</v>
      </c>
      <c r="EZ1" s="1" t="s">
        <v>842</v>
      </c>
      <c r="FA1" s="1" t="s">
        <v>843</v>
      </c>
      <c r="FB1" s="1" t="s">
        <v>844</v>
      </c>
      <c r="FC1" s="1" t="s">
        <v>845</v>
      </c>
      <c r="FD1" s="1" t="s">
        <v>846</v>
      </c>
      <c r="FE1" s="1" t="s">
        <v>847</v>
      </c>
      <c r="FF1" s="1" t="s">
        <v>848</v>
      </c>
      <c r="FG1" s="1" t="s">
        <v>849</v>
      </c>
      <c r="FH1" s="1" t="s">
        <v>850</v>
      </c>
      <c r="FI1" s="1" t="s">
        <v>851</v>
      </c>
      <c r="FJ1" s="1" t="s">
        <v>852</v>
      </c>
      <c r="FK1" s="1" t="s">
        <v>853</v>
      </c>
      <c r="FL1" s="1" t="s">
        <v>854</v>
      </c>
      <c r="FM1" s="1" t="s">
        <v>855</v>
      </c>
      <c r="FN1" s="1" t="s">
        <v>856</v>
      </c>
      <c r="FO1" s="1" t="s">
        <v>857</v>
      </c>
      <c r="FP1" s="1" t="s">
        <v>858</v>
      </c>
      <c r="FQ1" s="1" t="s">
        <v>859</v>
      </c>
      <c r="FR1" s="1" t="s">
        <v>860</v>
      </c>
      <c r="FS1" s="1" t="s">
        <v>861</v>
      </c>
      <c r="FT1" s="1" t="s">
        <v>862</v>
      </c>
      <c r="FU1" s="1" t="s">
        <v>863</v>
      </c>
      <c r="FV1" s="1" t="s">
        <v>864</v>
      </c>
      <c r="FW1" s="1" t="s">
        <v>865</v>
      </c>
      <c r="FX1" s="1" t="s">
        <v>866</v>
      </c>
      <c r="FY1" s="1" t="s">
        <v>867</v>
      </c>
      <c r="FZ1" s="1" t="s">
        <v>868</v>
      </c>
      <c r="GA1" s="1" t="s">
        <v>869</v>
      </c>
      <c r="GB1" s="1" t="s">
        <v>870</v>
      </c>
      <c r="GC1" s="1" t="s">
        <v>871</v>
      </c>
      <c r="GD1" s="1" t="s">
        <v>872</v>
      </c>
      <c r="GE1" s="1" t="s">
        <v>873</v>
      </c>
      <c r="GF1" s="1" t="s">
        <v>874</v>
      </c>
      <c r="GG1" s="1" t="s">
        <v>875</v>
      </c>
      <c r="GH1" s="1" t="s">
        <v>876</v>
      </c>
      <c r="GI1" s="1" t="s">
        <v>877</v>
      </c>
      <c r="GJ1" s="1" t="s">
        <v>878</v>
      </c>
      <c r="GK1" s="1" t="s">
        <v>879</v>
      </c>
      <c r="GL1" s="1" t="s">
        <v>880</v>
      </c>
      <c r="GM1" s="1" t="s">
        <v>881</v>
      </c>
      <c r="GN1" s="1" t="s">
        <v>882</v>
      </c>
      <c r="GO1" s="1" t="s">
        <v>883</v>
      </c>
      <c r="GP1" s="1" t="s">
        <v>884</v>
      </c>
      <c r="GQ1" s="1" t="s">
        <v>885</v>
      </c>
      <c r="GR1" s="1" t="s">
        <v>886</v>
      </c>
      <c r="GS1" s="1" t="s">
        <v>887</v>
      </c>
      <c r="GT1" s="1" t="s">
        <v>888</v>
      </c>
      <c r="GU1" s="1" t="s">
        <v>889</v>
      </c>
      <c r="GV1" s="1" t="s">
        <v>890</v>
      </c>
      <c r="GW1" s="1" t="s">
        <v>891</v>
      </c>
      <c r="GX1" s="1" t="s">
        <v>892</v>
      </c>
      <c r="GY1" s="1" t="s">
        <v>893</v>
      </c>
      <c r="GZ1" s="1" t="s">
        <v>894</v>
      </c>
      <c r="HA1" s="1" t="s">
        <v>895</v>
      </c>
      <c r="HB1" s="1" t="s">
        <v>896</v>
      </c>
      <c r="HC1" s="1" t="s">
        <v>897</v>
      </c>
      <c r="HD1" s="1" t="s">
        <v>898</v>
      </c>
      <c r="HE1" s="1" t="s">
        <v>899</v>
      </c>
      <c r="HF1" s="1" t="s">
        <v>900</v>
      </c>
      <c r="HG1" s="1" t="s">
        <v>901</v>
      </c>
      <c r="HH1" s="1" t="s">
        <v>902</v>
      </c>
      <c r="HI1" s="1" t="s">
        <v>903</v>
      </c>
      <c r="HJ1" s="1" t="s">
        <v>904</v>
      </c>
      <c r="HK1" s="1" t="s">
        <v>905</v>
      </c>
      <c r="HL1" s="1" t="s">
        <v>906</v>
      </c>
      <c r="HM1" s="1" t="s">
        <v>907</v>
      </c>
      <c r="HN1" s="1" t="s">
        <v>908</v>
      </c>
      <c r="HO1" s="1" t="s">
        <v>909</v>
      </c>
      <c r="HP1" s="1" t="s">
        <v>910</v>
      </c>
      <c r="HQ1" s="1" t="s">
        <v>911</v>
      </c>
      <c r="HR1" s="1" t="s">
        <v>912</v>
      </c>
      <c r="HS1" s="1" t="s">
        <v>913</v>
      </c>
      <c r="HT1" s="1" t="s">
        <v>914</v>
      </c>
      <c r="HU1" s="1" t="s">
        <v>915</v>
      </c>
      <c r="HV1" s="1" t="s">
        <v>916</v>
      </c>
      <c r="HW1" s="1" t="s">
        <v>917</v>
      </c>
      <c r="HX1" s="1" t="s">
        <v>918</v>
      </c>
      <c r="HY1" s="1" t="s">
        <v>919</v>
      </c>
      <c r="HZ1" s="1" t="s">
        <v>920</v>
      </c>
      <c r="IA1" s="1" t="s">
        <v>921</v>
      </c>
      <c r="IB1" s="1" t="s">
        <v>922</v>
      </c>
      <c r="IC1" s="1" t="s">
        <v>923</v>
      </c>
      <c r="ID1" s="1" t="s">
        <v>924</v>
      </c>
      <c r="IE1" s="1" t="s">
        <v>925</v>
      </c>
      <c r="IF1" s="1" t="s">
        <v>926</v>
      </c>
      <c r="IG1" s="1" t="s">
        <v>927</v>
      </c>
      <c r="IH1" s="1" t="s">
        <v>928</v>
      </c>
      <c r="II1" s="1" t="s">
        <v>929</v>
      </c>
      <c r="IJ1" s="1" t="s">
        <v>930</v>
      </c>
      <c r="IK1" s="1" t="s">
        <v>931</v>
      </c>
      <c r="IL1" s="1" t="s">
        <v>932</v>
      </c>
      <c r="IM1" s="1" t="s">
        <v>933</v>
      </c>
      <c r="IN1" s="1" t="s">
        <v>934</v>
      </c>
      <c r="IO1" s="1" t="s">
        <v>935</v>
      </c>
      <c r="IP1" s="1" t="s">
        <v>936</v>
      </c>
      <c r="IQ1" s="1" t="s">
        <v>937</v>
      </c>
      <c r="IR1" s="1" t="s">
        <v>938</v>
      </c>
      <c r="IS1" s="1" t="s">
        <v>939</v>
      </c>
      <c r="IT1" s="1" t="s">
        <v>940</v>
      </c>
      <c r="IU1" s="1" t="s">
        <v>941</v>
      </c>
      <c r="IV1" s="1" t="s">
        <v>942</v>
      </c>
      <c r="IW1" s="1" t="s">
        <v>943</v>
      </c>
      <c r="IX1" s="1" t="s">
        <v>944</v>
      </c>
      <c r="IY1" s="1" t="s">
        <v>945</v>
      </c>
      <c r="IZ1" s="1" t="s">
        <v>946</v>
      </c>
      <c r="JA1" s="1" t="s">
        <v>947</v>
      </c>
      <c r="JB1" s="1" t="s">
        <v>948</v>
      </c>
      <c r="JC1" s="1" t="s">
        <v>949</v>
      </c>
      <c r="JD1" s="1" t="s">
        <v>950</v>
      </c>
      <c r="JE1" s="1" t="s">
        <v>951</v>
      </c>
      <c r="JF1" s="1" t="s">
        <v>952</v>
      </c>
      <c r="JG1" s="1" t="s">
        <v>953</v>
      </c>
      <c r="JH1" s="1" t="s">
        <v>954</v>
      </c>
      <c r="JI1" s="1" t="s">
        <v>955</v>
      </c>
      <c r="JJ1" s="1" t="s">
        <v>956</v>
      </c>
      <c r="JK1" s="1" t="s">
        <v>957</v>
      </c>
      <c r="JL1" s="1" t="s">
        <v>958</v>
      </c>
      <c r="JM1" s="1" t="s">
        <v>959</v>
      </c>
      <c r="JN1" s="1" t="s">
        <v>960</v>
      </c>
      <c r="JO1" s="1" t="s">
        <v>961</v>
      </c>
      <c r="JP1" s="1" t="s">
        <v>962</v>
      </c>
      <c r="JQ1" s="1" t="s">
        <v>963</v>
      </c>
      <c r="JR1" s="1" t="s">
        <v>964</v>
      </c>
      <c r="JS1" s="1" t="s">
        <v>965</v>
      </c>
      <c r="JT1" s="1" t="s">
        <v>966</v>
      </c>
      <c r="JU1" s="1" t="s">
        <v>967</v>
      </c>
      <c r="JV1" s="1" t="s">
        <v>968</v>
      </c>
      <c r="JW1" s="1" t="s">
        <v>969</v>
      </c>
      <c r="JX1" s="1" t="s">
        <v>970</v>
      </c>
      <c r="JY1" s="1" t="s">
        <v>971</v>
      </c>
      <c r="JZ1" s="1" t="s">
        <v>972</v>
      </c>
      <c r="KA1" s="1" t="s">
        <v>973</v>
      </c>
      <c r="KB1" s="1" t="s">
        <v>974</v>
      </c>
      <c r="KC1" s="1" t="s">
        <v>975</v>
      </c>
      <c r="KD1" s="1" t="s">
        <v>976</v>
      </c>
      <c r="KE1" s="1" t="s">
        <v>977</v>
      </c>
      <c r="KF1" s="1" t="s">
        <v>978</v>
      </c>
      <c r="KG1" s="1" t="s">
        <v>979</v>
      </c>
      <c r="KH1" s="1" t="s">
        <v>980</v>
      </c>
      <c r="KI1" s="1" t="s">
        <v>981</v>
      </c>
      <c r="KJ1" s="1" t="s">
        <v>982</v>
      </c>
      <c r="KK1" s="1" t="s">
        <v>983</v>
      </c>
      <c r="KL1" s="1" t="s">
        <v>984</v>
      </c>
      <c r="KM1" s="1" t="s">
        <v>985</v>
      </c>
      <c r="KN1" s="1" t="s">
        <v>986</v>
      </c>
      <c r="KO1" s="1" t="s">
        <v>987</v>
      </c>
      <c r="KP1" s="1" t="s">
        <v>988</v>
      </c>
      <c r="KQ1" s="1" t="s">
        <v>989</v>
      </c>
      <c r="KR1" s="1" t="s">
        <v>990</v>
      </c>
      <c r="KS1" s="1" t="s">
        <v>991</v>
      </c>
      <c r="KT1" s="1" t="s">
        <v>992</v>
      </c>
      <c r="KU1" s="1" t="s">
        <v>993</v>
      </c>
      <c r="KV1" s="1" t="s">
        <v>994</v>
      </c>
      <c r="KW1" s="1" t="s">
        <v>995</v>
      </c>
      <c r="KX1" s="1" t="s">
        <v>996</v>
      </c>
      <c r="KY1" s="1" t="s">
        <v>997</v>
      </c>
      <c r="KZ1" s="1" t="s">
        <v>998</v>
      </c>
      <c r="LA1" s="1" t="s">
        <v>999</v>
      </c>
      <c r="LB1" s="1" t="s">
        <v>1000</v>
      </c>
      <c r="LC1" s="1" t="s">
        <v>1001</v>
      </c>
      <c r="LD1" s="1" t="s">
        <v>1002</v>
      </c>
      <c r="LE1" s="1" t="s">
        <v>1003</v>
      </c>
      <c r="LF1" s="1" t="s">
        <v>1004</v>
      </c>
      <c r="LG1" s="1" t="s">
        <v>1005</v>
      </c>
      <c r="LH1" s="1" t="s">
        <v>1006</v>
      </c>
      <c r="LI1" s="1" t="s">
        <v>1007</v>
      </c>
      <c r="LJ1" s="1" t="s">
        <v>1008</v>
      </c>
      <c r="LK1" s="1" t="s">
        <v>1009</v>
      </c>
      <c r="LL1" s="1" t="s">
        <v>1010</v>
      </c>
      <c r="LM1" s="1" t="s">
        <v>1011</v>
      </c>
      <c r="LN1" s="1" t="s">
        <v>1012</v>
      </c>
      <c r="LO1" s="1" t="s">
        <v>1013</v>
      </c>
      <c r="LP1" s="1" t="s">
        <v>1014</v>
      </c>
      <c r="LQ1" s="1" t="s">
        <v>1015</v>
      </c>
      <c r="LR1" s="1" t="s">
        <v>1016</v>
      </c>
      <c r="LS1" s="1" t="s">
        <v>1017</v>
      </c>
      <c r="LT1" s="1" t="s">
        <v>1018</v>
      </c>
      <c r="LU1" s="1" t="s">
        <v>1019</v>
      </c>
      <c r="LV1" s="1" t="s">
        <v>1020</v>
      </c>
      <c r="LW1" s="1" t="s">
        <v>1021</v>
      </c>
      <c r="LX1" s="1" t="s">
        <v>1022</v>
      </c>
      <c r="LY1" s="1" t="s">
        <v>1023</v>
      </c>
      <c r="LZ1" s="1" t="s">
        <v>1024</v>
      </c>
      <c r="MA1" s="1" t="s">
        <v>1025</v>
      </c>
      <c r="MB1" s="1" t="s">
        <v>1026</v>
      </c>
      <c r="MC1" s="1" t="s">
        <v>1027</v>
      </c>
      <c r="MD1" s="1" t="s">
        <v>1028</v>
      </c>
      <c r="ME1" s="1" t="s">
        <v>1029</v>
      </c>
      <c r="MF1" s="1" t="s">
        <v>1030</v>
      </c>
      <c r="MG1" s="1" t="s">
        <v>1031</v>
      </c>
      <c r="MH1" s="1" t="s">
        <v>1032</v>
      </c>
      <c r="MI1" s="1" t="s">
        <v>1033</v>
      </c>
      <c r="MJ1" s="1" t="s">
        <v>1034</v>
      </c>
      <c r="MK1" s="1" t="s">
        <v>1035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tabColor theme="8" tint="-0.249977111117893"/>
  </sheetPr>
  <dimension ref="A1:MK1"/>
  <sheetViews>
    <sheetView zoomScaleNormal="100" workbookViewId="0">
      <selection activeCell="A2" sqref="A2"/>
    </sheetView>
  </sheetViews>
  <sheetFormatPr baseColWidth="10" defaultRowHeight="14.4"/>
  <sheetData>
    <row r="1" spans="1:349" s="1" customFormat="1">
      <c r="A1" s="1" t="s">
        <v>0</v>
      </c>
      <c r="B1" s="1" t="s">
        <v>1</v>
      </c>
      <c r="C1" s="1" t="s">
        <v>611</v>
      </c>
      <c r="D1" s="1" t="s">
        <v>2</v>
      </c>
      <c r="E1" s="1" t="s">
        <v>3</v>
      </c>
      <c r="F1" s="1" t="s">
        <v>4</v>
      </c>
      <c r="G1" s="1" t="s">
        <v>695</v>
      </c>
      <c r="H1" s="1" t="s">
        <v>5</v>
      </c>
      <c r="I1" s="1" t="s">
        <v>696</v>
      </c>
      <c r="J1" s="1" t="s">
        <v>697</v>
      </c>
      <c r="K1" s="1" t="s">
        <v>698</v>
      </c>
      <c r="L1" s="1" t="s">
        <v>699</v>
      </c>
      <c r="M1" s="1" t="s">
        <v>700</v>
      </c>
      <c r="N1" s="1" t="s">
        <v>701</v>
      </c>
      <c r="O1" s="1" t="s">
        <v>702</v>
      </c>
      <c r="P1" s="1" t="s">
        <v>703</v>
      </c>
      <c r="Q1" s="1" t="s">
        <v>704</v>
      </c>
      <c r="R1" s="1" t="s">
        <v>705</v>
      </c>
      <c r="S1" s="1" t="s">
        <v>706</v>
      </c>
      <c r="T1" s="1" t="s">
        <v>707</v>
      </c>
      <c r="U1" s="1" t="s">
        <v>708</v>
      </c>
      <c r="V1" s="1" t="s">
        <v>7</v>
      </c>
      <c r="W1" s="1" t="s">
        <v>709</v>
      </c>
      <c r="X1" s="1" t="s">
        <v>710</v>
      </c>
      <c r="Y1" s="1" t="s">
        <v>711</v>
      </c>
      <c r="Z1" s="1" t="s">
        <v>712</v>
      </c>
      <c r="AA1" s="1" t="s">
        <v>713</v>
      </c>
      <c r="AB1" s="1" t="s">
        <v>714</v>
      </c>
      <c r="AC1" s="1" t="s">
        <v>715</v>
      </c>
      <c r="AD1" s="1" t="s">
        <v>716</v>
      </c>
      <c r="AE1" s="1" t="s">
        <v>717</v>
      </c>
      <c r="AF1" s="1" t="s">
        <v>718</v>
      </c>
      <c r="AG1" s="1" t="s">
        <v>719</v>
      </c>
      <c r="AH1" s="1" t="s">
        <v>720</v>
      </c>
      <c r="AI1" s="1" t="s">
        <v>721</v>
      </c>
      <c r="AJ1" s="1" t="s">
        <v>722</v>
      </c>
      <c r="AK1" s="1" t="s">
        <v>723</v>
      </c>
      <c r="AL1" s="1" t="s">
        <v>724</v>
      </c>
      <c r="AM1" s="1" t="s">
        <v>725</v>
      </c>
      <c r="AN1" s="1" t="s">
        <v>726</v>
      </c>
      <c r="AO1" s="1" t="s">
        <v>727</v>
      </c>
      <c r="AP1" s="1" t="s">
        <v>728</v>
      </c>
      <c r="AQ1" s="1" t="s">
        <v>729</v>
      </c>
      <c r="AR1" s="1" t="s">
        <v>730</v>
      </c>
      <c r="AS1" s="1" t="s">
        <v>731</v>
      </c>
      <c r="AT1" s="1" t="s">
        <v>732</v>
      </c>
      <c r="AU1" s="1" t="s">
        <v>733</v>
      </c>
      <c r="AV1" s="1" t="s">
        <v>734</v>
      </c>
      <c r="AW1" s="1" t="s">
        <v>735</v>
      </c>
      <c r="AX1" s="1" t="s">
        <v>736</v>
      </c>
      <c r="AY1" s="1" t="s">
        <v>737</v>
      </c>
      <c r="AZ1" s="1" t="s">
        <v>738</v>
      </c>
      <c r="BA1" s="1" t="s">
        <v>739</v>
      </c>
      <c r="BB1" s="1" t="s">
        <v>740</v>
      </c>
      <c r="BC1" s="1" t="s">
        <v>741</v>
      </c>
      <c r="BD1" s="1" t="s">
        <v>742</v>
      </c>
      <c r="BE1" s="1" t="s">
        <v>743</v>
      </c>
      <c r="BF1" s="1" t="s">
        <v>744</v>
      </c>
      <c r="BG1" s="1" t="s">
        <v>745</v>
      </c>
      <c r="BH1" s="1" t="s">
        <v>746</v>
      </c>
      <c r="BI1" s="1" t="s">
        <v>747</v>
      </c>
      <c r="BJ1" s="1" t="s">
        <v>748</v>
      </c>
      <c r="BK1" s="1" t="s">
        <v>749</v>
      </c>
      <c r="BL1" s="1" t="s">
        <v>750</v>
      </c>
      <c r="BM1" s="1" t="s">
        <v>751</v>
      </c>
      <c r="BN1" s="1" t="s">
        <v>752</v>
      </c>
      <c r="BO1" s="1" t="s">
        <v>753</v>
      </c>
      <c r="BP1" s="1" t="s">
        <v>754</v>
      </c>
      <c r="BQ1" s="1" t="s">
        <v>755</v>
      </c>
      <c r="BR1" s="1" t="s">
        <v>756</v>
      </c>
      <c r="BS1" s="1" t="s">
        <v>757</v>
      </c>
      <c r="BT1" s="1" t="s">
        <v>758</v>
      </c>
      <c r="BU1" s="1" t="s">
        <v>759</v>
      </c>
      <c r="BV1" s="1" t="s">
        <v>760</v>
      </c>
      <c r="BW1" s="1" t="s">
        <v>761</v>
      </c>
      <c r="BX1" s="1" t="s">
        <v>762</v>
      </c>
      <c r="BY1" s="1" t="s">
        <v>763</v>
      </c>
      <c r="BZ1" s="1" t="s">
        <v>764</v>
      </c>
      <c r="CA1" s="1" t="s">
        <v>765</v>
      </c>
      <c r="CB1" s="1" t="s">
        <v>766</v>
      </c>
      <c r="CC1" s="1" t="s">
        <v>767</v>
      </c>
      <c r="CD1" s="1" t="s">
        <v>768</v>
      </c>
      <c r="CE1" s="1" t="s">
        <v>769</v>
      </c>
      <c r="CF1" s="1" t="s">
        <v>770</v>
      </c>
      <c r="CG1" s="1" t="s">
        <v>771</v>
      </c>
      <c r="CH1" s="1" t="s">
        <v>772</v>
      </c>
      <c r="CI1" s="1" t="s">
        <v>773</v>
      </c>
      <c r="CJ1" s="1" t="s">
        <v>774</v>
      </c>
      <c r="CK1" s="1" t="s">
        <v>775</v>
      </c>
      <c r="CL1" s="1" t="s">
        <v>776</v>
      </c>
      <c r="CM1" s="1" t="s">
        <v>777</v>
      </c>
      <c r="CN1" s="1" t="s">
        <v>778</v>
      </c>
      <c r="CO1" s="1" t="s">
        <v>779</v>
      </c>
      <c r="CP1" s="1" t="s">
        <v>780</v>
      </c>
      <c r="CQ1" s="1" t="s">
        <v>781</v>
      </c>
      <c r="CR1" s="1" t="s">
        <v>782</v>
      </c>
      <c r="CS1" s="1" t="s">
        <v>783</v>
      </c>
      <c r="CT1" s="1" t="s">
        <v>784</v>
      </c>
      <c r="CU1" s="1" t="s">
        <v>785</v>
      </c>
      <c r="CV1" s="1" t="s">
        <v>786</v>
      </c>
      <c r="CW1" s="1" t="s">
        <v>787</v>
      </c>
      <c r="CX1" s="1" t="s">
        <v>788</v>
      </c>
      <c r="CY1" s="1" t="s">
        <v>789</v>
      </c>
      <c r="CZ1" s="1" t="s">
        <v>790</v>
      </c>
      <c r="DA1" s="1" t="s">
        <v>791</v>
      </c>
      <c r="DB1" s="1" t="s">
        <v>792</v>
      </c>
      <c r="DC1" s="1" t="s">
        <v>793</v>
      </c>
      <c r="DD1" s="1" t="s">
        <v>794</v>
      </c>
      <c r="DE1" s="1" t="s">
        <v>795</v>
      </c>
      <c r="DF1" s="1" t="s">
        <v>796</v>
      </c>
      <c r="DG1" s="1" t="s">
        <v>797</v>
      </c>
      <c r="DH1" s="1" t="s">
        <v>798</v>
      </c>
      <c r="DI1" s="1" t="s">
        <v>799</v>
      </c>
      <c r="DJ1" s="1" t="s">
        <v>800</v>
      </c>
      <c r="DK1" s="1" t="s">
        <v>801</v>
      </c>
      <c r="DL1" s="1" t="s">
        <v>802</v>
      </c>
      <c r="DM1" s="1" t="s">
        <v>803</v>
      </c>
      <c r="DN1" s="1" t="s">
        <v>804</v>
      </c>
      <c r="DO1" s="1" t="s">
        <v>805</v>
      </c>
      <c r="DP1" s="1" t="s">
        <v>806</v>
      </c>
      <c r="DQ1" s="1" t="s">
        <v>807</v>
      </c>
      <c r="DR1" s="1" t="s">
        <v>808</v>
      </c>
      <c r="DS1" s="1" t="s">
        <v>809</v>
      </c>
      <c r="DT1" s="1" t="s">
        <v>810</v>
      </c>
      <c r="DU1" s="1" t="s">
        <v>811</v>
      </c>
      <c r="DV1" s="1" t="s">
        <v>812</v>
      </c>
      <c r="DW1" s="1" t="s">
        <v>813</v>
      </c>
      <c r="DX1" s="1" t="s">
        <v>814</v>
      </c>
      <c r="DY1" s="1" t="s">
        <v>815</v>
      </c>
      <c r="DZ1" s="1" t="s">
        <v>816</v>
      </c>
      <c r="EA1" s="1" t="s">
        <v>817</v>
      </c>
      <c r="EB1" s="1" t="s">
        <v>818</v>
      </c>
      <c r="EC1" s="1" t="s">
        <v>819</v>
      </c>
      <c r="ED1" s="1" t="s">
        <v>820</v>
      </c>
      <c r="EE1" s="1" t="s">
        <v>821</v>
      </c>
      <c r="EF1" s="1" t="s">
        <v>822</v>
      </c>
      <c r="EG1" s="1" t="s">
        <v>823</v>
      </c>
      <c r="EH1" s="1" t="s">
        <v>824</v>
      </c>
      <c r="EI1" s="1" t="s">
        <v>825</v>
      </c>
      <c r="EJ1" s="1" t="s">
        <v>826</v>
      </c>
      <c r="EK1" s="1" t="s">
        <v>827</v>
      </c>
      <c r="EL1" s="1" t="s">
        <v>828</v>
      </c>
      <c r="EM1" s="1" t="s">
        <v>829</v>
      </c>
      <c r="EN1" s="1" t="s">
        <v>830</v>
      </c>
      <c r="EO1" s="1" t="s">
        <v>831</v>
      </c>
      <c r="EP1" s="1" t="s">
        <v>832</v>
      </c>
      <c r="EQ1" s="1" t="s">
        <v>833</v>
      </c>
      <c r="ER1" s="1" t="s">
        <v>834</v>
      </c>
      <c r="ES1" s="1" t="s">
        <v>835</v>
      </c>
      <c r="ET1" s="1" t="s">
        <v>836</v>
      </c>
      <c r="EU1" s="1" t="s">
        <v>837</v>
      </c>
      <c r="EV1" s="1" t="s">
        <v>838</v>
      </c>
      <c r="EW1" s="1" t="s">
        <v>839</v>
      </c>
      <c r="EX1" s="1" t="s">
        <v>840</v>
      </c>
      <c r="EY1" s="1" t="s">
        <v>841</v>
      </c>
      <c r="EZ1" s="1" t="s">
        <v>842</v>
      </c>
      <c r="FA1" s="1" t="s">
        <v>843</v>
      </c>
      <c r="FB1" s="1" t="s">
        <v>844</v>
      </c>
      <c r="FC1" s="1" t="s">
        <v>845</v>
      </c>
      <c r="FD1" s="1" t="s">
        <v>846</v>
      </c>
      <c r="FE1" s="1" t="s">
        <v>847</v>
      </c>
      <c r="FF1" s="1" t="s">
        <v>848</v>
      </c>
      <c r="FG1" s="1" t="s">
        <v>849</v>
      </c>
      <c r="FH1" s="1" t="s">
        <v>850</v>
      </c>
      <c r="FI1" s="1" t="s">
        <v>851</v>
      </c>
      <c r="FJ1" s="1" t="s">
        <v>852</v>
      </c>
      <c r="FK1" s="1" t="s">
        <v>853</v>
      </c>
      <c r="FL1" s="1" t="s">
        <v>854</v>
      </c>
      <c r="FM1" s="1" t="s">
        <v>855</v>
      </c>
      <c r="FN1" s="1" t="s">
        <v>856</v>
      </c>
      <c r="FO1" s="1" t="s">
        <v>857</v>
      </c>
      <c r="FP1" s="1" t="s">
        <v>858</v>
      </c>
      <c r="FQ1" s="1" t="s">
        <v>859</v>
      </c>
      <c r="FR1" s="1" t="s">
        <v>860</v>
      </c>
      <c r="FS1" s="1" t="s">
        <v>861</v>
      </c>
      <c r="FT1" s="1" t="s">
        <v>862</v>
      </c>
      <c r="FU1" s="1" t="s">
        <v>863</v>
      </c>
      <c r="FV1" s="1" t="s">
        <v>864</v>
      </c>
      <c r="FW1" s="1" t="s">
        <v>865</v>
      </c>
      <c r="FX1" s="1" t="s">
        <v>866</v>
      </c>
      <c r="FY1" s="1" t="s">
        <v>867</v>
      </c>
      <c r="FZ1" s="1" t="s">
        <v>868</v>
      </c>
      <c r="GA1" s="1" t="s">
        <v>869</v>
      </c>
      <c r="GB1" s="1" t="s">
        <v>870</v>
      </c>
      <c r="GC1" s="1" t="s">
        <v>871</v>
      </c>
      <c r="GD1" s="1" t="s">
        <v>872</v>
      </c>
      <c r="GE1" s="1" t="s">
        <v>873</v>
      </c>
      <c r="GF1" s="1" t="s">
        <v>874</v>
      </c>
      <c r="GG1" s="1" t="s">
        <v>875</v>
      </c>
      <c r="GH1" s="1" t="s">
        <v>876</v>
      </c>
      <c r="GI1" s="1" t="s">
        <v>877</v>
      </c>
      <c r="GJ1" s="1" t="s">
        <v>878</v>
      </c>
      <c r="GK1" s="1" t="s">
        <v>879</v>
      </c>
      <c r="GL1" s="1" t="s">
        <v>880</v>
      </c>
      <c r="GM1" s="1" t="s">
        <v>881</v>
      </c>
      <c r="GN1" s="1" t="s">
        <v>882</v>
      </c>
      <c r="GO1" s="1" t="s">
        <v>883</v>
      </c>
      <c r="GP1" s="1" t="s">
        <v>884</v>
      </c>
      <c r="GQ1" s="1" t="s">
        <v>885</v>
      </c>
      <c r="GR1" s="1" t="s">
        <v>886</v>
      </c>
      <c r="GS1" s="1" t="s">
        <v>887</v>
      </c>
      <c r="GT1" s="1" t="s">
        <v>888</v>
      </c>
      <c r="GU1" s="1" t="s">
        <v>889</v>
      </c>
      <c r="GV1" s="1" t="s">
        <v>890</v>
      </c>
      <c r="GW1" s="1" t="s">
        <v>891</v>
      </c>
      <c r="GX1" s="1" t="s">
        <v>892</v>
      </c>
      <c r="GY1" s="1" t="s">
        <v>893</v>
      </c>
      <c r="GZ1" s="1" t="s">
        <v>894</v>
      </c>
      <c r="HA1" s="1" t="s">
        <v>895</v>
      </c>
      <c r="HB1" s="1" t="s">
        <v>896</v>
      </c>
      <c r="HC1" s="1" t="s">
        <v>897</v>
      </c>
      <c r="HD1" s="1" t="s">
        <v>898</v>
      </c>
      <c r="HE1" s="1" t="s">
        <v>899</v>
      </c>
      <c r="HF1" s="1" t="s">
        <v>900</v>
      </c>
      <c r="HG1" s="1" t="s">
        <v>901</v>
      </c>
      <c r="HH1" s="1" t="s">
        <v>902</v>
      </c>
      <c r="HI1" s="1" t="s">
        <v>903</v>
      </c>
      <c r="HJ1" s="1" t="s">
        <v>904</v>
      </c>
      <c r="HK1" s="1" t="s">
        <v>905</v>
      </c>
      <c r="HL1" s="1" t="s">
        <v>906</v>
      </c>
      <c r="HM1" s="1" t="s">
        <v>907</v>
      </c>
      <c r="HN1" s="1" t="s">
        <v>908</v>
      </c>
      <c r="HO1" s="1" t="s">
        <v>909</v>
      </c>
      <c r="HP1" s="1" t="s">
        <v>910</v>
      </c>
      <c r="HQ1" s="1" t="s">
        <v>911</v>
      </c>
      <c r="HR1" s="1" t="s">
        <v>912</v>
      </c>
      <c r="HS1" s="1" t="s">
        <v>913</v>
      </c>
      <c r="HT1" s="1" t="s">
        <v>914</v>
      </c>
      <c r="HU1" s="1" t="s">
        <v>915</v>
      </c>
      <c r="HV1" s="1" t="s">
        <v>916</v>
      </c>
      <c r="HW1" s="1" t="s">
        <v>917</v>
      </c>
      <c r="HX1" s="1" t="s">
        <v>918</v>
      </c>
      <c r="HY1" s="1" t="s">
        <v>919</v>
      </c>
      <c r="HZ1" s="1" t="s">
        <v>920</v>
      </c>
      <c r="IA1" s="1" t="s">
        <v>921</v>
      </c>
      <c r="IB1" s="1" t="s">
        <v>922</v>
      </c>
      <c r="IC1" s="1" t="s">
        <v>923</v>
      </c>
      <c r="ID1" s="1" t="s">
        <v>924</v>
      </c>
      <c r="IE1" s="1" t="s">
        <v>925</v>
      </c>
      <c r="IF1" s="1" t="s">
        <v>926</v>
      </c>
      <c r="IG1" s="1" t="s">
        <v>927</v>
      </c>
      <c r="IH1" s="1" t="s">
        <v>928</v>
      </c>
      <c r="II1" s="1" t="s">
        <v>929</v>
      </c>
      <c r="IJ1" s="1" t="s">
        <v>930</v>
      </c>
      <c r="IK1" s="1" t="s">
        <v>931</v>
      </c>
      <c r="IL1" s="1" t="s">
        <v>932</v>
      </c>
      <c r="IM1" s="1" t="s">
        <v>933</v>
      </c>
      <c r="IN1" s="1" t="s">
        <v>934</v>
      </c>
      <c r="IO1" s="1" t="s">
        <v>935</v>
      </c>
      <c r="IP1" s="1" t="s">
        <v>936</v>
      </c>
      <c r="IQ1" s="1" t="s">
        <v>937</v>
      </c>
      <c r="IR1" s="1" t="s">
        <v>938</v>
      </c>
      <c r="IS1" s="1" t="s">
        <v>939</v>
      </c>
      <c r="IT1" s="1" t="s">
        <v>940</v>
      </c>
      <c r="IU1" s="1" t="s">
        <v>941</v>
      </c>
      <c r="IV1" s="1" t="s">
        <v>942</v>
      </c>
      <c r="IW1" s="1" t="s">
        <v>943</v>
      </c>
      <c r="IX1" s="1" t="s">
        <v>944</v>
      </c>
      <c r="IY1" s="1" t="s">
        <v>945</v>
      </c>
      <c r="IZ1" s="1" t="s">
        <v>946</v>
      </c>
      <c r="JA1" s="1" t="s">
        <v>947</v>
      </c>
      <c r="JB1" s="1" t="s">
        <v>948</v>
      </c>
      <c r="JC1" s="1" t="s">
        <v>949</v>
      </c>
      <c r="JD1" s="1" t="s">
        <v>950</v>
      </c>
      <c r="JE1" s="1" t="s">
        <v>951</v>
      </c>
      <c r="JF1" s="1" t="s">
        <v>952</v>
      </c>
      <c r="JG1" s="1" t="s">
        <v>953</v>
      </c>
      <c r="JH1" s="1" t="s">
        <v>954</v>
      </c>
      <c r="JI1" s="1" t="s">
        <v>955</v>
      </c>
      <c r="JJ1" s="1" t="s">
        <v>956</v>
      </c>
      <c r="JK1" s="1" t="s">
        <v>957</v>
      </c>
      <c r="JL1" s="1" t="s">
        <v>958</v>
      </c>
      <c r="JM1" s="1" t="s">
        <v>959</v>
      </c>
      <c r="JN1" s="1" t="s">
        <v>960</v>
      </c>
      <c r="JO1" s="1" t="s">
        <v>961</v>
      </c>
      <c r="JP1" s="1" t="s">
        <v>962</v>
      </c>
      <c r="JQ1" s="1" t="s">
        <v>963</v>
      </c>
      <c r="JR1" s="1" t="s">
        <v>964</v>
      </c>
      <c r="JS1" s="1" t="s">
        <v>965</v>
      </c>
      <c r="JT1" s="1" t="s">
        <v>966</v>
      </c>
      <c r="JU1" s="1" t="s">
        <v>967</v>
      </c>
      <c r="JV1" s="1" t="s">
        <v>968</v>
      </c>
      <c r="JW1" s="1" t="s">
        <v>969</v>
      </c>
      <c r="JX1" s="1" t="s">
        <v>970</v>
      </c>
      <c r="JY1" s="1" t="s">
        <v>971</v>
      </c>
      <c r="JZ1" s="1" t="s">
        <v>972</v>
      </c>
      <c r="KA1" s="1" t="s">
        <v>973</v>
      </c>
      <c r="KB1" s="1" t="s">
        <v>974</v>
      </c>
      <c r="KC1" s="1" t="s">
        <v>975</v>
      </c>
      <c r="KD1" s="1" t="s">
        <v>976</v>
      </c>
      <c r="KE1" s="1" t="s">
        <v>977</v>
      </c>
      <c r="KF1" s="1" t="s">
        <v>978</v>
      </c>
      <c r="KG1" s="1" t="s">
        <v>979</v>
      </c>
      <c r="KH1" s="1" t="s">
        <v>980</v>
      </c>
      <c r="KI1" s="1" t="s">
        <v>981</v>
      </c>
      <c r="KJ1" s="1" t="s">
        <v>982</v>
      </c>
      <c r="KK1" s="1" t="s">
        <v>983</v>
      </c>
      <c r="KL1" s="1" t="s">
        <v>984</v>
      </c>
      <c r="KM1" s="1" t="s">
        <v>985</v>
      </c>
      <c r="KN1" s="1" t="s">
        <v>986</v>
      </c>
      <c r="KO1" s="1" t="s">
        <v>987</v>
      </c>
      <c r="KP1" s="1" t="s">
        <v>988</v>
      </c>
      <c r="KQ1" s="1" t="s">
        <v>989</v>
      </c>
      <c r="KR1" s="1" t="s">
        <v>990</v>
      </c>
      <c r="KS1" s="1" t="s">
        <v>991</v>
      </c>
      <c r="KT1" s="1" t="s">
        <v>992</v>
      </c>
      <c r="KU1" s="1" t="s">
        <v>993</v>
      </c>
      <c r="KV1" s="1" t="s">
        <v>994</v>
      </c>
      <c r="KW1" s="1" t="s">
        <v>995</v>
      </c>
      <c r="KX1" s="1" t="s">
        <v>996</v>
      </c>
      <c r="KY1" s="1" t="s">
        <v>997</v>
      </c>
      <c r="KZ1" s="1" t="s">
        <v>998</v>
      </c>
      <c r="LA1" s="1" t="s">
        <v>999</v>
      </c>
      <c r="LB1" s="1" t="s">
        <v>1000</v>
      </c>
      <c r="LC1" s="1" t="s">
        <v>1001</v>
      </c>
      <c r="LD1" s="1" t="s">
        <v>1002</v>
      </c>
      <c r="LE1" s="1" t="s">
        <v>1003</v>
      </c>
      <c r="LF1" s="1" t="s">
        <v>1004</v>
      </c>
      <c r="LG1" s="1" t="s">
        <v>1005</v>
      </c>
      <c r="LH1" s="1" t="s">
        <v>1006</v>
      </c>
      <c r="LI1" s="1" t="s">
        <v>1007</v>
      </c>
      <c r="LJ1" s="1" t="s">
        <v>1008</v>
      </c>
      <c r="LK1" s="1" t="s">
        <v>1009</v>
      </c>
      <c r="LL1" s="1" t="s">
        <v>1010</v>
      </c>
      <c r="LM1" s="1" t="s">
        <v>1011</v>
      </c>
      <c r="LN1" s="1" t="s">
        <v>1012</v>
      </c>
      <c r="LO1" s="1" t="s">
        <v>1013</v>
      </c>
      <c r="LP1" s="1" t="s">
        <v>1014</v>
      </c>
      <c r="LQ1" s="1" t="s">
        <v>1015</v>
      </c>
      <c r="LR1" s="1" t="s">
        <v>1016</v>
      </c>
      <c r="LS1" s="1" t="s">
        <v>1017</v>
      </c>
      <c r="LT1" s="1" t="s">
        <v>1018</v>
      </c>
      <c r="LU1" s="1" t="s">
        <v>1019</v>
      </c>
      <c r="LV1" s="1" t="s">
        <v>1020</v>
      </c>
      <c r="LW1" s="1" t="s">
        <v>1021</v>
      </c>
      <c r="LX1" s="1" t="s">
        <v>1022</v>
      </c>
      <c r="LY1" s="1" t="s">
        <v>1023</v>
      </c>
      <c r="LZ1" s="1" t="s">
        <v>1024</v>
      </c>
      <c r="MA1" s="1" t="s">
        <v>1025</v>
      </c>
      <c r="MB1" s="1" t="s">
        <v>1026</v>
      </c>
      <c r="MC1" s="1" t="s">
        <v>1027</v>
      </c>
      <c r="MD1" s="1" t="s">
        <v>1028</v>
      </c>
      <c r="ME1" s="1" t="s">
        <v>1029</v>
      </c>
      <c r="MF1" s="1" t="s">
        <v>1030</v>
      </c>
      <c r="MG1" s="1" t="s">
        <v>1031</v>
      </c>
      <c r="MH1" s="1" t="s">
        <v>1032</v>
      </c>
      <c r="MI1" s="1" t="s">
        <v>1033</v>
      </c>
      <c r="MJ1" s="1" t="s">
        <v>1034</v>
      </c>
      <c r="MK1" s="1" t="s">
        <v>1035</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tabColor theme="8" tint="-0.249977111117893"/>
  </sheetPr>
  <dimension ref="A1:HQ545"/>
  <sheetViews>
    <sheetView tabSelected="1" topLeftCell="FW79" zoomScale="70" zoomScaleNormal="70" workbookViewId="0">
      <selection activeCell="GD83" sqref="GD83"/>
    </sheetView>
  </sheetViews>
  <sheetFormatPr baseColWidth="10" defaultRowHeight="14.4"/>
  <cols>
    <col min="2" max="2" width="11.44140625" style="3"/>
    <col min="4" max="4" width="8" style="3" bestFit="1" customWidth="1"/>
    <col min="5" max="5" width="4.44140625" bestFit="1" customWidth="1"/>
    <col min="15" max="15" width="34.44140625" bestFit="1" customWidth="1"/>
    <col min="16" max="16" width="12.33203125" bestFit="1" customWidth="1"/>
  </cols>
  <sheetData>
    <row r="1" spans="1:223">
      <c r="A1" s="1" t="s">
        <v>0</v>
      </c>
      <c r="B1" s="3" t="s">
        <v>0</v>
      </c>
      <c r="G1" s="3">
        <v>5</v>
      </c>
      <c r="H1" s="3">
        <v>1</v>
      </c>
      <c r="J1">
        <v>1</v>
      </c>
      <c r="L1" s="3" t="s">
        <v>583</v>
      </c>
      <c r="M1" s="3" t="s">
        <v>371</v>
      </c>
      <c r="O1" s="1" t="s">
        <v>503</v>
      </c>
      <c r="P1" s="1" t="s">
        <v>517</v>
      </c>
      <c r="Q1" s="95"/>
      <c r="R1" s="95"/>
      <c r="S1" s="95"/>
      <c r="T1" s="120" t="s">
        <v>572</v>
      </c>
      <c r="U1" s="171" t="s">
        <v>1069</v>
      </c>
      <c r="V1" s="119"/>
      <c r="W1" s="119"/>
      <c r="X1" s="119"/>
      <c r="Y1" s="119"/>
      <c r="Z1" s="119"/>
      <c r="AA1" s="119"/>
      <c r="AB1" s="119"/>
      <c r="AC1" s="119"/>
      <c r="AD1" s="119"/>
      <c r="AE1" s="119"/>
      <c r="AF1" s="119"/>
      <c r="AG1" s="119"/>
      <c r="AH1" s="119"/>
      <c r="AI1" s="119"/>
      <c r="AJ1" s="119"/>
      <c r="AK1" s="119"/>
      <c r="AL1" s="119"/>
      <c r="AM1" s="119"/>
      <c r="AN1" s="119"/>
      <c r="AO1" s="119"/>
      <c r="AP1" s="119"/>
      <c r="AQ1" s="119"/>
      <c r="AR1" s="119"/>
      <c r="AS1" s="119"/>
      <c r="AT1" s="119"/>
      <c r="AU1" s="119"/>
      <c r="AV1" s="119"/>
      <c r="AW1" s="119"/>
      <c r="AX1" s="119"/>
      <c r="AY1" s="119"/>
      <c r="AZ1" s="119"/>
      <c r="BA1" s="119"/>
      <c r="BB1" s="119"/>
      <c r="BC1" s="119"/>
      <c r="BD1" s="119"/>
      <c r="BE1" s="119"/>
      <c r="BF1" s="119"/>
      <c r="BG1" s="119"/>
      <c r="BH1" s="119"/>
      <c r="BI1" s="119"/>
      <c r="BJ1" s="119"/>
      <c r="BK1" s="119"/>
      <c r="BL1" s="119"/>
      <c r="BM1" s="119"/>
      <c r="BN1" s="119"/>
      <c r="BO1" s="119"/>
      <c r="BP1" s="119"/>
      <c r="BQ1" s="119"/>
      <c r="BR1" s="119"/>
      <c r="BS1" s="119"/>
      <c r="BT1" s="119"/>
      <c r="BU1" s="119"/>
      <c r="BV1" s="119"/>
      <c r="BW1" s="119"/>
      <c r="BX1" s="119"/>
      <c r="BY1" s="119"/>
      <c r="BZ1" s="119"/>
      <c r="CA1" s="119"/>
      <c r="CB1" s="119"/>
      <c r="CC1" s="119"/>
      <c r="CD1" s="119"/>
      <c r="CE1" s="119"/>
      <c r="CF1" s="119"/>
      <c r="CG1" s="119"/>
      <c r="CH1" s="119"/>
      <c r="CI1" s="119"/>
      <c r="CJ1" s="119"/>
      <c r="CK1" s="119"/>
      <c r="CL1" s="119"/>
      <c r="CM1" s="119"/>
      <c r="CN1" s="119"/>
      <c r="CO1" s="119"/>
      <c r="CP1" s="119"/>
      <c r="CQ1" s="119"/>
      <c r="CR1" s="119"/>
      <c r="CS1" s="119"/>
      <c r="CT1" s="119"/>
      <c r="CU1" s="119"/>
      <c r="CV1" s="119"/>
      <c r="CW1" s="119"/>
      <c r="CX1" s="119"/>
      <c r="CY1" s="119"/>
      <c r="CZ1" s="119"/>
      <c r="DA1" s="119"/>
      <c r="DB1" s="119"/>
      <c r="DC1" s="119"/>
      <c r="DD1" s="119"/>
      <c r="DE1" s="119"/>
      <c r="DF1" s="119"/>
      <c r="DG1" s="119"/>
      <c r="DH1" s="119"/>
      <c r="DI1" s="119"/>
      <c r="DJ1" s="119"/>
      <c r="DK1" s="119"/>
      <c r="DL1" s="119"/>
      <c r="DM1" s="119"/>
      <c r="DT1" s="120" t="s">
        <v>1065</v>
      </c>
      <c r="DU1" s="171" t="s">
        <v>1069</v>
      </c>
      <c r="DV1" s="119"/>
      <c r="DW1" s="119"/>
      <c r="DX1" s="119"/>
      <c r="DY1" s="119"/>
      <c r="DZ1" s="119"/>
      <c r="EA1" s="119"/>
      <c r="EB1" s="119"/>
      <c r="EC1" s="119"/>
      <c r="ED1" s="119"/>
      <c r="EE1" s="119"/>
      <c r="EF1" s="119"/>
      <c r="EG1" s="119"/>
      <c r="EH1" s="119"/>
      <c r="EI1" s="119"/>
      <c r="EJ1" s="119"/>
      <c r="EK1" s="119"/>
      <c r="EL1" s="119"/>
      <c r="EM1" s="119"/>
      <c r="EN1" s="119"/>
      <c r="EO1" s="119"/>
      <c r="EP1" s="119"/>
      <c r="EQ1" s="119"/>
      <c r="ER1" s="119"/>
      <c r="ES1" s="119"/>
      <c r="ET1" s="119"/>
      <c r="EU1" s="119"/>
      <c r="EV1" s="119"/>
      <c r="EW1" s="119"/>
      <c r="EX1" s="119"/>
      <c r="EY1" s="119"/>
      <c r="EZ1" s="119"/>
      <c r="FA1" s="119"/>
      <c r="FB1" s="119"/>
      <c r="FC1" s="119"/>
      <c r="FD1" s="119"/>
      <c r="FE1" s="119"/>
      <c r="FF1" s="119"/>
      <c r="FG1" s="119"/>
      <c r="FH1" s="119"/>
      <c r="FI1" s="119"/>
      <c r="FJ1" s="119"/>
      <c r="FK1" s="119"/>
      <c r="FL1" s="119"/>
      <c r="FM1" s="119"/>
      <c r="FN1" s="119"/>
      <c r="FO1" s="119"/>
      <c r="FP1" s="119"/>
      <c r="FQ1" s="119"/>
      <c r="FR1" s="119"/>
      <c r="FS1" s="119"/>
      <c r="FT1" s="119"/>
      <c r="FU1" s="119"/>
      <c r="FV1" s="119"/>
      <c r="FW1" s="119"/>
      <c r="FX1" s="119"/>
      <c r="FY1" s="119"/>
      <c r="FZ1" s="119"/>
      <c r="GA1" s="119"/>
      <c r="GB1" s="119"/>
      <c r="GC1" s="119"/>
      <c r="GD1" s="119"/>
      <c r="GE1" s="119"/>
      <c r="GF1" s="119"/>
      <c r="GG1" s="119"/>
      <c r="GH1" s="119"/>
      <c r="GI1" s="119"/>
      <c r="GJ1" s="119"/>
      <c r="GK1" s="119"/>
      <c r="GL1" s="119"/>
      <c r="GM1" s="119"/>
      <c r="GN1" s="119"/>
      <c r="GO1" s="119"/>
      <c r="GP1" s="119"/>
      <c r="GQ1" s="119"/>
      <c r="GR1" s="119"/>
      <c r="GS1" s="119"/>
      <c r="GT1" s="119"/>
      <c r="GU1" s="119"/>
      <c r="GV1" s="119"/>
      <c r="GW1" s="119"/>
      <c r="GX1" s="119"/>
      <c r="GY1" s="119"/>
      <c r="GZ1" s="119"/>
      <c r="HA1" s="119"/>
      <c r="HB1" s="119"/>
      <c r="HC1" s="119"/>
      <c r="HD1" s="119"/>
      <c r="HE1" s="119"/>
      <c r="HF1" s="119"/>
      <c r="HG1" s="119"/>
      <c r="HH1" s="119"/>
      <c r="HI1" s="119"/>
      <c r="HJ1" s="119"/>
      <c r="HK1" s="119"/>
      <c r="HL1" s="119"/>
      <c r="HM1" s="119"/>
    </row>
    <row r="2" spans="1:223">
      <c r="A2" s="1" t="s">
        <v>1</v>
      </c>
      <c r="B2" s="3" t="s">
        <v>1</v>
      </c>
      <c r="G2" s="3">
        <v>1</v>
      </c>
      <c r="H2" s="3">
        <v>5</v>
      </c>
      <c r="J2">
        <v>2</v>
      </c>
      <c r="L2" s="3" t="s">
        <v>378</v>
      </c>
      <c r="M2" s="3" t="s">
        <v>372</v>
      </c>
      <c r="O2" t="s">
        <v>143</v>
      </c>
      <c r="P2" t="s">
        <v>479</v>
      </c>
      <c r="Q2" s="75"/>
      <c r="R2" s="75"/>
      <c r="U2" s="2"/>
      <c r="V2" s="119" t="s">
        <v>186</v>
      </c>
      <c r="W2" s="119"/>
      <c r="X2" s="119" t="s">
        <v>306</v>
      </c>
      <c r="Y2" s="119"/>
      <c r="Z2" s="119" t="s">
        <v>142</v>
      </c>
      <c r="AA2" s="119"/>
      <c r="AB2" s="119" t="s">
        <v>546</v>
      </c>
      <c r="AC2" s="119"/>
      <c r="AD2" s="119" t="s">
        <v>22</v>
      </c>
      <c r="AE2" s="119"/>
      <c r="AF2" s="119" t="s">
        <v>161</v>
      </c>
      <c r="AG2" s="119"/>
      <c r="AH2" s="119" t="s">
        <v>48</v>
      </c>
      <c r="AI2" s="119"/>
      <c r="AJ2" s="119" t="s">
        <v>179</v>
      </c>
      <c r="AK2" s="119"/>
      <c r="AL2" s="119" t="s">
        <v>563</v>
      </c>
      <c r="AM2" s="119"/>
      <c r="AN2" s="119" t="s">
        <v>41</v>
      </c>
      <c r="AO2" s="119"/>
      <c r="AP2" s="119" t="s">
        <v>113</v>
      </c>
      <c r="AQ2" s="119"/>
      <c r="AR2" s="119" t="s">
        <v>238</v>
      </c>
      <c r="AS2" s="119"/>
      <c r="AT2" s="119" t="s">
        <v>399</v>
      </c>
      <c r="AU2" s="119"/>
      <c r="AV2" s="119" t="s">
        <v>180</v>
      </c>
      <c r="AW2" s="119"/>
      <c r="AX2" s="119" t="s">
        <v>564</v>
      </c>
      <c r="AY2" s="119"/>
      <c r="AZ2" s="119" t="s">
        <v>16</v>
      </c>
      <c r="BA2" s="119"/>
      <c r="BB2" s="119" t="s">
        <v>135</v>
      </c>
      <c r="BC2" s="119"/>
      <c r="BD2" s="119" t="s">
        <v>217</v>
      </c>
      <c r="BE2" s="119"/>
      <c r="BF2" s="119" t="s">
        <v>130</v>
      </c>
      <c r="BG2" s="119"/>
      <c r="BH2" s="119" t="s">
        <v>62</v>
      </c>
      <c r="BI2" s="119"/>
      <c r="BJ2" s="119" t="s">
        <v>244</v>
      </c>
      <c r="BK2" s="119"/>
      <c r="BL2" s="119" t="s">
        <v>197</v>
      </c>
      <c r="BM2" s="119"/>
      <c r="BN2" s="119" t="s">
        <v>117</v>
      </c>
      <c r="BO2" s="119"/>
      <c r="BP2" s="119" t="s">
        <v>302</v>
      </c>
      <c r="BQ2" s="119"/>
      <c r="BR2" s="119" t="s">
        <v>269</v>
      </c>
      <c r="BS2" s="119"/>
      <c r="BT2" s="119" t="s">
        <v>125</v>
      </c>
      <c r="BU2" s="119"/>
      <c r="BV2" s="119" t="s">
        <v>445</v>
      </c>
      <c r="BW2" s="119"/>
      <c r="BX2" s="119" t="s">
        <v>27</v>
      </c>
      <c r="BY2" s="119"/>
      <c r="BZ2" s="119" t="s">
        <v>103</v>
      </c>
      <c r="CA2" s="119"/>
      <c r="CB2" s="119" t="s">
        <v>184</v>
      </c>
      <c r="CC2" s="119"/>
      <c r="CD2" s="119" t="s">
        <v>565</v>
      </c>
      <c r="CE2" s="119"/>
      <c r="CF2" s="119" t="s">
        <v>566</v>
      </c>
      <c r="CG2" s="119"/>
      <c r="CH2" s="119" t="s">
        <v>567</v>
      </c>
      <c r="CI2" s="119"/>
      <c r="CJ2" s="119" t="s">
        <v>105</v>
      </c>
      <c r="CK2" s="119"/>
      <c r="CL2" s="119" t="s">
        <v>182</v>
      </c>
      <c r="CM2" s="119"/>
      <c r="CN2" s="119" t="s">
        <v>313</v>
      </c>
      <c r="CO2" s="119"/>
      <c r="CP2" s="119" t="s">
        <v>266</v>
      </c>
      <c r="CQ2" s="119"/>
      <c r="CR2" s="119" t="s">
        <v>29</v>
      </c>
      <c r="CS2" s="119"/>
      <c r="CT2" s="119" t="s">
        <v>155</v>
      </c>
      <c r="CU2" s="119"/>
      <c r="CV2" s="119" t="s">
        <v>320</v>
      </c>
      <c r="CW2" s="119"/>
      <c r="CX2" s="119" t="s">
        <v>282</v>
      </c>
      <c r="CY2" s="119"/>
      <c r="CZ2" s="119" t="s">
        <v>258</v>
      </c>
      <c r="DA2" s="119"/>
      <c r="DB2" s="119" t="s">
        <v>568</v>
      </c>
      <c r="DC2" s="119"/>
      <c r="DD2" s="119" t="s">
        <v>54</v>
      </c>
      <c r="DE2" s="119"/>
      <c r="DF2" s="119" t="s">
        <v>401</v>
      </c>
      <c r="DG2" s="119"/>
      <c r="DH2" s="119" t="s">
        <v>192</v>
      </c>
      <c r="DI2" s="119"/>
      <c r="DJ2" s="119" t="s">
        <v>400</v>
      </c>
      <c r="DK2" s="119"/>
      <c r="DL2" s="119" t="s">
        <v>289</v>
      </c>
      <c r="DM2" s="119"/>
      <c r="DN2" s="119" t="s">
        <v>453</v>
      </c>
      <c r="DO2" s="119"/>
      <c r="DU2" s="2"/>
      <c r="DV2" s="119" t="s">
        <v>186</v>
      </c>
      <c r="DW2" s="119"/>
      <c r="DX2" s="119" t="s">
        <v>306</v>
      </c>
      <c r="DY2" s="119"/>
      <c r="DZ2" s="119" t="s">
        <v>142</v>
      </c>
      <c r="EA2" s="119"/>
      <c r="EB2" s="119" t="s">
        <v>546</v>
      </c>
      <c r="EC2" s="119"/>
      <c r="ED2" s="119" t="s">
        <v>22</v>
      </c>
      <c r="EE2" s="119"/>
      <c r="EF2" s="119" t="s">
        <v>161</v>
      </c>
      <c r="EG2" s="119"/>
      <c r="EH2" s="119" t="s">
        <v>48</v>
      </c>
      <c r="EI2" s="119"/>
      <c r="EJ2" s="119" t="s">
        <v>179</v>
      </c>
      <c r="EK2" s="119"/>
      <c r="EL2" s="119" t="s">
        <v>563</v>
      </c>
      <c r="EM2" s="119"/>
      <c r="EN2" s="119" t="s">
        <v>41</v>
      </c>
      <c r="EO2" s="119"/>
      <c r="EP2" s="119" t="s">
        <v>113</v>
      </c>
      <c r="EQ2" s="119"/>
      <c r="ER2" s="119" t="s">
        <v>238</v>
      </c>
      <c r="ES2" s="119"/>
      <c r="ET2" s="119" t="s">
        <v>399</v>
      </c>
      <c r="EU2" s="119"/>
      <c r="EV2" s="119" t="s">
        <v>180</v>
      </c>
      <c r="EW2" s="119"/>
      <c r="EX2" s="119" t="s">
        <v>564</v>
      </c>
      <c r="EY2" s="119"/>
      <c r="EZ2" s="119" t="s">
        <v>16</v>
      </c>
      <c r="FA2" s="119"/>
      <c r="FB2" s="119" t="s">
        <v>135</v>
      </c>
      <c r="FC2" s="119"/>
      <c r="FD2" s="119" t="s">
        <v>217</v>
      </c>
      <c r="FE2" s="119"/>
      <c r="FF2" s="119" t="s">
        <v>130</v>
      </c>
      <c r="FG2" s="119"/>
      <c r="FH2" s="119" t="s">
        <v>62</v>
      </c>
      <c r="FI2" s="119"/>
      <c r="FJ2" s="119" t="s">
        <v>244</v>
      </c>
      <c r="FK2" s="119"/>
      <c r="FL2" s="119" t="s">
        <v>197</v>
      </c>
      <c r="FM2" s="119"/>
      <c r="FN2" s="119" t="s">
        <v>117</v>
      </c>
      <c r="FO2" s="119"/>
      <c r="FP2" s="119" t="s">
        <v>302</v>
      </c>
      <c r="FQ2" s="119"/>
      <c r="FR2" s="119" t="s">
        <v>269</v>
      </c>
      <c r="FS2" s="119"/>
      <c r="FT2" s="119" t="s">
        <v>125</v>
      </c>
      <c r="FU2" s="119"/>
      <c r="FV2" s="119" t="s">
        <v>445</v>
      </c>
      <c r="FW2" s="119"/>
      <c r="FX2" s="119" t="s">
        <v>27</v>
      </c>
      <c r="FY2" s="119"/>
      <c r="FZ2" s="119" t="s">
        <v>103</v>
      </c>
      <c r="GA2" s="119"/>
      <c r="GB2" s="119" t="s">
        <v>184</v>
      </c>
      <c r="GC2" s="119"/>
      <c r="GD2" s="119" t="s">
        <v>565</v>
      </c>
      <c r="GE2" s="119"/>
      <c r="GF2" s="119" t="s">
        <v>566</v>
      </c>
      <c r="GG2" s="119"/>
      <c r="GH2" s="119" t="s">
        <v>567</v>
      </c>
      <c r="GI2" s="119"/>
      <c r="GJ2" s="119" t="s">
        <v>105</v>
      </c>
      <c r="GK2" s="119"/>
      <c r="GL2" s="119" t="s">
        <v>182</v>
      </c>
      <c r="GM2" s="119"/>
      <c r="GN2" s="119" t="s">
        <v>313</v>
      </c>
      <c r="GO2" s="119"/>
      <c r="GP2" s="119" t="s">
        <v>266</v>
      </c>
      <c r="GQ2" s="119"/>
      <c r="GR2" s="119" t="s">
        <v>29</v>
      </c>
      <c r="GS2" s="119"/>
      <c r="GT2" s="119" t="s">
        <v>155</v>
      </c>
      <c r="GU2" s="119"/>
      <c r="GV2" s="119" t="s">
        <v>320</v>
      </c>
      <c r="GW2" s="119"/>
      <c r="GX2" s="119" t="s">
        <v>282</v>
      </c>
      <c r="GY2" s="119"/>
      <c r="GZ2" s="119" t="s">
        <v>258</v>
      </c>
      <c r="HA2" s="119"/>
      <c r="HB2" s="119" t="s">
        <v>568</v>
      </c>
      <c r="HC2" s="119"/>
      <c r="HD2" s="119" t="s">
        <v>54</v>
      </c>
      <c r="HE2" s="119"/>
      <c r="HF2" s="119" t="s">
        <v>401</v>
      </c>
      <c r="HG2" s="119"/>
      <c r="HH2" s="119" t="s">
        <v>192</v>
      </c>
      <c r="HI2" s="119"/>
      <c r="HJ2" s="119" t="s">
        <v>400</v>
      </c>
      <c r="HK2" s="119"/>
      <c r="HL2" s="119" t="s">
        <v>289</v>
      </c>
      <c r="HM2" s="119"/>
      <c r="HN2" s="119" t="s">
        <v>453</v>
      </c>
      <c r="HO2" s="119"/>
    </row>
    <row r="3" spans="1:223">
      <c r="A3" s="1" t="s">
        <v>2</v>
      </c>
      <c r="B3" s="3" t="s">
        <v>385</v>
      </c>
      <c r="J3">
        <v>3</v>
      </c>
      <c r="L3" s="3" t="s">
        <v>379</v>
      </c>
      <c r="M3" s="3" t="s">
        <v>373</v>
      </c>
      <c r="O3" t="s">
        <v>620</v>
      </c>
      <c r="P3" t="s">
        <v>483</v>
      </c>
      <c r="Q3" s="75"/>
      <c r="R3" s="75"/>
      <c r="U3" s="1">
        <v>0</v>
      </c>
      <c r="V3" s="3">
        <v>0</v>
      </c>
      <c r="W3" s="79">
        <v>1</v>
      </c>
      <c r="X3" s="3">
        <v>0</v>
      </c>
      <c r="Y3" s="79">
        <v>1</v>
      </c>
      <c r="Z3" s="3">
        <v>0</v>
      </c>
      <c r="AA3" s="79">
        <v>1</v>
      </c>
      <c r="AB3" s="3">
        <v>0</v>
      </c>
      <c r="AC3" s="79">
        <v>1</v>
      </c>
      <c r="AD3" s="3">
        <v>0</v>
      </c>
      <c r="AE3" s="79">
        <v>1</v>
      </c>
      <c r="AF3" s="3">
        <v>0</v>
      </c>
      <c r="AG3" s="79">
        <v>1</v>
      </c>
      <c r="AH3" s="3">
        <v>0</v>
      </c>
      <c r="AI3" s="79">
        <v>1</v>
      </c>
      <c r="AJ3" s="3">
        <v>0</v>
      </c>
      <c r="AK3" s="79">
        <v>1</v>
      </c>
      <c r="AL3" s="3">
        <v>0</v>
      </c>
      <c r="AM3" s="79">
        <v>1</v>
      </c>
      <c r="AN3" s="3">
        <v>0</v>
      </c>
      <c r="AO3" s="79">
        <v>1</v>
      </c>
      <c r="AP3" s="3">
        <v>0</v>
      </c>
      <c r="AQ3" s="79">
        <v>1</v>
      </c>
      <c r="AR3" s="3">
        <v>0</v>
      </c>
      <c r="AS3" s="79">
        <v>1</v>
      </c>
      <c r="AT3" s="3">
        <v>0</v>
      </c>
      <c r="AU3" s="79">
        <v>1</v>
      </c>
      <c r="AV3" s="3">
        <v>0</v>
      </c>
      <c r="AW3" s="79">
        <v>1</v>
      </c>
      <c r="AX3" s="3">
        <v>0</v>
      </c>
      <c r="AY3" s="79">
        <v>1</v>
      </c>
      <c r="AZ3" s="3">
        <v>0</v>
      </c>
      <c r="BA3" s="79">
        <v>1</v>
      </c>
      <c r="BB3" s="3">
        <v>0</v>
      </c>
      <c r="BC3" s="79">
        <v>1</v>
      </c>
      <c r="BD3" s="3">
        <v>0</v>
      </c>
      <c r="BE3" s="79">
        <v>1</v>
      </c>
      <c r="BF3" s="3">
        <v>0</v>
      </c>
      <c r="BG3" s="79">
        <v>1</v>
      </c>
      <c r="BH3" s="3">
        <v>0</v>
      </c>
      <c r="BI3" s="79">
        <v>1</v>
      </c>
      <c r="BJ3" s="3">
        <v>0</v>
      </c>
      <c r="BK3" s="79">
        <v>1</v>
      </c>
      <c r="BL3" s="3">
        <v>0</v>
      </c>
      <c r="BM3" s="79">
        <v>1</v>
      </c>
      <c r="BN3" s="3">
        <v>0</v>
      </c>
      <c r="BO3" s="79">
        <v>1</v>
      </c>
      <c r="BP3" s="3">
        <v>0</v>
      </c>
      <c r="BQ3" s="79">
        <v>1</v>
      </c>
      <c r="BR3" s="3">
        <v>0</v>
      </c>
      <c r="BS3" s="79">
        <v>1</v>
      </c>
      <c r="BT3" s="3">
        <v>0</v>
      </c>
      <c r="BU3" s="79">
        <v>1</v>
      </c>
      <c r="BV3" s="3">
        <v>0</v>
      </c>
      <c r="BW3" s="79">
        <v>1</v>
      </c>
      <c r="BX3" s="3">
        <v>0</v>
      </c>
      <c r="BY3" s="79">
        <v>1</v>
      </c>
      <c r="BZ3" s="3">
        <v>0</v>
      </c>
      <c r="CA3" s="79">
        <v>1</v>
      </c>
      <c r="CB3" s="3">
        <v>0</v>
      </c>
      <c r="CC3" s="79">
        <v>1</v>
      </c>
      <c r="CD3" s="3">
        <v>0</v>
      </c>
      <c r="CE3" s="79">
        <v>1</v>
      </c>
      <c r="CF3" s="3">
        <v>0</v>
      </c>
      <c r="CG3" s="79">
        <v>1</v>
      </c>
      <c r="CH3" s="3">
        <v>0</v>
      </c>
      <c r="CI3" s="79">
        <v>1</v>
      </c>
      <c r="CJ3" s="3">
        <v>0</v>
      </c>
      <c r="CK3" s="79">
        <v>1</v>
      </c>
      <c r="CL3" s="3">
        <v>0</v>
      </c>
      <c r="CM3" s="79">
        <v>1</v>
      </c>
      <c r="CN3" s="3">
        <v>0</v>
      </c>
      <c r="CO3" s="79">
        <v>1</v>
      </c>
      <c r="CP3" s="3">
        <v>0</v>
      </c>
      <c r="CQ3" s="79">
        <v>1</v>
      </c>
      <c r="CR3" s="3">
        <v>0</v>
      </c>
      <c r="CS3" s="79">
        <v>1</v>
      </c>
      <c r="CT3" s="3">
        <v>0</v>
      </c>
      <c r="CU3" s="79">
        <v>1</v>
      </c>
      <c r="CV3" s="3">
        <v>0</v>
      </c>
      <c r="CW3" s="79">
        <v>1</v>
      </c>
      <c r="CX3" s="3">
        <v>0</v>
      </c>
      <c r="CY3" s="79">
        <v>1</v>
      </c>
      <c r="CZ3" s="3">
        <v>0</v>
      </c>
      <c r="DA3" s="79">
        <v>1</v>
      </c>
      <c r="DB3" s="3">
        <v>0</v>
      </c>
      <c r="DC3" s="79">
        <v>1</v>
      </c>
      <c r="DD3" s="3">
        <v>0</v>
      </c>
      <c r="DE3" s="79">
        <v>1</v>
      </c>
      <c r="DF3" s="3">
        <v>0</v>
      </c>
      <c r="DG3" s="79">
        <v>1</v>
      </c>
      <c r="DH3" s="3">
        <v>0</v>
      </c>
      <c r="DI3" s="79">
        <v>1</v>
      </c>
      <c r="DJ3" s="3">
        <v>0</v>
      </c>
      <c r="DK3" s="79">
        <v>1</v>
      </c>
      <c r="DL3" s="3">
        <v>0</v>
      </c>
      <c r="DM3" s="79">
        <v>1</v>
      </c>
      <c r="DN3" s="3">
        <v>0</v>
      </c>
      <c r="DO3" s="79">
        <v>1</v>
      </c>
      <c r="DU3" s="1">
        <v>0</v>
      </c>
      <c r="DV3" s="3">
        <v>0</v>
      </c>
      <c r="DW3" s="79">
        <v>1</v>
      </c>
      <c r="DX3" s="3">
        <v>0</v>
      </c>
      <c r="DY3" s="79">
        <v>1</v>
      </c>
      <c r="DZ3" s="3">
        <v>0</v>
      </c>
      <c r="EA3" s="79">
        <v>1</v>
      </c>
      <c r="EB3" s="3">
        <v>0</v>
      </c>
      <c r="EC3" s="79">
        <v>1</v>
      </c>
      <c r="ED3" s="3">
        <v>0</v>
      </c>
      <c r="EE3" s="79">
        <v>1</v>
      </c>
      <c r="EF3" s="3">
        <v>0</v>
      </c>
      <c r="EG3" s="79">
        <v>1</v>
      </c>
      <c r="EH3" s="3">
        <v>0</v>
      </c>
      <c r="EI3" s="79">
        <v>1</v>
      </c>
      <c r="EJ3" s="3">
        <v>0</v>
      </c>
      <c r="EK3" s="79">
        <v>1</v>
      </c>
      <c r="EL3" s="3">
        <v>0</v>
      </c>
      <c r="EM3" s="79">
        <v>1</v>
      </c>
      <c r="EN3" s="3">
        <v>0</v>
      </c>
      <c r="EO3" s="79">
        <v>1</v>
      </c>
      <c r="EP3" s="3">
        <v>0</v>
      </c>
      <c r="EQ3" s="79">
        <v>1</v>
      </c>
      <c r="ER3" s="3">
        <v>0</v>
      </c>
      <c r="ES3" s="79">
        <v>1</v>
      </c>
      <c r="ET3" s="3">
        <v>0</v>
      </c>
      <c r="EU3" s="79">
        <v>1</v>
      </c>
      <c r="EV3" s="3">
        <v>0</v>
      </c>
      <c r="EW3" s="79">
        <v>1</v>
      </c>
      <c r="EX3" s="3">
        <v>0</v>
      </c>
      <c r="EY3" s="79">
        <v>1</v>
      </c>
      <c r="EZ3" s="3">
        <v>0</v>
      </c>
      <c r="FA3" s="79">
        <v>1</v>
      </c>
      <c r="FB3" s="3">
        <v>0</v>
      </c>
      <c r="FC3" s="79">
        <v>1</v>
      </c>
      <c r="FD3" s="3">
        <v>0</v>
      </c>
      <c r="FE3" s="79">
        <v>1</v>
      </c>
      <c r="FF3" s="3">
        <v>0</v>
      </c>
      <c r="FG3" s="79">
        <v>1</v>
      </c>
      <c r="FH3" s="3">
        <v>0</v>
      </c>
      <c r="FI3" s="79">
        <v>1</v>
      </c>
      <c r="FJ3" s="3">
        <v>0</v>
      </c>
      <c r="FK3" s="79">
        <v>1</v>
      </c>
      <c r="FL3" s="3">
        <v>0</v>
      </c>
      <c r="FM3" s="79">
        <v>1</v>
      </c>
      <c r="FN3" s="3">
        <v>0</v>
      </c>
      <c r="FO3" s="79">
        <v>1</v>
      </c>
      <c r="FP3" s="3">
        <v>0</v>
      </c>
      <c r="FQ3" s="79">
        <v>1</v>
      </c>
      <c r="FR3" s="3">
        <v>0</v>
      </c>
      <c r="FS3" s="79">
        <v>1</v>
      </c>
      <c r="FT3" s="3">
        <v>0</v>
      </c>
      <c r="FU3" s="79">
        <v>1</v>
      </c>
      <c r="FV3" s="3">
        <v>0</v>
      </c>
      <c r="FW3" s="79">
        <v>1</v>
      </c>
      <c r="FX3" s="3">
        <v>0</v>
      </c>
      <c r="FY3" s="79">
        <v>1</v>
      </c>
      <c r="FZ3" s="3">
        <v>0</v>
      </c>
      <c r="GA3" s="79">
        <v>1</v>
      </c>
      <c r="GB3" s="3">
        <v>0</v>
      </c>
      <c r="GC3" s="79">
        <v>1</v>
      </c>
      <c r="GD3" s="3">
        <v>0</v>
      </c>
      <c r="GE3" s="79">
        <v>1</v>
      </c>
      <c r="GF3" s="3">
        <v>0</v>
      </c>
      <c r="GG3" s="79">
        <v>1</v>
      </c>
      <c r="GH3" s="3">
        <v>0</v>
      </c>
      <c r="GI3" s="79">
        <v>1</v>
      </c>
      <c r="GJ3" s="3">
        <v>0</v>
      </c>
      <c r="GK3" s="79">
        <v>1</v>
      </c>
      <c r="GL3" s="3">
        <v>0</v>
      </c>
      <c r="GM3" s="79">
        <v>1</v>
      </c>
      <c r="GN3" s="3">
        <v>0</v>
      </c>
      <c r="GO3" s="79">
        <v>1</v>
      </c>
      <c r="GP3" s="3">
        <v>0</v>
      </c>
      <c r="GQ3" s="79">
        <v>1</v>
      </c>
      <c r="GR3" s="3">
        <v>0</v>
      </c>
      <c r="GS3" s="79">
        <v>1</v>
      </c>
      <c r="GT3" s="3">
        <v>0</v>
      </c>
      <c r="GU3" s="79">
        <v>1</v>
      </c>
      <c r="GV3" s="3">
        <v>0</v>
      </c>
      <c r="GW3" s="79">
        <v>1</v>
      </c>
      <c r="GX3" s="3">
        <v>0</v>
      </c>
      <c r="GY3" s="79">
        <v>1</v>
      </c>
      <c r="GZ3" s="3">
        <v>0</v>
      </c>
      <c r="HA3" s="79">
        <v>1</v>
      </c>
      <c r="HB3" s="3">
        <v>0</v>
      </c>
      <c r="HC3" s="79">
        <v>1</v>
      </c>
      <c r="HD3" s="3">
        <v>0</v>
      </c>
      <c r="HE3" s="79">
        <v>1</v>
      </c>
      <c r="HF3" s="3">
        <v>0</v>
      </c>
      <c r="HG3" s="79">
        <v>1</v>
      </c>
      <c r="HH3" s="3">
        <v>0</v>
      </c>
      <c r="HI3" s="79">
        <v>1</v>
      </c>
      <c r="HJ3" s="3">
        <v>0</v>
      </c>
      <c r="HK3" s="79">
        <v>1</v>
      </c>
      <c r="HL3" s="3">
        <v>0</v>
      </c>
      <c r="HM3" s="79">
        <v>1</v>
      </c>
      <c r="HN3" s="3">
        <v>0</v>
      </c>
      <c r="HO3" s="79">
        <v>1</v>
      </c>
    </row>
    <row r="4" spans="1:223">
      <c r="A4" s="1" t="s">
        <v>3</v>
      </c>
      <c r="B4" s="3" t="s">
        <v>383</v>
      </c>
      <c r="J4">
        <v>4</v>
      </c>
      <c r="L4" s="3" t="s">
        <v>377</v>
      </c>
      <c r="M4" s="3" t="s">
        <v>374</v>
      </c>
      <c r="O4" t="s">
        <v>624</v>
      </c>
      <c r="P4" t="s">
        <v>480</v>
      </c>
      <c r="Q4" s="75"/>
      <c r="R4" s="75"/>
      <c r="U4" s="1">
        <v>0.1</v>
      </c>
      <c r="V4" s="11">
        <v>7</v>
      </c>
      <c r="W4" s="79">
        <v>2</v>
      </c>
      <c r="X4" s="11">
        <v>3</v>
      </c>
      <c r="Y4" s="79">
        <v>2</v>
      </c>
      <c r="Z4" s="11">
        <v>4</v>
      </c>
      <c r="AA4" s="79">
        <v>2</v>
      </c>
      <c r="AB4" s="11">
        <v>8</v>
      </c>
      <c r="AC4" s="79">
        <v>2</v>
      </c>
      <c r="AD4" s="11">
        <v>6.3000000000000043</v>
      </c>
      <c r="AE4" s="79">
        <v>2</v>
      </c>
      <c r="AF4" s="11">
        <v>6</v>
      </c>
      <c r="AG4" s="79">
        <v>2</v>
      </c>
      <c r="AH4" s="11">
        <v>9</v>
      </c>
      <c r="AI4" s="79">
        <v>2</v>
      </c>
      <c r="AJ4" s="11">
        <v>6</v>
      </c>
      <c r="AK4" s="79">
        <v>2</v>
      </c>
      <c r="AL4" s="11">
        <v>9</v>
      </c>
      <c r="AM4" s="79">
        <v>2</v>
      </c>
      <c r="AN4" s="11">
        <v>5</v>
      </c>
      <c r="AO4" s="79">
        <v>2</v>
      </c>
      <c r="AP4" s="11">
        <v>4</v>
      </c>
      <c r="AQ4" s="79">
        <v>2</v>
      </c>
      <c r="AR4" s="11">
        <v>4</v>
      </c>
      <c r="AS4" s="79">
        <v>2</v>
      </c>
      <c r="AT4" s="11">
        <v>2</v>
      </c>
      <c r="AU4" s="79">
        <v>2</v>
      </c>
      <c r="AV4" s="11">
        <v>9</v>
      </c>
      <c r="AW4" s="79">
        <v>2</v>
      </c>
      <c r="AX4" s="11">
        <v>6</v>
      </c>
      <c r="AY4" s="79">
        <v>2</v>
      </c>
      <c r="AZ4" s="11">
        <v>8</v>
      </c>
      <c r="BA4" s="79">
        <v>2</v>
      </c>
      <c r="BB4" s="11">
        <v>7</v>
      </c>
      <c r="BC4" s="79">
        <v>2</v>
      </c>
      <c r="BD4" s="11">
        <v>3</v>
      </c>
      <c r="BE4" s="79">
        <v>2</v>
      </c>
      <c r="BF4" s="11">
        <v>5</v>
      </c>
      <c r="BG4" s="79">
        <v>2</v>
      </c>
      <c r="BH4" s="11">
        <v>10</v>
      </c>
      <c r="BI4" s="79">
        <v>2</v>
      </c>
      <c r="BJ4" s="11">
        <v>4</v>
      </c>
      <c r="BK4" s="79">
        <v>2</v>
      </c>
      <c r="BL4" s="11">
        <v>7</v>
      </c>
      <c r="BM4" s="79">
        <v>2</v>
      </c>
      <c r="BN4" s="11">
        <v>3</v>
      </c>
      <c r="BO4" s="79">
        <v>2</v>
      </c>
      <c r="BP4" s="11">
        <v>2</v>
      </c>
      <c r="BQ4" s="79">
        <v>2</v>
      </c>
      <c r="BR4" s="11">
        <v>7</v>
      </c>
      <c r="BS4" s="79">
        <v>2</v>
      </c>
      <c r="BT4" s="11">
        <v>9</v>
      </c>
      <c r="BU4" s="79">
        <v>2</v>
      </c>
      <c r="BV4" s="11">
        <v>8</v>
      </c>
      <c r="BW4" s="79">
        <v>2</v>
      </c>
      <c r="BX4" s="11">
        <v>2</v>
      </c>
      <c r="BY4" s="79">
        <v>2</v>
      </c>
      <c r="BZ4" s="240">
        <v>2</v>
      </c>
      <c r="CA4" s="79">
        <v>2</v>
      </c>
      <c r="CB4" s="11">
        <v>4</v>
      </c>
      <c r="CC4" s="79">
        <v>2</v>
      </c>
      <c r="CD4" s="11">
        <v>4</v>
      </c>
      <c r="CE4" s="79">
        <v>2</v>
      </c>
      <c r="CF4" s="11">
        <v>7</v>
      </c>
      <c r="CG4" s="79">
        <v>2</v>
      </c>
      <c r="CH4" s="11">
        <v>4</v>
      </c>
      <c r="CI4" s="79">
        <v>2</v>
      </c>
      <c r="CJ4" s="11">
        <v>8</v>
      </c>
      <c r="CK4" s="79">
        <v>2</v>
      </c>
      <c r="CL4" s="11">
        <v>7</v>
      </c>
      <c r="CM4" s="79">
        <v>2</v>
      </c>
      <c r="CN4" s="11">
        <v>7</v>
      </c>
      <c r="CO4" s="79">
        <v>2</v>
      </c>
      <c r="CP4" s="11">
        <v>8</v>
      </c>
      <c r="CQ4" s="79">
        <v>2</v>
      </c>
      <c r="CR4" s="11">
        <v>7</v>
      </c>
      <c r="CS4" s="79">
        <v>2</v>
      </c>
      <c r="CT4" s="11">
        <v>8</v>
      </c>
      <c r="CU4" s="79">
        <v>2</v>
      </c>
      <c r="CV4" s="11">
        <v>3</v>
      </c>
      <c r="CW4" s="79">
        <v>2</v>
      </c>
      <c r="CX4" s="11">
        <v>3.3000000000000043</v>
      </c>
      <c r="CY4" s="79">
        <v>2</v>
      </c>
      <c r="CZ4" s="11">
        <v>3</v>
      </c>
      <c r="DA4" s="79">
        <v>2</v>
      </c>
      <c r="DB4" s="11">
        <v>5</v>
      </c>
      <c r="DC4" s="79">
        <v>2</v>
      </c>
      <c r="DD4" s="11">
        <v>3</v>
      </c>
      <c r="DE4" s="79">
        <v>2</v>
      </c>
      <c r="DF4" s="11">
        <v>7</v>
      </c>
      <c r="DG4" s="79">
        <v>2</v>
      </c>
      <c r="DH4" s="11">
        <v>2</v>
      </c>
      <c r="DI4" s="79">
        <v>2</v>
      </c>
      <c r="DJ4" s="11">
        <v>7</v>
      </c>
      <c r="DK4" s="79">
        <v>2</v>
      </c>
      <c r="DL4" s="11">
        <v>3</v>
      </c>
      <c r="DM4" s="79">
        <v>2</v>
      </c>
      <c r="DN4" s="11">
        <v>3</v>
      </c>
      <c r="DO4" s="79">
        <v>2</v>
      </c>
      <c r="DU4" s="1">
        <v>0.1</v>
      </c>
      <c r="DV4" s="11">
        <v>7</v>
      </c>
      <c r="DW4" s="79">
        <v>2</v>
      </c>
      <c r="DX4" s="11">
        <v>3</v>
      </c>
      <c r="DY4" s="79">
        <v>2</v>
      </c>
      <c r="DZ4" s="11">
        <v>4</v>
      </c>
      <c r="EA4" s="79">
        <v>2</v>
      </c>
      <c r="EB4" s="11">
        <v>8</v>
      </c>
      <c r="EC4" s="79">
        <v>2</v>
      </c>
      <c r="ED4" s="11">
        <v>6.3000000000000043</v>
      </c>
      <c r="EE4" s="79">
        <v>2</v>
      </c>
      <c r="EF4" s="11">
        <v>6</v>
      </c>
      <c r="EG4" s="79">
        <v>2</v>
      </c>
      <c r="EH4" s="11">
        <v>9</v>
      </c>
      <c r="EI4" s="79">
        <v>2</v>
      </c>
      <c r="EJ4" s="11">
        <v>6</v>
      </c>
      <c r="EK4" s="79">
        <v>2</v>
      </c>
      <c r="EL4" s="11">
        <v>9</v>
      </c>
      <c r="EM4" s="79">
        <v>2</v>
      </c>
      <c r="EN4" s="11">
        <v>5</v>
      </c>
      <c r="EO4" s="79">
        <v>2</v>
      </c>
      <c r="EP4" s="11">
        <v>4</v>
      </c>
      <c r="EQ4" s="79">
        <v>2</v>
      </c>
      <c r="ER4" s="11">
        <v>4</v>
      </c>
      <c r="ES4" s="79">
        <v>2</v>
      </c>
      <c r="ET4" s="11">
        <v>2</v>
      </c>
      <c r="EU4" s="79">
        <v>2</v>
      </c>
      <c r="EV4" s="11">
        <v>9</v>
      </c>
      <c r="EW4" s="79">
        <v>2</v>
      </c>
      <c r="EX4" s="11">
        <v>6</v>
      </c>
      <c r="EY4" s="79">
        <v>2</v>
      </c>
      <c r="EZ4" s="11">
        <v>8</v>
      </c>
      <c r="FA4" s="79">
        <v>2</v>
      </c>
      <c r="FB4" s="11">
        <v>7</v>
      </c>
      <c r="FC4" s="79">
        <v>2</v>
      </c>
      <c r="FD4" s="11">
        <v>3</v>
      </c>
      <c r="FE4" s="79">
        <v>2</v>
      </c>
      <c r="FF4" s="11">
        <v>5</v>
      </c>
      <c r="FG4" s="79">
        <v>2</v>
      </c>
      <c r="FH4" s="11">
        <v>10</v>
      </c>
      <c r="FI4" s="79">
        <v>2</v>
      </c>
      <c r="FJ4" s="11">
        <v>4</v>
      </c>
      <c r="FK4" s="79">
        <v>2</v>
      </c>
      <c r="FL4" s="11">
        <v>7</v>
      </c>
      <c r="FM4" s="79">
        <v>2</v>
      </c>
      <c r="FN4" s="11">
        <v>3</v>
      </c>
      <c r="FO4" s="79">
        <v>2</v>
      </c>
      <c r="FP4" s="11">
        <v>2</v>
      </c>
      <c r="FQ4" s="79">
        <v>2</v>
      </c>
      <c r="FR4" s="11">
        <v>7</v>
      </c>
      <c r="FS4" s="79">
        <v>2</v>
      </c>
      <c r="FT4" s="11">
        <v>9</v>
      </c>
      <c r="FU4" s="79">
        <v>2</v>
      </c>
      <c r="FV4" s="11">
        <v>8</v>
      </c>
      <c r="FW4" s="79">
        <v>2</v>
      </c>
      <c r="FX4" s="11">
        <v>2</v>
      </c>
      <c r="FY4" s="79">
        <v>2</v>
      </c>
      <c r="FZ4" s="240">
        <v>2</v>
      </c>
      <c r="GA4" s="79">
        <v>2</v>
      </c>
      <c r="GB4" s="11">
        <v>4</v>
      </c>
      <c r="GC4" s="79">
        <v>2</v>
      </c>
      <c r="GD4" s="11">
        <v>4</v>
      </c>
      <c r="GE4" s="79">
        <v>2</v>
      </c>
      <c r="GF4" s="11">
        <v>7</v>
      </c>
      <c r="GG4" s="79">
        <v>2</v>
      </c>
      <c r="GH4" s="11">
        <v>4</v>
      </c>
      <c r="GI4" s="79">
        <v>2</v>
      </c>
      <c r="GJ4" s="11">
        <v>8</v>
      </c>
      <c r="GK4" s="79">
        <v>2</v>
      </c>
      <c r="GL4" s="11">
        <v>7</v>
      </c>
      <c r="GM4" s="79">
        <v>2</v>
      </c>
      <c r="GN4" s="11">
        <v>7</v>
      </c>
      <c r="GO4" s="79">
        <v>2</v>
      </c>
      <c r="GP4" s="11">
        <v>8</v>
      </c>
      <c r="GQ4" s="79">
        <v>2</v>
      </c>
      <c r="GR4" s="11">
        <v>7</v>
      </c>
      <c r="GS4" s="79">
        <v>2</v>
      </c>
      <c r="GT4" s="11">
        <v>8</v>
      </c>
      <c r="GU4" s="79">
        <v>2</v>
      </c>
      <c r="GV4" s="11">
        <v>3</v>
      </c>
      <c r="GW4" s="79">
        <v>2</v>
      </c>
      <c r="GX4" s="11">
        <v>3.3000000000000043</v>
      </c>
      <c r="GY4" s="79">
        <v>2</v>
      </c>
      <c r="GZ4" s="11">
        <v>3</v>
      </c>
      <c r="HA4" s="79">
        <v>2</v>
      </c>
      <c r="HB4" s="11">
        <v>5</v>
      </c>
      <c r="HC4" s="79">
        <v>2</v>
      </c>
      <c r="HD4" s="11">
        <v>3</v>
      </c>
      <c r="HE4" s="79">
        <v>2</v>
      </c>
      <c r="HF4" s="11">
        <v>7</v>
      </c>
      <c r="HG4" s="79">
        <v>2</v>
      </c>
      <c r="HH4" s="11">
        <v>2</v>
      </c>
      <c r="HI4" s="79">
        <v>2</v>
      </c>
      <c r="HJ4" s="11">
        <v>7</v>
      </c>
      <c r="HK4" s="79">
        <v>2</v>
      </c>
      <c r="HL4" s="11">
        <v>3</v>
      </c>
      <c r="HM4" s="79">
        <v>2</v>
      </c>
      <c r="HN4" s="11">
        <v>3</v>
      </c>
      <c r="HO4" s="79">
        <v>2</v>
      </c>
    </row>
    <row r="5" spans="1:223">
      <c r="A5" s="1" t="s">
        <v>4</v>
      </c>
      <c r="B5" s="3" t="s">
        <v>4</v>
      </c>
      <c r="J5">
        <v>5</v>
      </c>
      <c r="L5" s="3" t="s">
        <v>380</v>
      </c>
      <c r="M5" s="3" t="s">
        <v>375</v>
      </c>
      <c r="O5" t="s">
        <v>391</v>
      </c>
      <c r="P5" t="s">
        <v>478</v>
      </c>
      <c r="Q5" s="75"/>
      <c r="R5" s="75"/>
      <c r="U5" s="1">
        <v>0.2</v>
      </c>
      <c r="V5" s="11">
        <v>9</v>
      </c>
      <c r="W5" s="79">
        <v>3</v>
      </c>
      <c r="X5" s="11">
        <v>4</v>
      </c>
      <c r="Y5" s="79">
        <v>3</v>
      </c>
      <c r="Z5" s="11">
        <v>6</v>
      </c>
      <c r="AA5" s="79">
        <v>3</v>
      </c>
      <c r="AB5" s="11">
        <v>10</v>
      </c>
      <c r="AC5" s="79">
        <v>3</v>
      </c>
      <c r="AD5" s="11">
        <v>9</v>
      </c>
      <c r="AE5" s="79">
        <v>3</v>
      </c>
      <c r="AF5" s="11">
        <v>8</v>
      </c>
      <c r="AG5" s="79">
        <v>3</v>
      </c>
      <c r="AH5" s="11">
        <v>11</v>
      </c>
      <c r="AI5" s="79">
        <v>3</v>
      </c>
      <c r="AJ5" s="11">
        <v>7</v>
      </c>
      <c r="AK5" s="79">
        <v>3</v>
      </c>
      <c r="AL5" s="11">
        <v>11</v>
      </c>
      <c r="AM5" s="79">
        <v>3</v>
      </c>
      <c r="AN5" s="11">
        <v>6</v>
      </c>
      <c r="AO5" s="79">
        <v>3</v>
      </c>
      <c r="AP5" s="11">
        <v>6</v>
      </c>
      <c r="AQ5" s="79">
        <v>3</v>
      </c>
      <c r="AR5" s="11">
        <v>6</v>
      </c>
      <c r="AS5" s="79">
        <v>3</v>
      </c>
      <c r="AT5" s="11">
        <v>5</v>
      </c>
      <c r="AU5" s="79">
        <v>3</v>
      </c>
      <c r="AV5" s="11">
        <v>11</v>
      </c>
      <c r="AW5" s="79">
        <v>3</v>
      </c>
      <c r="AX5" s="11">
        <v>8</v>
      </c>
      <c r="AY5" s="79">
        <v>3</v>
      </c>
      <c r="AZ5" s="11">
        <v>10</v>
      </c>
      <c r="BA5" s="79">
        <v>3</v>
      </c>
      <c r="BB5" s="11">
        <v>9</v>
      </c>
      <c r="BC5" s="79">
        <v>3</v>
      </c>
      <c r="BD5" s="11">
        <v>5</v>
      </c>
      <c r="BE5" s="79">
        <v>3</v>
      </c>
      <c r="BF5" s="11">
        <v>7</v>
      </c>
      <c r="BG5" s="79">
        <v>3</v>
      </c>
      <c r="BH5" s="11">
        <v>12</v>
      </c>
      <c r="BI5" s="79">
        <v>3</v>
      </c>
      <c r="BJ5" s="11">
        <v>6</v>
      </c>
      <c r="BK5" s="79">
        <v>3</v>
      </c>
      <c r="BL5" s="11">
        <v>9</v>
      </c>
      <c r="BM5" s="79">
        <v>3</v>
      </c>
      <c r="BN5" s="11">
        <v>5</v>
      </c>
      <c r="BO5" s="79">
        <v>3</v>
      </c>
      <c r="BP5" s="11">
        <v>4</v>
      </c>
      <c r="BQ5" s="79">
        <v>3</v>
      </c>
      <c r="BR5" s="11">
        <v>9</v>
      </c>
      <c r="BS5" s="79">
        <v>3</v>
      </c>
      <c r="BT5" s="11">
        <v>11</v>
      </c>
      <c r="BU5" s="79">
        <v>3</v>
      </c>
      <c r="BV5" s="11">
        <v>10</v>
      </c>
      <c r="BW5" s="79">
        <v>3</v>
      </c>
      <c r="BX5" s="11">
        <v>5</v>
      </c>
      <c r="BY5" s="79">
        <v>3</v>
      </c>
      <c r="BZ5" s="241">
        <v>2</v>
      </c>
      <c r="CA5" s="79">
        <v>3</v>
      </c>
      <c r="CB5" s="11">
        <v>6</v>
      </c>
      <c r="CC5" s="79">
        <v>3</v>
      </c>
      <c r="CD5" s="11">
        <v>5</v>
      </c>
      <c r="CE5" s="79">
        <v>3</v>
      </c>
      <c r="CF5" s="11">
        <v>8</v>
      </c>
      <c r="CG5" s="79">
        <v>3</v>
      </c>
      <c r="CH5" s="11">
        <v>6.6000000000000085</v>
      </c>
      <c r="CI5" s="79">
        <v>3</v>
      </c>
      <c r="CJ5" s="11">
        <v>10</v>
      </c>
      <c r="CK5" s="79">
        <v>3</v>
      </c>
      <c r="CL5" s="11">
        <v>8.6000000000000085</v>
      </c>
      <c r="CM5" s="79">
        <v>3</v>
      </c>
      <c r="CN5" s="11">
        <v>10</v>
      </c>
      <c r="CO5" s="79">
        <v>3</v>
      </c>
      <c r="CP5" s="11">
        <v>10</v>
      </c>
      <c r="CQ5" s="79">
        <v>3</v>
      </c>
      <c r="CR5" s="11">
        <v>10</v>
      </c>
      <c r="CS5" s="79">
        <v>3</v>
      </c>
      <c r="CT5" s="11">
        <v>10</v>
      </c>
      <c r="CU5" s="79">
        <v>3</v>
      </c>
      <c r="CV5" s="11">
        <v>5</v>
      </c>
      <c r="CW5" s="79">
        <v>3</v>
      </c>
      <c r="CX5" s="11">
        <v>6</v>
      </c>
      <c r="CY5" s="79">
        <v>3</v>
      </c>
      <c r="CZ5" s="11">
        <v>5</v>
      </c>
      <c r="DA5" s="79">
        <v>3</v>
      </c>
      <c r="DB5" s="11">
        <v>6</v>
      </c>
      <c r="DC5" s="79">
        <v>3</v>
      </c>
      <c r="DD5" s="11">
        <v>5</v>
      </c>
      <c r="DE5" s="79">
        <v>3</v>
      </c>
      <c r="DF5" s="11">
        <v>9</v>
      </c>
      <c r="DG5" s="79">
        <v>3</v>
      </c>
      <c r="DH5" s="11">
        <v>5</v>
      </c>
      <c r="DI5" s="79">
        <v>3</v>
      </c>
      <c r="DJ5" s="11">
        <v>9.6000000000000085</v>
      </c>
      <c r="DK5" s="79">
        <v>3</v>
      </c>
      <c r="DL5" s="11">
        <v>5</v>
      </c>
      <c r="DM5" s="79">
        <v>3</v>
      </c>
      <c r="DN5" s="11">
        <v>5</v>
      </c>
      <c r="DO5" s="79">
        <v>3</v>
      </c>
      <c r="DU5" s="1">
        <v>0.2</v>
      </c>
      <c r="DV5" s="11">
        <v>9</v>
      </c>
      <c r="DW5" s="79">
        <v>3</v>
      </c>
      <c r="DX5" s="11">
        <v>4</v>
      </c>
      <c r="DY5" s="79">
        <v>3</v>
      </c>
      <c r="DZ5" s="11">
        <v>6</v>
      </c>
      <c r="EA5" s="79">
        <v>3</v>
      </c>
      <c r="EB5" s="11">
        <v>10</v>
      </c>
      <c r="EC5" s="79">
        <v>3</v>
      </c>
      <c r="ED5" s="11">
        <v>9</v>
      </c>
      <c r="EE5" s="79">
        <v>3</v>
      </c>
      <c r="EF5" s="11">
        <v>8</v>
      </c>
      <c r="EG5" s="79">
        <v>3</v>
      </c>
      <c r="EH5" s="11">
        <v>11</v>
      </c>
      <c r="EI5" s="79">
        <v>3</v>
      </c>
      <c r="EJ5" s="11">
        <v>7</v>
      </c>
      <c r="EK5" s="79">
        <v>3</v>
      </c>
      <c r="EL5" s="11">
        <v>11</v>
      </c>
      <c r="EM5" s="79">
        <v>3</v>
      </c>
      <c r="EN5" s="11">
        <v>6</v>
      </c>
      <c r="EO5" s="79">
        <v>3</v>
      </c>
      <c r="EP5" s="11">
        <v>6</v>
      </c>
      <c r="EQ5" s="79">
        <v>3</v>
      </c>
      <c r="ER5" s="11">
        <v>6</v>
      </c>
      <c r="ES5" s="79">
        <v>3</v>
      </c>
      <c r="ET5" s="11">
        <v>5</v>
      </c>
      <c r="EU5" s="79">
        <v>3</v>
      </c>
      <c r="EV5" s="11">
        <v>11</v>
      </c>
      <c r="EW5" s="79">
        <v>3</v>
      </c>
      <c r="EX5" s="11">
        <v>8</v>
      </c>
      <c r="EY5" s="79">
        <v>3</v>
      </c>
      <c r="EZ5" s="11">
        <v>10</v>
      </c>
      <c r="FA5" s="79">
        <v>3</v>
      </c>
      <c r="FB5" s="11">
        <v>9</v>
      </c>
      <c r="FC5" s="79">
        <v>3</v>
      </c>
      <c r="FD5" s="11">
        <v>5</v>
      </c>
      <c r="FE5" s="79">
        <v>3</v>
      </c>
      <c r="FF5" s="11">
        <v>7</v>
      </c>
      <c r="FG5" s="79">
        <v>3</v>
      </c>
      <c r="FH5" s="11">
        <v>12</v>
      </c>
      <c r="FI5" s="79">
        <v>3</v>
      </c>
      <c r="FJ5" s="11">
        <v>6</v>
      </c>
      <c r="FK5" s="79">
        <v>3</v>
      </c>
      <c r="FL5" s="11">
        <v>9</v>
      </c>
      <c r="FM5" s="79">
        <v>3</v>
      </c>
      <c r="FN5" s="11">
        <v>5</v>
      </c>
      <c r="FO5" s="79">
        <v>3</v>
      </c>
      <c r="FP5" s="11">
        <v>4</v>
      </c>
      <c r="FQ5" s="79">
        <v>3</v>
      </c>
      <c r="FR5" s="11">
        <v>9</v>
      </c>
      <c r="FS5" s="79">
        <v>3</v>
      </c>
      <c r="FT5" s="11">
        <v>11</v>
      </c>
      <c r="FU5" s="79">
        <v>3</v>
      </c>
      <c r="FV5" s="11">
        <v>10</v>
      </c>
      <c r="FW5" s="79">
        <v>3</v>
      </c>
      <c r="FX5" s="11">
        <v>5</v>
      </c>
      <c r="FY5" s="79">
        <v>3</v>
      </c>
      <c r="FZ5" s="241">
        <v>2</v>
      </c>
      <c r="GA5" s="79">
        <v>3</v>
      </c>
      <c r="GB5" s="11">
        <v>6</v>
      </c>
      <c r="GC5" s="79">
        <v>3</v>
      </c>
      <c r="GD5" s="11">
        <v>5</v>
      </c>
      <c r="GE5" s="79">
        <v>3</v>
      </c>
      <c r="GF5" s="11">
        <v>8</v>
      </c>
      <c r="GG5" s="79">
        <v>3</v>
      </c>
      <c r="GH5" s="11">
        <v>6.6000000000000085</v>
      </c>
      <c r="GI5" s="79">
        <v>3</v>
      </c>
      <c r="GJ5" s="11">
        <v>10</v>
      </c>
      <c r="GK5" s="79">
        <v>3</v>
      </c>
      <c r="GL5" s="11">
        <v>8.6000000000000085</v>
      </c>
      <c r="GM5" s="79">
        <v>3</v>
      </c>
      <c r="GN5" s="11">
        <v>10</v>
      </c>
      <c r="GO5" s="79">
        <v>3</v>
      </c>
      <c r="GP5" s="11">
        <v>10</v>
      </c>
      <c r="GQ5" s="79">
        <v>3</v>
      </c>
      <c r="GR5" s="11">
        <v>10</v>
      </c>
      <c r="GS5" s="79">
        <v>3</v>
      </c>
      <c r="GT5" s="11">
        <v>10</v>
      </c>
      <c r="GU5" s="79">
        <v>3</v>
      </c>
      <c r="GV5" s="11">
        <v>5</v>
      </c>
      <c r="GW5" s="79">
        <v>3</v>
      </c>
      <c r="GX5" s="11">
        <v>6</v>
      </c>
      <c r="GY5" s="79">
        <v>3</v>
      </c>
      <c r="GZ5" s="11">
        <v>5</v>
      </c>
      <c r="HA5" s="79">
        <v>3</v>
      </c>
      <c r="HB5" s="11">
        <v>6</v>
      </c>
      <c r="HC5" s="79">
        <v>3</v>
      </c>
      <c r="HD5" s="11">
        <v>5</v>
      </c>
      <c r="HE5" s="79">
        <v>3</v>
      </c>
      <c r="HF5" s="11">
        <v>9</v>
      </c>
      <c r="HG5" s="79">
        <v>3</v>
      </c>
      <c r="HH5" s="11">
        <v>5</v>
      </c>
      <c r="HI5" s="79">
        <v>3</v>
      </c>
      <c r="HJ5" s="11">
        <v>9.6000000000000085</v>
      </c>
      <c r="HK5" s="79">
        <v>3</v>
      </c>
      <c r="HL5" s="11">
        <v>5</v>
      </c>
      <c r="HM5" s="79">
        <v>3</v>
      </c>
      <c r="HN5" s="11">
        <v>5</v>
      </c>
      <c r="HO5" s="79">
        <v>3</v>
      </c>
    </row>
    <row r="6" spans="1:223">
      <c r="A6" s="1" t="s">
        <v>5</v>
      </c>
      <c r="B6" s="3" t="s">
        <v>384</v>
      </c>
      <c r="G6" t="s">
        <v>582</v>
      </c>
      <c r="J6">
        <v>6</v>
      </c>
      <c r="L6" s="3" t="s">
        <v>387</v>
      </c>
      <c r="M6" s="3" t="s">
        <v>376</v>
      </c>
      <c r="O6" t="s">
        <v>474</v>
      </c>
      <c r="P6" t="s">
        <v>486</v>
      </c>
      <c r="Q6" s="75"/>
      <c r="R6" s="75"/>
      <c r="U6" s="1">
        <v>0.3</v>
      </c>
      <c r="V6" s="11">
        <v>10</v>
      </c>
      <c r="W6" s="79">
        <v>4</v>
      </c>
      <c r="X6" s="11">
        <v>6</v>
      </c>
      <c r="Y6" s="79">
        <v>4</v>
      </c>
      <c r="Z6" s="11">
        <v>8</v>
      </c>
      <c r="AA6" s="79">
        <v>4</v>
      </c>
      <c r="AB6" s="11">
        <v>12</v>
      </c>
      <c r="AC6" s="79">
        <v>4</v>
      </c>
      <c r="AD6" s="11">
        <v>10</v>
      </c>
      <c r="AE6" s="79">
        <v>4</v>
      </c>
      <c r="AF6" s="11">
        <v>9</v>
      </c>
      <c r="AG6" s="79">
        <v>4</v>
      </c>
      <c r="AH6" s="11">
        <v>13</v>
      </c>
      <c r="AI6" s="79">
        <v>4</v>
      </c>
      <c r="AJ6" s="11">
        <v>9</v>
      </c>
      <c r="AK6" s="79">
        <v>4</v>
      </c>
      <c r="AL6" s="11">
        <v>13</v>
      </c>
      <c r="AM6" s="79">
        <v>4</v>
      </c>
      <c r="AN6" s="11">
        <v>8</v>
      </c>
      <c r="AO6" s="79">
        <v>4</v>
      </c>
      <c r="AP6" s="11">
        <v>8</v>
      </c>
      <c r="AQ6" s="79">
        <v>4</v>
      </c>
      <c r="AR6" s="11">
        <v>8</v>
      </c>
      <c r="AS6" s="79">
        <v>4</v>
      </c>
      <c r="AT6" s="11">
        <v>6</v>
      </c>
      <c r="AU6" s="79">
        <v>4</v>
      </c>
      <c r="AV6" s="11">
        <v>12</v>
      </c>
      <c r="AW6" s="79">
        <v>4</v>
      </c>
      <c r="AX6" s="11">
        <v>9</v>
      </c>
      <c r="AY6" s="79">
        <v>4</v>
      </c>
      <c r="AZ6" s="11">
        <v>11</v>
      </c>
      <c r="BA6" s="79">
        <v>4</v>
      </c>
      <c r="BB6" s="11">
        <v>11</v>
      </c>
      <c r="BC6" s="79">
        <v>4</v>
      </c>
      <c r="BD6" s="11">
        <v>6</v>
      </c>
      <c r="BE6" s="79">
        <v>4</v>
      </c>
      <c r="BF6" s="11">
        <v>9</v>
      </c>
      <c r="BG6" s="79">
        <v>4</v>
      </c>
      <c r="BH6" s="11">
        <v>13</v>
      </c>
      <c r="BI6" s="79">
        <v>4</v>
      </c>
      <c r="BJ6" s="11">
        <v>7</v>
      </c>
      <c r="BK6" s="79">
        <v>4</v>
      </c>
      <c r="BL6" s="11">
        <v>10</v>
      </c>
      <c r="BM6" s="79">
        <v>4</v>
      </c>
      <c r="BN6" s="11">
        <v>6</v>
      </c>
      <c r="BO6" s="79">
        <v>4</v>
      </c>
      <c r="BP6" s="11">
        <v>6</v>
      </c>
      <c r="BQ6" s="79">
        <v>4</v>
      </c>
      <c r="BR6" s="11">
        <v>11</v>
      </c>
      <c r="BS6" s="79">
        <v>4</v>
      </c>
      <c r="BT6" s="11">
        <v>13</v>
      </c>
      <c r="BU6" s="79">
        <v>4</v>
      </c>
      <c r="BV6" s="11">
        <v>11.899999999999991</v>
      </c>
      <c r="BW6" s="79">
        <v>4</v>
      </c>
      <c r="BX6" s="11">
        <v>7</v>
      </c>
      <c r="BY6" s="79">
        <v>4</v>
      </c>
      <c r="BZ6" s="11">
        <v>4</v>
      </c>
      <c r="CA6" s="79">
        <v>4</v>
      </c>
      <c r="CB6" s="11">
        <v>7</v>
      </c>
      <c r="CC6" s="79">
        <v>4</v>
      </c>
      <c r="CD6" s="11">
        <v>7</v>
      </c>
      <c r="CE6" s="79">
        <v>4</v>
      </c>
      <c r="CF6" s="11">
        <v>10</v>
      </c>
      <c r="CG6" s="79">
        <v>4</v>
      </c>
      <c r="CH6" s="11">
        <v>8</v>
      </c>
      <c r="CI6" s="79">
        <v>4</v>
      </c>
      <c r="CJ6" s="11">
        <v>11</v>
      </c>
      <c r="CK6" s="79">
        <v>4</v>
      </c>
      <c r="CL6" s="11">
        <v>10</v>
      </c>
      <c r="CM6" s="79">
        <v>4</v>
      </c>
      <c r="CN6" s="11">
        <v>11</v>
      </c>
      <c r="CO6" s="79">
        <v>4</v>
      </c>
      <c r="CP6" s="11">
        <v>12</v>
      </c>
      <c r="CQ6" s="79">
        <v>4</v>
      </c>
      <c r="CR6" s="11">
        <v>11</v>
      </c>
      <c r="CS6" s="79">
        <v>4</v>
      </c>
      <c r="CT6" s="11">
        <v>12</v>
      </c>
      <c r="CU6" s="79">
        <v>4</v>
      </c>
      <c r="CV6" s="11">
        <v>6</v>
      </c>
      <c r="CW6" s="79">
        <v>4</v>
      </c>
      <c r="CX6" s="11">
        <v>8</v>
      </c>
      <c r="CY6" s="79">
        <v>4</v>
      </c>
      <c r="CZ6" s="11">
        <v>7</v>
      </c>
      <c r="DA6" s="79">
        <v>4</v>
      </c>
      <c r="DB6" s="11">
        <v>7</v>
      </c>
      <c r="DC6" s="79">
        <v>4</v>
      </c>
      <c r="DD6" s="11">
        <v>6</v>
      </c>
      <c r="DE6" s="79">
        <v>4</v>
      </c>
      <c r="DF6" s="11">
        <v>10</v>
      </c>
      <c r="DG6" s="79">
        <v>4</v>
      </c>
      <c r="DH6" s="11">
        <v>6</v>
      </c>
      <c r="DI6" s="79">
        <v>4</v>
      </c>
      <c r="DJ6" s="11">
        <v>11</v>
      </c>
      <c r="DK6" s="79">
        <v>4</v>
      </c>
      <c r="DL6" s="11">
        <v>6</v>
      </c>
      <c r="DM6" s="79">
        <v>4</v>
      </c>
      <c r="DN6" s="11">
        <v>6</v>
      </c>
      <c r="DO6" s="79">
        <v>4</v>
      </c>
      <c r="DU6" s="1">
        <v>0.3</v>
      </c>
      <c r="DV6" s="11">
        <v>10</v>
      </c>
      <c r="DW6" s="79">
        <v>4</v>
      </c>
      <c r="DX6" s="11">
        <v>6</v>
      </c>
      <c r="DY6" s="79">
        <v>4</v>
      </c>
      <c r="DZ6" s="11">
        <v>8</v>
      </c>
      <c r="EA6" s="79">
        <v>4</v>
      </c>
      <c r="EB6" s="11">
        <v>12</v>
      </c>
      <c r="EC6" s="79">
        <v>4</v>
      </c>
      <c r="ED6" s="11">
        <v>10</v>
      </c>
      <c r="EE6" s="79">
        <v>4</v>
      </c>
      <c r="EF6" s="11">
        <v>9</v>
      </c>
      <c r="EG6" s="79">
        <v>4</v>
      </c>
      <c r="EH6" s="11">
        <v>13</v>
      </c>
      <c r="EI6" s="79">
        <v>4</v>
      </c>
      <c r="EJ6" s="11">
        <v>9</v>
      </c>
      <c r="EK6" s="79">
        <v>4</v>
      </c>
      <c r="EL6" s="11">
        <v>13</v>
      </c>
      <c r="EM6" s="79">
        <v>4</v>
      </c>
      <c r="EN6" s="11">
        <v>8</v>
      </c>
      <c r="EO6" s="79">
        <v>4</v>
      </c>
      <c r="EP6" s="11">
        <v>8</v>
      </c>
      <c r="EQ6" s="79">
        <v>4</v>
      </c>
      <c r="ER6" s="11">
        <v>8</v>
      </c>
      <c r="ES6" s="79">
        <v>4</v>
      </c>
      <c r="ET6" s="11">
        <v>6</v>
      </c>
      <c r="EU6" s="79">
        <v>4</v>
      </c>
      <c r="EV6" s="11">
        <v>12</v>
      </c>
      <c r="EW6" s="79">
        <v>4</v>
      </c>
      <c r="EX6" s="11">
        <v>9</v>
      </c>
      <c r="EY6" s="79">
        <v>4</v>
      </c>
      <c r="EZ6" s="11">
        <v>11</v>
      </c>
      <c r="FA6" s="79">
        <v>4</v>
      </c>
      <c r="FB6" s="11">
        <v>11</v>
      </c>
      <c r="FC6" s="79">
        <v>4</v>
      </c>
      <c r="FD6" s="11">
        <v>6</v>
      </c>
      <c r="FE6" s="79">
        <v>4</v>
      </c>
      <c r="FF6" s="11">
        <v>9</v>
      </c>
      <c r="FG6" s="79">
        <v>4</v>
      </c>
      <c r="FH6" s="11">
        <v>13</v>
      </c>
      <c r="FI6" s="79">
        <v>4</v>
      </c>
      <c r="FJ6" s="11">
        <v>7</v>
      </c>
      <c r="FK6" s="79">
        <v>4</v>
      </c>
      <c r="FL6" s="11">
        <v>10</v>
      </c>
      <c r="FM6" s="79">
        <v>4</v>
      </c>
      <c r="FN6" s="11">
        <v>6</v>
      </c>
      <c r="FO6" s="79">
        <v>4</v>
      </c>
      <c r="FP6" s="11">
        <v>6</v>
      </c>
      <c r="FQ6" s="79">
        <v>4</v>
      </c>
      <c r="FR6" s="11">
        <v>11</v>
      </c>
      <c r="FS6" s="79">
        <v>4</v>
      </c>
      <c r="FT6" s="11">
        <v>13</v>
      </c>
      <c r="FU6" s="79">
        <v>4</v>
      </c>
      <c r="FV6" s="11">
        <v>11.899999999999991</v>
      </c>
      <c r="FW6" s="79">
        <v>4</v>
      </c>
      <c r="FX6" s="11">
        <v>7</v>
      </c>
      <c r="FY6" s="79">
        <v>4</v>
      </c>
      <c r="FZ6" s="11">
        <v>4</v>
      </c>
      <c r="GA6" s="79">
        <v>4</v>
      </c>
      <c r="GB6" s="11">
        <v>7</v>
      </c>
      <c r="GC6" s="79">
        <v>4</v>
      </c>
      <c r="GD6" s="11">
        <v>7</v>
      </c>
      <c r="GE6" s="79">
        <v>4</v>
      </c>
      <c r="GF6" s="11">
        <v>10</v>
      </c>
      <c r="GG6" s="79">
        <v>4</v>
      </c>
      <c r="GH6" s="11">
        <v>8</v>
      </c>
      <c r="GI6" s="79">
        <v>4</v>
      </c>
      <c r="GJ6" s="11">
        <v>11</v>
      </c>
      <c r="GK6" s="79">
        <v>4</v>
      </c>
      <c r="GL6" s="11">
        <v>10</v>
      </c>
      <c r="GM6" s="79">
        <v>4</v>
      </c>
      <c r="GN6" s="11">
        <v>11</v>
      </c>
      <c r="GO6" s="79">
        <v>4</v>
      </c>
      <c r="GP6" s="11">
        <v>12</v>
      </c>
      <c r="GQ6" s="79">
        <v>4</v>
      </c>
      <c r="GR6" s="11">
        <v>11</v>
      </c>
      <c r="GS6" s="79">
        <v>4</v>
      </c>
      <c r="GT6" s="11">
        <v>12</v>
      </c>
      <c r="GU6" s="79">
        <v>4</v>
      </c>
      <c r="GV6" s="11">
        <v>6</v>
      </c>
      <c r="GW6" s="79">
        <v>4</v>
      </c>
      <c r="GX6" s="11">
        <v>8</v>
      </c>
      <c r="GY6" s="79">
        <v>4</v>
      </c>
      <c r="GZ6" s="11">
        <v>7</v>
      </c>
      <c r="HA6" s="79">
        <v>4</v>
      </c>
      <c r="HB6" s="11">
        <v>7</v>
      </c>
      <c r="HC6" s="79">
        <v>4</v>
      </c>
      <c r="HD6" s="11">
        <v>6</v>
      </c>
      <c r="HE6" s="79">
        <v>4</v>
      </c>
      <c r="HF6" s="11">
        <v>10</v>
      </c>
      <c r="HG6" s="79">
        <v>4</v>
      </c>
      <c r="HH6" s="11">
        <v>6</v>
      </c>
      <c r="HI6" s="79">
        <v>4</v>
      </c>
      <c r="HJ6" s="11">
        <v>11</v>
      </c>
      <c r="HK6" s="79">
        <v>4</v>
      </c>
      <c r="HL6" s="11">
        <v>6</v>
      </c>
      <c r="HM6" s="79">
        <v>4</v>
      </c>
      <c r="HN6" s="11">
        <v>6</v>
      </c>
      <c r="HO6" s="79">
        <v>4</v>
      </c>
    </row>
    <row r="7" spans="1:223">
      <c r="A7" s="1" t="s">
        <v>6</v>
      </c>
      <c r="B7" s="3" t="s">
        <v>386</v>
      </c>
      <c r="G7" t="s">
        <v>8</v>
      </c>
      <c r="J7">
        <v>7</v>
      </c>
      <c r="O7" t="s">
        <v>469</v>
      </c>
      <c r="P7" t="s">
        <v>501</v>
      </c>
      <c r="Q7" s="75"/>
      <c r="R7" s="75"/>
      <c r="U7" s="1">
        <v>0.4</v>
      </c>
      <c r="V7" s="240">
        <v>12</v>
      </c>
      <c r="W7" s="79">
        <v>5</v>
      </c>
      <c r="X7" s="11">
        <v>7</v>
      </c>
      <c r="Y7" s="79">
        <v>5</v>
      </c>
      <c r="Z7" s="11">
        <v>9</v>
      </c>
      <c r="AA7" s="79">
        <v>5</v>
      </c>
      <c r="AB7" s="11">
        <v>13</v>
      </c>
      <c r="AC7" s="79">
        <v>5</v>
      </c>
      <c r="AD7" s="11">
        <v>11</v>
      </c>
      <c r="AE7" s="79">
        <v>5</v>
      </c>
      <c r="AF7" s="240">
        <v>11</v>
      </c>
      <c r="AG7" s="79">
        <v>5</v>
      </c>
      <c r="AH7" s="11">
        <v>14</v>
      </c>
      <c r="AI7" s="79">
        <v>5</v>
      </c>
      <c r="AJ7" s="11">
        <v>10</v>
      </c>
      <c r="AK7" s="79">
        <v>5</v>
      </c>
      <c r="AL7" s="11">
        <v>14</v>
      </c>
      <c r="AM7" s="79">
        <v>5</v>
      </c>
      <c r="AN7" s="11">
        <v>9</v>
      </c>
      <c r="AO7" s="79">
        <v>5</v>
      </c>
      <c r="AP7" s="11">
        <v>9</v>
      </c>
      <c r="AQ7" s="79">
        <v>5</v>
      </c>
      <c r="AR7" s="11">
        <v>9</v>
      </c>
      <c r="AS7" s="79">
        <v>5</v>
      </c>
      <c r="AT7" s="11">
        <v>8</v>
      </c>
      <c r="AU7" s="79">
        <v>5</v>
      </c>
      <c r="AV7" s="11">
        <v>13</v>
      </c>
      <c r="AW7" s="79">
        <v>5</v>
      </c>
      <c r="AX7" s="11">
        <v>11</v>
      </c>
      <c r="AY7" s="79">
        <v>5</v>
      </c>
      <c r="AZ7" s="11">
        <v>13</v>
      </c>
      <c r="BA7" s="79">
        <v>5</v>
      </c>
      <c r="BB7" s="11">
        <v>13</v>
      </c>
      <c r="BC7" s="79">
        <v>5</v>
      </c>
      <c r="BD7" s="11">
        <v>8</v>
      </c>
      <c r="BE7" s="79">
        <v>5</v>
      </c>
      <c r="BF7" s="11">
        <v>10</v>
      </c>
      <c r="BG7" s="79">
        <v>5</v>
      </c>
      <c r="BH7" s="11">
        <v>14</v>
      </c>
      <c r="BI7" s="79">
        <v>5</v>
      </c>
      <c r="BJ7" s="11">
        <v>9</v>
      </c>
      <c r="BK7" s="79">
        <v>5</v>
      </c>
      <c r="BL7" s="11">
        <v>11</v>
      </c>
      <c r="BM7" s="79">
        <v>5</v>
      </c>
      <c r="BN7" s="11">
        <v>7</v>
      </c>
      <c r="BO7" s="79">
        <v>5</v>
      </c>
      <c r="BP7" s="11">
        <v>7</v>
      </c>
      <c r="BQ7" s="79">
        <v>5</v>
      </c>
      <c r="BR7" s="11">
        <v>12</v>
      </c>
      <c r="BS7" s="79">
        <v>5</v>
      </c>
      <c r="BT7" s="11">
        <v>14</v>
      </c>
      <c r="BU7" s="79">
        <v>5</v>
      </c>
      <c r="BV7" s="11">
        <v>13</v>
      </c>
      <c r="BW7" s="79">
        <v>5</v>
      </c>
      <c r="BX7" s="11">
        <v>8</v>
      </c>
      <c r="BY7" s="79">
        <v>5</v>
      </c>
      <c r="BZ7" s="11">
        <v>5</v>
      </c>
      <c r="CA7" s="79">
        <v>5</v>
      </c>
      <c r="CB7" s="11">
        <v>9</v>
      </c>
      <c r="CC7" s="79">
        <v>5</v>
      </c>
      <c r="CD7" s="240">
        <v>9</v>
      </c>
      <c r="CE7" s="79">
        <v>5</v>
      </c>
      <c r="CF7" s="11">
        <v>11</v>
      </c>
      <c r="CG7" s="79">
        <v>5</v>
      </c>
      <c r="CH7" s="11">
        <v>10</v>
      </c>
      <c r="CI7" s="79">
        <v>5</v>
      </c>
      <c r="CJ7" s="11">
        <v>12</v>
      </c>
      <c r="CK7" s="79">
        <v>5</v>
      </c>
      <c r="CL7" s="11">
        <v>11</v>
      </c>
      <c r="CM7" s="79">
        <v>5</v>
      </c>
      <c r="CN7" s="11">
        <v>13</v>
      </c>
      <c r="CO7" s="79">
        <v>5</v>
      </c>
      <c r="CP7" s="11">
        <v>13</v>
      </c>
      <c r="CQ7" s="79">
        <v>5</v>
      </c>
      <c r="CR7" s="11">
        <v>13</v>
      </c>
      <c r="CS7" s="79">
        <v>5</v>
      </c>
      <c r="CT7" s="11">
        <v>13</v>
      </c>
      <c r="CU7" s="79">
        <v>5</v>
      </c>
      <c r="CV7" s="11">
        <v>7</v>
      </c>
      <c r="CW7" s="79">
        <v>5</v>
      </c>
      <c r="CX7" s="11">
        <v>9</v>
      </c>
      <c r="CY7" s="79">
        <v>5</v>
      </c>
      <c r="CZ7" s="11">
        <v>8</v>
      </c>
      <c r="DA7" s="79">
        <v>5</v>
      </c>
      <c r="DB7" s="11">
        <v>9</v>
      </c>
      <c r="DC7" s="79">
        <v>5</v>
      </c>
      <c r="DD7" s="11">
        <v>7</v>
      </c>
      <c r="DE7" s="79">
        <v>5</v>
      </c>
      <c r="DF7" s="11">
        <v>11</v>
      </c>
      <c r="DG7" s="79">
        <v>5</v>
      </c>
      <c r="DH7" s="11">
        <v>7</v>
      </c>
      <c r="DI7" s="79">
        <v>5</v>
      </c>
      <c r="DJ7" s="11">
        <v>12</v>
      </c>
      <c r="DK7" s="79">
        <v>5</v>
      </c>
      <c r="DL7" s="240">
        <v>8</v>
      </c>
      <c r="DM7" s="79">
        <v>5</v>
      </c>
      <c r="DN7" s="11">
        <v>7</v>
      </c>
      <c r="DO7" s="79">
        <v>5</v>
      </c>
      <c r="DU7" s="1">
        <v>0.4</v>
      </c>
      <c r="DV7" s="240">
        <v>12</v>
      </c>
      <c r="DW7" s="79">
        <v>5</v>
      </c>
      <c r="DX7" s="11">
        <v>7</v>
      </c>
      <c r="DY7" s="79">
        <v>5</v>
      </c>
      <c r="DZ7" s="11">
        <v>9</v>
      </c>
      <c r="EA7" s="79">
        <v>5</v>
      </c>
      <c r="EB7" s="11">
        <v>13</v>
      </c>
      <c r="EC7" s="79">
        <v>5</v>
      </c>
      <c r="ED7" s="11">
        <v>11</v>
      </c>
      <c r="EE7" s="79">
        <v>5</v>
      </c>
      <c r="EF7" s="240">
        <v>11</v>
      </c>
      <c r="EG7" s="79">
        <v>5</v>
      </c>
      <c r="EH7" s="11">
        <v>14</v>
      </c>
      <c r="EI7" s="79">
        <v>5</v>
      </c>
      <c r="EJ7" s="11">
        <v>10</v>
      </c>
      <c r="EK7" s="79">
        <v>5</v>
      </c>
      <c r="EL7" s="11">
        <v>14</v>
      </c>
      <c r="EM7" s="79">
        <v>5</v>
      </c>
      <c r="EN7" s="11">
        <v>9</v>
      </c>
      <c r="EO7" s="79">
        <v>5</v>
      </c>
      <c r="EP7" s="11">
        <v>9</v>
      </c>
      <c r="EQ7" s="79">
        <v>5</v>
      </c>
      <c r="ER7" s="11">
        <v>9</v>
      </c>
      <c r="ES7" s="79">
        <v>5</v>
      </c>
      <c r="ET7" s="11">
        <v>8</v>
      </c>
      <c r="EU7" s="79">
        <v>5</v>
      </c>
      <c r="EV7" s="11">
        <v>13</v>
      </c>
      <c r="EW7" s="79">
        <v>5</v>
      </c>
      <c r="EX7" s="11">
        <v>11</v>
      </c>
      <c r="EY7" s="79">
        <v>5</v>
      </c>
      <c r="EZ7" s="11">
        <v>13</v>
      </c>
      <c r="FA7" s="79">
        <v>5</v>
      </c>
      <c r="FB7" s="11">
        <v>13</v>
      </c>
      <c r="FC7" s="79">
        <v>5</v>
      </c>
      <c r="FD7" s="11">
        <v>8</v>
      </c>
      <c r="FE7" s="79">
        <v>5</v>
      </c>
      <c r="FF7" s="11">
        <v>10</v>
      </c>
      <c r="FG7" s="79">
        <v>5</v>
      </c>
      <c r="FH7" s="11">
        <v>14</v>
      </c>
      <c r="FI7" s="79">
        <v>5</v>
      </c>
      <c r="FJ7" s="11">
        <v>9</v>
      </c>
      <c r="FK7" s="79">
        <v>5</v>
      </c>
      <c r="FL7" s="11">
        <v>11</v>
      </c>
      <c r="FM7" s="79">
        <v>5</v>
      </c>
      <c r="FN7" s="11">
        <v>7</v>
      </c>
      <c r="FO7" s="79">
        <v>5</v>
      </c>
      <c r="FP7" s="11">
        <v>7</v>
      </c>
      <c r="FQ7" s="79">
        <v>5</v>
      </c>
      <c r="FR7" s="11">
        <v>12</v>
      </c>
      <c r="FS7" s="79">
        <v>5</v>
      </c>
      <c r="FT7" s="11">
        <v>14</v>
      </c>
      <c r="FU7" s="79">
        <v>5</v>
      </c>
      <c r="FV7" s="11">
        <v>13</v>
      </c>
      <c r="FW7" s="79">
        <v>5</v>
      </c>
      <c r="FX7" s="11">
        <v>8</v>
      </c>
      <c r="FY7" s="79">
        <v>5</v>
      </c>
      <c r="FZ7" s="11">
        <v>5</v>
      </c>
      <c r="GA7" s="79">
        <v>5</v>
      </c>
      <c r="GB7" s="11">
        <v>9</v>
      </c>
      <c r="GC7" s="79">
        <v>5</v>
      </c>
      <c r="GD7" s="240">
        <v>9</v>
      </c>
      <c r="GE7" s="79">
        <v>5</v>
      </c>
      <c r="GF7" s="11">
        <v>11</v>
      </c>
      <c r="GG7" s="79">
        <v>5</v>
      </c>
      <c r="GH7" s="11">
        <v>10</v>
      </c>
      <c r="GI7" s="79">
        <v>5</v>
      </c>
      <c r="GJ7" s="11">
        <v>12</v>
      </c>
      <c r="GK7" s="79">
        <v>5</v>
      </c>
      <c r="GL7" s="11">
        <v>11</v>
      </c>
      <c r="GM7" s="79">
        <v>5</v>
      </c>
      <c r="GN7" s="11">
        <v>13</v>
      </c>
      <c r="GO7" s="79">
        <v>5</v>
      </c>
      <c r="GP7" s="11">
        <v>13</v>
      </c>
      <c r="GQ7" s="79">
        <v>5</v>
      </c>
      <c r="GR7" s="11">
        <v>13</v>
      </c>
      <c r="GS7" s="79">
        <v>5</v>
      </c>
      <c r="GT7" s="11">
        <v>13</v>
      </c>
      <c r="GU7" s="79">
        <v>5</v>
      </c>
      <c r="GV7" s="11">
        <v>7</v>
      </c>
      <c r="GW7" s="79">
        <v>5</v>
      </c>
      <c r="GX7" s="11">
        <v>9</v>
      </c>
      <c r="GY7" s="79">
        <v>5</v>
      </c>
      <c r="GZ7" s="11">
        <v>8</v>
      </c>
      <c r="HA7" s="79">
        <v>5</v>
      </c>
      <c r="HB7" s="11">
        <v>9</v>
      </c>
      <c r="HC7" s="79">
        <v>5</v>
      </c>
      <c r="HD7" s="11">
        <v>7</v>
      </c>
      <c r="HE7" s="79">
        <v>5</v>
      </c>
      <c r="HF7" s="11">
        <v>11</v>
      </c>
      <c r="HG7" s="79">
        <v>5</v>
      </c>
      <c r="HH7" s="11">
        <v>7</v>
      </c>
      <c r="HI7" s="79">
        <v>5</v>
      </c>
      <c r="HJ7" s="11">
        <v>12</v>
      </c>
      <c r="HK7" s="79">
        <v>5</v>
      </c>
      <c r="HL7" s="240">
        <v>8</v>
      </c>
      <c r="HM7" s="79">
        <v>5</v>
      </c>
      <c r="HN7" s="11">
        <v>7</v>
      </c>
      <c r="HO7" s="79">
        <v>5</v>
      </c>
    </row>
    <row r="8" spans="1:223">
      <c r="A8" s="1" t="s">
        <v>584</v>
      </c>
      <c r="B8" s="3" t="s">
        <v>381</v>
      </c>
      <c r="J8">
        <v>8</v>
      </c>
      <c r="O8" t="s">
        <v>42</v>
      </c>
      <c r="P8" t="s">
        <v>481</v>
      </c>
      <c r="Q8" s="75"/>
      <c r="R8" s="75"/>
      <c r="U8" s="1">
        <v>0.5</v>
      </c>
      <c r="V8" s="241">
        <v>12</v>
      </c>
      <c r="W8" s="79">
        <v>6</v>
      </c>
      <c r="X8" s="11">
        <v>8</v>
      </c>
      <c r="Y8" s="79">
        <v>6</v>
      </c>
      <c r="Z8" s="11">
        <v>10.5</v>
      </c>
      <c r="AA8" s="79">
        <v>6</v>
      </c>
      <c r="AB8" s="11">
        <v>14</v>
      </c>
      <c r="AC8" s="79">
        <v>6</v>
      </c>
      <c r="AD8" s="11">
        <v>12</v>
      </c>
      <c r="AE8" s="79">
        <v>6</v>
      </c>
      <c r="AF8" s="241">
        <v>11</v>
      </c>
      <c r="AG8" s="79">
        <v>6</v>
      </c>
      <c r="AH8" s="11">
        <v>15</v>
      </c>
      <c r="AI8" s="79">
        <v>6</v>
      </c>
      <c r="AJ8" s="11">
        <v>11</v>
      </c>
      <c r="AK8" s="79">
        <v>6</v>
      </c>
      <c r="AL8" s="11">
        <v>16</v>
      </c>
      <c r="AM8" s="79">
        <v>6</v>
      </c>
      <c r="AN8" s="11">
        <v>10</v>
      </c>
      <c r="AO8" s="79">
        <v>6</v>
      </c>
      <c r="AP8" s="240">
        <v>11</v>
      </c>
      <c r="AQ8" s="79">
        <v>6</v>
      </c>
      <c r="AR8" s="11">
        <v>11</v>
      </c>
      <c r="AS8" s="79">
        <v>6</v>
      </c>
      <c r="AT8" s="11">
        <v>9</v>
      </c>
      <c r="AU8" s="79">
        <v>6</v>
      </c>
      <c r="AV8" s="11">
        <v>15</v>
      </c>
      <c r="AW8" s="79">
        <v>6</v>
      </c>
      <c r="AX8" s="11">
        <v>12</v>
      </c>
      <c r="AY8" s="79">
        <v>6</v>
      </c>
      <c r="AZ8" s="11">
        <v>14</v>
      </c>
      <c r="BA8" s="79">
        <v>6</v>
      </c>
      <c r="BB8" s="11">
        <v>14</v>
      </c>
      <c r="BC8" s="79">
        <v>6</v>
      </c>
      <c r="BD8" s="11">
        <v>9</v>
      </c>
      <c r="BE8" s="79">
        <v>6</v>
      </c>
      <c r="BF8" s="11">
        <v>11</v>
      </c>
      <c r="BG8" s="79">
        <v>6</v>
      </c>
      <c r="BH8" s="11">
        <v>16</v>
      </c>
      <c r="BI8" s="79">
        <v>6</v>
      </c>
      <c r="BJ8" s="11">
        <v>10</v>
      </c>
      <c r="BK8" s="79">
        <v>6</v>
      </c>
      <c r="BL8" s="11">
        <v>12</v>
      </c>
      <c r="BM8" s="79">
        <v>6</v>
      </c>
      <c r="BN8" s="11">
        <v>8</v>
      </c>
      <c r="BO8" s="79">
        <v>6</v>
      </c>
      <c r="BP8" s="11">
        <v>8</v>
      </c>
      <c r="BQ8" s="79">
        <v>6</v>
      </c>
      <c r="BR8" s="11">
        <v>14</v>
      </c>
      <c r="BS8" s="79">
        <v>6</v>
      </c>
      <c r="BT8" s="11">
        <v>15</v>
      </c>
      <c r="BU8" s="79">
        <v>6</v>
      </c>
      <c r="BV8" s="11">
        <v>14</v>
      </c>
      <c r="BW8" s="79">
        <v>6</v>
      </c>
      <c r="BX8" s="11">
        <v>10</v>
      </c>
      <c r="BY8" s="79">
        <v>6</v>
      </c>
      <c r="BZ8" s="11">
        <v>6.5</v>
      </c>
      <c r="CA8" s="79">
        <v>6</v>
      </c>
      <c r="CB8" s="11">
        <v>10</v>
      </c>
      <c r="CC8" s="79">
        <v>6</v>
      </c>
      <c r="CD8" s="241">
        <v>9</v>
      </c>
      <c r="CE8" s="79">
        <v>6</v>
      </c>
      <c r="CF8" s="11">
        <v>12</v>
      </c>
      <c r="CG8" s="79">
        <v>6</v>
      </c>
      <c r="CH8" s="11">
        <v>11</v>
      </c>
      <c r="CI8" s="79">
        <v>6</v>
      </c>
      <c r="CJ8" s="240">
        <v>14</v>
      </c>
      <c r="CK8" s="79">
        <v>6</v>
      </c>
      <c r="CL8" s="11">
        <v>12</v>
      </c>
      <c r="CM8" s="79">
        <v>6</v>
      </c>
      <c r="CN8" s="11">
        <v>14</v>
      </c>
      <c r="CO8" s="79">
        <v>6</v>
      </c>
      <c r="CP8" s="11">
        <v>14</v>
      </c>
      <c r="CQ8" s="79">
        <v>6</v>
      </c>
      <c r="CR8" s="11">
        <v>14</v>
      </c>
      <c r="CS8" s="79">
        <v>6</v>
      </c>
      <c r="CT8" s="11">
        <v>14</v>
      </c>
      <c r="CU8" s="79">
        <v>6</v>
      </c>
      <c r="CV8" s="11">
        <v>9</v>
      </c>
      <c r="CW8" s="79">
        <v>6</v>
      </c>
      <c r="CX8" s="11">
        <v>10</v>
      </c>
      <c r="CY8" s="79">
        <v>6</v>
      </c>
      <c r="CZ8" s="11">
        <v>9</v>
      </c>
      <c r="DA8" s="79">
        <v>6</v>
      </c>
      <c r="DB8" s="240">
        <v>11</v>
      </c>
      <c r="DC8" s="79">
        <v>6</v>
      </c>
      <c r="DD8" s="11">
        <v>9</v>
      </c>
      <c r="DE8" s="79">
        <v>6</v>
      </c>
      <c r="DF8" s="11">
        <v>12</v>
      </c>
      <c r="DG8" s="79">
        <v>6</v>
      </c>
      <c r="DH8" s="11">
        <v>9</v>
      </c>
      <c r="DI8" s="79">
        <v>6</v>
      </c>
      <c r="DJ8" s="240">
        <v>14</v>
      </c>
      <c r="DK8" s="79">
        <v>6</v>
      </c>
      <c r="DL8" s="241">
        <v>8</v>
      </c>
      <c r="DM8" s="79">
        <v>6</v>
      </c>
      <c r="DN8" s="11">
        <v>9</v>
      </c>
      <c r="DO8" s="79">
        <v>6</v>
      </c>
      <c r="DU8" s="1">
        <v>0.5</v>
      </c>
      <c r="DV8" s="241">
        <v>12</v>
      </c>
      <c r="DW8" s="79">
        <v>6</v>
      </c>
      <c r="DX8" s="11">
        <v>8</v>
      </c>
      <c r="DY8" s="79">
        <v>6</v>
      </c>
      <c r="DZ8" s="11">
        <v>10.5</v>
      </c>
      <c r="EA8" s="79">
        <v>6</v>
      </c>
      <c r="EB8" s="11">
        <v>14</v>
      </c>
      <c r="EC8" s="79">
        <v>6</v>
      </c>
      <c r="ED8" s="11">
        <v>12</v>
      </c>
      <c r="EE8" s="79">
        <v>6</v>
      </c>
      <c r="EF8" s="241">
        <v>11</v>
      </c>
      <c r="EG8" s="79">
        <v>6</v>
      </c>
      <c r="EH8" s="11">
        <v>15</v>
      </c>
      <c r="EI8" s="79">
        <v>6</v>
      </c>
      <c r="EJ8" s="11">
        <v>11</v>
      </c>
      <c r="EK8" s="79">
        <v>6</v>
      </c>
      <c r="EL8" s="11">
        <v>16</v>
      </c>
      <c r="EM8" s="79">
        <v>6</v>
      </c>
      <c r="EN8" s="11">
        <v>10</v>
      </c>
      <c r="EO8" s="79">
        <v>6</v>
      </c>
      <c r="EP8" s="240">
        <v>11</v>
      </c>
      <c r="EQ8" s="79">
        <v>6</v>
      </c>
      <c r="ER8" s="11">
        <v>11</v>
      </c>
      <c r="ES8" s="79">
        <v>6</v>
      </c>
      <c r="ET8" s="11">
        <v>9</v>
      </c>
      <c r="EU8" s="79">
        <v>6</v>
      </c>
      <c r="EV8" s="11">
        <v>15</v>
      </c>
      <c r="EW8" s="79">
        <v>6</v>
      </c>
      <c r="EX8" s="11">
        <v>12</v>
      </c>
      <c r="EY8" s="79">
        <v>6</v>
      </c>
      <c r="EZ8" s="11">
        <v>14</v>
      </c>
      <c r="FA8" s="79">
        <v>6</v>
      </c>
      <c r="FB8" s="11">
        <v>14</v>
      </c>
      <c r="FC8" s="79">
        <v>6</v>
      </c>
      <c r="FD8" s="11">
        <v>9</v>
      </c>
      <c r="FE8" s="79">
        <v>6</v>
      </c>
      <c r="FF8" s="11">
        <v>11</v>
      </c>
      <c r="FG8" s="79">
        <v>6</v>
      </c>
      <c r="FH8" s="11">
        <v>16</v>
      </c>
      <c r="FI8" s="79">
        <v>6</v>
      </c>
      <c r="FJ8" s="11">
        <v>10</v>
      </c>
      <c r="FK8" s="79">
        <v>6</v>
      </c>
      <c r="FL8" s="11">
        <v>12</v>
      </c>
      <c r="FM8" s="79">
        <v>6</v>
      </c>
      <c r="FN8" s="11">
        <v>8</v>
      </c>
      <c r="FO8" s="79">
        <v>6</v>
      </c>
      <c r="FP8" s="11">
        <v>8</v>
      </c>
      <c r="FQ8" s="79">
        <v>6</v>
      </c>
      <c r="FR8" s="11">
        <v>14</v>
      </c>
      <c r="FS8" s="79">
        <v>6</v>
      </c>
      <c r="FT8" s="11">
        <v>15</v>
      </c>
      <c r="FU8" s="79">
        <v>6</v>
      </c>
      <c r="FV8" s="11">
        <v>14</v>
      </c>
      <c r="FW8" s="79">
        <v>6</v>
      </c>
      <c r="FX8" s="11">
        <v>10</v>
      </c>
      <c r="FY8" s="79">
        <v>6</v>
      </c>
      <c r="FZ8" s="11">
        <v>6.5</v>
      </c>
      <c r="GA8" s="79">
        <v>6</v>
      </c>
      <c r="GB8" s="11">
        <v>10</v>
      </c>
      <c r="GC8" s="79">
        <v>6</v>
      </c>
      <c r="GD8" s="241">
        <v>9</v>
      </c>
      <c r="GE8" s="79">
        <v>6</v>
      </c>
      <c r="GF8" s="11">
        <v>12</v>
      </c>
      <c r="GG8" s="79">
        <v>6</v>
      </c>
      <c r="GH8" s="11">
        <v>11</v>
      </c>
      <c r="GI8" s="79">
        <v>6</v>
      </c>
      <c r="GJ8" s="240">
        <v>14</v>
      </c>
      <c r="GK8" s="79">
        <v>6</v>
      </c>
      <c r="GL8" s="11">
        <v>12</v>
      </c>
      <c r="GM8" s="79">
        <v>6</v>
      </c>
      <c r="GN8" s="11">
        <v>14</v>
      </c>
      <c r="GO8" s="79">
        <v>6</v>
      </c>
      <c r="GP8" s="11">
        <v>14</v>
      </c>
      <c r="GQ8" s="79">
        <v>6</v>
      </c>
      <c r="GR8" s="11">
        <v>14</v>
      </c>
      <c r="GS8" s="79">
        <v>6</v>
      </c>
      <c r="GT8" s="11">
        <v>14</v>
      </c>
      <c r="GU8" s="79">
        <v>6</v>
      </c>
      <c r="GV8" s="11">
        <v>9</v>
      </c>
      <c r="GW8" s="79">
        <v>6</v>
      </c>
      <c r="GX8" s="11">
        <v>10</v>
      </c>
      <c r="GY8" s="79">
        <v>6</v>
      </c>
      <c r="GZ8" s="11">
        <v>9</v>
      </c>
      <c r="HA8" s="79">
        <v>6</v>
      </c>
      <c r="HB8" s="240">
        <v>11</v>
      </c>
      <c r="HC8" s="79">
        <v>6</v>
      </c>
      <c r="HD8" s="11">
        <v>9</v>
      </c>
      <c r="HE8" s="79">
        <v>6</v>
      </c>
      <c r="HF8" s="11">
        <v>12</v>
      </c>
      <c r="HG8" s="79">
        <v>6</v>
      </c>
      <c r="HH8" s="11">
        <v>9</v>
      </c>
      <c r="HI8" s="79">
        <v>6</v>
      </c>
      <c r="HJ8" s="240">
        <v>14</v>
      </c>
      <c r="HK8" s="79">
        <v>6</v>
      </c>
      <c r="HL8" s="241">
        <v>8</v>
      </c>
      <c r="HM8" s="79">
        <v>6</v>
      </c>
      <c r="HN8" s="11">
        <v>9</v>
      </c>
      <c r="HO8" s="79">
        <v>6</v>
      </c>
    </row>
    <row r="9" spans="1:223" s="1" customFormat="1">
      <c r="A9" s="1" t="s">
        <v>585</v>
      </c>
      <c r="B9" s="5" t="s">
        <v>382</v>
      </c>
      <c r="D9" s="5" t="s">
        <v>388</v>
      </c>
      <c r="E9" s="1" t="s">
        <v>389</v>
      </c>
      <c r="F9" s="1" t="s">
        <v>9</v>
      </c>
      <c r="H9" s="1" t="s">
        <v>411</v>
      </c>
      <c r="J9">
        <v>9</v>
      </c>
      <c r="O9" t="s">
        <v>625</v>
      </c>
      <c r="P9" t="e">
        <v>#N/A</v>
      </c>
      <c r="Q9" s="75"/>
      <c r="R9" s="75"/>
      <c r="T9"/>
      <c r="U9" s="1">
        <v>0.6</v>
      </c>
      <c r="V9" s="11">
        <v>14.799999999999983</v>
      </c>
      <c r="W9" s="79">
        <v>7</v>
      </c>
      <c r="X9" s="11">
        <v>9</v>
      </c>
      <c r="Y9" s="79">
        <v>7</v>
      </c>
      <c r="Z9" s="11">
        <v>12</v>
      </c>
      <c r="AA9" s="79">
        <v>7</v>
      </c>
      <c r="AB9" s="11">
        <v>16</v>
      </c>
      <c r="AC9" s="79">
        <v>7</v>
      </c>
      <c r="AD9" s="11">
        <v>13</v>
      </c>
      <c r="AE9" s="79">
        <v>7</v>
      </c>
      <c r="AF9" s="11">
        <v>13</v>
      </c>
      <c r="AG9" s="79">
        <v>7</v>
      </c>
      <c r="AH9" s="11">
        <v>16</v>
      </c>
      <c r="AI9" s="79">
        <v>7</v>
      </c>
      <c r="AJ9" s="11">
        <v>12</v>
      </c>
      <c r="AK9" s="79">
        <v>7</v>
      </c>
      <c r="AL9" s="11">
        <v>17</v>
      </c>
      <c r="AM9" s="79">
        <v>7</v>
      </c>
      <c r="AN9" s="240">
        <v>12</v>
      </c>
      <c r="AO9" s="79">
        <v>7</v>
      </c>
      <c r="AP9" s="241">
        <v>11</v>
      </c>
      <c r="AQ9" s="79">
        <v>7</v>
      </c>
      <c r="AR9" s="11">
        <v>12</v>
      </c>
      <c r="AS9" s="79">
        <v>7</v>
      </c>
      <c r="AT9" s="11">
        <v>10</v>
      </c>
      <c r="AU9" s="79">
        <v>7</v>
      </c>
      <c r="AV9" s="11">
        <v>17</v>
      </c>
      <c r="AW9" s="79">
        <v>7</v>
      </c>
      <c r="AX9" s="11">
        <v>14</v>
      </c>
      <c r="AY9" s="79">
        <v>7</v>
      </c>
      <c r="AZ9" s="11">
        <v>15</v>
      </c>
      <c r="BA9" s="79">
        <v>7</v>
      </c>
      <c r="BB9" s="11">
        <v>16</v>
      </c>
      <c r="BC9" s="79">
        <v>7</v>
      </c>
      <c r="BD9" s="11">
        <v>11</v>
      </c>
      <c r="BE9" s="79">
        <v>7</v>
      </c>
      <c r="BF9" s="11">
        <v>13</v>
      </c>
      <c r="BG9" s="79">
        <v>7</v>
      </c>
      <c r="BH9" s="240">
        <v>17</v>
      </c>
      <c r="BI9" s="79">
        <v>7</v>
      </c>
      <c r="BJ9" s="11">
        <v>11</v>
      </c>
      <c r="BK9" s="79">
        <v>7</v>
      </c>
      <c r="BL9" s="11">
        <v>13</v>
      </c>
      <c r="BM9" s="79">
        <v>7</v>
      </c>
      <c r="BN9" s="11">
        <v>9</v>
      </c>
      <c r="BO9" s="79">
        <v>7</v>
      </c>
      <c r="BP9" s="11">
        <v>9</v>
      </c>
      <c r="BQ9" s="79">
        <v>7</v>
      </c>
      <c r="BR9" s="11">
        <v>15</v>
      </c>
      <c r="BS9" s="79">
        <v>7</v>
      </c>
      <c r="BT9" s="11">
        <v>16</v>
      </c>
      <c r="BU9" s="79">
        <v>7</v>
      </c>
      <c r="BV9" s="11">
        <v>15</v>
      </c>
      <c r="BW9" s="79">
        <v>7</v>
      </c>
      <c r="BX9" s="11">
        <v>12</v>
      </c>
      <c r="BY9" s="79">
        <v>7</v>
      </c>
      <c r="BZ9" s="11">
        <v>8</v>
      </c>
      <c r="CA9" s="79">
        <v>7</v>
      </c>
      <c r="CB9" s="11">
        <v>11</v>
      </c>
      <c r="CC9" s="79">
        <v>7</v>
      </c>
      <c r="CD9" s="11">
        <v>11</v>
      </c>
      <c r="CE9" s="79">
        <v>7</v>
      </c>
      <c r="CF9" s="11">
        <v>13</v>
      </c>
      <c r="CG9" s="79">
        <v>7</v>
      </c>
      <c r="CH9" s="11">
        <v>12</v>
      </c>
      <c r="CI9" s="79">
        <v>7</v>
      </c>
      <c r="CJ9" s="241">
        <v>14</v>
      </c>
      <c r="CK9" s="79">
        <v>7</v>
      </c>
      <c r="CL9" s="11">
        <v>13</v>
      </c>
      <c r="CM9" s="79">
        <v>7</v>
      </c>
      <c r="CN9" s="11">
        <v>15</v>
      </c>
      <c r="CO9" s="79">
        <v>7</v>
      </c>
      <c r="CP9" s="11">
        <v>16</v>
      </c>
      <c r="CQ9" s="79">
        <v>7</v>
      </c>
      <c r="CR9" s="11">
        <v>16</v>
      </c>
      <c r="CS9" s="79">
        <v>7</v>
      </c>
      <c r="CT9" s="240">
        <v>16</v>
      </c>
      <c r="CU9" s="79">
        <v>7</v>
      </c>
      <c r="CV9" s="11">
        <v>10</v>
      </c>
      <c r="CW9" s="79">
        <v>7</v>
      </c>
      <c r="CX9" s="11">
        <v>11</v>
      </c>
      <c r="CY9" s="79">
        <v>7</v>
      </c>
      <c r="CZ9" s="11">
        <v>10</v>
      </c>
      <c r="DA9" s="79">
        <v>7</v>
      </c>
      <c r="DB9" s="241">
        <v>11</v>
      </c>
      <c r="DC9" s="79">
        <v>7</v>
      </c>
      <c r="DD9" s="11">
        <v>10</v>
      </c>
      <c r="DE9" s="79">
        <v>7</v>
      </c>
      <c r="DF9" s="11">
        <v>14</v>
      </c>
      <c r="DG9" s="79">
        <v>7</v>
      </c>
      <c r="DH9" s="11">
        <v>10</v>
      </c>
      <c r="DI9" s="79">
        <v>7</v>
      </c>
      <c r="DJ9" s="241">
        <v>14</v>
      </c>
      <c r="DK9" s="79">
        <v>7</v>
      </c>
      <c r="DL9" s="11">
        <v>10</v>
      </c>
      <c r="DM9" s="79">
        <v>7</v>
      </c>
      <c r="DN9" s="11">
        <v>10</v>
      </c>
      <c r="DO9" s="79">
        <v>7</v>
      </c>
      <c r="DU9" s="1">
        <v>0.6</v>
      </c>
      <c r="DV9" s="11">
        <v>14.799999999999983</v>
      </c>
      <c r="DW9" s="79">
        <v>7</v>
      </c>
      <c r="DX9" s="11">
        <v>9</v>
      </c>
      <c r="DY9" s="79">
        <v>7</v>
      </c>
      <c r="DZ9" s="11">
        <v>12</v>
      </c>
      <c r="EA9" s="79">
        <v>7</v>
      </c>
      <c r="EB9" s="11">
        <v>16</v>
      </c>
      <c r="EC9" s="79">
        <v>7</v>
      </c>
      <c r="ED9" s="11">
        <v>13</v>
      </c>
      <c r="EE9" s="79">
        <v>7</v>
      </c>
      <c r="EF9" s="11">
        <v>13</v>
      </c>
      <c r="EG9" s="79">
        <v>7</v>
      </c>
      <c r="EH9" s="11">
        <v>16</v>
      </c>
      <c r="EI9" s="79">
        <v>7</v>
      </c>
      <c r="EJ9" s="11">
        <v>12</v>
      </c>
      <c r="EK9" s="79">
        <v>7</v>
      </c>
      <c r="EL9" s="11">
        <v>17</v>
      </c>
      <c r="EM9" s="79">
        <v>7</v>
      </c>
      <c r="EN9" s="240">
        <v>12</v>
      </c>
      <c r="EO9" s="79">
        <v>7</v>
      </c>
      <c r="EP9" s="241">
        <v>11</v>
      </c>
      <c r="EQ9" s="79">
        <v>7</v>
      </c>
      <c r="ER9" s="11">
        <v>12</v>
      </c>
      <c r="ES9" s="79">
        <v>7</v>
      </c>
      <c r="ET9" s="11">
        <v>10</v>
      </c>
      <c r="EU9" s="79">
        <v>7</v>
      </c>
      <c r="EV9" s="11">
        <v>17</v>
      </c>
      <c r="EW9" s="79">
        <v>7</v>
      </c>
      <c r="EX9" s="11">
        <v>14</v>
      </c>
      <c r="EY9" s="79">
        <v>7</v>
      </c>
      <c r="EZ9" s="11">
        <v>15</v>
      </c>
      <c r="FA9" s="79">
        <v>7</v>
      </c>
      <c r="FB9" s="11">
        <v>16</v>
      </c>
      <c r="FC9" s="79">
        <v>7</v>
      </c>
      <c r="FD9" s="11">
        <v>11</v>
      </c>
      <c r="FE9" s="79">
        <v>7</v>
      </c>
      <c r="FF9" s="11">
        <v>13</v>
      </c>
      <c r="FG9" s="79">
        <v>7</v>
      </c>
      <c r="FH9" s="240">
        <v>17</v>
      </c>
      <c r="FI9" s="79">
        <v>7</v>
      </c>
      <c r="FJ9" s="11">
        <v>11</v>
      </c>
      <c r="FK9" s="79">
        <v>7</v>
      </c>
      <c r="FL9" s="11">
        <v>13</v>
      </c>
      <c r="FM9" s="79">
        <v>7</v>
      </c>
      <c r="FN9" s="11">
        <v>9</v>
      </c>
      <c r="FO9" s="79">
        <v>7</v>
      </c>
      <c r="FP9" s="11">
        <v>9</v>
      </c>
      <c r="FQ9" s="79">
        <v>7</v>
      </c>
      <c r="FR9" s="11">
        <v>15</v>
      </c>
      <c r="FS9" s="79">
        <v>7</v>
      </c>
      <c r="FT9" s="11">
        <v>16</v>
      </c>
      <c r="FU9" s="79">
        <v>7</v>
      </c>
      <c r="FV9" s="11">
        <v>15</v>
      </c>
      <c r="FW9" s="79">
        <v>7</v>
      </c>
      <c r="FX9" s="11">
        <v>12</v>
      </c>
      <c r="FY9" s="79">
        <v>7</v>
      </c>
      <c r="FZ9" s="11">
        <v>8</v>
      </c>
      <c r="GA9" s="79">
        <v>7</v>
      </c>
      <c r="GB9" s="11">
        <v>11</v>
      </c>
      <c r="GC9" s="79">
        <v>7</v>
      </c>
      <c r="GD9" s="11">
        <v>11</v>
      </c>
      <c r="GE9" s="79">
        <v>7</v>
      </c>
      <c r="GF9" s="11">
        <v>13</v>
      </c>
      <c r="GG9" s="79">
        <v>7</v>
      </c>
      <c r="GH9" s="11">
        <v>12</v>
      </c>
      <c r="GI9" s="79">
        <v>7</v>
      </c>
      <c r="GJ9" s="241">
        <v>14</v>
      </c>
      <c r="GK9" s="79">
        <v>7</v>
      </c>
      <c r="GL9" s="11">
        <v>13</v>
      </c>
      <c r="GM9" s="79">
        <v>7</v>
      </c>
      <c r="GN9" s="11">
        <v>15</v>
      </c>
      <c r="GO9" s="79">
        <v>7</v>
      </c>
      <c r="GP9" s="11">
        <v>16</v>
      </c>
      <c r="GQ9" s="79">
        <v>7</v>
      </c>
      <c r="GR9" s="11">
        <v>16</v>
      </c>
      <c r="GS9" s="79">
        <v>7</v>
      </c>
      <c r="GT9" s="240">
        <v>16</v>
      </c>
      <c r="GU9" s="79">
        <v>7</v>
      </c>
      <c r="GV9" s="11">
        <v>10</v>
      </c>
      <c r="GW9" s="79">
        <v>7</v>
      </c>
      <c r="GX9" s="11">
        <v>11</v>
      </c>
      <c r="GY9" s="79">
        <v>7</v>
      </c>
      <c r="GZ9" s="11">
        <v>10</v>
      </c>
      <c r="HA9" s="79">
        <v>7</v>
      </c>
      <c r="HB9" s="241">
        <v>11</v>
      </c>
      <c r="HC9" s="79">
        <v>7</v>
      </c>
      <c r="HD9" s="11">
        <v>10</v>
      </c>
      <c r="HE9" s="79">
        <v>7</v>
      </c>
      <c r="HF9" s="11">
        <v>14</v>
      </c>
      <c r="HG9" s="79">
        <v>7</v>
      </c>
      <c r="HH9" s="11">
        <v>10</v>
      </c>
      <c r="HI9" s="79">
        <v>7</v>
      </c>
      <c r="HJ9" s="241">
        <v>14</v>
      </c>
      <c r="HK9" s="79">
        <v>7</v>
      </c>
      <c r="HL9" s="11">
        <v>10</v>
      </c>
      <c r="HM9" s="79">
        <v>7</v>
      </c>
      <c r="HN9" s="11">
        <v>10</v>
      </c>
      <c r="HO9" s="79">
        <v>7</v>
      </c>
    </row>
    <row r="10" spans="1:223">
      <c r="A10" s="1" t="s">
        <v>701</v>
      </c>
      <c r="B10" s="3">
        <v>1</v>
      </c>
      <c r="C10" t="s">
        <v>73</v>
      </c>
      <c r="D10" s="3">
        <v>1</v>
      </c>
      <c r="E10" t="s">
        <v>19</v>
      </c>
      <c r="F10" s="3">
        <v>4</v>
      </c>
      <c r="G10" s="3"/>
      <c r="H10" s="193">
        <f>IF($B10="( + ) Me identifico m√°s (Mayormente cierto)",VLOOKUP($A10,Equivalencias!$C$10:$F$537,4,0),0)</f>
        <v>0</v>
      </c>
      <c r="I10" t="s">
        <v>476</v>
      </c>
      <c r="J10">
        <v>10</v>
      </c>
      <c r="O10" t="s">
        <v>24</v>
      </c>
      <c r="P10" t="s">
        <v>482</v>
      </c>
      <c r="Q10" s="75"/>
      <c r="R10" s="75"/>
      <c r="U10" s="1">
        <v>0.7</v>
      </c>
      <c r="V10" s="11">
        <v>16</v>
      </c>
      <c r="W10" s="79">
        <v>8</v>
      </c>
      <c r="X10" s="11">
        <v>11</v>
      </c>
      <c r="Y10" s="79">
        <v>8</v>
      </c>
      <c r="Z10" s="11">
        <v>14</v>
      </c>
      <c r="AA10" s="79">
        <v>8</v>
      </c>
      <c r="AB10" s="11">
        <v>17</v>
      </c>
      <c r="AC10" s="79">
        <v>8</v>
      </c>
      <c r="AD10" s="11">
        <v>14</v>
      </c>
      <c r="AE10" s="79">
        <v>8</v>
      </c>
      <c r="AF10" s="11">
        <v>14</v>
      </c>
      <c r="AG10" s="79">
        <v>8</v>
      </c>
      <c r="AH10" s="11">
        <v>17</v>
      </c>
      <c r="AI10" s="79">
        <v>8</v>
      </c>
      <c r="AJ10" s="11">
        <v>13</v>
      </c>
      <c r="AK10" s="79">
        <v>8</v>
      </c>
      <c r="AL10" s="11">
        <v>18</v>
      </c>
      <c r="AM10" s="79">
        <v>8</v>
      </c>
      <c r="AN10" s="241">
        <v>12</v>
      </c>
      <c r="AO10" s="79">
        <v>8</v>
      </c>
      <c r="AP10" s="11">
        <v>13</v>
      </c>
      <c r="AQ10" s="79">
        <v>8</v>
      </c>
      <c r="AR10" s="11">
        <v>14</v>
      </c>
      <c r="AS10" s="79">
        <v>8</v>
      </c>
      <c r="AT10" s="11">
        <v>12</v>
      </c>
      <c r="AU10" s="79">
        <v>8</v>
      </c>
      <c r="AV10" s="11">
        <v>18</v>
      </c>
      <c r="AW10" s="79">
        <v>8</v>
      </c>
      <c r="AX10" s="11">
        <v>15</v>
      </c>
      <c r="AY10" s="79">
        <v>8</v>
      </c>
      <c r="AZ10" s="11">
        <v>16</v>
      </c>
      <c r="BA10" s="79">
        <v>8</v>
      </c>
      <c r="BB10" s="11">
        <v>17</v>
      </c>
      <c r="BC10" s="79">
        <v>8</v>
      </c>
      <c r="BD10" s="11">
        <v>12</v>
      </c>
      <c r="BE10" s="79">
        <v>8</v>
      </c>
      <c r="BF10" s="11">
        <v>14</v>
      </c>
      <c r="BG10" s="79">
        <v>8</v>
      </c>
      <c r="BH10" s="241">
        <v>17</v>
      </c>
      <c r="BI10" s="79">
        <v>8</v>
      </c>
      <c r="BJ10" s="11">
        <v>12</v>
      </c>
      <c r="BK10" s="79">
        <v>8</v>
      </c>
      <c r="BL10" s="11">
        <v>15</v>
      </c>
      <c r="BM10" s="79">
        <v>8</v>
      </c>
      <c r="BN10" s="11">
        <v>11</v>
      </c>
      <c r="BO10" s="79">
        <v>8</v>
      </c>
      <c r="BP10" s="11">
        <v>11</v>
      </c>
      <c r="BQ10" s="79">
        <v>8</v>
      </c>
      <c r="BR10" s="11">
        <v>16</v>
      </c>
      <c r="BS10" s="79">
        <v>8</v>
      </c>
      <c r="BT10" s="11">
        <v>18</v>
      </c>
      <c r="BU10" s="79">
        <v>8</v>
      </c>
      <c r="BV10" s="11">
        <v>17</v>
      </c>
      <c r="BW10" s="79">
        <v>8</v>
      </c>
      <c r="BX10" s="11">
        <v>14</v>
      </c>
      <c r="BY10" s="79">
        <v>8</v>
      </c>
      <c r="BZ10" s="11">
        <v>10</v>
      </c>
      <c r="CA10" s="79">
        <v>8</v>
      </c>
      <c r="CB10" s="11">
        <v>13</v>
      </c>
      <c r="CC10" s="79">
        <v>8</v>
      </c>
      <c r="CD10" s="11">
        <v>12</v>
      </c>
      <c r="CE10" s="79">
        <v>8</v>
      </c>
      <c r="CF10" s="11">
        <v>14</v>
      </c>
      <c r="CG10" s="79">
        <v>8</v>
      </c>
      <c r="CH10" s="11">
        <v>13</v>
      </c>
      <c r="CI10" s="79">
        <v>8</v>
      </c>
      <c r="CJ10" s="11">
        <v>16</v>
      </c>
      <c r="CK10" s="79">
        <v>8</v>
      </c>
      <c r="CL10" s="11">
        <v>14</v>
      </c>
      <c r="CM10" s="79">
        <v>8</v>
      </c>
      <c r="CN10" s="11">
        <v>16</v>
      </c>
      <c r="CO10" s="79">
        <v>8</v>
      </c>
      <c r="CP10" s="11">
        <v>17</v>
      </c>
      <c r="CQ10" s="79">
        <v>8</v>
      </c>
      <c r="CR10" s="11">
        <v>17</v>
      </c>
      <c r="CS10" s="79">
        <v>8</v>
      </c>
      <c r="CT10" s="241">
        <v>16</v>
      </c>
      <c r="CU10" s="79">
        <v>8</v>
      </c>
      <c r="CV10" s="11">
        <v>12</v>
      </c>
      <c r="CW10" s="79">
        <v>8</v>
      </c>
      <c r="CX10" s="11">
        <v>13</v>
      </c>
      <c r="CY10" s="79">
        <v>8</v>
      </c>
      <c r="CZ10" s="11">
        <v>12</v>
      </c>
      <c r="DA10" s="79">
        <v>8</v>
      </c>
      <c r="DB10" s="11">
        <v>12.099999999999966</v>
      </c>
      <c r="DC10" s="79">
        <v>8</v>
      </c>
      <c r="DD10" s="11">
        <v>12</v>
      </c>
      <c r="DE10" s="79">
        <v>8</v>
      </c>
      <c r="DF10" s="11">
        <v>15</v>
      </c>
      <c r="DG10" s="79">
        <v>8</v>
      </c>
      <c r="DH10" s="11">
        <v>11</v>
      </c>
      <c r="DI10" s="79">
        <v>8</v>
      </c>
      <c r="DJ10" s="11">
        <v>16</v>
      </c>
      <c r="DK10" s="79">
        <v>8</v>
      </c>
      <c r="DL10" s="11">
        <v>11</v>
      </c>
      <c r="DM10" s="79">
        <v>8</v>
      </c>
      <c r="DN10" s="11">
        <v>12</v>
      </c>
      <c r="DO10" s="79">
        <v>8</v>
      </c>
      <c r="DU10" s="1">
        <v>0.7</v>
      </c>
      <c r="DV10" s="11">
        <v>16</v>
      </c>
      <c r="DW10" s="79">
        <v>8</v>
      </c>
      <c r="DX10" s="11">
        <v>11</v>
      </c>
      <c r="DY10" s="79">
        <v>8</v>
      </c>
      <c r="DZ10" s="11">
        <v>14</v>
      </c>
      <c r="EA10" s="79">
        <v>8</v>
      </c>
      <c r="EB10" s="11">
        <v>17</v>
      </c>
      <c r="EC10" s="79">
        <v>8</v>
      </c>
      <c r="ED10" s="11">
        <v>14</v>
      </c>
      <c r="EE10" s="79">
        <v>8</v>
      </c>
      <c r="EF10" s="11">
        <v>14</v>
      </c>
      <c r="EG10" s="79">
        <v>8</v>
      </c>
      <c r="EH10" s="11">
        <v>17</v>
      </c>
      <c r="EI10" s="79">
        <v>8</v>
      </c>
      <c r="EJ10" s="11">
        <v>13</v>
      </c>
      <c r="EK10" s="79">
        <v>8</v>
      </c>
      <c r="EL10" s="11">
        <v>18</v>
      </c>
      <c r="EM10" s="79">
        <v>8</v>
      </c>
      <c r="EN10" s="241">
        <v>12</v>
      </c>
      <c r="EO10" s="79">
        <v>8</v>
      </c>
      <c r="EP10" s="11">
        <v>13</v>
      </c>
      <c r="EQ10" s="79">
        <v>8</v>
      </c>
      <c r="ER10" s="11">
        <v>14</v>
      </c>
      <c r="ES10" s="79">
        <v>8</v>
      </c>
      <c r="ET10" s="11">
        <v>12</v>
      </c>
      <c r="EU10" s="79">
        <v>8</v>
      </c>
      <c r="EV10" s="11">
        <v>18</v>
      </c>
      <c r="EW10" s="79">
        <v>8</v>
      </c>
      <c r="EX10" s="11">
        <v>15</v>
      </c>
      <c r="EY10" s="79">
        <v>8</v>
      </c>
      <c r="EZ10" s="11">
        <v>16</v>
      </c>
      <c r="FA10" s="79">
        <v>8</v>
      </c>
      <c r="FB10" s="11">
        <v>17</v>
      </c>
      <c r="FC10" s="79">
        <v>8</v>
      </c>
      <c r="FD10" s="11">
        <v>12</v>
      </c>
      <c r="FE10" s="79">
        <v>8</v>
      </c>
      <c r="FF10" s="11">
        <v>14</v>
      </c>
      <c r="FG10" s="79">
        <v>8</v>
      </c>
      <c r="FH10" s="241">
        <v>17</v>
      </c>
      <c r="FI10" s="79">
        <v>8</v>
      </c>
      <c r="FJ10" s="11">
        <v>12</v>
      </c>
      <c r="FK10" s="79">
        <v>8</v>
      </c>
      <c r="FL10" s="11">
        <v>15</v>
      </c>
      <c r="FM10" s="79">
        <v>8</v>
      </c>
      <c r="FN10" s="11">
        <v>11</v>
      </c>
      <c r="FO10" s="79">
        <v>8</v>
      </c>
      <c r="FP10" s="11">
        <v>11</v>
      </c>
      <c r="FQ10" s="79">
        <v>8</v>
      </c>
      <c r="FR10" s="11">
        <v>16</v>
      </c>
      <c r="FS10" s="79">
        <v>8</v>
      </c>
      <c r="FT10" s="11">
        <v>18</v>
      </c>
      <c r="FU10" s="79">
        <v>8</v>
      </c>
      <c r="FV10" s="11">
        <v>17</v>
      </c>
      <c r="FW10" s="79">
        <v>8</v>
      </c>
      <c r="FX10" s="11">
        <v>14</v>
      </c>
      <c r="FY10" s="79">
        <v>8</v>
      </c>
      <c r="FZ10" s="11">
        <v>10</v>
      </c>
      <c r="GA10" s="79">
        <v>8</v>
      </c>
      <c r="GB10" s="11">
        <v>13</v>
      </c>
      <c r="GC10" s="79">
        <v>8</v>
      </c>
      <c r="GD10" s="11">
        <v>12</v>
      </c>
      <c r="GE10" s="79">
        <v>8</v>
      </c>
      <c r="GF10" s="11">
        <v>14</v>
      </c>
      <c r="GG10" s="79">
        <v>8</v>
      </c>
      <c r="GH10" s="11">
        <v>13</v>
      </c>
      <c r="GI10" s="79">
        <v>8</v>
      </c>
      <c r="GJ10" s="11">
        <v>16</v>
      </c>
      <c r="GK10" s="79">
        <v>8</v>
      </c>
      <c r="GL10" s="11">
        <v>14</v>
      </c>
      <c r="GM10" s="79">
        <v>8</v>
      </c>
      <c r="GN10" s="11">
        <v>16</v>
      </c>
      <c r="GO10" s="79">
        <v>8</v>
      </c>
      <c r="GP10" s="11">
        <v>17</v>
      </c>
      <c r="GQ10" s="79">
        <v>8</v>
      </c>
      <c r="GR10" s="11">
        <v>17</v>
      </c>
      <c r="GS10" s="79">
        <v>8</v>
      </c>
      <c r="GT10" s="241">
        <v>16</v>
      </c>
      <c r="GU10" s="79">
        <v>8</v>
      </c>
      <c r="GV10" s="11">
        <v>12</v>
      </c>
      <c r="GW10" s="79">
        <v>8</v>
      </c>
      <c r="GX10" s="11">
        <v>13</v>
      </c>
      <c r="GY10" s="79">
        <v>8</v>
      </c>
      <c r="GZ10" s="11">
        <v>12</v>
      </c>
      <c r="HA10" s="79">
        <v>8</v>
      </c>
      <c r="HB10" s="11">
        <v>12.099999999999966</v>
      </c>
      <c r="HC10" s="79">
        <v>8</v>
      </c>
      <c r="HD10" s="11">
        <v>12</v>
      </c>
      <c r="HE10" s="79">
        <v>8</v>
      </c>
      <c r="HF10" s="11">
        <v>15</v>
      </c>
      <c r="HG10" s="79">
        <v>8</v>
      </c>
      <c r="HH10" s="11">
        <v>11</v>
      </c>
      <c r="HI10" s="79">
        <v>8</v>
      </c>
      <c r="HJ10" s="11">
        <v>16</v>
      </c>
      <c r="HK10" s="79">
        <v>8</v>
      </c>
      <c r="HL10" s="11">
        <v>11</v>
      </c>
      <c r="HM10" s="79">
        <v>8</v>
      </c>
      <c r="HN10" s="11">
        <v>12</v>
      </c>
      <c r="HO10" s="79">
        <v>8</v>
      </c>
    </row>
    <row r="11" spans="1:223">
      <c r="A11" s="1" t="s">
        <v>702</v>
      </c>
      <c r="B11" s="3">
        <v>1</v>
      </c>
      <c r="C11" t="s">
        <v>84</v>
      </c>
      <c r="D11" s="3">
        <v>2</v>
      </c>
      <c r="E11" t="s">
        <v>19</v>
      </c>
      <c r="F11" s="3">
        <v>4</v>
      </c>
      <c r="G11" s="3"/>
      <c r="H11" s="3">
        <f>IF($B11="( - ) Me identifico menos (Mayormente falso)",VLOOKUP($A11,Equivalencias!$C$10:$F$537,4,0),0)</f>
        <v>0</v>
      </c>
      <c r="I11" t="s">
        <v>477</v>
      </c>
      <c r="O11" t="s">
        <v>1080</v>
      </c>
      <c r="P11" t="s">
        <v>484</v>
      </c>
      <c r="Q11" s="75"/>
      <c r="R11" s="75"/>
      <c r="U11" s="1">
        <v>0.8</v>
      </c>
      <c r="V11" s="11">
        <v>16.400000000000034</v>
      </c>
      <c r="W11" s="79">
        <v>9</v>
      </c>
      <c r="X11" s="11">
        <v>12</v>
      </c>
      <c r="Y11" s="79">
        <v>9</v>
      </c>
      <c r="Z11" s="11">
        <v>15</v>
      </c>
      <c r="AA11" s="79">
        <v>9</v>
      </c>
      <c r="AB11" s="11">
        <v>18</v>
      </c>
      <c r="AC11" s="79">
        <v>9</v>
      </c>
      <c r="AD11" s="11">
        <v>16</v>
      </c>
      <c r="AE11" s="79">
        <v>9</v>
      </c>
      <c r="AF11" s="11">
        <v>15</v>
      </c>
      <c r="AG11" s="79">
        <v>9</v>
      </c>
      <c r="AH11" s="11">
        <v>18</v>
      </c>
      <c r="AI11" s="79">
        <v>9</v>
      </c>
      <c r="AJ11" s="11">
        <v>15</v>
      </c>
      <c r="AK11" s="79">
        <v>9</v>
      </c>
      <c r="AL11" s="11">
        <v>19</v>
      </c>
      <c r="AM11" s="79">
        <v>9</v>
      </c>
      <c r="AN11" s="11">
        <v>14</v>
      </c>
      <c r="AO11" s="79">
        <v>9</v>
      </c>
      <c r="AP11" s="11">
        <v>14</v>
      </c>
      <c r="AQ11" s="79">
        <v>9</v>
      </c>
      <c r="AR11" s="11">
        <v>16</v>
      </c>
      <c r="AS11" s="79">
        <v>9</v>
      </c>
      <c r="AT11" s="11">
        <v>14</v>
      </c>
      <c r="AU11" s="79">
        <v>9</v>
      </c>
      <c r="AV11" s="11">
        <v>20</v>
      </c>
      <c r="AW11" s="79">
        <v>9</v>
      </c>
      <c r="AX11" s="11">
        <v>16</v>
      </c>
      <c r="AY11" s="79">
        <v>9</v>
      </c>
      <c r="AZ11" s="11">
        <v>17</v>
      </c>
      <c r="BA11" s="79">
        <v>9</v>
      </c>
      <c r="BB11" s="11">
        <v>18</v>
      </c>
      <c r="BC11" s="79">
        <v>9</v>
      </c>
      <c r="BD11" s="11">
        <v>14</v>
      </c>
      <c r="BE11" s="79">
        <v>9</v>
      </c>
      <c r="BF11" s="11">
        <v>15</v>
      </c>
      <c r="BG11" s="79">
        <v>9</v>
      </c>
      <c r="BH11" s="11">
        <v>19</v>
      </c>
      <c r="BI11" s="79">
        <v>9</v>
      </c>
      <c r="BJ11" s="11">
        <v>15</v>
      </c>
      <c r="BK11" s="79">
        <v>9</v>
      </c>
      <c r="BL11" s="11">
        <v>16</v>
      </c>
      <c r="BM11" s="79">
        <v>9</v>
      </c>
      <c r="BN11" s="11">
        <v>13</v>
      </c>
      <c r="BO11" s="79">
        <v>9</v>
      </c>
      <c r="BP11" s="11">
        <v>13</v>
      </c>
      <c r="BQ11" s="79">
        <v>9</v>
      </c>
      <c r="BR11" s="240">
        <v>18</v>
      </c>
      <c r="BS11" s="79">
        <v>9</v>
      </c>
      <c r="BT11" s="11">
        <v>19</v>
      </c>
      <c r="BU11" s="79">
        <v>9</v>
      </c>
      <c r="BV11" s="11">
        <v>18</v>
      </c>
      <c r="BW11" s="79">
        <v>9</v>
      </c>
      <c r="BX11" s="11">
        <v>16</v>
      </c>
      <c r="BY11" s="79">
        <v>9</v>
      </c>
      <c r="BZ11" s="11">
        <v>11</v>
      </c>
      <c r="CA11" s="79">
        <v>9</v>
      </c>
      <c r="CB11" s="11">
        <v>14</v>
      </c>
      <c r="CC11" s="79">
        <v>9</v>
      </c>
      <c r="CD11" s="11">
        <v>14</v>
      </c>
      <c r="CE11" s="79">
        <v>9</v>
      </c>
      <c r="CF11" s="11">
        <v>16</v>
      </c>
      <c r="CG11" s="79">
        <v>9</v>
      </c>
      <c r="CH11" s="11">
        <v>14</v>
      </c>
      <c r="CI11" s="79">
        <v>9</v>
      </c>
      <c r="CJ11" s="11">
        <v>17.400000000000034</v>
      </c>
      <c r="CK11" s="79">
        <v>9</v>
      </c>
      <c r="CL11" s="240">
        <v>16</v>
      </c>
      <c r="CM11" s="79">
        <v>9</v>
      </c>
      <c r="CN11" s="11">
        <v>17</v>
      </c>
      <c r="CO11" s="79">
        <v>9</v>
      </c>
      <c r="CP11" s="11">
        <v>18</v>
      </c>
      <c r="CQ11" s="79">
        <v>9</v>
      </c>
      <c r="CR11" s="11">
        <v>18</v>
      </c>
      <c r="CS11" s="79">
        <v>9</v>
      </c>
      <c r="CT11" s="11">
        <v>18</v>
      </c>
      <c r="CU11" s="79">
        <v>9</v>
      </c>
      <c r="CV11" s="11">
        <v>14</v>
      </c>
      <c r="CW11" s="79">
        <v>9</v>
      </c>
      <c r="CX11" s="11">
        <v>15</v>
      </c>
      <c r="CY11" s="79">
        <v>9</v>
      </c>
      <c r="CZ11" s="11">
        <v>14</v>
      </c>
      <c r="DA11" s="79">
        <v>9</v>
      </c>
      <c r="DB11" s="11">
        <v>14</v>
      </c>
      <c r="DC11" s="79">
        <v>9</v>
      </c>
      <c r="DD11" s="11">
        <v>14</v>
      </c>
      <c r="DE11" s="79">
        <v>9</v>
      </c>
      <c r="DF11" s="11">
        <v>16</v>
      </c>
      <c r="DG11" s="79">
        <v>9</v>
      </c>
      <c r="DH11" s="11">
        <v>13</v>
      </c>
      <c r="DI11" s="79">
        <v>9</v>
      </c>
      <c r="DJ11" s="11">
        <v>17</v>
      </c>
      <c r="DK11" s="79">
        <v>9</v>
      </c>
      <c r="DL11" s="11">
        <v>12.400000000000034</v>
      </c>
      <c r="DM11" s="79">
        <v>9</v>
      </c>
      <c r="DN11" s="11">
        <v>14</v>
      </c>
      <c r="DO11" s="79">
        <v>9</v>
      </c>
      <c r="DU11" s="1">
        <v>0.8</v>
      </c>
      <c r="DV11" s="11">
        <v>16.400000000000034</v>
      </c>
      <c r="DW11" s="79">
        <v>9</v>
      </c>
      <c r="DX11" s="11">
        <v>12</v>
      </c>
      <c r="DY11" s="79">
        <v>9</v>
      </c>
      <c r="DZ11" s="11">
        <v>15</v>
      </c>
      <c r="EA11" s="79">
        <v>9</v>
      </c>
      <c r="EB11" s="11">
        <v>18</v>
      </c>
      <c r="EC11" s="79">
        <v>9</v>
      </c>
      <c r="ED11" s="11">
        <v>16</v>
      </c>
      <c r="EE11" s="79">
        <v>9</v>
      </c>
      <c r="EF11" s="11">
        <v>15</v>
      </c>
      <c r="EG11" s="79">
        <v>9</v>
      </c>
      <c r="EH11" s="11">
        <v>18</v>
      </c>
      <c r="EI11" s="79">
        <v>9</v>
      </c>
      <c r="EJ11" s="11">
        <v>15</v>
      </c>
      <c r="EK11" s="79">
        <v>9</v>
      </c>
      <c r="EL11" s="11">
        <v>19</v>
      </c>
      <c r="EM11" s="79">
        <v>9</v>
      </c>
      <c r="EN11" s="11">
        <v>14</v>
      </c>
      <c r="EO11" s="79">
        <v>9</v>
      </c>
      <c r="EP11" s="11">
        <v>14</v>
      </c>
      <c r="EQ11" s="79">
        <v>9</v>
      </c>
      <c r="ER11" s="11">
        <v>16</v>
      </c>
      <c r="ES11" s="79">
        <v>9</v>
      </c>
      <c r="ET11" s="11">
        <v>14</v>
      </c>
      <c r="EU11" s="79">
        <v>9</v>
      </c>
      <c r="EV11" s="11">
        <v>20</v>
      </c>
      <c r="EW11" s="79">
        <v>9</v>
      </c>
      <c r="EX11" s="11">
        <v>16</v>
      </c>
      <c r="EY11" s="79">
        <v>9</v>
      </c>
      <c r="EZ11" s="11">
        <v>17</v>
      </c>
      <c r="FA11" s="79">
        <v>9</v>
      </c>
      <c r="FB11" s="11">
        <v>18</v>
      </c>
      <c r="FC11" s="79">
        <v>9</v>
      </c>
      <c r="FD11" s="11">
        <v>14</v>
      </c>
      <c r="FE11" s="79">
        <v>9</v>
      </c>
      <c r="FF11" s="11">
        <v>15</v>
      </c>
      <c r="FG11" s="79">
        <v>9</v>
      </c>
      <c r="FH11" s="11">
        <v>19</v>
      </c>
      <c r="FI11" s="79">
        <v>9</v>
      </c>
      <c r="FJ11" s="11">
        <v>15</v>
      </c>
      <c r="FK11" s="79">
        <v>9</v>
      </c>
      <c r="FL11" s="11">
        <v>16</v>
      </c>
      <c r="FM11" s="79">
        <v>9</v>
      </c>
      <c r="FN11" s="11">
        <v>13</v>
      </c>
      <c r="FO11" s="79">
        <v>9</v>
      </c>
      <c r="FP11" s="11">
        <v>13</v>
      </c>
      <c r="FQ11" s="79">
        <v>9</v>
      </c>
      <c r="FR11" s="240">
        <v>18</v>
      </c>
      <c r="FS11" s="79">
        <v>9</v>
      </c>
      <c r="FT11" s="11">
        <v>19</v>
      </c>
      <c r="FU11" s="79">
        <v>9</v>
      </c>
      <c r="FV11" s="11">
        <v>18</v>
      </c>
      <c r="FW11" s="79">
        <v>9</v>
      </c>
      <c r="FX11" s="11">
        <v>16</v>
      </c>
      <c r="FY11" s="79">
        <v>9</v>
      </c>
      <c r="FZ11" s="11">
        <v>11</v>
      </c>
      <c r="GA11" s="79">
        <v>9</v>
      </c>
      <c r="GB11" s="11">
        <v>14</v>
      </c>
      <c r="GC11" s="79">
        <v>9</v>
      </c>
      <c r="GD11" s="11">
        <v>14</v>
      </c>
      <c r="GE11" s="79">
        <v>9</v>
      </c>
      <c r="GF11" s="11">
        <v>16</v>
      </c>
      <c r="GG11" s="79">
        <v>9</v>
      </c>
      <c r="GH11" s="11">
        <v>14</v>
      </c>
      <c r="GI11" s="79">
        <v>9</v>
      </c>
      <c r="GJ11" s="11">
        <v>17.400000000000034</v>
      </c>
      <c r="GK11" s="79">
        <v>9</v>
      </c>
      <c r="GL11" s="240">
        <v>16</v>
      </c>
      <c r="GM11" s="79">
        <v>9</v>
      </c>
      <c r="GN11" s="11">
        <v>17</v>
      </c>
      <c r="GO11" s="79">
        <v>9</v>
      </c>
      <c r="GP11" s="11">
        <v>18</v>
      </c>
      <c r="GQ11" s="79">
        <v>9</v>
      </c>
      <c r="GR11" s="11">
        <v>18</v>
      </c>
      <c r="GS11" s="79">
        <v>9</v>
      </c>
      <c r="GT11" s="11">
        <v>18</v>
      </c>
      <c r="GU11" s="79">
        <v>9</v>
      </c>
      <c r="GV11" s="11">
        <v>14</v>
      </c>
      <c r="GW11" s="79">
        <v>9</v>
      </c>
      <c r="GX11" s="11">
        <v>15</v>
      </c>
      <c r="GY11" s="79">
        <v>9</v>
      </c>
      <c r="GZ11" s="11">
        <v>14</v>
      </c>
      <c r="HA11" s="79">
        <v>9</v>
      </c>
      <c r="HB11" s="11">
        <v>14</v>
      </c>
      <c r="HC11" s="79">
        <v>9</v>
      </c>
      <c r="HD11" s="11">
        <v>14</v>
      </c>
      <c r="HE11" s="79">
        <v>9</v>
      </c>
      <c r="HF11" s="11">
        <v>16</v>
      </c>
      <c r="HG11" s="79">
        <v>9</v>
      </c>
      <c r="HH11" s="11">
        <v>13</v>
      </c>
      <c r="HI11" s="79">
        <v>9</v>
      </c>
      <c r="HJ11" s="11">
        <v>17</v>
      </c>
      <c r="HK11" s="79">
        <v>9</v>
      </c>
      <c r="HL11" s="11">
        <v>12.400000000000034</v>
      </c>
      <c r="HM11" s="79">
        <v>9</v>
      </c>
      <c r="HN11" s="11">
        <v>14</v>
      </c>
      <c r="HO11" s="79">
        <v>9</v>
      </c>
    </row>
    <row r="12" spans="1:223">
      <c r="A12" s="1" t="s">
        <v>703</v>
      </c>
      <c r="B12" s="3">
        <v>2</v>
      </c>
      <c r="C12" t="s">
        <v>222</v>
      </c>
      <c r="D12" s="3">
        <v>3</v>
      </c>
      <c r="E12" t="s">
        <v>19</v>
      </c>
      <c r="F12" s="3">
        <v>2</v>
      </c>
      <c r="G12" s="3"/>
      <c r="M12" s="3"/>
      <c r="O12" t="s">
        <v>17</v>
      </c>
      <c r="P12" t="s">
        <v>485</v>
      </c>
      <c r="Q12" s="75"/>
      <c r="R12" s="75"/>
      <c r="U12" s="1">
        <v>0.9</v>
      </c>
      <c r="V12" s="11">
        <v>19</v>
      </c>
      <c r="W12" s="79">
        <v>10</v>
      </c>
      <c r="X12" s="11">
        <v>15</v>
      </c>
      <c r="Y12" s="79">
        <v>10</v>
      </c>
      <c r="Z12" s="11">
        <v>17.699999999999989</v>
      </c>
      <c r="AA12" s="79">
        <v>10</v>
      </c>
      <c r="AB12" s="11">
        <v>21</v>
      </c>
      <c r="AC12" s="79">
        <v>10</v>
      </c>
      <c r="AD12" s="11">
        <v>18</v>
      </c>
      <c r="AE12" s="79">
        <v>10</v>
      </c>
      <c r="AF12" s="11">
        <v>17</v>
      </c>
      <c r="AG12" s="79">
        <v>10</v>
      </c>
      <c r="AH12" s="11">
        <v>19</v>
      </c>
      <c r="AI12" s="79">
        <v>10</v>
      </c>
      <c r="AJ12" s="11">
        <v>16</v>
      </c>
      <c r="AK12" s="79">
        <v>10</v>
      </c>
      <c r="AL12" s="11">
        <v>21</v>
      </c>
      <c r="AM12" s="79">
        <v>10</v>
      </c>
      <c r="AN12" s="11">
        <v>17</v>
      </c>
      <c r="AO12" s="79">
        <v>10</v>
      </c>
      <c r="AP12" s="11">
        <v>16</v>
      </c>
      <c r="AQ12" s="79">
        <v>10</v>
      </c>
      <c r="AR12" s="11">
        <v>18.699999999999989</v>
      </c>
      <c r="AS12" s="79">
        <v>10</v>
      </c>
      <c r="AT12" s="11">
        <v>16</v>
      </c>
      <c r="AU12" s="79">
        <v>10</v>
      </c>
      <c r="AV12" s="11">
        <v>21.699999999999989</v>
      </c>
      <c r="AW12" s="79">
        <v>10</v>
      </c>
      <c r="AX12" s="11">
        <v>18</v>
      </c>
      <c r="AY12" s="79">
        <v>10</v>
      </c>
      <c r="AZ12" s="11">
        <v>19</v>
      </c>
      <c r="BA12" s="79">
        <v>10</v>
      </c>
      <c r="BB12" s="11">
        <v>20</v>
      </c>
      <c r="BC12" s="79">
        <v>10</v>
      </c>
      <c r="BD12" s="11">
        <v>16</v>
      </c>
      <c r="BE12" s="79">
        <v>10</v>
      </c>
      <c r="BF12" s="11">
        <v>18</v>
      </c>
      <c r="BG12" s="79">
        <v>10</v>
      </c>
      <c r="BH12" s="11">
        <v>21</v>
      </c>
      <c r="BI12" s="79">
        <v>10</v>
      </c>
      <c r="BJ12" s="11">
        <v>17</v>
      </c>
      <c r="BK12" s="79">
        <v>10</v>
      </c>
      <c r="BL12" s="11">
        <v>18</v>
      </c>
      <c r="BM12" s="79">
        <v>10</v>
      </c>
      <c r="BN12" s="11">
        <v>14</v>
      </c>
      <c r="BO12" s="79">
        <v>10</v>
      </c>
      <c r="BP12" s="11">
        <v>15</v>
      </c>
      <c r="BQ12" s="79">
        <v>10</v>
      </c>
      <c r="BR12" s="241">
        <v>18</v>
      </c>
      <c r="BS12" s="79">
        <v>10</v>
      </c>
      <c r="BT12" s="11">
        <v>21</v>
      </c>
      <c r="BU12" s="79">
        <v>10</v>
      </c>
      <c r="BV12" s="11">
        <v>20</v>
      </c>
      <c r="BW12" s="79">
        <v>10</v>
      </c>
      <c r="BX12" s="11">
        <v>18</v>
      </c>
      <c r="BY12" s="79">
        <v>10</v>
      </c>
      <c r="BZ12" s="11">
        <v>14</v>
      </c>
      <c r="CA12" s="79">
        <v>10</v>
      </c>
      <c r="CB12" s="11">
        <v>16</v>
      </c>
      <c r="CC12" s="79">
        <v>10</v>
      </c>
      <c r="CD12" s="11">
        <v>15</v>
      </c>
      <c r="CE12" s="79">
        <v>10</v>
      </c>
      <c r="CF12" s="11">
        <v>17.699999999999989</v>
      </c>
      <c r="CG12" s="79">
        <v>10</v>
      </c>
      <c r="CH12" s="11">
        <v>16</v>
      </c>
      <c r="CI12" s="79">
        <v>10</v>
      </c>
      <c r="CJ12" s="11">
        <v>19</v>
      </c>
      <c r="CK12" s="79">
        <v>10</v>
      </c>
      <c r="CL12" s="241">
        <v>16</v>
      </c>
      <c r="CM12" s="79">
        <v>10</v>
      </c>
      <c r="CN12" s="11">
        <v>19</v>
      </c>
      <c r="CO12" s="79">
        <v>10</v>
      </c>
      <c r="CP12" s="11">
        <v>20</v>
      </c>
      <c r="CQ12" s="79">
        <v>10</v>
      </c>
      <c r="CR12" s="11">
        <v>20</v>
      </c>
      <c r="CS12" s="79">
        <v>10</v>
      </c>
      <c r="CT12" s="11">
        <v>20</v>
      </c>
      <c r="CU12" s="79">
        <v>10</v>
      </c>
      <c r="CV12" s="11">
        <v>16</v>
      </c>
      <c r="CW12" s="79">
        <v>10</v>
      </c>
      <c r="CX12" s="11">
        <v>17</v>
      </c>
      <c r="CY12" s="79">
        <v>10</v>
      </c>
      <c r="CZ12" s="11">
        <v>16</v>
      </c>
      <c r="DA12" s="79">
        <v>10</v>
      </c>
      <c r="DB12" s="11">
        <v>16</v>
      </c>
      <c r="DC12" s="79">
        <v>10</v>
      </c>
      <c r="DD12" s="11">
        <v>16</v>
      </c>
      <c r="DE12" s="79">
        <v>10</v>
      </c>
      <c r="DF12" s="11">
        <v>18</v>
      </c>
      <c r="DG12" s="79">
        <v>10</v>
      </c>
      <c r="DH12" s="11">
        <v>15</v>
      </c>
      <c r="DI12" s="79">
        <v>10</v>
      </c>
      <c r="DJ12" s="11">
        <v>18</v>
      </c>
      <c r="DK12" s="79">
        <v>10</v>
      </c>
      <c r="DL12" s="11">
        <v>15</v>
      </c>
      <c r="DM12" s="79">
        <v>10</v>
      </c>
      <c r="DN12" s="11">
        <v>16</v>
      </c>
      <c r="DO12" s="79">
        <v>10</v>
      </c>
      <c r="DU12" s="1">
        <v>0.9</v>
      </c>
      <c r="DV12" s="11">
        <v>19</v>
      </c>
      <c r="DW12" s="79">
        <v>10</v>
      </c>
      <c r="DX12" s="11">
        <v>15</v>
      </c>
      <c r="DY12" s="79">
        <v>10</v>
      </c>
      <c r="DZ12" s="11">
        <v>17.699999999999989</v>
      </c>
      <c r="EA12" s="79">
        <v>10</v>
      </c>
      <c r="EB12" s="11">
        <v>21</v>
      </c>
      <c r="EC12" s="79">
        <v>10</v>
      </c>
      <c r="ED12" s="11">
        <v>18</v>
      </c>
      <c r="EE12" s="79">
        <v>10</v>
      </c>
      <c r="EF12" s="11">
        <v>17</v>
      </c>
      <c r="EG12" s="79">
        <v>10</v>
      </c>
      <c r="EH12" s="11">
        <v>19</v>
      </c>
      <c r="EI12" s="79">
        <v>10</v>
      </c>
      <c r="EJ12" s="11">
        <v>16</v>
      </c>
      <c r="EK12" s="79">
        <v>10</v>
      </c>
      <c r="EL12" s="11">
        <v>21</v>
      </c>
      <c r="EM12" s="79">
        <v>10</v>
      </c>
      <c r="EN12" s="11">
        <v>17</v>
      </c>
      <c r="EO12" s="79">
        <v>10</v>
      </c>
      <c r="EP12" s="11">
        <v>16</v>
      </c>
      <c r="EQ12" s="79">
        <v>10</v>
      </c>
      <c r="ER12" s="11">
        <v>18.699999999999989</v>
      </c>
      <c r="ES12" s="79">
        <v>10</v>
      </c>
      <c r="ET12" s="11">
        <v>16</v>
      </c>
      <c r="EU12" s="79">
        <v>10</v>
      </c>
      <c r="EV12" s="11">
        <v>21.699999999999989</v>
      </c>
      <c r="EW12" s="79">
        <v>10</v>
      </c>
      <c r="EX12" s="11">
        <v>18</v>
      </c>
      <c r="EY12" s="79">
        <v>10</v>
      </c>
      <c r="EZ12" s="11">
        <v>19</v>
      </c>
      <c r="FA12" s="79">
        <v>10</v>
      </c>
      <c r="FB12" s="11">
        <v>20</v>
      </c>
      <c r="FC12" s="79">
        <v>10</v>
      </c>
      <c r="FD12" s="11">
        <v>16</v>
      </c>
      <c r="FE12" s="79">
        <v>10</v>
      </c>
      <c r="FF12" s="11">
        <v>18</v>
      </c>
      <c r="FG12" s="79">
        <v>10</v>
      </c>
      <c r="FH12" s="11">
        <v>21</v>
      </c>
      <c r="FI12" s="79">
        <v>10</v>
      </c>
      <c r="FJ12" s="11">
        <v>17</v>
      </c>
      <c r="FK12" s="79">
        <v>10</v>
      </c>
      <c r="FL12" s="11">
        <v>18</v>
      </c>
      <c r="FM12" s="79">
        <v>10</v>
      </c>
      <c r="FN12" s="11">
        <v>14</v>
      </c>
      <c r="FO12" s="79">
        <v>10</v>
      </c>
      <c r="FP12" s="11">
        <v>15</v>
      </c>
      <c r="FQ12" s="79">
        <v>10</v>
      </c>
      <c r="FR12" s="241">
        <v>18</v>
      </c>
      <c r="FS12" s="79">
        <v>10</v>
      </c>
      <c r="FT12" s="11">
        <v>21</v>
      </c>
      <c r="FU12" s="79">
        <v>10</v>
      </c>
      <c r="FV12" s="11">
        <v>20</v>
      </c>
      <c r="FW12" s="79">
        <v>10</v>
      </c>
      <c r="FX12" s="11">
        <v>18</v>
      </c>
      <c r="FY12" s="79">
        <v>10</v>
      </c>
      <c r="FZ12" s="11">
        <v>14</v>
      </c>
      <c r="GA12" s="79">
        <v>10</v>
      </c>
      <c r="GB12" s="11">
        <v>16</v>
      </c>
      <c r="GC12" s="79">
        <v>10</v>
      </c>
      <c r="GD12" s="11">
        <v>15</v>
      </c>
      <c r="GE12" s="79">
        <v>10</v>
      </c>
      <c r="GF12" s="11">
        <v>17.699999999999989</v>
      </c>
      <c r="GG12" s="79">
        <v>10</v>
      </c>
      <c r="GH12" s="11">
        <v>16</v>
      </c>
      <c r="GI12" s="79">
        <v>10</v>
      </c>
      <c r="GJ12" s="11">
        <v>19</v>
      </c>
      <c r="GK12" s="79">
        <v>10</v>
      </c>
      <c r="GL12" s="241">
        <v>16</v>
      </c>
      <c r="GM12" s="79">
        <v>10</v>
      </c>
      <c r="GN12" s="11">
        <v>19</v>
      </c>
      <c r="GO12" s="79">
        <v>10</v>
      </c>
      <c r="GP12" s="11">
        <v>20</v>
      </c>
      <c r="GQ12" s="79">
        <v>10</v>
      </c>
      <c r="GR12" s="11">
        <v>20</v>
      </c>
      <c r="GS12" s="79">
        <v>10</v>
      </c>
      <c r="GT12" s="11">
        <v>20</v>
      </c>
      <c r="GU12" s="79">
        <v>10</v>
      </c>
      <c r="GV12" s="11">
        <v>16</v>
      </c>
      <c r="GW12" s="79">
        <v>10</v>
      </c>
      <c r="GX12" s="11">
        <v>17</v>
      </c>
      <c r="GY12" s="79">
        <v>10</v>
      </c>
      <c r="GZ12" s="11">
        <v>16</v>
      </c>
      <c r="HA12" s="79">
        <v>10</v>
      </c>
      <c r="HB12" s="11">
        <v>16</v>
      </c>
      <c r="HC12" s="79">
        <v>10</v>
      </c>
      <c r="HD12" s="11">
        <v>16</v>
      </c>
      <c r="HE12" s="79">
        <v>10</v>
      </c>
      <c r="HF12" s="11">
        <v>18</v>
      </c>
      <c r="HG12" s="79">
        <v>10</v>
      </c>
      <c r="HH12" s="11">
        <v>15</v>
      </c>
      <c r="HI12" s="79">
        <v>10</v>
      </c>
      <c r="HJ12" s="11">
        <v>18</v>
      </c>
      <c r="HK12" s="79">
        <v>10</v>
      </c>
      <c r="HL12" s="11">
        <v>15</v>
      </c>
      <c r="HM12" s="79">
        <v>10</v>
      </c>
      <c r="HN12" s="11">
        <v>16</v>
      </c>
      <c r="HO12" s="79">
        <v>10</v>
      </c>
    </row>
    <row r="13" spans="1:223">
      <c r="A13" s="1" t="s">
        <v>704</v>
      </c>
      <c r="B13" s="3">
        <v>2</v>
      </c>
      <c r="C13" t="s">
        <v>316</v>
      </c>
      <c r="D13" s="3">
        <v>4</v>
      </c>
      <c r="E13" t="s">
        <v>19</v>
      </c>
      <c r="F13" s="3">
        <v>3</v>
      </c>
      <c r="G13" s="3"/>
      <c r="I13" s="1">
        <f>IF($B10="( + ) Me identifico m√°s",VLOOKUP($A10,Equivalencias!$C$10:$F$537,4,0),0)</f>
        <v>0</v>
      </c>
      <c r="K13" t="s">
        <v>504</v>
      </c>
      <c r="O13" t="s">
        <v>515</v>
      </c>
      <c r="P13" t="s">
        <v>502</v>
      </c>
      <c r="Q13" s="75"/>
      <c r="R13" s="75"/>
    </row>
    <row r="14" spans="1:223">
      <c r="A14" s="1" t="s">
        <v>705</v>
      </c>
      <c r="B14" s="3">
        <v>3</v>
      </c>
      <c r="C14" t="s">
        <v>61</v>
      </c>
      <c r="D14" s="3">
        <v>5</v>
      </c>
      <c r="E14" t="s">
        <v>19</v>
      </c>
      <c r="F14" s="3">
        <v>3</v>
      </c>
      <c r="G14" s="3"/>
      <c r="I14" s="3" t="e">
        <f>LOOKUP(VLOOKUP($H14,H$540:I$640,2,0),I$643:J$652)</f>
        <v>#N/A</v>
      </c>
      <c r="O14" t="s">
        <v>63</v>
      </c>
      <c r="P14" t="s">
        <v>63</v>
      </c>
      <c r="Q14" s="75"/>
      <c r="R14" s="75"/>
      <c r="V14" s="119"/>
      <c r="W14" s="2"/>
      <c r="X14" s="119"/>
      <c r="Y14" s="2"/>
      <c r="Z14" s="119"/>
      <c r="AA14" s="2"/>
      <c r="AB14" s="119"/>
      <c r="AC14" s="2"/>
      <c r="AD14" s="119"/>
      <c r="AE14" s="2"/>
      <c r="AF14" s="119"/>
      <c r="AG14" s="2"/>
      <c r="AH14" s="119"/>
      <c r="AI14" s="2"/>
      <c r="AJ14" s="119"/>
      <c r="AK14" s="2"/>
      <c r="AL14" s="119"/>
      <c r="AM14" s="2"/>
      <c r="AN14" s="119"/>
      <c r="AO14" s="2"/>
      <c r="AP14" s="119"/>
      <c r="AQ14" s="2"/>
      <c r="AR14" s="119"/>
      <c r="AS14" s="2"/>
      <c r="AT14" s="119"/>
      <c r="AU14" s="2"/>
      <c r="AV14" s="119"/>
      <c r="AW14" s="2"/>
      <c r="AX14" s="119"/>
      <c r="AY14" s="2"/>
      <c r="AZ14" s="119"/>
      <c r="BA14" s="119"/>
      <c r="BB14" s="119"/>
      <c r="BC14" s="2"/>
      <c r="BD14" s="119"/>
      <c r="BE14" s="2"/>
      <c r="BF14" s="119"/>
      <c r="BG14" s="2"/>
      <c r="BH14" s="119"/>
      <c r="BI14" s="119"/>
      <c r="BJ14" s="119"/>
      <c r="BK14" s="2"/>
      <c r="BL14" s="119"/>
      <c r="BM14" s="2"/>
      <c r="BN14" s="119"/>
      <c r="BO14" s="2"/>
      <c r="BP14" s="119"/>
      <c r="BQ14" s="2"/>
      <c r="BR14" s="119"/>
      <c r="BS14" s="2"/>
      <c r="BT14" s="119"/>
      <c r="BU14" s="2"/>
      <c r="BV14" s="119"/>
      <c r="BW14" s="2"/>
      <c r="BX14" s="119"/>
      <c r="BY14" s="2"/>
      <c r="BZ14" s="119"/>
      <c r="CA14" s="2"/>
      <c r="CB14" s="119"/>
      <c r="CC14" s="2"/>
      <c r="CD14" s="119"/>
      <c r="CE14" s="2"/>
      <c r="CF14" s="119"/>
      <c r="CG14" s="2"/>
      <c r="CH14" s="119"/>
      <c r="DV14" s="119"/>
      <c r="DW14" s="2"/>
      <c r="DX14" s="119"/>
      <c r="DY14" s="2"/>
      <c r="DZ14" s="119"/>
      <c r="EA14" s="2"/>
      <c r="EB14" s="119"/>
      <c r="EC14" s="2"/>
      <c r="ED14" s="119"/>
      <c r="EE14" s="2"/>
      <c r="EF14" s="119"/>
      <c r="EG14" s="2"/>
      <c r="EH14" s="119"/>
      <c r="EI14" s="2"/>
      <c r="EJ14" s="119"/>
      <c r="EK14" s="2"/>
      <c r="EL14" s="119"/>
      <c r="EM14" s="2"/>
      <c r="EN14" s="119"/>
      <c r="EO14" s="2"/>
      <c r="EP14" s="119"/>
      <c r="EQ14" s="2"/>
      <c r="ER14" s="119"/>
      <c r="ES14" s="2"/>
      <c r="ET14" s="119"/>
      <c r="EU14" s="2"/>
      <c r="EV14" s="119"/>
      <c r="EW14" s="2"/>
      <c r="EX14" s="119"/>
      <c r="EY14" s="2"/>
      <c r="EZ14" s="119"/>
      <c r="FA14" s="119"/>
      <c r="FB14" s="119"/>
      <c r="FC14" s="2"/>
      <c r="FD14" s="119"/>
      <c r="FE14" s="2"/>
      <c r="FF14" s="119"/>
      <c r="FG14" s="2"/>
      <c r="FH14" s="119"/>
      <c r="FI14" s="119"/>
      <c r="FJ14" s="119"/>
      <c r="FK14" s="2"/>
      <c r="FL14" s="119"/>
      <c r="FM14" s="2"/>
      <c r="FN14" s="119"/>
      <c r="FO14" s="2"/>
      <c r="FP14" s="119"/>
      <c r="FQ14" s="2"/>
      <c r="FR14" s="119"/>
      <c r="FS14" s="2"/>
      <c r="FT14" s="119"/>
      <c r="FU14" s="2"/>
      <c r="FV14" s="119"/>
      <c r="FW14" s="2"/>
      <c r="FX14" s="119"/>
      <c r="FY14" s="2"/>
      <c r="FZ14" s="119"/>
      <c r="GA14" s="2"/>
      <c r="GB14" s="119"/>
      <c r="GC14" s="2"/>
      <c r="GD14" s="119"/>
      <c r="GE14" s="2"/>
      <c r="GF14" s="119"/>
      <c r="GG14" s="2"/>
      <c r="GH14" s="119"/>
    </row>
    <row r="15" spans="1:223" s="1" customFormat="1" ht="43.2">
      <c r="A15" s="1" t="s">
        <v>706</v>
      </c>
      <c r="B15" s="5">
        <v>3</v>
      </c>
      <c r="C15" t="s">
        <v>287</v>
      </c>
      <c r="D15" s="3">
        <v>6</v>
      </c>
      <c r="E15" t="s">
        <v>19</v>
      </c>
      <c r="F15" s="3">
        <v>3</v>
      </c>
      <c r="G15" s="5"/>
      <c r="O15" s="1" t="s">
        <v>466</v>
      </c>
      <c r="P15" s="1" t="e">
        <v>#N/A</v>
      </c>
      <c r="Q15" s="74"/>
      <c r="R15" s="74"/>
      <c r="T15"/>
      <c r="V15" s="119" t="s">
        <v>106</v>
      </c>
      <c r="W15" s="119"/>
      <c r="X15" s="119" t="s">
        <v>393</v>
      </c>
      <c r="Y15" s="119"/>
      <c r="Z15" s="119" t="s">
        <v>547</v>
      </c>
      <c r="AA15" s="119"/>
      <c r="AB15" s="119" t="s">
        <v>680</v>
      </c>
      <c r="AC15" s="119"/>
      <c r="AD15" s="119" t="s">
        <v>392</v>
      </c>
      <c r="AE15" s="119"/>
      <c r="AF15" s="119" t="s">
        <v>475</v>
      </c>
      <c r="AG15" s="119"/>
      <c r="AH15" s="119" t="s">
        <v>621</v>
      </c>
      <c r="AI15" s="119"/>
      <c r="AJ15" s="119" t="s">
        <v>63</v>
      </c>
      <c r="AK15" s="119"/>
      <c r="AL15" s="119" t="s">
        <v>578</v>
      </c>
      <c r="AM15" s="119"/>
      <c r="AN15" s="119" t="s">
        <v>570</v>
      </c>
      <c r="AO15" s="119"/>
      <c r="AP15" s="119" t="s">
        <v>469</v>
      </c>
      <c r="AQ15" s="119"/>
      <c r="AR15" s="119" t="s">
        <v>531</v>
      </c>
      <c r="AS15" s="119"/>
      <c r="AT15" s="119" t="s">
        <v>620</v>
      </c>
      <c r="AU15" s="119"/>
      <c r="AV15" s="119" t="s">
        <v>465</v>
      </c>
      <c r="AW15" s="119"/>
      <c r="AX15" s="119" t="s">
        <v>143</v>
      </c>
      <c r="AY15" s="119"/>
      <c r="AZ15" s="119" t="s">
        <v>391</v>
      </c>
      <c r="BA15" s="119"/>
      <c r="BB15" s="119" t="s">
        <v>446</v>
      </c>
      <c r="BC15" s="119"/>
      <c r="BD15" s="119" t="s">
        <v>1070</v>
      </c>
      <c r="BE15" s="119"/>
      <c r="BF15" s="119" t="s">
        <v>394</v>
      </c>
      <c r="BG15" s="119"/>
      <c r="BH15" s="119" t="s">
        <v>466</v>
      </c>
      <c r="BI15" s="119"/>
      <c r="BJ15" s="119" t="s">
        <v>474</v>
      </c>
      <c r="BK15" s="119"/>
      <c r="BL15" s="119" t="s">
        <v>682</v>
      </c>
      <c r="BM15" s="119"/>
      <c r="BN15" s="119" t="s">
        <v>536</v>
      </c>
      <c r="BO15" s="119"/>
      <c r="BP15" s="119" t="s">
        <v>571</v>
      </c>
      <c r="BQ15" s="119"/>
      <c r="BR15" s="119" t="s">
        <v>549</v>
      </c>
      <c r="BS15" s="119"/>
      <c r="BT15" s="119" t="s">
        <v>390</v>
      </c>
      <c r="BU15" s="119"/>
      <c r="BV15" s="119" t="s">
        <v>515</v>
      </c>
      <c r="BW15" s="119"/>
      <c r="BX15" s="119" t="s">
        <v>467</v>
      </c>
      <c r="BY15" s="119"/>
      <c r="BZ15" s="119" t="s">
        <v>17</v>
      </c>
      <c r="CA15" s="119"/>
      <c r="CB15" s="119" t="s">
        <v>473</v>
      </c>
      <c r="CC15" s="119"/>
      <c r="CD15" s="119" t="s">
        <v>24</v>
      </c>
      <c r="CE15" s="119"/>
      <c r="CF15" s="119" t="s">
        <v>442</v>
      </c>
      <c r="CG15" s="119"/>
      <c r="CH15" s="119" t="s">
        <v>30</v>
      </c>
      <c r="CJ15" s="245" t="s">
        <v>14</v>
      </c>
      <c r="CK15" s="246"/>
      <c r="CL15" s="245" t="s">
        <v>452</v>
      </c>
      <c r="CM15" s="246"/>
      <c r="CN15" s="252" t="s">
        <v>1125</v>
      </c>
      <c r="CO15" s="253" t="s">
        <v>1126</v>
      </c>
      <c r="DN15"/>
      <c r="DO15"/>
      <c r="DV15" s="119" t="s">
        <v>106</v>
      </c>
      <c r="DW15" s="119"/>
      <c r="DX15" s="119" t="s">
        <v>393</v>
      </c>
      <c r="DY15" s="119"/>
      <c r="DZ15" s="119" t="s">
        <v>547</v>
      </c>
      <c r="EA15" s="119"/>
      <c r="EB15" s="119" t="s">
        <v>680</v>
      </c>
      <c r="EC15" s="119"/>
      <c r="ED15" s="119" t="s">
        <v>392</v>
      </c>
      <c r="EE15" s="119"/>
      <c r="EF15" s="119" t="s">
        <v>475</v>
      </c>
      <c r="EG15" s="119"/>
      <c r="EH15" s="119" t="s">
        <v>621</v>
      </c>
      <c r="EI15" s="119"/>
      <c r="EJ15" s="119" t="s">
        <v>63</v>
      </c>
      <c r="EK15" s="119"/>
      <c r="EL15" s="119" t="s">
        <v>578</v>
      </c>
      <c r="EM15" s="119"/>
      <c r="EN15" s="119" t="s">
        <v>570</v>
      </c>
      <c r="EO15" s="119"/>
      <c r="EP15" s="119" t="s">
        <v>469</v>
      </c>
      <c r="EQ15" s="119"/>
      <c r="ER15" s="119" t="s">
        <v>531</v>
      </c>
      <c r="ES15" s="119"/>
      <c r="ET15" s="119" t="s">
        <v>620</v>
      </c>
      <c r="EU15" s="119"/>
      <c r="EV15" s="119" t="s">
        <v>465</v>
      </c>
      <c r="EW15" s="119"/>
      <c r="EX15" s="119" t="s">
        <v>143</v>
      </c>
      <c r="EY15" s="119"/>
      <c r="EZ15" s="119" t="s">
        <v>391</v>
      </c>
      <c r="FA15" s="119"/>
      <c r="FB15" s="119" t="s">
        <v>446</v>
      </c>
      <c r="FC15" s="119"/>
      <c r="FD15" s="119" t="s">
        <v>1070</v>
      </c>
      <c r="FE15" s="119"/>
      <c r="FF15" s="119" t="s">
        <v>394</v>
      </c>
      <c r="FG15" s="119"/>
      <c r="FH15" s="119" t="s">
        <v>466</v>
      </c>
      <c r="FI15" s="119"/>
      <c r="FJ15" s="119" t="s">
        <v>474</v>
      </c>
      <c r="FK15" s="119"/>
      <c r="FL15" s="119" t="s">
        <v>682</v>
      </c>
      <c r="FM15" s="119"/>
      <c r="FN15" s="119" t="s">
        <v>536</v>
      </c>
      <c r="FO15" s="119"/>
      <c r="FP15" s="119" t="s">
        <v>571</v>
      </c>
      <c r="FQ15" s="119"/>
      <c r="FR15" s="119" t="s">
        <v>549</v>
      </c>
      <c r="FS15" s="119"/>
      <c r="FT15" s="119" t="s">
        <v>390</v>
      </c>
      <c r="FU15" s="119"/>
      <c r="FV15" s="119" t="s">
        <v>515</v>
      </c>
      <c r="FW15" s="119"/>
      <c r="FX15" s="119" t="s">
        <v>467</v>
      </c>
      <c r="FY15" s="119"/>
      <c r="FZ15" s="119" t="s">
        <v>17</v>
      </c>
      <c r="GA15" s="119"/>
      <c r="GB15" s="119" t="s">
        <v>473</v>
      </c>
      <c r="GC15" s="119"/>
      <c r="GD15" s="119" t="s">
        <v>24</v>
      </c>
      <c r="GE15" s="119"/>
      <c r="GF15" s="119" t="s">
        <v>442</v>
      </c>
      <c r="GG15" s="119"/>
      <c r="GH15" s="119" t="s">
        <v>30</v>
      </c>
      <c r="GJ15" s="245" t="s">
        <v>14</v>
      </c>
      <c r="GK15" s="246"/>
      <c r="GL15" s="245" t="s">
        <v>452</v>
      </c>
      <c r="GM15" s="246"/>
      <c r="GN15" s="252" t="s">
        <v>1125</v>
      </c>
      <c r="GO15" s="253" t="s">
        <v>1126</v>
      </c>
      <c r="HN15"/>
      <c r="HO15"/>
    </row>
    <row r="16" spans="1:223">
      <c r="A16" s="1" t="s">
        <v>707</v>
      </c>
      <c r="B16" s="3">
        <v>4</v>
      </c>
      <c r="C16" t="s">
        <v>112</v>
      </c>
      <c r="D16" s="3">
        <v>7</v>
      </c>
      <c r="E16" t="s">
        <v>19</v>
      </c>
      <c r="F16" s="3">
        <v>2</v>
      </c>
      <c r="G16" s="3"/>
      <c r="O16" t="s">
        <v>547</v>
      </c>
      <c r="P16" t="s">
        <v>487</v>
      </c>
      <c r="Q16" s="75"/>
      <c r="R16" s="75"/>
      <c r="U16" s="1">
        <v>0</v>
      </c>
      <c r="V16" s="121">
        <v>0</v>
      </c>
      <c r="W16" s="79">
        <v>1</v>
      </c>
      <c r="X16" s="3">
        <v>0</v>
      </c>
      <c r="Y16" s="79">
        <v>1</v>
      </c>
      <c r="Z16" s="3">
        <v>0</v>
      </c>
      <c r="AA16" s="79">
        <v>1</v>
      </c>
      <c r="AB16" s="3">
        <v>0</v>
      </c>
      <c r="AC16" s="79">
        <v>1</v>
      </c>
      <c r="AD16" s="3">
        <v>0</v>
      </c>
      <c r="AE16" s="79">
        <v>1</v>
      </c>
      <c r="AF16" s="3">
        <v>0</v>
      </c>
      <c r="AG16" s="79">
        <v>1</v>
      </c>
      <c r="AH16" s="3">
        <v>0</v>
      </c>
      <c r="AI16" s="79">
        <v>1</v>
      </c>
      <c r="AJ16" s="3">
        <v>0</v>
      </c>
      <c r="AK16" s="79">
        <v>1</v>
      </c>
      <c r="AL16" s="3">
        <v>0</v>
      </c>
      <c r="AM16" s="79">
        <v>1</v>
      </c>
      <c r="AN16" s="3">
        <v>0</v>
      </c>
      <c r="AO16" s="79">
        <v>1</v>
      </c>
      <c r="AP16" s="3">
        <v>0</v>
      </c>
      <c r="AQ16" s="79">
        <v>1</v>
      </c>
      <c r="AR16" s="3">
        <v>0</v>
      </c>
      <c r="AS16" s="79">
        <v>1</v>
      </c>
      <c r="AT16" s="3">
        <v>0</v>
      </c>
      <c r="AU16" s="79">
        <v>1</v>
      </c>
      <c r="AV16" s="3">
        <v>0</v>
      </c>
      <c r="AW16" s="79">
        <v>1</v>
      </c>
      <c r="AX16" s="3">
        <v>0</v>
      </c>
      <c r="AY16" s="79">
        <v>1</v>
      </c>
      <c r="AZ16" s="3">
        <v>0</v>
      </c>
      <c r="BA16" s="79">
        <v>1</v>
      </c>
      <c r="BB16" s="3">
        <v>0</v>
      </c>
      <c r="BC16" s="79">
        <v>1</v>
      </c>
      <c r="BD16" s="3">
        <v>0</v>
      </c>
      <c r="BE16" s="79">
        <v>1</v>
      </c>
      <c r="BF16" s="3">
        <v>0</v>
      </c>
      <c r="BG16" s="79">
        <v>1</v>
      </c>
      <c r="BH16" s="3">
        <v>0</v>
      </c>
      <c r="BI16" s="79">
        <v>1</v>
      </c>
      <c r="BJ16" s="3">
        <v>0</v>
      </c>
      <c r="BK16" s="79">
        <v>1</v>
      </c>
      <c r="BL16" s="3">
        <v>0</v>
      </c>
      <c r="BM16" s="79">
        <v>1</v>
      </c>
      <c r="BN16" s="3">
        <v>0</v>
      </c>
      <c r="BO16" s="79">
        <v>1</v>
      </c>
      <c r="BP16" s="3">
        <v>0</v>
      </c>
      <c r="BQ16" s="79">
        <v>1</v>
      </c>
      <c r="BR16" s="3">
        <v>0</v>
      </c>
      <c r="BS16" s="79">
        <v>1</v>
      </c>
      <c r="BT16" s="3">
        <v>0</v>
      </c>
      <c r="BU16" s="79">
        <v>1</v>
      </c>
      <c r="BV16" s="3">
        <v>0</v>
      </c>
      <c r="BW16" s="79">
        <v>1</v>
      </c>
      <c r="BX16" s="3">
        <v>0</v>
      </c>
      <c r="BY16" s="79">
        <v>1</v>
      </c>
      <c r="BZ16" s="3">
        <v>0</v>
      </c>
      <c r="CA16" s="79">
        <v>1</v>
      </c>
      <c r="CB16" s="3">
        <v>0</v>
      </c>
      <c r="CC16" s="79">
        <v>1</v>
      </c>
      <c r="CD16" s="3">
        <v>0</v>
      </c>
      <c r="CE16" s="79">
        <v>1</v>
      </c>
      <c r="CF16" s="3">
        <v>0</v>
      </c>
      <c r="CG16" s="79">
        <v>1</v>
      </c>
      <c r="CH16" s="3">
        <v>0</v>
      </c>
      <c r="CI16" s="79">
        <v>1</v>
      </c>
      <c r="CJ16" s="243">
        <v>0</v>
      </c>
      <c r="CK16" s="242">
        <v>1</v>
      </c>
      <c r="CL16" s="243">
        <v>0</v>
      </c>
      <c r="CM16" s="242">
        <v>1</v>
      </c>
      <c r="CN16" s="248"/>
      <c r="CO16" s="249"/>
      <c r="DU16" s="1">
        <v>0</v>
      </c>
      <c r="DV16" s="121">
        <v>0</v>
      </c>
      <c r="DW16" s="79">
        <v>1</v>
      </c>
      <c r="DX16" s="3">
        <v>0</v>
      </c>
      <c r="DY16" s="79">
        <v>1</v>
      </c>
      <c r="DZ16" s="3">
        <v>0</v>
      </c>
      <c r="EA16" s="79">
        <v>1</v>
      </c>
      <c r="EB16" s="3">
        <v>0</v>
      </c>
      <c r="EC16" s="79">
        <v>1</v>
      </c>
      <c r="ED16" s="3">
        <v>0</v>
      </c>
      <c r="EE16" s="79">
        <v>1</v>
      </c>
      <c r="EF16" s="3">
        <v>0</v>
      </c>
      <c r="EG16" s="79">
        <v>1</v>
      </c>
      <c r="EH16" s="3">
        <v>0</v>
      </c>
      <c r="EI16" s="79">
        <v>1</v>
      </c>
      <c r="EJ16" s="3">
        <v>0</v>
      </c>
      <c r="EK16" s="79">
        <v>1</v>
      </c>
      <c r="EL16" s="3">
        <v>0</v>
      </c>
      <c r="EM16" s="79">
        <v>1</v>
      </c>
      <c r="EN16" s="3">
        <v>0</v>
      </c>
      <c r="EO16" s="79">
        <v>1</v>
      </c>
      <c r="EP16" s="3">
        <v>0</v>
      </c>
      <c r="EQ16" s="79">
        <v>1</v>
      </c>
      <c r="ER16" s="3">
        <v>0</v>
      </c>
      <c r="ES16" s="79">
        <v>1</v>
      </c>
      <c r="ET16" s="3">
        <v>0</v>
      </c>
      <c r="EU16" s="79">
        <v>1</v>
      </c>
      <c r="EV16" s="3">
        <v>0</v>
      </c>
      <c r="EW16" s="79">
        <v>1</v>
      </c>
      <c r="EX16" s="3">
        <v>0</v>
      </c>
      <c r="EY16" s="79">
        <v>1</v>
      </c>
      <c r="EZ16" s="3">
        <v>0</v>
      </c>
      <c r="FA16" s="79">
        <v>1</v>
      </c>
      <c r="FB16" s="3">
        <v>0</v>
      </c>
      <c r="FC16" s="79">
        <v>1</v>
      </c>
      <c r="FD16" s="3">
        <v>0</v>
      </c>
      <c r="FE16" s="79">
        <v>1</v>
      </c>
      <c r="FF16" s="3">
        <v>0</v>
      </c>
      <c r="FG16" s="79">
        <v>1</v>
      </c>
      <c r="FH16" s="3">
        <v>0</v>
      </c>
      <c r="FI16" s="79">
        <v>1</v>
      </c>
      <c r="FJ16" s="3">
        <v>0</v>
      </c>
      <c r="FK16" s="79">
        <v>1</v>
      </c>
      <c r="FL16" s="3">
        <v>0</v>
      </c>
      <c r="FM16" s="79">
        <v>1</v>
      </c>
      <c r="FN16" s="3">
        <v>0</v>
      </c>
      <c r="FO16" s="79">
        <v>1</v>
      </c>
      <c r="FP16" s="3">
        <v>0</v>
      </c>
      <c r="FQ16" s="79">
        <v>1</v>
      </c>
      <c r="FR16" s="3">
        <v>0</v>
      </c>
      <c r="FS16" s="79">
        <v>1</v>
      </c>
      <c r="FT16" s="3">
        <v>0</v>
      </c>
      <c r="FU16" s="79">
        <v>1</v>
      </c>
      <c r="FV16" s="3">
        <v>0</v>
      </c>
      <c r="FW16" s="79">
        <v>1</v>
      </c>
      <c r="FX16" s="3">
        <v>0</v>
      </c>
      <c r="FY16" s="79">
        <v>1</v>
      </c>
      <c r="FZ16" s="3">
        <v>0</v>
      </c>
      <c r="GA16" s="79">
        <v>1</v>
      </c>
      <c r="GB16" s="3">
        <v>0</v>
      </c>
      <c r="GC16" s="79">
        <v>1</v>
      </c>
      <c r="GD16" s="3">
        <v>0</v>
      </c>
      <c r="GE16" s="79">
        <v>1</v>
      </c>
      <c r="GF16" s="3">
        <v>0</v>
      </c>
      <c r="GG16" s="79">
        <v>1</v>
      </c>
      <c r="GH16" s="3">
        <v>0</v>
      </c>
      <c r="GI16" s="79">
        <v>1</v>
      </c>
      <c r="GJ16" s="243">
        <v>0</v>
      </c>
      <c r="GK16" s="242">
        <v>1</v>
      </c>
      <c r="GL16" s="243">
        <v>0</v>
      </c>
      <c r="GM16" s="242">
        <v>1</v>
      </c>
      <c r="GN16" s="248"/>
      <c r="GO16" s="249"/>
    </row>
    <row r="17" spans="1:223">
      <c r="A17" s="1" t="s">
        <v>708</v>
      </c>
      <c r="B17" s="3">
        <v>4</v>
      </c>
      <c r="C17" t="s">
        <v>157</v>
      </c>
      <c r="D17" s="3">
        <v>8</v>
      </c>
      <c r="E17" t="s">
        <v>19</v>
      </c>
      <c r="F17" s="3">
        <v>3</v>
      </c>
      <c r="G17" s="3"/>
      <c r="O17" t="s">
        <v>536</v>
      </c>
      <c r="P17" t="s">
        <v>488</v>
      </c>
      <c r="Q17" s="75"/>
      <c r="R17" s="75"/>
      <c r="U17" s="1">
        <v>0.1</v>
      </c>
      <c r="V17" s="11">
        <v>9.3333333333333339</v>
      </c>
      <c r="W17" s="79">
        <v>2</v>
      </c>
      <c r="X17" s="11">
        <v>7.666666666666667</v>
      </c>
      <c r="Y17" s="79">
        <v>2</v>
      </c>
      <c r="Z17" s="11">
        <v>10</v>
      </c>
      <c r="AA17" s="79">
        <v>2</v>
      </c>
      <c r="AB17" s="11">
        <v>9.3333333333333339</v>
      </c>
      <c r="AC17" s="79">
        <v>2</v>
      </c>
      <c r="AD17" s="11">
        <v>8.6666666666666661</v>
      </c>
      <c r="AE17" s="79">
        <v>2</v>
      </c>
      <c r="AF17" s="11">
        <v>6.333333333333333</v>
      </c>
      <c r="AG17" s="79">
        <v>2</v>
      </c>
      <c r="AH17" s="11">
        <v>9</v>
      </c>
      <c r="AI17" s="79">
        <v>2</v>
      </c>
      <c r="AJ17" s="11">
        <v>8.3333333333333339</v>
      </c>
      <c r="AK17" s="79">
        <v>2</v>
      </c>
      <c r="AL17" s="11">
        <v>5.666666666666667</v>
      </c>
      <c r="AM17" s="79">
        <v>2</v>
      </c>
      <c r="AN17" s="11">
        <v>7</v>
      </c>
      <c r="AO17" s="79">
        <v>2</v>
      </c>
      <c r="AP17" s="11">
        <v>8.3333333333333339</v>
      </c>
      <c r="AQ17" s="79">
        <v>2</v>
      </c>
      <c r="AR17" s="11">
        <v>6.666666666666667</v>
      </c>
      <c r="AS17" s="79">
        <v>2</v>
      </c>
      <c r="AT17" s="11">
        <v>9.3333333333333339</v>
      </c>
      <c r="AU17" s="79">
        <v>2</v>
      </c>
      <c r="AV17" s="11">
        <v>6.666666666666667</v>
      </c>
      <c r="AW17" s="79">
        <v>2</v>
      </c>
      <c r="AX17" s="11">
        <v>7.333333333333333</v>
      </c>
      <c r="AY17" s="79">
        <v>2</v>
      </c>
      <c r="AZ17" s="11">
        <v>8.3333333333333339</v>
      </c>
      <c r="BA17" s="79">
        <v>2</v>
      </c>
      <c r="BB17" s="11">
        <v>9</v>
      </c>
      <c r="BC17" s="79">
        <v>2</v>
      </c>
      <c r="BD17" s="11">
        <v>9.25</v>
      </c>
      <c r="BE17" s="79">
        <v>2</v>
      </c>
      <c r="BF17" s="11">
        <v>8.25</v>
      </c>
      <c r="BG17" s="79">
        <v>2</v>
      </c>
      <c r="BH17" s="11">
        <v>6</v>
      </c>
      <c r="BI17" s="79">
        <v>2</v>
      </c>
      <c r="BJ17" s="11">
        <v>10.333333333333334</v>
      </c>
      <c r="BK17" s="79">
        <v>2</v>
      </c>
      <c r="BL17" s="11">
        <v>10</v>
      </c>
      <c r="BM17" s="79">
        <v>2</v>
      </c>
      <c r="BN17" s="11">
        <v>6.4333333333333345</v>
      </c>
      <c r="BO17" s="79">
        <v>2</v>
      </c>
      <c r="BP17" s="11">
        <v>5</v>
      </c>
      <c r="BQ17" s="79">
        <v>2</v>
      </c>
      <c r="BR17" s="11">
        <v>5.333333333333333</v>
      </c>
      <c r="BS17" s="79">
        <v>2</v>
      </c>
      <c r="BT17" s="11">
        <v>8.3333333333333339</v>
      </c>
      <c r="BU17" s="79">
        <v>2</v>
      </c>
      <c r="BV17" s="11">
        <v>9.3333333333333339</v>
      </c>
      <c r="BW17" s="79">
        <v>2</v>
      </c>
      <c r="BX17" s="11">
        <v>6</v>
      </c>
      <c r="BY17" s="79">
        <v>2</v>
      </c>
      <c r="BZ17" s="11">
        <v>8.3333333333333339</v>
      </c>
      <c r="CA17" s="79">
        <v>2</v>
      </c>
      <c r="CB17" s="11">
        <v>6</v>
      </c>
      <c r="CC17" s="79">
        <v>2</v>
      </c>
      <c r="CD17" s="11">
        <v>8.6666666666666661</v>
      </c>
      <c r="CE17" s="79">
        <v>2</v>
      </c>
      <c r="CF17" s="11">
        <v>10.333333333333334</v>
      </c>
      <c r="CG17" s="79">
        <v>2</v>
      </c>
      <c r="CH17" s="11">
        <v>10.333333333333334</v>
      </c>
      <c r="CI17" s="79">
        <v>2</v>
      </c>
      <c r="CJ17" s="243">
        <v>7</v>
      </c>
      <c r="CK17" s="242">
        <v>2</v>
      </c>
      <c r="CL17" s="243">
        <v>5.1500000000000021</v>
      </c>
      <c r="CM17" s="242">
        <v>2</v>
      </c>
      <c r="CN17" s="248"/>
      <c r="CO17" s="249"/>
      <c r="DU17" s="1">
        <v>0.1</v>
      </c>
      <c r="DV17" s="11">
        <v>9.3333333333333339</v>
      </c>
      <c r="DW17" s="79">
        <v>2</v>
      </c>
      <c r="DX17" s="11">
        <v>7.666666666666667</v>
      </c>
      <c r="DY17" s="79">
        <v>2</v>
      </c>
      <c r="DZ17" s="11">
        <v>10</v>
      </c>
      <c r="EA17" s="79">
        <v>2</v>
      </c>
      <c r="EB17" s="11">
        <v>9.3333333333333339</v>
      </c>
      <c r="EC17" s="79">
        <v>2</v>
      </c>
      <c r="ED17" s="11">
        <v>8.6666666666666661</v>
      </c>
      <c r="EE17" s="79">
        <v>2</v>
      </c>
      <c r="EF17" s="11">
        <v>6.333333333333333</v>
      </c>
      <c r="EG17" s="79">
        <v>2</v>
      </c>
      <c r="EH17" s="11">
        <v>9</v>
      </c>
      <c r="EI17" s="79">
        <v>2</v>
      </c>
      <c r="EJ17" s="11">
        <v>8.3333333333333339</v>
      </c>
      <c r="EK17" s="79">
        <v>2</v>
      </c>
      <c r="EL17" s="11">
        <v>5.666666666666667</v>
      </c>
      <c r="EM17" s="79">
        <v>2</v>
      </c>
      <c r="EN17" s="11">
        <v>7</v>
      </c>
      <c r="EO17" s="79">
        <v>2</v>
      </c>
      <c r="EP17" s="11">
        <v>8.3333333333333339</v>
      </c>
      <c r="EQ17" s="79">
        <v>2</v>
      </c>
      <c r="ER17" s="11">
        <v>6.666666666666667</v>
      </c>
      <c r="ES17" s="79">
        <v>2</v>
      </c>
      <c r="ET17" s="11">
        <v>9.3333333333333339</v>
      </c>
      <c r="EU17" s="79">
        <v>2</v>
      </c>
      <c r="EV17" s="11">
        <v>6.666666666666667</v>
      </c>
      <c r="EW17" s="79">
        <v>2</v>
      </c>
      <c r="EX17" s="11">
        <v>7.333333333333333</v>
      </c>
      <c r="EY17" s="79">
        <v>2</v>
      </c>
      <c r="EZ17" s="11">
        <v>8.3333333333333339</v>
      </c>
      <c r="FA17" s="79">
        <v>2</v>
      </c>
      <c r="FB17" s="11">
        <v>9</v>
      </c>
      <c r="FC17" s="79">
        <v>2</v>
      </c>
      <c r="FD17" s="11">
        <v>9.25</v>
      </c>
      <c r="FE17" s="79">
        <v>2</v>
      </c>
      <c r="FF17" s="11">
        <v>8.25</v>
      </c>
      <c r="FG17" s="79">
        <v>2</v>
      </c>
      <c r="FH17" s="11">
        <v>6</v>
      </c>
      <c r="FI17" s="79">
        <v>2</v>
      </c>
      <c r="FJ17" s="11">
        <v>10.333333333333334</v>
      </c>
      <c r="FK17" s="79">
        <v>2</v>
      </c>
      <c r="FL17" s="11">
        <v>10</v>
      </c>
      <c r="FM17" s="79">
        <v>2</v>
      </c>
      <c r="FN17" s="11">
        <v>6.4333333333333345</v>
      </c>
      <c r="FO17" s="79">
        <v>2</v>
      </c>
      <c r="FP17" s="11">
        <v>5</v>
      </c>
      <c r="FQ17" s="79">
        <v>2</v>
      </c>
      <c r="FR17" s="11">
        <v>5.333333333333333</v>
      </c>
      <c r="FS17" s="79">
        <v>2</v>
      </c>
      <c r="FT17" s="11">
        <v>8.3333333333333339</v>
      </c>
      <c r="FU17" s="79">
        <v>2</v>
      </c>
      <c r="FV17" s="11">
        <v>9.3333333333333339</v>
      </c>
      <c r="FW17" s="79">
        <v>2</v>
      </c>
      <c r="FX17" s="11">
        <v>6</v>
      </c>
      <c r="FY17" s="79">
        <v>2</v>
      </c>
      <c r="FZ17" s="11">
        <v>8.3333333333333339</v>
      </c>
      <c r="GA17" s="79">
        <v>2</v>
      </c>
      <c r="GB17" s="11">
        <v>6</v>
      </c>
      <c r="GC17" s="79">
        <v>2</v>
      </c>
      <c r="GD17" s="11">
        <v>8.6666666666666661</v>
      </c>
      <c r="GE17" s="79">
        <v>2</v>
      </c>
      <c r="GF17" s="11">
        <v>10.333333333333334</v>
      </c>
      <c r="GG17" s="79">
        <v>2</v>
      </c>
      <c r="GH17" s="11">
        <v>10.333333333333334</v>
      </c>
      <c r="GI17" s="79">
        <v>2</v>
      </c>
      <c r="GJ17" s="243">
        <v>7</v>
      </c>
      <c r="GK17" s="242">
        <v>2</v>
      </c>
      <c r="GL17" s="243">
        <v>5.1500000000000021</v>
      </c>
      <c r="GM17" s="242">
        <v>2</v>
      </c>
      <c r="GN17" s="248"/>
      <c r="GO17" s="249"/>
    </row>
    <row r="18" spans="1:223">
      <c r="A18" s="1" t="s">
        <v>7</v>
      </c>
      <c r="B18" s="3">
        <v>5</v>
      </c>
      <c r="C18" t="s">
        <v>337</v>
      </c>
      <c r="D18" s="3">
        <v>9</v>
      </c>
      <c r="E18" t="s">
        <v>19</v>
      </c>
      <c r="F18" s="3">
        <v>1</v>
      </c>
      <c r="G18" s="3"/>
      <c r="O18" t="s">
        <v>392</v>
      </c>
      <c r="P18" t="s">
        <v>489</v>
      </c>
      <c r="Q18" s="75"/>
      <c r="R18" s="75"/>
      <c r="U18" s="1">
        <v>0.2</v>
      </c>
      <c r="V18" s="11">
        <v>10.333333333333334</v>
      </c>
      <c r="W18" s="79">
        <v>3</v>
      </c>
      <c r="X18" s="11">
        <v>8.6666666666666661</v>
      </c>
      <c r="Y18" s="79">
        <v>3</v>
      </c>
      <c r="Z18" s="11">
        <v>11</v>
      </c>
      <c r="AA18" s="79">
        <v>3</v>
      </c>
      <c r="AB18" s="11">
        <v>10.333333333333334</v>
      </c>
      <c r="AC18" s="79">
        <v>3</v>
      </c>
      <c r="AD18" s="11">
        <v>9.5333333333333368</v>
      </c>
      <c r="AE18" s="79">
        <v>3</v>
      </c>
      <c r="AF18" s="11">
        <v>7.666666666666667</v>
      </c>
      <c r="AG18" s="79">
        <v>3</v>
      </c>
      <c r="AH18" s="11">
        <v>10</v>
      </c>
      <c r="AI18" s="79">
        <v>3</v>
      </c>
      <c r="AJ18" s="11">
        <v>10</v>
      </c>
      <c r="AK18" s="79">
        <v>3</v>
      </c>
      <c r="AL18" s="11">
        <v>7</v>
      </c>
      <c r="AM18" s="79">
        <v>3</v>
      </c>
      <c r="AN18" s="11">
        <v>8.3333333333333339</v>
      </c>
      <c r="AO18" s="79">
        <v>3</v>
      </c>
      <c r="AP18" s="11">
        <v>9.3333333333333339</v>
      </c>
      <c r="AQ18" s="79">
        <v>3</v>
      </c>
      <c r="AR18" s="11">
        <v>8</v>
      </c>
      <c r="AS18" s="79">
        <v>3</v>
      </c>
      <c r="AT18" s="11">
        <v>10.666666666666666</v>
      </c>
      <c r="AU18" s="79">
        <v>3</v>
      </c>
      <c r="AV18" s="11">
        <v>8</v>
      </c>
      <c r="AW18" s="79">
        <v>3</v>
      </c>
      <c r="AX18" s="11">
        <v>8.3333333333333339</v>
      </c>
      <c r="AY18" s="79">
        <v>3</v>
      </c>
      <c r="AZ18" s="11">
        <v>9.3333333333333339</v>
      </c>
      <c r="BA18" s="79">
        <v>3</v>
      </c>
      <c r="BB18" s="11">
        <v>10</v>
      </c>
      <c r="BC18" s="79">
        <v>3</v>
      </c>
      <c r="BD18" s="11">
        <v>10.25</v>
      </c>
      <c r="BE18" s="79">
        <v>3</v>
      </c>
      <c r="BF18" s="11">
        <v>9.25</v>
      </c>
      <c r="BG18" s="79">
        <v>3</v>
      </c>
      <c r="BH18" s="11">
        <v>7</v>
      </c>
      <c r="BI18" s="79">
        <v>3</v>
      </c>
      <c r="BJ18" s="11">
        <v>11.666666666666666</v>
      </c>
      <c r="BK18" s="79">
        <v>3</v>
      </c>
      <c r="BL18" s="11">
        <v>11.333333333333334</v>
      </c>
      <c r="BM18" s="79">
        <v>3</v>
      </c>
      <c r="BN18" s="11">
        <v>7.666666666666667</v>
      </c>
      <c r="BO18" s="79">
        <v>3</v>
      </c>
      <c r="BP18" s="11">
        <v>6.333333333333333</v>
      </c>
      <c r="BQ18" s="79">
        <v>3</v>
      </c>
      <c r="BR18" s="11">
        <v>6.666666666666667</v>
      </c>
      <c r="BS18" s="79">
        <v>3</v>
      </c>
      <c r="BT18" s="11">
        <v>10</v>
      </c>
      <c r="BU18" s="79">
        <v>3</v>
      </c>
      <c r="BV18" s="11">
        <v>10.666666666666666</v>
      </c>
      <c r="BW18" s="79">
        <v>3</v>
      </c>
      <c r="BX18" s="11">
        <v>7</v>
      </c>
      <c r="BY18" s="79">
        <v>3</v>
      </c>
      <c r="BZ18" s="11">
        <v>9.8666666666666689</v>
      </c>
      <c r="CA18" s="79">
        <v>3</v>
      </c>
      <c r="CB18" s="11">
        <v>7.333333333333333</v>
      </c>
      <c r="CC18" s="79">
        <v>3</v>
      </c>
      <c r="CD18" s="11">
        <v>9.6666666666666661</v>
      </c>
      <c r="CE18" s="79">
        <v>3</v>
      </c>
      <c r="CF18" s="11">
        <v>11.333333333333334</v>
      </c>
      <c r="CG18" s="79">
        <v>3</v>
      </c>
      <c r="CH18" s="11">
        <v>11.666666666666666</v>
      </c>
      <c r="CI18" s="79">
        <v>3</v>
      </c>
      <c r="CJ18" s="243">
        <v>8</v>
      </c>
      <c r="CK18" s="242">
        <v>3</v>
      </c>
      <c r="CL18" s="243">
        <v>6.5</v>
      </c>
      <c r="CM18" s="242">
        <v>3</v>
      </c>
      <c r="CN18" s="248"/>
      <c r="CO18" s="249"/>
      <c r="DU18" s="1">
        <v>0.2</v>
      </c>
      <c r="DV18" s="11">
        <v>10.333333333333334</v>
      </c>
      <c r="DW18" s="79">
        <v>3</v>
      </c>
      <c r="DX18" s="11">
        <v>8.6666666666666661</v>
      </c>
      <c r="DY18" s="79">
        <v>3</v>
      </c>
      <c r="DZ18" s="11">
        <v>11</v>
      </c>
      <c r="EA18" s="79">
        <v>3</v>
      </c>
      <c r="EB18" s="11">
        <v>10.333333333333334</v>
      </c>
      <c r="EC18" s="79">
        <v>3</v>
      </c>
      <c r="ED18" s="11">
        <v>9.5333333333333368</v>
      </c>
      <c r="EE18" s="79">
        <v>3</v>
      </c>
      <c r="EF18" s="11">
        <v>7.666666666666667</v>
      </c>
      <c r="EG18" s="79">
        <v>3</v>
      </c>
      <c r="EH18" s="11">
        <v>10</v>
      </c>
      <c r="EI18" s="79">
        <v>3</v>
      </c>
      <c r="EJ18" s="11">
        <v>10</v>
      </c>
      <c r="EK18" s="79">
        <v>3</v>
      </c>
      <c r="EL18" s="11">
        <v>7</v>
      </c>
      <c r="EM18" s="79">
        <v>3</v>
      </c>
      <c r="EN18" s="11">
        <v>8.3333333333333339</v>
      </c>
      <c r="EO18" s="79">
        <v>3</v>
      </c>
      <c r="EP18" s="11">
        <v>9.3333333333333339</v>
      </c>
      <c r="EQ18" s="79">
        <v>3</v>
      </c>
      <c r="ER18" s="11">
        <v>8</v>
      </c>
      <c r="ES18" s="79">
        <v>3</v>
      </c>
      <c r="ET18" s="11">
        <v>10.666666666666666</v>
      </c>
      <c r="EU18" s="79">
        <v>3</v>
      </c>
      <c r="EV18" s="11">
        <v>8</v>
      </c>
      <c r="EW18" s="79">
        <v>3</v>
      </c>
      <c r="EX18" s="11">
        <v>8.3333333333333339</v>
      </c>
      <c r="EY18" s="79">
        <v>3</v>
      </c>
      <c r="EZ18" s="11">
        <v>9.3333333333333339</v>
      </c>
      <c r="FA18" s="79">
        <v>3</v>
      </c>
      <c r="FB18" s="11">
        <v>10</v>
      </c>
      <c r="FC18" s="79">
        <v>3</v>
      </c>
      <c r="FD18" s="11">
        <v>10.25</v>
      </c>
      <c r="FE18" s="79">
        <v>3</v>
      </c>
      <c r="FF18" s="11">
        <v>9.25</v>
      </c>
      <c r="FG18" s="79">
        <v>3</v>
      </c>
      <c r="FH18" s="11">
        <v>7</v>
      </c>
      <c r="FI18" s="79">
        <v>3</v>
      </c>
      <c r="FJ18" s="11">
        <v>11.666666666666666</v>
      </c>
      <c r="FK18" s="79">
        <v>3</v>
      </c>
      <c r="FL18" s="11">
        <v>11.333333333333334</v>
      </c>
      <c r="FM18" s="79">
        <v>3</v>
      </c>
      <c r="FN18" s="11">
        <v>7.666666666666667</v>
      </c>
      <c r="FO18" s="79">
        <v>3</v>
      </c>
      <c r="FP18" s="11">
        <v>6.333333333333333</v>
      </c>
      <c r="FQ18" s="79">
        <v>3</v>
      </c>
      <c r="FR18" s="11">
        <v>6.666666666666667</v>
      </c>
      <c r="FS18" s="79">
        <v>3</v>
      </c>
      <c r="FT18" s="11">
        <v>10</v>
      </c>
      <c r="FU18" s="79">
        <v>3</v>
      </c>
      <c r="FV18" s="11">
        <v>10.666666666666666</v>
      </c>
      <c r="FW18" s="79">
        <v>3</v>
      </c>
      <c r="FX18" s="11">
        <v>7</v>
      </c>
      <c r="FY18" s="79">
        <v>3</v>
      </c>
      <c r="FZ18" s="11">
        <v>9.8666666666666689</v>
      </c>
      <c r="GA18" s="79">
        <v>3</v>
      </c>
      <c r="GB18" s="11">
        <v>7.333333333333333</v>
      </c>
      <c r="GC18" s="79">
        <v>3</v>
      </c>
      <c r="GD18" s="11">
        <v>9.6666666666666661</v>
      </c>
      <c r="GE18" s="79">
        <v>3</v>
      </c>
      <c r="GF18" s="11">
        <v>11.333333333333334</v>
      </c>
      <c r="GG18" s="79">
        <v>3</v>
      </c>
      <c r="GH18" s="11">
        <v>11.666666666666666</v>
      </c>
      <c r="GI18" s="79">
        <v>3</v>
      </c>
      <c r="GJ18" s="243">
        <v>8</v>
      </c>
      <c r="GK18" s="242">
        <v>3</v>
      </c>
      <c r="GL18" s="243">
        <v>6.5</v>
      </c>
      <c r="GM18" s="242">
        <v>3</v>
      </c>
      <c r="GN18" s="248"/>
      <c r="GO18" s="249"/>
    </row>
    <row r="19" spans="1:223">
      <c r="A19" s="1" t="s">
        <v>709</v>
      </c>
      <c r="B19" s="3">
        <v>5</v>
      </c>
      <c r="C19" t="s">
        <v>330</v>
      </c>
      <c r="D19" s="3">
        <v>10</v>
      </c>
      <c r="E19" t="s">
        <v>19</v>
      </c>
      <c r="F19" s="3">
        <v>3</v>
      </c>
      <c r="G19" s="3"/>
      <c r="O19" t="s">
        <v>571</v>
      </c>
      <c r="P19" t="s">
        <v>490</v>
      </c>
      <c r="Q19" s="75"/>
      <c r="R19" s="75"/>
      <c r="U19" s="1">
        <v>0.3</v>
      </c>
      <c r="V19" s="11">
        <v>11.333333333333334</v>
      </c>
      <c r="W19" s="79">
        <v>4</v>
      </c>
      <c r="X19" s="11">
        <v>9.3333333333333339</v>
      </c>
      <c r="Y19" s="79">
        <v>4</v>
      </c>
      <c r="Z19" s="11">
        <v>11.666666666666666</v>
      </c>
      <c r="AA19" s="79">
        <v>4</v>
      </c>
      <c r="AB19" s="11">
        <v>11</v>
      </c>
      <c r="AC19" s="79">
        <v>4</v>
      </c>
      <c r="AD19" s="11">
        <v>10.333333333333334</v>
      </c>
      <c r="AE19" s="79">
        <v>4</v>
      </c>
      <c r="AF19" s="11">
        <v>8.3333333333333339</v>
      </c>
      <c r="AG19" s="79">
        <v>4</v>
      </c>
      <c r="AH19" s="11">
        <v>11</v>
      </c>
      <c r="AI19" s="79">
        <v>4</v>
      </c>
      <c r="AJ19" s="11">
        <v>11</v>
      </c>
      <c r="AK19" s="79">
        <v>4</v>
      </c>
      <c r="AL19" s="11">
        <v>8</v>
      </c>
      <c r="AM19" s="79">
        <v>4</v>
      </c>
      <c r="AN19" s="11">
        <v>9.3333333333333339</v>
      </c>
      <c r="AO19" s="79">
        <v>4</v>
      </c>
      <c r="AP19" s="11">
        <v>10</v>
      </c>
      <c r="AQ19" s="79">
        <v>4</v>
      </c>
      <c r="AR19" s="11">
        <v>8.6666666666666661</v>
      </c>
      <c r="AS19" s="79">
        <v>4</v>
      </c>
      <c r="AT19" s="11">
        <v>11.666666666666666</v>
      </c>
      <c r="AU19" s="79">
        <v>4</v>
      </c>
      <c r="AV19" s="11">
        <v>9</v>
      </c>
      <c r="AW19" s="79">
        <v>4</v>
      </c>
      <c r="AX19" s="11">
        <v>9.3333333333333339</v>
      </c>
      <c r="AY19" s="79">
        <v>4</v>
      </c>
      <c r="AZ19" s="11">
        <v>10.333333333333334</v>
      </c>
      <c r="BA19" s="79">
        <v>4</v>
      </c>
      <c r="BB19" s="11">
        <v>10.75</v>
      </c>
      <c r="BC19" s="79">
        <v>4</v>
      </c>
      <c r="BD19" s="11">
        <v>11</v>
      </c>
      <c r="BE19" s="79">
        <v>4</v>
      </c>
      <c r="BF19" s="11">
        <v>10</v>
      </c>
      <c r="BG19" s="79">
        <v>4</v>
      </c>
      <c r="BH19" s="11">
        <v>7.666666666666667</v>
      </c>
      <c r="BI19" s="79">
        <v>4</v>
      </c>
      <c r="BJ19" s="11">
        <v>12.666666666666666</v>
      </c>
      <c r="BK19" s="79">
        <v>4</v>
      </c>
      <c r="BL19" s="11">
        <v>12</v>
      </c>
      <c r="BM19" s="79">
        <v>4</v>
      </c>
      <c r="BN19" s="11">
        <v>8.3333333333333339</v>
      </c>
      <c r="BO19" s="79">
        <v>4</v>
      </c>
      <c r="BP19" s="11">
        <v>7.333333333333333</v>
      </c>
      <c r="BQ19" s="79">
        <v>4</v>
      </c>
      <c r="BR19" s="11">
        <v>7.666666666666667</v>
      </c>
      <c r="BS19" s="79">
        <v>4</v>
      </c>
      <c r="BT19" s="11">
        <v>10.666666666666666</v>
      </c>
      <c r="BU19" s="79">
        <v>4</v>
      </c>
      <c r="BV19" s="11">
        <v>11.666666666666666</v>
      </c>
      <c r="BW19" s="79">
        <v>4</v>
      </c>
      <c r="BX19" s="11">
        <v>7.666666666666667</v>
      </c>
      <c r="BY19" s="79">
        <v>4</v>
      </c>
      <c r="BZ19" s="11">
        <v>10.666666666666666</v>
      </c>
      <c r="CA19" s="79">
        <v>4</v>
      </c>
      <c r="CB19" s="11">
        <v>8.3333333333333339</v>
      </c>
      <c r="CC19" s="79">
        <v>4</v>
      </c>
      <c r="CD19" s="11">
        <v>10.633333333333329</v>
      </c>
      <c r="CE19" s="79">
        <v>4</v>
      </c>
      <c r="CF19" s="11">
        <v>12</v>
      </c>
      <c r="CG19" s="79">
        <v>4</v>
      </c>
      <c r="CH19" s="11">
        <v>12.666666666666666</v>
      </c>
      <c r="CI19" s="79">
        <v>4</v>
      </c>
      <c r="CJ19" s="243">
        <v>8.6666666666666661</v>
      </c>
      <c r="CK19" s="242">
        <v>4</v>
      </c>
      <c r="CL19" s="243">
        <v>7.5</v>
      </c>
      <c r="CM19" s="242">
        <v>4</v>
      </c>
      <c r="CN19" s="248"/>
      <c r="CO19" s="249"/>
      <c r="DU19" s="1">
        <v>0.3</v>
      </c>
      <c r="DV19" s="11">
        <v>11.333333333333334</v>
      </c>
      <c r="DW19" s="79">
        <v>4</v>
      </c>
      <c r="DX19" s="11">
        <v>9.3333333333333339</v>
      </c>
      <c r="DY19" s="79">
        <v>4</v>
      </c>
      <c r="DZ19" s="11">
        <v>11.666666666666666</v>
      </c>
      <c r="EA19" s="79">
        <v>4</v>
      </c>
      <c r="EB19" s="11">
        <v>11</v>
      </c>
      <c r="EC19" s="79">
        <v>4</v>
      </c>
      <c r="ED19" s="11">
        <v>10.333333333333334</v>
      </c>
      <c r="EE19" s="79">
        <v>4</v>
      </c>
      <c r="EF19" s="11">
        <v>8.3333333333333339</v>
      </c>
      <c r="EG19" s="79">
        <v>4</v>
      </c>
      <c r="EH19" s="11">
        <v>11</v>
      </c>
      <c r="EI19" s="79">
        <v>4</v>
      </c>
      <c r="EJ19" s="11">
        <v>11</v>
      </c>
      <c r="EK19" s="79">
        <v>4</v>
      </c>
      <c r="EL19" s="11">
        <v>8</v>
      </c>
      <c r="EM19" s="79">
        <v>4</v>
      </c>
      <c r="EN19" s="11">
        <v>9.3333333333333339</v>
      </c>
      <c r="EO19" s="79">
        <v>4</v>
      </c>
      <c r="EP19" s="11">
        <v>10</v>
      </c>
      <c r="EQ19" s="79">
        <v>4</v>
      </c>
      <c r="ER19" s="11">
        <v>8.6666666666666661</v>
      </c>
      <c r="ES19" s="79">
        <v>4</v>
      </c>
      <c r="ET19" s="11">
        <v>11.666666666666666</v>
      </c>
      <c r="EU19" s="79">
        <v>4</v>
      </c>
      <c r="EV19" s="11">
        <v>9</v>
      </c>
      <c r="EW19" s="79">
        <v>4</v>
      </c>
      <c r="EX19" s="11">
        <v>9.3333333333333339</v>
      </c>
      <c r="EY19" s="79">
        <v>4</v>
      </c>
      <c r="EZ19" s="11">
        <v>10.333333333333334</v>
      </c>
      <c r="FA19" s="79">
        <v>4</v>
      </c>
      <c r="FB19" s="11">
        <v>10.75</v>
      </c>
      <c r="FC19" s="79">
        <v>4</v>
      </c>
      <c r="FD19" s="11">
        <v>11</v>
      </c>
      <c r="FE19" s="79">
        <v>4</v>
      </c>
      <c r="FF19" s="11">
        <v>10</v>
      </c>
      <c r="FG19" s="79">
        <v>4</v>
      </c>
      <c r="FH19" s="11">
        <v>7.666666666666667</v>
      </c>
      <c r="FI19" s="79">
        <v>4</v>
      </c>
      <c r="FJ19" s="11">
        <v>12.666666666666666</v>
      </c>
      <c r="FK19" s="79">
        <v>4</v>
      </c>
      <c r="FL19" s="11">
        <v>12</v>
      </c>
      <c r="FM19" s="79">
        <v>4</v>
      </c>
      <c r="FN19" s="11">
        <v>8.3333333333333339</v>
      </c>
      <c r="FO19" s="79">
        <v>4</v>
      </c>
      <c r="FP19" s="11">
        <v>7.333333333333333</v>
      </c>
      <c r="FQ19" s="79">
        <v>4</v>
      </c>
      <c r="FR19" s="11">
        <v>7.666666666666667</v>
      </c>
      <c r="FS19" s="79">
        <v>4</v>
      </c>
      <c r="FT19" s="11">
        <v>10.666666666666666</v>
      </c>
      <c r="FU19" s="79">
        <v>4</v>
      </c>
      <c r="FV19" s="11">
        <v>11.666666666666666</v>
      </c>
      <c r="FW19" s="79">
        <v>4</v>
      </c>
      <c r="FX19" s="11">
        <v>7.666666666666667</v>
      </c>
      <c r="FY19" s="79">
        <v>4</v>
      </c>
      <c r="FZ19" s="11">
        <v>10.666666666666666</v>
      </c>
      <c r="GA19" s="79">
        <v>4</v>
      </c>
      <c r="GB19" s="11">
        <v>8.3333333333333339</v>
      </c>
      <c r="GC19" s="79">
        <v>4</v>
      </c>
      <c r="GD19" s="11">
        <v>10.633333333333329</v>
      </c>
      <c r="GE19" s="79">
        <v>4</v>
      </c>
      <c r="GF19" s="11">
        <v>12</v>
      </c>
      <c r="GG19" s="79">
        <v>4</v>
      </c>
      <c r="GH19" s="11">
        <v>12.666666666666666</v>
      </c>
      <c r="GI19" s="79">
        <v>4</v>
      </c>
      <c r="GJ19" s="243">
        <v>8.6666666666666661</v>
      </c>
      <c r="GK19" s="242">
        <v>4</v>
      </c>
      <c r="GL19" s="243">
        <v>7.5</v>
      </c>
      <c r="GM19" s="242">
        <v>4</v>
      </c>
      <c r="GN19" s="248"/>
      <c r="GO19" s="249"/>
    </row>
    <row r="20" spans="1:223">
      <c r="A20" s="1" t="s">
        <v>710</v>
      </c>
      <c r="B20" s="3">
        <v>6</v>
      </c>
      <c r="C20" t="s">
        <v>190</v>
      </c>
      <c r="D20" s="3">
        <v>11</v>
      </c>
      <c r="E20" t="s">
        <v>19</v>
      </c>
      <c r="F20" s="3">
        <v>3</v>
      </c>
      <c r="G20" s="3"/>
      <c r="O20" t="s">
        <v>393</v>
      </c>
      <c r="P20" t="s">
        <v>491</v>
      </c>
      <c r="Q20" s="75"/>
      <c r="R20" s="75"/>
      <c r="U20" s="1">
        <v>0.4</v>
      </c>
      <c r="V20" s="11">
        <v>12.333333333333334</v>
      </c>
      <c r="W20" s="79">
        <v>5</v>
      </c>
      <c r="X20" s="11">
        <v>10.333333333333334</v>
      </c>
      <c r="Y20" s="79">
        <v>5</v>
      </c>
      <c r="Z20" s="11">
        <v>12.333333333333334</v>
      </c>
      <c r="AA20" s="79">
        <v>5</v>
      </c>
      <c r="AB20" s="11">
        <v>12</v>
      </c>
      <c r="AC20" s="79">
        <v>5</v>
      </c>
      <c r="AD20" s="11">
        <v>11</v>
      </c>
      <c r="AE20" s="79">
        <v>5</v>
      </c>
      <c r="AF20" s="11">
        <v>9</v>
      </c>
      <c r="AG20" s="79">
        <v>5</v>
      </c>
      <c r="AH20" s="11">
        <v>11.666666666666666</v>
      </c>
      <c r="AI20" s="79">
        <v>5</v>
      </c>
      <c r="AJ20" s="11">
        <v>11.666666666666666</v>
      </c>
      <c r="AK20" s="79">
        <v>5</v>
      </c>
      <c r="AL20" s="11">
        <v>8.6666666666666661</v>
      </c>
      <c r="AM20" s="79">
        <v>5</v>
      </c>
      <c r="AN20" s="11">
        <v>10</v>
      </c>
      <c r="AO20" s="79">
        <v>5</v>
      </c>
      <c r="AP20" s="11">
        <v>10.666666666666666</v>
      </c>
      <c r="AQ20" s="79">
        <v>5</v>
      </c>
      <c r="AR20" s="11">
        <v>9.6666666666666661</v>
      </c>
      <c r="AS20" s="79">
        <v>5</v>
      </c>
      <c r="AT20" s="11">
        <v>12.333333333333334</v>
      </c>
      <c r="AU20" s="79">
        <v>5</v>
      </c>
      <c r="AV20" s="11">
        <v>10</v>
      </c>
      <c r="AW20" s="79">
        <v>5</v>
      </c>
      <c r="AX20" s="11">
        <v>10</v>
      </c>
      <c r="AY20" s="79">
        <v>5</v>
      </c>
      <c r="AZ20" s="11">
        <v>11</v>
      </c>
      <c r="BA20" s="79">
        <v>5</v>
      </c>
      <c r="BB20" s="11">
        <v>11.5</v>
      </c>
      <c r="BC20" s="79">
        <v>5</v>
      </c>
      <c r="BD20" s="11">
        <v>11.75</v>
      </c>
      <c r="BE20" s="79">
        <v>5</v>
      </c>
      <c r="BF20" s="11">
        <v>10.5</v>
      </c>
      <c r="BG20" s="79">
        <v>5</v>
      </c>
      <c r="BH20" s="11">
        <v>8.6666666666666661</v>
      </c>
      <c r="BI20" s="79">
        <v>5</v>
      </c>
      <c r="BJ20" s="11">
        <v>13.666666666666666</v>
      </c>
      <c r="BK20" s="79">
        <v>5</v>
      </c>
      <c r="BL20" s="11">
        <v>13</v>
      </c>
      <c r="BM20" s="79">
        <v>5</v>
      </c>
      <c r="BN20" s="11">
        <v>9.3333333333333339</v>
      </c>
      <c r="BO20" s="79">
        <v>5</v>
      </c>
      <c r="BP20" s="11">
        <v>8</v>
      </c>
      <c r="BQ20" s="79">
        <v>5</v>
      </c>
      <c r="BR20" s="11">
        <v>8.6666666666666661</v>
      </c>
      <c r="BS20" s="79">
        <v>5</v>
      </c>
      <c r="BT20" s="11">
        <v>11.333333333333334</v>
      </c>
      <c r="BU20" s="79">
        <v>5</v>
      </c>
      <c r="BV20" s="11">
        <v>12.333333333333334</v>
      </c>
      <c r="BW20" s="79">
        <v>5</v>
      </c>
      <c r="BX20" s="11">
        <v>8.3333333333333339</v>
      </c>
      <c r="BY20" s="79">
        <v>5</v>
      </c>
      <c r="BZ20" s="11">
        <v>11.333333333333334</v>
      </c>
      <c r="CA20" s="79">
        <v>5</v>
      </c>
      <c r="CB20" s="11">
        <v>9</v>
      </c>
      <c r="CC20" s="79">
        <v>5</v>
      </c>
      <c r="CD20" s="11">
        <v>11.333333333333334</v>
      </c>
      <c r="CE20" s="79">
        <v>5</v>
      </c>
      <c r="CF20" s="11">
        <v>13</v>
      </c>
      <c r="CG20" s="79">
        <v>5</v>
      </c>
      <c r="CH20" s="11">
        <v>13.333333333333334</v>
      </c>
      <c r="CI20" s="79">
        <v>5</v>
      </c>
      <c r="CJ20" s="243">
        <v>9.6666666666666661</v>
      </c>
      <c r="CK20" s="242">
        <v>5</v>
      </c>
      <c r="CL20" s="243">
        <v>8.5</v>
      </c>
      <c r="CM20" s="242">
        <v>5</v>
      </c>
      <c r="CN20" s="248"/>
      <c r="CO20" s="249"/>
      <c r="DU20" s="1">
        <v>0.4</v>
      </c>
      <c r="DV20" s="11">
        <v>12.333333333333334</v>
      </c>
      <c r="DW20" s="79">
        <v>5</v>
      </c>
      <c r="DX20" s="11">
        <v>10.333333333333334</v>
      </c>
      <c r="DY20" s="79">
        <v>5</v>
      </c>
      <c r="DZ20" s="11">
        <v>12.333333333333334</v>
      </c>
      <c r="EA20" s="79">
        <v>5</v>
      </c>
      <c r="EB20" s="11">
        <v>12</v>
      </c>
      <c r="EC20" s="79">
        <v>5</v>
      </c>
      <c r="ED20" s="11">
        <v>11</v>
      </c>
      <c r="EE20" s="79">
        <v>5</v>
      </c>
      <c r="EF20" s="11">
        <v>9</v>
      </c>
      <c r="EG20" s="79">
        <v>5</v>
      </c>
      <c r="EH20" s="11">
        <v>11.666666666666666</v>
      </c>
      <c r="EI20" s="79">
        <v>5</v>
      </c>
      <c r="EJ20" s="11">
        <v>11.666666666666666</v>
      </c>
      <c r="EK20" s="79">
        <v>5</v>
      </c>
      <c r="EL20" s="11">
        <v>8.6666666666666661</v>
      </c>
      <c r="EM20" s="79">
        <v>5</v>
      </c>
      <c r="EN20" s="11">
        <v>10</v>
      </c>
      <c r="EO20" s="79">
        <v>5</v>
      </c>
      <c r="EP20" s="11">
        <v>10.666666666666666</v>
      </c>
      <c r="EQ20" s="79">
        <v>5</v>
      </c>
      <c r="ER20" s="11">
        <v>9.6666666666666661</v>
      </c>
      <c r="ES20" s="79">
        <v>5</v>
      </c>
      <c r="ET20" s="11">
        <v>12.333333333333334</v>
      </c>
      <c r="EU20" s="79">
        <v>5</v>
      </c>
      <c r="EV20" s="11">
        <v>10</v>
      </c>
      <c r="EW20" s="79">
        <v>5</v>
      </c>
      <c r="EX20" s="11">
        <v>10</v>
      </c>
      <c r="EY20" s="79">
        <v>5</v>
      </c>
      <c r="EZ20" s="11">
        <v>11</v>
      </c>
      <c r="FA20" s="79">
        <v>5</v>
      </c>
      <c r="FB20" s="11">
        <v>11.5</v>
      </c>
      <c r="FC20" s="79">
        <v>5</v>
      </c>
      <c r="FD20" s="11">
        <v>11.75</v>
      </c>
      <c r="FE20" s="79">
        <v>5</v>
      </c>
      <c r="FF20" s="11">
        <v>10.5</v>
      </c>
      <c r="FG20" s="79">
        <v>5</v>
      </c>
      <c r="FH20" s="11">
        <v>8.6666666666666661</v>
      </c>
      <c r="FI20" s="79">
        <v>5</v>
      </c>
      <c r="FJ20" s="11">
        <v>13.666666666666666</v>
      </c>
      <c r="FK20" s="79">
        <v>5</v>
      </c>
      <c r="FL20" s="11">
        <v>13</v>
      </c>
      <c r="FM20" s="79">
        <v>5</v>
      </c>
      <c r="FN20" s="11">
        <v>9.3333333333333339</v>
      </c>
      <c r="FO20" s="79">
        <v>5</v>
      </c>
      <c r="FP20" s="11">
        <v>8</v>
      </c>
      <c r="FQ20" s="79">
        <v>5</v>
      </c>
      <c r="FR20" s="11">
        <v>8.6666666666666661</v>
      </c>
      <c r="FS20" s="79">
        <v>5</v>
      </c>
      <c r="FT20" s="11">
        <v>11.333333333333334</v>
      </c>
      <c r="FU20" s="79">
        <v>5</v>
      </c>
      <c r="FV20" s="11">
        <v>12.333333333333334</v>
      </c>
      <c r="FW20" s="79">
        <v>5</v>
      </c>
      <c r="FX20" s="11">
        <v>8.3333333333333339</v>
      </c>
      <c r="FY20" s="79">
        <v>5</v>
      </c>
      <c r="FZ20" s="11">
        <v>11.333333333333334</v>
      </c>
      <c r="GA20" s="79">
        <v>5</v>
      </c>
      <c r="GB20" s="11">
        <v>9</v>
      </c>
      <c r="GC20" s="79">
        <v>5</v>
      </c>
      <c r="GD20" s="11">
        <v>11.333333333333334</v>
      </c>
      <c r="GE20" s="79">
        <v>5</v>
      </c>
      <c r="GF20" s="11">
        <v>13</v>
      </c>
      <c r="GG20" s="79">
        <v>5</v>
      </c>
      <c r="GH20" s="11">
        <v>13.333333333333334</v>
      </c>
      <c r="GI20" s="79">
        <v>5</v>
      </c>
      <c r="GJ20" s="243">
        <v>9.6666666666666661</v>
      </c>
      <c r="GK20" s="242">
        <v>5</v>
      </c>
      <c r="GL20" s="243">
        <v>8.5</v>
      </c>
      <c r="GM20" s="242">
        <v>5</v>
      </c>
      <c r="GN20" s="248"/>
      <c r="GO20" s="249"/>
    </row>
    <row r="21" spans="1:223">
      <c r="A21" s="1" t="s">
        <v>711</v>
      </c>
      <c r="B21" s="3">
        <v>6</v>
      </c>
      <c r="C21" t="s">
        <v>311</v>
      </c>
      <c r="D21" s="3">
        <v>12</v>
      </c>
      <c r="E21" t="s">
        <v>19</v>
      </c>
      <c r="F21" s="3">
        <v>4</v>
      </c>
      <c r="G21" s="3"/>
      <c r="I21" t="s">
        <v>615</v>
      </c>
      <c r="O21" t="s">
        <v>578</v>
      </c>
      <c r="P21" t="s">
        <v>492</v>
      </c>
      <c r="Q21" s="75"/>
      <c r="R21" s="75"/>
      <c r="U21" s="1">
        <v>0.5</v>
      </c>
      <c r="V21" s="11">
        <v>13</v>
      </c>
      <c r="W21" s="79">
        <v>6</v>
      </c>
      <c r="X21" s="11">
        <v>11</v>
      </c>
      <c r="Y21" s="79">
        <v>6</v>
      </c>
      <c r="Z21" s="11">
        <v>13</v>
      </c>
      <c r="AA21" s="79">
        <v>6</v>
      </c>
      <c r="AB21" s="11">
        <v>12.666666666666666</v>
      </c>
      <c r="AC21" s="79">
        <v>6</v>
      </c>
      <c r="AD21" s="11">
        <v>11.666666666666666</v>
      </c>
      <c r="AE21" s="79">
        <v>6</v>
      </c>
      <c r="AF21" s="11">
        <v>9.6666666666666661</v>
      </c>
      <c r="AG21" s="79">
        <v>6</v>
      </c>
      <c r="AH21" s="11">
        <v>12.666666666666666</v>
      </c>
      <c r="AI21" s="79">
        <v>6</v>
      </c>
      <c r="AJ21" s="11">
        <v>12.333333333333334</v>
      </c>
      <c r="AK21" s="79">
        <v>6</v>
      </c>
      <c r="AL21" s="11">
        <v>9.3333333333333339</v>
      </c>
      <c r="AM21" s="79">
        <v>6</v>
      </c>
      <c r="AN21" s="11">
        <v>10.666666666666666</v>
      </c>
      <c r="AO21" s="79">
        <v>6</v>
      </c>
      <c r="AP21" s="11">
        <v>11.333333333333334</v>
      </c>
      <c r="AQ21" s="79">
        <v>6</v>
      </c>
      <c r="AR21" s="11">
        <v>10.333333333333334</v>
      </c>
      <c r="AS21" s="79">
        <v>6</v>
      </c>
      <c r="AT21" s="11">
        <v>13</v>
      </c>
      <c r="AU21" s="79">
        <v>6</v>
      </c>
      <c r="AV21" s="11">
        <v>10.666666666666666</v>
      </c>
      <c r="AW21" s="79">
        <v>6</v>
      </c>
      <c r="AX21" s="11">
        <v>10.666666666666666</v>
      </c>
      <c r="AY21" s="79">
        <v>6</v>
      </c>
      <c r="AZ21" s="11">
        <v>11.666666666666666</v>
      </c>
      <c r="BA21" s="79">
        <v>6</v>
      </c>
      <c r="BB21" s="11">
        <v>12.25</v>
      </c>
      <c r="BC21" s="79">
        <v>6</v>
      </c>
      <c r="BD21" s="11">
        <v>12.5</v>
      </c>
      <c r="BE21" s="79">
        <v>6</v>
      </c>
      <c r="BF21" s="11">
        <v>11.25</v>
      </c>
      <c r="BG21" s="79">
        <v>6</v>
      </c>
      <c r="BH21" s="11">
        <v>9</v>
      </c>
      <c r="BI21" s="79">
        <v>6</v>
      </c>
      <c r="BJ21" s="11">
        <v>14.333333333333334</v>
      </c>
      <c r="BK21" s="79">
        <v>6</v>
      </c>
      <c r="BL21" s="11">
        <v>13.666666666666666</v>
      </c>
      <c r="BM21" s="79">
        <v>6</v>
      </c>
      <c r="BN21" s="11">
        <v>10.333333333333334</v>
      </c>
      <c r="BO21" s="79">
        <v>6</v>
      </c>
      <c r="BP21" s="11">
        <v>9</v>
      </c>
      <c r="BQ21" s="79">
        <v>6</v>
      </c>
      <c r="BR21" s="11">
        <v>9.6666666666666661</v>
      </c>
      <c r="BS21" s="79">
        <v>6</v>
      </c>
      <c r="BT21" s="11">
        <v>12</v>
      </c>
      <c r="BU21" s="79">
        <v>6</v>
      </c>
      <c r="BV21" s="11">
        <v>13</v>
      </c>
      <c r="BW21" s="79">
        <v>6</v>
      </c>
      <c r="BX21" s="11">
        <v>9.3333333333333339</v>
      </c>
      <c r="BY21" s="79">
        <v>6</v>
      </c>
      <c r="BZ21" s="11">
        <v>12.333333333333334</v>
      </c>
      <c r="CA21" s="79">
        <v>6</v>
      </c>
      <c r="CB21" s="11">
        <v>10</v>
      </c>
      <c r="CC21" s="79">
        <v>6</v>
      </c>
      <c r="CD21" s="11">
        <v>12</v>
      </c>
      <c r="CE21" s="79">
        <v>6</v>
      </c>
      <c r="CF21" s="11">
        <v>13.666666666666666</v>
      </c>
      <c r="CG21" s="79">
        <v>6</v>
      </c>
      <c r="CH21" s="11">
        <v>14</v>
      </c>
      <c r="CI21" s="79">
        <v>6</v>
      </c>
      <c r="CJ21" s="243">
        <v>10.333333333333334</v>
      </c>
      <c r="CK21" s="242">
        <v>6</v>
      </c>
      <c r="CL21" s="243">
        <v>9.5</v>
      </c>
      <c r="CM21" s="242">
        <v>6</v>
      </c>
      <c r="CN21" s="248"/>
      <c r="CO21" s="249"/>
      <c r="DU21" s="1">
        <v>0.5</v>
      </c>
      <c r="DV21" s="11">
        <v>13</v>
      </c>
      <c r="DW21" s="79">
        <v>6</v>
      </c>
      <c r="DX21" s="11">
        <v>11</v>
      </c>
      <c r="DY21" s="79">
        <v>6</v>
      </c>
      <c r="DZ21" s="11">
        <v>13</v>
      </c>
      <c r="EA21" s="79">
        <v>6</v>
      </c>
      <c r="EB21" s="11">
        <v>12.666666666666666</v>
      </c>
      <c r="EC21" s="79">
        <v>6</v>
      </c>
      <c r="ED21" s="11">
        <v>11.666666666666666</v>
      </c>
      <c r="EE21" s="79">
        <v>6</v>
      </c>
      <c r="EF21" s="11">
        <v>9.6666666666666661</v>
      </c>
      <c r="EG21" s="79">
        <v>6</v>
      </c>
      <c r="EH21" s="11">
        <v>12.666666666666666</v>
      </c>
      <c r="EI21" s="79">
        <v>6</v>
      </c>
      <c r="EJ21" s="11">
        <v>12.333333333333334</v>
      </c>
      <c r="EK21" s="79">
        <v>6</v>
      </c>
      <c r="EL21" s="11">
        <v>9.3333333333333339</v>
      </c>
      <c r="EM21" s="79">
        <v>6</v>
      </c>
      <c r="EN21" s="11">
        <v>10.666666666666666</v>
      </c>
      <c r="EO21" s="79">
        <v>6</v>
      </c>
      <c r="EP21" s="11">
        <v>11.333333333333334</v>
      </c>
      <c r="EQ21" s="79">
        <v>6</v>
      </c>
      <c r="ER21" s="11">
        <v>10.333333333333334</v>
      </c>
      <c r="ES21" s="79">
        <v>6</v>
      </c>
      <c r="ET21" s="11">
        <v>13</v>
      </c>
      <c r="EU21" s="79">
        <v>6</v>
      </c>
      <c r="EV21" s="11">
        <v>10.666666666666666</v>
      </c>
      <c r="EW21" s="79">
        <v>6</v>
      </c>
      <c r="EX21" s="11">
        <v>10.666666666666666</v>
      </c>
      <c r="EY21" s="79">
        <v>6</v>
      </c>
      <c r="EZ21" s="11">
        <v>11.666666666666666</v>
      </c>
      <c r="FA21" s="79">
        <v>6</v>
      </c>
      <c r="FB21" s="11">
        <v>12.25</v>
      </c>
      <c r="FC21" s="79">
        <v>6</v>
      </c>
      <c r="FD21" s="11">
        <v>12.5</v>
      </c>
      <c r="FE21" s="79">
        <v>6</v>
      </c>
      <c r="FF21" s="11">
        <v>11.25</v>
      </c>
      <c r="FG21" s="79">
        <v>6</v>
      </c>
      <c r="FH21" s="11">
        <v>9</v>
      </c>
      <c r="FI21" s="79">
        <v>6</v>
      </c>
      <c r="FJ21" s="11">
        <v>14.333333333333334</v>
      </c>
      <c r="FK21" s="79">
        <v>6</v>
      </c>
      <c r="FL21" s="11">
        <v>13.666666666666666</v>
      </c>
      <c r="FM21" s="79">
        <v>6</v>
      </c>
      <c r="FN21" s="11">
        <v>10.333333333333334</v>
      </c>
      <c r="FO21" s="79">
        <v>6</v>
      </c>
      <c r="FP21" s="11">
        <v>9</v>
      </c>
      <c r="FQ21" s="79">
        <v>6</v>
      </c>
      <c r="FR21" s="11">
        <v>9.6666666666666661</v>
      </c>
      <c r="FS21" s="79">
        <v>6</v>
      </c>
      <c r="FT21" s="11">
        <v>12</v>
      </c>
      <c r="FU21" s="79">
        <v>6</v>
      </c>
      <c r="FV21" s="11">
        <v>13</v>
      </c>
      <c r="FW21" s="79">
        <v>6</v>
      </c>
      <c r="FX21" s="11">
        <v>9.3333333333333339</v>
      </c>
      <c r="FY21" s="79">
        <v>6</v>
      </c>
      <c r="FZ21" s="11">
        <v>12.333333333333334</v>
      </c>
      <c r="GA21" s="79">
        <v>6</v>
      </c>
      <c r="GB21" s="11">
        <v>10</v>
      </c>
      <c r="GC21" s="79">
        <v>6</v>
      </c>
      <c r="GD21" s="11">
        <v>12</v>
      </c>
      <c r="GE21" s="79">
        <v>6</v>
      </c>
      <c r="GF21" s="11">
        <v>13.666666666666666</v>
      </c>
      <c r="GG21" s="79">
        <v>6</v>
      </c>
      <c r="GH21" s="11">
        <v>14</v>
      </c>
      <c r="GI21" s="79">
        <v>6</v>
      </c>
      <c r="GJ21" s="243">
        <v>10.333333333333334</v>
      </c>
      <c r="GK21" s="242">
        <v>6</v>
      </c>
      <c r="GL21" s="243">
        <v>9.5</v>
      </c>
      <c r="GM21" s="242">
        <v>6</v>
      </c>
      <c r="GN21" s="248"/>
      <c r="GO21" s="249"/>
    </row>
    <row r="22" spans="1:223">
      <c r="A22" s="1" t="s">
        <v>712</v>
      </c>
      <c r="B22" s="3">
        <v>7</v>
      </c>
      <c r="C22" t="s">
        <v>208</v>
      </c>
      <c r="D22" s="3">
        <v>13</v>
      </c>
      <c r="E22" t="s">
        <v>19</v>
      </c>
      <c r="F22" s="3">
        <v>2</v>
      </c>
      <c r="G22" s="3"/>
      <c r="O22" t="s">
        <v>570</v>
      </c>
      <c r="P22" t="s">
        <v>494</v>
      </c>
      <c r="Q22" s="75"/>
      <c r="R22" s="75"/>
      <c r="U22" s="1">
        <v>0.6</v>
      </c>
      <c r="V22" s="11">
        <v>13.666666666666666</v>
      </c>
      <c r="W22" s="79">
        <v>7</v>
      </c>
      <c r="X22" s="11">
        <v>11.666666666666666</v>
      </c>
      <c r="Y22" s="79">
        <v>7</v>
      </c>
      <c r="Z22" s="11">
        <v>13.666666666666666</v>
      </c>
      <c r="AA22" s="79">
        <v>7</v>
      </c>
      <c r="AB22" s="11">
        <v>13.333333333333334</v>
      </c>
      <c r="AC22" s="79">
        <v>7</v>
      </c>
      <c r="AD22" s="11">
        <v>12.599999999999994</v>
      </c>
      <c r="AE22" s="79">
        <v>7</v>
      </c>
      <c r="AF22" s="11">
        <v>10.333333333333334</v>
      </c>
      <c r="AG22" s="79">
        <v>7</v>
      </c>
      <c r="AH22" s="11">
        <v>13.333333333333334</v>
      </c>
      <c r="AI22" s="79">
        <v>7</v>
      </c>
      <c r="AJ22" s="11">
        <v>13</v>
      </c>
      <c r="AK22" s="79">
        <v>7</v>
      </c>
      <c r="AL22" s="11">
        <v>10.333333333333334</v>
      </c>
      <c r="AM22" s="79">
        <v>7</v>
      </c>
      <c r="AN22" s="11">
        <v>11.333333333333334</v>
      </c>
      <c r="AO22" s="79">
        <v>7</v>
      </c>
      <c r="AP22" s="11">
        <v>11.666666666666666</v>
      </c>
      <c r="AQ22" s="79">
        <v>7</v>
      </c>
      <c r="AR22" s="11">
        <v>11.333333333333334</v>
      </c>
      <c r="AS22" s="79">
        <v>7</v>
      </c>
      <c r="AT22" s="11">
        <v>13.666666666666666</v>
      </c>
      <c r="AU22" s="79">
        <v>7</v>
      </c>
      <c r="AV22" s="11">
        <v>11.333333333333334</v>
      </c>
      <c r="AW22" s="79">
        <v>7</v>
      </c>
      <c r="AX22" s="11">
        <v>11.333333333333334</v>
      </c>
      <c r="AY22" s="79">
        <v>7</v>
      </c>
      <c r="AZ22" s="11">
        <v>12.933333333333328</v>
      </c>
      <c r="BA22" s="79">
        <v>7</v>
      </c>
      <c r="BB22" s="11">
        <v>12.75</v>
      </c>
      <c r="BC22" s="79">
        <v>7</v>
      </c>
      <c r="BD22" s="11">
        <v>13.449999999999996</v>
      </c>
      <c r="BE22" s="79">
        <v>7</v>
      </c>
      <c r="BF22" s="11">
        <v>11.75</v>
      </c>
      <c r="BG22" s="79">
        <v>7</v>
      </c>
      <c r="BH22" s="11">
        <v>10</v>
      </c>
      <c r="BI22" s="79">
        <v>7</v>
      </c>
      <c r="BJ22" s="11">
        <v>15</v>
      </c>
      <c r="BK22" s="79">
        <v>7</v>
      </c>
      <c r="BL22" s="11">
        <v>14.333333333333334</v>
      </c>
      <c r="BM22" s="79">
        <v>7</v>
      </c>
      <c r="BN22" s="11">
        <v>10.666666666666666</v>
      </c>
      <c r="BO22" s="79">
        <v>7</v>
      </c>
      <c r="BP22" s="11">
        <v>10</v>
      </c>
      <c r="BQ22" s="79">
        <v>7</v>
      </c>
      <c r="BR22" s="11">
        <v>10.666666666666666</v>
      </c>
      <c r="BS22" s="79">
        <v>7</v>
      </c>
      <c r="BT22" s="11">
        <v>12.666666666666666</v>
      </c>
      <c r="BU22" s="79">
        <v>7</v>
      </c>
      <c r="BV22" s="11">
        <v>13.333333333333334</v>
      </c>
      <c r="BW22" s="79">
        <v>7</v>
      </c>
      <c r="BX22" s="11">
        <v>10</v>
      </c>
      <c r="BY22" s="79">
        <v>7</v>
      </c>
      <c r="BZ22" s="11">
        <v>13.333333333333334</v>
      </c>
      <c r="CA22" s="79">
        <v>7</v>
      </c>
      <c r="CB22" s="11">
        <v>10.666666666666666</v>
      </c>
      <c r="CC22" s="79">
        <v>7</v>
      </c>
      <c r="CD22" s="11">
        <v>12.666666666666666</v>
      </c>
      <c r="CE22" s="79">
        <v>7</v>
      </c>
      <c r="CF22" s="11">
        <v>14.333333333333334</v>
      </c>
      <c r="CG22" s="79">
        <v>7</v>
      </c>
      <c r="CH22" s="11">
        <v>15</v>
      </c>
      <c r="CI22" s="79">
        <v>7</v>
      </c>
      <c r="CJ22" s="243">
        <v>11</v>
      </c>
      <c r="CK22" s="242">
        <v>7</v>
      </c>
      <c r="CL22" s="243">
        <v>10.899999999999991</v>
      </c>
      <c r="CM22" s="242">
        <v>7</v>
      </c>
      <c r="CN22" s="248"/>
      <c r="CO22" s="249"/>
      <c r="DU22" s="1">
        <v>0.6</v>
      </c>
      <c r="DV22" s="11">
        <v>13.666666666666666</v>
      </c>
      <c r="DW22" s="79">
        <v>7</v>
      </c>
      <c r="DX22" s="11">
        <v>11.666666666666666</v>
      </c>
      <c r="DY22" s="79">
        <v>7</v>
      </c>
      <c r="DZ22" s="11">
        <v>13.666666666666666</v>
      </c>
      <c r="EA22" s="79">
        <v>7</v>
      </c>
      <c r="EB22" s="11">
        <v>13.333333333333334</v>
      </c>
      <c r="EC22" s="79">
        <v>7</v>
      </c>
      <c r="ED22" s="11">
        <v>12.599999999999994</v>
      </c>
      <c r="EE22" s="79">
        <v>7</v>
      </c>
      <c r="EF22" s="11">
        <v>10.333333333333334</v>
      </c>
      <c r="EG22" s="79">
        <v>7</v>
      </c>
      <c r="EH22" s="11">
        <v>13.333333333333334</v>
      </c>
      <c r="EI22" s="79">
        <v>7</v>
      </c>
      <c r="EJ22" s="11">
        <v>13</v>
      </c>
      <c r="EK22" s="79">
        <v>7</v>
      </c>
      <c r="EL22" s="11">
        <v>10.333333333333334</v>
      </c>
      <c r="EM22" s="79">
        <v>7</v>
      </c>
      <c r="EN22" s="11">
        <v>11.333333333333334</v>
      </c>
      <c r="EO22" s="79">
        <v>7</v>
      </c>
      <c r="EP22" s="11">
        <v>11.666666666666666</v>
      </c>
      <c r="EQ22" s="79">
        <v>7</v>
      </c>
      <c r="ER22" s="11">
        <v>11.333333333333334</v>
      </c>
      <c r="ES22" s="79">
        <v>7</v>
      </c>
      <c r="ET22" s="11">
        <v>13.666666666666666</v>
      </c>
      <c r="EU22" s="79">
        <v>7</v>
      </c>
      <c r="EV22" s="11">
        <v>11.333333333333334</v>
      </c>
      <c r="EW22" s="79">
        <v>7</v>
      </c>
      <c r="EX22" s="11">
        <v>11.333333333333334</v>
      </c>
      <c r="EY22" s="79">
        <v>7</v>
      </c>
      <c r="EZ22" s="11">
        <v>12.933333333333328</v>
      </c>
      <c r="FA22" s="79">
        <v>7</v>
      </c>
      <c r="FB22" s="11">
        <v>12.75</v>
      </c>
      <c r="FC22" s="79">
        <v>7</v>
      </c>
      <c r="FD22" s="11">
        <v>13.449999999999996</v>
      </c>
      <c r="FE22" s="79">
        <v>7</v>
      </c>
      <c r="FF22" s="11">
        <v>11.75</v>
      </c>
      <c r="FG22" s="79">
        <v>7</v>
      </c>
      <c r="FH22" s="11">
        <v>10</v>
      </c>
      <c r="FI22" s="79">
        <v>7</v>
      </c>
      <c r="FJ22" s="11">
        <v>15</v>
      </c>
      <c r="FK22" s="79">
        <v>7</v>
      </c>
      <c r="FL22" s="11">
        <v>14.333333333333334</v>
      </c>
      <c r="FM22" s="79">
        <v>7</v>
      </c>
      <c r="FN22" s="11">
        <v>10.666666666666666</v>
      </c>
      <c r="FO22" s="79">
        <v>7</v>
      </c>
      <c r="FP22" s="11">
        <v>10</v>
      </c>
      <c r="FQ22" s="79">
        <v>7</v>
      </c>
      <c r="FR22" s="11">
        <v>10.666666666666666</v>
      </c>
      <c r="FS22" s="79">
        <v>7</v>
      </c>
      <c r="FT22" s="11">
        <v>12.666666666666666</v>
      </c>
      <c r="FU22" s="79">
        <v>7</v>
      </c>
      <c r="FV22" s="11">
        <v>13.333333333333334</v>
      </c>
      <c r="FW22" s="79">
        <v>7</v>
      </c>
      <c r="FX22" s="11">
        <v>10</v>
      </c>
      <c r="FY22" s="79">
        <v>7</v>
      </c>
      <c r="FZ22" s="11">
        <v>13.333333333333334</v>
      </c>
      <c r="GA22" s="79">
        <v>7</v>
      </c>
      <c r="GB22" s="11">
        <v>10.666666666666666</v>
      </c>
      <c r="GC22" s="79">
        <v>7</v>
      </c>
      <c r="GD22" s="11">
        <v>12.666666666666666</v>
      </c>
      <c r="GE22" s="79">
        <v>7</v>
      </c>
      <c r="GF22" s="11">
        <v>14.333333333333334</v>
      </c>
      <c r="GG22" s="79">
        <v>7</v>
      </c>
      <c r="GH22" s="11">
        <v>15</v>
      </c>
      <c r="GI22" s="79">
        <v>7</v>
      </c>
      <c r="GJ22" s="243">
        <v>11</v>
      </c>
      <c r="GK22" s="242">
        <v>7</v>
      </c>
      <c r="GL22" s="243">
        <v>10.899999999999991</v>
      </c>
      <c r="GM22" s="242">
        <v>7</v>
      </c>
      <c r="GN22" s="248"/>
      <c r="GO22" s="249"/>
    </row>
    <row r="23" spans="1:223">
      <c r="A23" s="1" t="s">
        <v>713</v>
      </c>
      <c r="B23" s="3">
        <v>7</v>
      </c>
      <c r="C23" t="s">
        <v>139</v>
      </c>
      <c r="D23" s="3">
        <v>14</v>
      </c>
      <c r="E23" t="s">
        <v>19</v>
      </c>
      <c r="F23" s="3">
        <v>3</v>
      </c>
      <c r="G23" s="3"/>
      <c r="O23" t="s">
        <v>621</v>
      </c>
      <c r="P23" t="s">
        <v>495</v>
      </c>
      <c r="Q23" s="75"/>
      <c r="R23" s="75"/>
      <c r="U23" s="1">
        <v>0.7</v>
      </c>
      <c r="V23" s="11">
        <v>14.666666666666666</v>
      </c>
      <c r="W23" s="79">
        <v>8</v>
      </c>
      <c r="X23" s="11">
        <v>12.033333333333323</v>
      </c>
      <c r="Y23" s="79">
        <v>8</v>
      </c>
      <c r="Z23" s="11">
        <v>14.333333333333334</v>
      </c>
      <c r="AA23" s="79">
        <v>8</v>
      </c>
      <c r="AB23" s="11">
        <v>14</v>
      </c>
      <c r="AC23" s="79">
        <v>8</v>
      </c>
      <c r="AD23" s="11">
        <v>13</v>
      </c>
      <c r="AE23" s="79">
        <v>8</v>
      </c>
      <c r="AF23" s="11">
        <v>11</v>
      </c>
      <c r="AG23" s="79">
        <v>8</v>
      </c>
      <c r="AH23" s="11">
        <v>14</v>
      </c>
      <c r="AI23" s="79">
        <v>8</v>
      </c>
      <c r="AJ23" s="11">
        <v>13.666666666666666</v>
      </c>
      <c r="AK23" s="79">
        <v>8</v>
      </c>
      <c r="AL23" s="11">
        <v>11</v>
      </c>
      <c r="AM23" s="79">
        <v>8</v>
      </c>
      <c r="AN23" s="11">
        <v>12</v>
      </c>
      <c r="AO23" s="79">
        <v>8</v>
      </c>
      <c r="AP23" s="11">
        <v>12.333333333333334</v>
      </c>
      <c r="AQ23" s="79">
        <v>8</v>
      </c>
      <c r="AR23" s="11">
        <v>12</v>
      </c>
      <c r="AS23" s="79">
        <v>8</v>
      </c>
      <c r="AT23" s="11">
        <v>14.333333333333334</v>
      </c>
      <c r="AU23" s="79">
        <v>8</v>
      </c>
      <c r="AV23" s="11">
        <v>12.333333333333334</v>
      </c>
      <c r="AW23" s="79">
        <v>8</v>
      </c>
      <c r="AX23" s="11">
        <v>12.333333333333334</v>
      </c>
      <c r="AY23" s="79">
        <v>8</v>
      </c>
      <c r="AZ23" s="11">
        <v>13.666666666666666</v>
      </c>
      <c r="BA23" s="79">
        <v>8</v>
      </c>
      <c r="BB23" s="11">
        <v>13.5</v>
      </c>
      <c r="BC23" s="79">
        <v>8</v>
      </c>
      <c r="BD23" s="11">
        <v>14</v>
      </c>
      <c r="BE23" s="79">
        <v>8</v>
      </c>
      <c r="BF23" s="11">
        <v>12.5</v>
      </c>
      <c r="BG23" s="79">
        <v>8</v>
      </c>
      <c r="BH23" s="11">
        <v>10.666666666666666</v>
      </c>
      <c r="BI23" s="79">
        <v>8</v>
      </c>
      <c r="BJ23" s="11">
        <v>15.666666666666666</v>
      </c>
      <c r="BK23" s="79">
        <v>8</v>
      </c>
      <c r="BL23" s="11">
        <v>15</v>
      </c>
      <c r="BM23" s="79">
        <v>8</v>
      </c>
      <c r="BN23" s="11">
        <v>11.666666666666666</v>
      </c>
      <c r="BO23" s="79">
        <v>8</v>
      </c>
      <c r="BP23" s="11">
        <v>11</v>
      </c>
      <c r="BQ23" s="79">
        <v>8</v>
      </c>
      <c r="BR23" s="11">
        <v>11.333333333333334</v>
      </c>
      <c r="BS23" s="79">
        <v>8</v>
      </c>
      <c r="BT23" s="11">
        <v>13.666666666666666</v>
      </c>
      <c r="BU23" s="79">
        <v>8</v>
      </c>
      <c r="BV23" s="11">
        <v>14.333333333333334</v>
      </c>
      <c r="BW23" s="79">
        <v>8</v>
      </c>
      <c r="BX23" s="11">
        <v>10.666666666666666</v>
      </c>
      <c r="BY23" s="79">
        <v>8</v>
      </c>
      <c r="BZ23" s="11">
        <v>14</v>
      </c>
      <c r="CA23" s="79">
        <v>8</v>
      </c>
      <c r="CB23" s="11">
        <v>11.666666666666666</v>
      </c>
      <c r="CC23" s="79">
        <v>8</v>
      </c>
      <c r="CD23" s="11">
        <v>13.666666666666666</v>
      </c>
      <c r="CE23" s="79">
        <v>8</v>
      </c>
      <c r="CF23" s="11">
        <v>15</v>
      </c>
      <c r="CG23" s="79">
        <v>8</v>
      </c>
      <c r="CH23" s="11">
        <v>15.666666666666666</v>
      </c>
      <c r="CI23" s="79">
        <v>8</v>
      </c>
      <c r="CJ23" s="243">
        <v>11.666666666666666</v>
      </c>
      <c r="CK23" s="242">
        <v>8</v>
      </c>
      <c r="CL23" s="243">
        <v>12</v>
      </c>
      <c r="CM23" s="242">
        <v>8</v>
      </c>
      <c r="CN23" s="248"/>
      <c r="CO23" s="249"/>
      <c r="DU23" s="1">
        <v>0.7</v>
      </c>
      <c r="DV23" s="11">
        <v>14.666666666666666</v>
      </c>
      <c r="DW23" s="79">
        <v>8</v>
      </c>
      <c r="DX23" s="11">
        <v>12.033333333333323</v>
      </c>
      <c r="DY23" s="79">
        <v>8</v>
      </c>
      <c r="DZ23" s="11">
        <v>14.333333333333334</v>
      </c>
      <c r="EA23" s="79">
        <v>8</v>
      </c>
      <c r="EB23" s="11">
        <v>14</v>
      </c>
      <c r="EC23" s="79">
        <v>8</v>
      </c>
      <c r="ED23" s="11">
        <v>13</v>
      </c>
      <c r="EE23" s="79">
        <v>8</v>
      </c>
      <c r="EF23" s="11">
        <v>11</v>
      </c>
      <c r="EG23" s="79">
        <v>8</v>
      </c>
      <c r="EH23" s="11">
        <v>14</v>
      </c>
      <c r="EI23" s="79">
        <v>8</v>
      </c>
      <c r="EJ23" s="11">
        <v>13.666666666666666</v>
      </c>
      <c r="EK23" s="79">
        <v>8</v>
      </c>
      <c r="EL23" s="11">
        <v>11</v>
      </c>
      <c r="EM23" s="79">
        <v>8</v>
      </c>
      <c r="EN23" s="11">
        <v>12</v>
      </c>
      <c r="EO23" s="79">
        <v>8</v>
      </c>
      <c r="EP23" s="11">
        <v>12.333333333333334</v>
      </c>
      <c r="EQ23" s="79">
        <v>8</v>
      </c>
      <c r="ER23" s="11">
        <v>12</v>
      </c>
      <c r="ES23" s="79">
        <v>8</v>
      </c>
      <c r="ET23" s="11">
        <v>14.333333333333334</v>
      </c>
      <c r="EU23" s="79">
        <v>8</v>
      </c>
      <c r="EV23" s="11">
        <v>12.333333333333334</v>
      </c>
      <c r="EW23" s="79">
        <v>8</v>
      </c>
      <c r="EX23" s="11">
        <v>12.333333333333334</v>
      </c>
      <c r="EY23" s="79">
        <v>8</v>
      </c>
      <c r="EZ23" s="11">
        <v>13.666666666666666</v>
      </c>
      <c r="FA23" s="79">
        <v>8</v>
      </c>
      <c r="FB23" s="11">
        <v>13.5</v>
      </c>
      <c r="FC23" s="79">
        <v>8</v>
      </c>
      <c r="FD23" s="11">
        <v>14</v>
      </c>
      <c r="FE23" s="79">
        <v>8</v>
      </c>
      <c r="FF23" s="11">
        <v>12.5</v>
      </c>
      <c r="FG23" s="79">
        <v>8</v>
      </c>
      <c r="FH23" s="11">
        <v>10.666666666666666</v>
      </c>
      <c r="FI23" s="79">
        <v>8</v>
      </c>
      <c r="FJ23" s="11">
        <v>15.666666666666666</v>
      </c>
      <c r="FK23" s="79">
        <v>8</v>
      </c>
      <c r="FL23" s="11">
        <v>15</v>
      </c>
      <c r="FM23" s="79">
        <v>8</v>
      </c>
      <c r="FN23" s="11">
        <v>11.666666666666666</v>
      </c>
      <c r="FO23" s="79">
        <v>8</v>
      </c>
      <c r="FP23" s="11">
        <v>11</v>
      </c>
      <c r="FQ23" s="79">
        <v>8</v>
      </c>
      <c r="FR23" s="11">
        <v>11.333333333333334</v>
      </c>
      <c r="FS23" s="79">
        <v>8</v>
      </c>
      <c r="FT23" s="11">
        <v>13.666666666666666</v>
      </c>
      <c r="FU23" s="79">
        <v>8</v>
      </c>
      <c r="FV23" s="11">
        <v>14.333333333333334</v>
      </c>
      <c r="FW23" s="79">
        <v>8</v>
      </c>
      <c r="FX23" s="11">
        <v>10.666666666666666</v>
      </c>
      <c r="FY23" s="79">
        <v>8</v>
      </c>
      <c r="FZ23" s="11">
        <v>14</v>
      </c>
      <c r="GA23" s="79">
        <v>8</v>
      </c>
      <c r="GB23" s="11">
        <v>11.666666666666666</v>
      </c>
      <c r="GC23" s="79">
        <v>8</v>
      </c>
      <c r="GD23" s="11">
        <v>13.666666666666666</v>
      </c>
      <c r="GE23" s="79">
        <v>8</v>
      </c>
      <c r="GF23" s="11">
        <v>15</v>
      </c>
      <c r="GG23" s="79">
        <v>8</v>
      </c>
      <c r="GH23" s="11">
        <v>15.666666666666666</v>
      </c>
      <c r="GI23" s="79">
        <v>8</v>
      </c>
      <c r="GJ23" s="243">
        <v>11.666666666666666</v>
      </c>
      <c r="GK23" s="242">
        <v>8</v>
      </c>
      <c r="GL23" s="243">
        <v>12</v>
      </c>
      <c r="GM23" s="242">
        <v>8</v>
      </c>
      <c r="GN23" s="248"/>
      <c r="GO23" s="249"/>
    </row>
    <row r="24" spans="1:223">
      <c r="A24" s="1" t="s">
        <v>714</v>
      </c>
      <c r="B24" s="3">
        <v>8</v>
      </c>
      <c r="C24" s="168" t="s">
        <v>1038</v>
      </c>
      <c r="D24" s="3">
        <v>15</v>
      </c>
      <c r="E24" t="s">
        <v>19</v>
      </c>
      <c r="F24" s="3">
        <v>5</v>
      </c>
      <c r="G24" s="3"/>
      <c r="O24" t="s">
        <v>442</v>
      </c>
      <c r="P24" t="s">
        <v>496</v>
      </c>
      <c r="Q24" s="75"/>
      <c r="R24" s="75"/>
      <c r="U24" s="1">
        <v>0.8</v>
      </c>
      <c r="V24" s="11">
        <v>15.333333333333334</v>
      </c>
      <c r="W24" s="79">
        <v>9</v>
      </c>
      <c r="X24" s="11">
        <v>13</v>
      </c>
      <c r="Y24" s="79">
        <v>9</v>
      </c>
      <c r="Z24" s="11">
        <v>15.333333333333334</v>
      </c>
      <c r="AA24" s="79">
        <v>9</v>
      </c>
      <c r="AB24" s="11">
        <v>14.666666666666666</v>
      </c>
      <c r="AC24" s="79">
        <v>9</v>
      </c>
      <c r="AD24" s="11">
        <v>14</v>
      </c>
      <c r="AE24" s="79">
        <v>9</v>
      </c>
      <c r="AF24" s="11">
        <v>12</v>
      </c>
      <c r="AG24" s="79">
        <v>9</v>
      </c>
      <c r="AH24" s="11">
        <v>14.666666666666666</v>
      </c>
      <c r="AI24" s="79">
        <v>9</v>
      </c>
      <c r="AJ24" s="11">
        <v>14.666666666666666</v>
      </c>
      <c r="AK24" s="79">
        <v>9</v>
      </c>
      <c r="AL24" s="11">
        <v>12</v>
      </c>
      <c r="AM24" s="79">
        <v>9</v>
      </c>
      <c r="AN24" s="11">
        <v>13</v>
      </c>
      <c r="AO24" s="79">
        <v>9</v>
      </c>
      <c r="AP24" s="11">
        <v>13.333333333333334</v>
      </c>
      <c r="AQ24" s="79">
        <v>9</v>
      </c>
      <c r="AR24" s="11">
        <v>13.333333333333334</v>
      </c>
      <c r="AS24" s="79">
        <v>9</v>
      </c>
      <c r="AT24" s="11">
        <v>15</v>
      </c>
      <c r="AU24" s="79">
        <v>9</v>
      </c>
      <c r="AV24" s="11">
        <v>13.133333333333345</v>
      </c>
      <c r="AW24" s="79">
        <v>9</v>
      </c>
      <c r="AX24" s="11">
        <v>13.133333333333345</v>
      </c>
      <c r="AY24" s="79">
        <v>9</v>
      </c>
      <c r="AZ24" s="11">
        <v>14.333333333333334</v>
      </c>
      <c r="BA24" s="79">
        <v>9</v>
      </c>
      <c r="BB24" s="11">
        <v>14.25</v>
      </c>
      <c r="BC24" s="79">
        <v>9</v>
      </c>
      <c r="BD24" s="11">
        <v>15</v>
      </c>
      <c r="BE24" s="79">
        <v>9</v>
      </c>
      <c r="BF24" s="11">
        <v>13.5</v>
      </c>
      <c r="BG24" s="79">
        <v>9</v>
      </c>
      <c r="BH24" s="11">
        <v>11.666666666666666</v>
      </c>
      <c r="BI24" s="79">
        <v>9</v>
      </c>
      <c r="BJ24" s="11">
        <v>16.333333333333332</v>
      </c>
      <c r="BK24" s="79">
        <v>9</v>
      </c>
      <c r="BL24" s="11">
        <v>16</v>
      </c>
      <c r="BM24" s="79">
        <v>9</v>
      </c>
      <c r="BN24" s="11">
        <v>12.666666666666666</v>
      </c>
      <c r="BO24" s="79">
        <v>9</v>
      </c>
      <c r="BP24" s="11">
        <v>12</v>
      </c>
      <c r="BQ24" s="79">
        <v>9</v>
      </c>
      <c r="BR24" s="11">
        <v>12.800000000000011</v>
      </c>
      <c r="BS24" s="79">
        <v>9</v>
      </c>
      <c r="BT24" s="11">
        <v>14.333333333333334</v>
      </c>
      <c r="BU24" s="79">
        <v>9</v>
      </c>
      <c r="BV24" s="11">
        <v>15</v>
      </c>
      <c r="BW24" s="79">
        <v>9</v>
      </c>
      <c r="BX24" s="11">
        <v>11.666666666666666</v>
      </c>
      <c r="BY24" s="79">
        <v>9</v>
      </c>
      <c r="BZ24" s="11">
        <v>15</v>
      </c>
      <c r="CA24" s="79">
        <v>9</v>
      </c>
      <c r="CB24" s="11">
        <v>12.666666666666666</v>
      </c>
      <c r="CC24" s="79">
        <v>9</v>
      </c>
      <c r="CD24" s="11">
        <v>14.333333333333334</v>
      </c>
      <c r="CE24" s="79">
        <v>9</v>
      </c>
      <c r="CF24" s="11">
        <v>15.666666666666666</v>
      </c>
      <c r="CG24" s="79">
        <v>9</v>
      </c>
      <c r="CH24" s="11">
        <v>16.333333333333332</v>
      </c>
      <c r="CI24" s="79">
        <v>9</v>
      </c>
      <c r="CJ24" s="243">
        <v>12.333333333333334</v>
      </c>
      <c r="CK24" s="242">
        <v>9</v>
      </c>
      <c r="CL24" s="243">
        <v>13</v>
      </c>
      <c r="CM24" s="242">
        <v>9</v>
      </c>
      <c r="CN24" s="248"/>
      <c r="CO24" s="249"/>
      <c r="DU24" s="1">
        <v>0.8</v>
      </c>
      <c r="DV24" s="11">
        <v>15.333333333333334</v>
      </c>
      <c r="DW24" s="79">
        <v>9</v>
      </c>
      <c r="DX24" s="11">
        <v>13</v>
      </c>
      <c r="DY24" s="79">
        <v>9</v>
      </c>
      <c r="DZ24" s="11">
        <v>15.333333333333334</v>
      </c>
      <c r="EA24" s="79">
        <v>9</v>
      </c>
      <c r="EB24" s="11">
        <v>14.666666666666666</v>
      </c>
      <c r="EC24" s="79">
        <v>9</v>
      </c>
      <c r="ED24" s="11">
        <v>14</v>
      </c>
      <c r="EE24" s="79">
        <v>9</v>
      </c>
      <c r="EF24" s="11">
        <v>12</v>
      </c>
      <c r="EG24" s="79">
        <v>9</v>
      </c>
      <c r="EH24" s="11">
        <v>14.666666666666666</v>
      </c>
      <c r="EI24" s="79">
        <v>9</v>
      </c>
      <c r="EJ24" s="11">
        <v>14.666666666666666</v>
      </c>
      <c r="EK24" s="79">
        <v>9</v>
      </c>
      <c r="EL24" s="11">
        <v>12</v>
      </c>
      <c r="EM24" s="79">
        <v>9</v>
      </c>
      <c r="EN24" s="11">
        <v>13</v>
      </c>
      <c r="EO24" s="79">
        <v>9</v>
      </c>
      <c r="EP24" s="11">
        <v>13.333333333333334</v>
      </c>
      <c r="EQ24" s="79">
        <v>9</v>
      </c>
      <c r="ER24" s="11">
        <v>13.333333333333334</v>
      </c>
      <c r="ES24" s="79">
        <v>9</v>
      </c>
      <c r="ET24" s="11">
        <v>15</v>
      </c>
      <c r="EU24" s="79">
        <v>9</v>
      </c>
      <c r="EV24" s="11">
        <v>13.133333333333345</v>
      </c>
      <c r="EW24" s="79">
        <v>9</v>
      </c>
      <c r="EX24" s="11">
        <v>13.133333333333345</v>
      </c>
      <c r="EY24" s="79">
        <v>9</v>
      </c>
      <c r="EZ24" s="11">
        <v>14.333333333333334</v>
      </c>
      <c r="FA24" s="79">
        <v>9</v>
      </c>
      <c r="FB24" s="11">
        <v>14.25</v>
      </c>
      <c r="FC24" s="79">
        <v>9</v>
      </c>
      <c r="FD24" s="11">
        <v>15</v>
      </c>
      <c r="FE24" s="79">
        <v>9</v>
      </c>
      <c r="FF24" s="11">
        <v>13.5</v>
      </c>
      <c r="FG24" s="79">
        <v>9</v>
      </c>
      <c r="FH24" s="11">
        <v>11.666666666666666</v>
      </c>
      <c r="FI24" s="79">
        <v>9</v>
      </c>
      <c r="FJ24" s="11">
        <v>16.333333333333332</v>
      </c>
      <c r="FK24" s="79">
        <v>9</v>
      </c>
      <c r="FL24" s="11">
        <v>16</v>
      </c>
      <c r="FM24" s="79">
        <v>9</v>
      </c>
      <c r="FN24" s="11">
        <v>12.666666666666666</v>
      </c>
      <c r="FO24" s="79">
        <v>9</v>
      </c>
      <c r="FP24" s="11">
        <v>12</v>
      </c>
      <c r="FQ24" s="79">
        <v>9</v>
      </c>
      <c r="FR24" s="11">
        <v>12.800000000000011</v>
      </c>
      <c r="FS24" s="79">
        <v>9</v>
      </c>
      <c r="FT24" s="11">
        <v>14.333333333333334</v>
      </c>
      <c r="FU24" s="79">
        <v>9</v>
      </c>
      <c r="FV24" s="11">
        <v>15</v>
      </c>
      <c r="FW24" s="79">
        <v>9</v>
      </c>
      <c r="FX24" s="11">
        <v>11.666666666666666</v>
      </c>
      <c r="FY24" s="79">
        <v>9</v>
      </c>
      <c r="FZ24" s="11">
        <v>15</v>
      </c>
      <c r="GA24" s="79">
        <v>9</v>
      </c>
      <c r="GB24" s="11">
        <v>12.666666666666666</v>
      </c>
      <c r="GC24" s="79">
        <v>9</v>
      </c>
      <c r="GD24" s="11">
        <v>14.333333333333334</v>
      </c>
      <c r="GE24" s="79">
        <v>9</v>
      </c>
      <c r="GF24" s="11">
        <v>15.666666666666666</v>
      </c>
      <c r="GG24" s="79">
        <v>9</v>
      </c>
      <c r="GH24" s="11">
        <v>16.333333333333332</v>
      </c>
      <c r="GI24" s="79">
        <v>9</v>
      </c>
      <c r="GJ24" s="243">
        <v>12.333333333333334</v>
      </c>
      <c r="GK24" s="242">
        <v>9</v>
      </c>
      <c r="GL24" s="243">
        <v>13</v>
      </c>
      <c r="GM24" s="242">
        <v>9</v>
      </c>
      <c r="GN24" s="248"/>
      <c r="GO24" s="249"/>
    </row>
    <row r="25" spans="1:223">
      <c r="A25" s="1" t="s">
        <v>715</v>
      </c>
      <c r="B25" s="3">
        <v>8</v>
      </c>
      <c r="C25" t="s">
        <v>293</v>
      </c>
      <c r="D25" s="3">
        <v>16</v>
      </c>
      <c r="E25" t="s">
        <v>19</v>
      </c>
      <c r="F25" s="3">
        <v>5</v>
      </c>
      <c r="G25" s="3"/>
      <c r="O25" t="s">
        <v>106</v>
      </c>
      <c r="P25" t="s">
        <v>497</v>
      </c>
      <c r="Q25" s="75"/>
      <c r="R25" s="75"/>
      <c r="U25" s="1">
        <v>0.9</v>
      </c>
      <c r="V25" s="11">
        <v>16.666666666666668</v>
      </c>
      <c r="W25" s="79">
        <v>10</v>
      </c>
      <c r="X25" s="11">
        <v>14.333333333333334</v>
      </c>
      <c r="Y25" s="79">
        <v>10</v>
      </c>
      <c r="Z25" s="11">
        <v>16.333333333333332</v>
      </c>
      <c r="AA25" s="79">
        <v>10</v>
      </c>
      <c r="AB25" s="11">
        <v>15.666666666666666</v>
      </c>
      <c r="AC25" s="79">
        <v>10</v>
      </c>
      <c r="AD25" s="11">
        <v>15.333333333333334</v>
      </c>
      <c r="AE25" s="79">
        <v>10</v>
      </c>
      <c r="AF25" s="11">
        <v>13</v>
      </c>
      <c r="AG25" s="79">
        <v>10</v>
      </c>
      <c r="AH25" s="11">
        <v>16</v>
      </c>
      <c r="AI25" s="79">
        <v>10</v>
      </c>
      <c r="AJ25" s="11">
        <v>16</v>
      </c>
      <c r="AK25" s="79">
        <v>10</v>
      </c>
      <c r="AL25" s="11">
        <v>13.333333333333334</v>
      </c>
      <c r="AM25" s="79">
        <v>10</v>
      </c>
      <c r="AN25" s="11">
        <v>14</v>
      </c>
      <c r="AO25" s="79">
        <v>10</v>
      </c>
      <c r="AP25" s="11">
        <v>14.666666666666666</v>
      </c>
      <c r="AQ25" s="79">
        <v>10</v>
      </c>
      <c r="AR25" s="11">
        <v>14.233333333333331</v>
      </c>
      <c r="AS25" s="79">
        <v>10</v>
      </c>
      <c r="AT25" s="11">
        <v>16.333333333333332</v>
      </c>
      <c r="AU25" s="79">
        <v>10</v>
      </c>
      <c r="AV25" s="11">
        <v>14.333333333333334</v>
      </c>
      <c r="AW25" s="79">
        <v>10</v>
      </c>
      <c r="AX25" s="11">
        <v>14</v>
      </c>
      <c r="AY25" s="79">
        <v>10</v>
      </c>
      <c r="AZ25" s="11">
        <v>15.666666666666666</v>
      </c>
      <c r="BA25" s="79">
        <v>10</v>
      </c>
      <c r="BB25" s="11">
        <v>15.25</v>
      </c>
      <c r="BC25" s="79">
        <v>10</v>
      </c>
      <c r="BD25" s="11">
        <v>16</v>
      </c>
      <c r="BE25" s="79">
        <v>10</v>
      </c>
      <c r="BF25" s="11">
        <v>14.75</v>
      </c>
      <c r="BG25" s="79">
        <v>10</v>
      </c>
      <c r="BH25" s="11">
        <v>12.666666666666666</v>
      </c>
      <c r="BI25" s="79">
        <v>10</v>
      </c>
      <c r="BJ25" s="11">
        <v>17.333333333333332</v>
      </c>
      <c r="BK25" s="79">
        <v>10</v>
      </c>
      <c r="BL25" s="11">
        <v>17</v>
      </c>
      <c r="BM25" s="79">
        <v>10</v>
      </c>
      <c r="BN25" s="11">
        <v>14</v>
      </c>
      <c r="BO25" s="79">
        <v>10</v>
      </c>
      <c r="BP25" s="11">
        <v>13.666666666666666</v>
      </c>
      <c r="BQ25" s="79">
        <v>10</v>
      </c>
      <c r="BR25" s="11">
        <v>14</v>
      </c>
      <c r="BS25" s="79">
        <v>10</v>
      </c>
      <c r="BT25" s="11">
        <v>15.666666666666666</v>
      </c>
      <c r="BU25" s="79">
        <v>10</v>
      </c>
      <c r="BV25" s="11">
        <v>16</v>
      </c>
      <c r="BW25" s="79">
        <v>10</v>
      </c>
      <c r="BX25" s="11">
        <v>13</v>
      </c>
      <c r="BY25" s="79">
        <v>10</v>
      </c>
      <c r="BZ25" s="11">
        <v>16.333333333333332</v>
      </c>
      <c r="CA25" s="79">
        <v>10</v>
      </c>
      <c r="CB25" s="11">
        <v>13.666666666666666</v>
      </c>
      <c r="CC25" s="79">
        <v>10</v>
      </c>
      <c r="CD25" s="11">
        <v>15.666666666666666</v>
      </c>
      <c r="CE25" s="79">
        <v>10</v>
      </c>
      <c r="CF25" s="11">
        <v>16.666666666666668</v>
      </c>
      <c r="CG25" s="79">
        <v>10</v>
      </c>
      <c r="CH25" s="11">
        <v>17.666666666666668</v>
      </c>
      <c r="CI25" s="79">
        <v>10</v>
      </c>
      <c r="CJ25" s="244">
        <v>13.666666666666666</v>
      </c>
      <c r="CK25" s="247">
        <v>18.166666666666664</v>
      </c>
      <c r="CL25" s="244">
        <v>14.5</v>
      </c>
      <c r="CM25" s="247">
        <v>18.166666666666664</v>
      </c>
      <c r="CN25" s="250"/>
      <c r="CO25" s="251"/>
      <c r="DU25" s="1">
        <v>0.9</v>
      </c>
      <c r="DV25" s="11">
        <v>16.666666666666668</v>
      </c>
      <c r="DW25" s="79">
        <v>10</v>
      </c>
      <c r="DX25" s="11">
        <v>14.333333333333334</v>
      </c>
      <c r="DY25" s="79">
        <v>10</v>
      </c>
      <c r="DZ25" s="11">
        <v>16.333333333333332</v>
      </c>
      <c r="EA25" s="79">
        <v>10</v>
      </c>
      <c r="EB25" s="11">
        <v>15.666666666666666</v>
      </c>
      <c r="EC25" s="79">
        <v>10</v>
      </c>
      <c r="ED25" s="11">
        <v>15.333333333333334</v>
      </c>
      <c r="EE25" s="79">
        <v>10</v>
      </c>
      <c r="EF25" s="11">
        <v>13</v>
      </c>
      <c r="EG25" s="79">
        <v>10</v>
      </c>
      <c r="EH25" s="11">
        <v>16</v>
      </c>
      <c r="EI25" s="79">
        <v>10</v>
      </c>
      <c r="EJ25" s="11">
        <v>16</v>
      </c>
      <c r="EK25" s="79">
        <v>10</v>
      </c>
      <c r="EL25" s="11">
        <v>13.333333333333334</v>
      </c>
      <c r="EM25" s="79">
        <v>10</v>
      </c>
      <c r="EN25" s="11">
        <v>14</v>
      </c>
      <c r="EO25" s="79">
        <v>10</v>
      </c>
      <c r="EP25" s="11">
        <v>14.666666666666666</v>
      </c>
      <c r="EQ25" s="79">
        <v>10</v>
      </c>
      <c r="ER25" s="11">
        <v>14.233333333333331</v>
      </c>
      <c r="ES25" s="79">
        <v>10</v>
      </c>
      <c r="ET25" s="11">
        <v>16.333333333333332</v>
      </c>
      <c r="EU25" s="79">
        <v>10</v>
      </c>
      <c r="EV25" s="11">
        <v>14.333333333333334</v>
      </c>
      <c r="EW25" s="79">
        <v>10</v>
      </c>
      <c r="EX25" s="11">
        <v>14</v>
      </c>
      <c r="EY25" s="79">
        <v>10</v>
      </c>
      <c r="EZ25" s="11">
        <v>15.666666666666666</v>
      </c>
      <c r="FA25" s="79">
        <v>10</v>
      </c>
      <c r="FB25" s="11">
        <v>15.25</v>
      </c>
      <c r="FC25" s="79">
        <v>10</v>
      </c>
      <c r="FD25" s="11">
        <v>16</v>
      </c>
      <c r="FE25" s="79">
        <v>10</v>
      </c>
      <c r="FF25" s="11">
        <v>14.75</v>
      </c>
      <c r="FG25" s="79">
        <v>10</v>
      </c>
      <c r="FH25" s="11">
        <v>12.666666666666666</v>
      </c>
      <c r="FI25" s="79">
        <v>10</v>
      </c>
      <c r="FJ25" s="11">
        <v>17.333333333333332</v>
      </c>
      <c r="FK25" s="79">
        <v>10</v>
      </c>
      <c r="FL25" s="11">
        <v>17</v>
      </c>
      <c r="FM25" s="79">
        <v>10</v>
      </c>
      <c r="FN25" s="11">
        <v>14</v>
      </c>
      <c r="FO25" s="79">
        <v>10</v>
      </c>
      <c r="FP25" s="11">
        <v>13.666666666666666</v>
      </c>
      <c r="FQ25" s="79">
        <v>10</v>
      </c>
      <c r="FR25" s="11">
        <v>14</v>
      </c>
      <c r="FS25" s="79">
        <v>10</v>
      </c>
      <c r="FT25" s="11">
        <v>15.666666666666666</v>
      </c>
      <c r="FU25" s="79">
        <v>10</v>
      </c>
      <c r="FV25" s="11">
        <v>16</v>
      </c>
      <c r="FW25" s="79">
        <v>10</v>
      </c>
      <c r="FX25" s="11">
        <v>13</v>
      </c>
      <c r="FY25" s="79">
        <v>10</v>
      </c>
      <c r="FZ25" s="11">
        <v>16.333333333333332</v>
      </c>
      <c r="GA25" s="79">
        <v>10</v>
      </c>
      <c r="GB25" s="11">
        <v>13.666666666666666</v>
      </c>
      <c r="GC25" s="79">
        <v>10</v>
      </c>
      <c r="GD25" s="11">
        <v>15.666666666666666</v>
      </c>
      <c r="GE25" s="79">
        <v>10</v>
      </c>
      <c r="GF25" s="11">
        <v>16.666666666666668</v>
      </c>
      <c r="GG25" s="79">
        <v>10</v>
      </c>
      <c r="GH25" s="11">
        <v>17.666666666666668</v>
      </c>
      <c r="GI25" s="79">
        <v>10</v>
      </c>
      <c r="GJ25" s="244">
        <v>13.666666666666666</v>
      </c>
      <c r="GK25" s="247">
        <v>18.166666666666664</v>
      </c>
      <c r="GL25" s="244">
        <v>14.5</v>
      </c>
      <c r="GM25" s="247">
        <v>18.166666666666664</v>
      </c>
      <c r="GN25" s="250"/>
      <c r="GO25" s="251"/>
    </row>
    <row r="26" spans="1:223">
      <c r="A26" s="1" t="s">
        <v>716</v>
      </c>
      <c r="B26" s="3">
        <v>9</v>
      </c>
      <c r="C26" t="s">
        <v>298</v>
      </c>
      <c r="D26" s="3">
        <v>17</v>
      </c>
      <c r="E26" t="s">
        <v>19</v>
      </c>
      <c r="F26" s="3">
        <v>2</v>
      </c>
      <c r="G26" s="3"/>
      <c r="O26" t="s">
        <v>475</v>
      </c>
      <c r="P26" t="s">
        <v>475</v>
      </c>
      <c r="Q26" s="75"/>
      <c r="R26" s="75"/>
    </row>
    <row r="27" spans="1:223" s="1" customFormat="1">
      <c r="A27" s="1" t="s">
        <v>717</v>
      </c>
      <c r="B27" s="5">
        <v>9</v>
      </c>
      <c r="C27" t="s">
        <v>335</v>
      </c>
      <c r="D27" s="3">
        <v>18</v>
      </c>
      <c r="E27" t="s">
        <v>19</v>
      </c>
      <c r="F27" s="3">
        <v>2</v>
      </c>
      <c r="G27" s="5"/>
      <c r="O27" s="1" t="s">
        <v>30</v>
      </c>
      <c r="P27" s="1" t="s">
        <v>498</v>
      </c>
      <c r="Q27" s="74"/>
      <c r="R27" s="74"/>
      <c r="T27"/>
      <c r="V27" s="119" t="s">
        <v>540</v>
      </c>
      <c r="X27" s="1" t="s">
        <v>523</v>
      </c>
      <c r="Z27" s="119" t="s">
        <v>538</v>
      </c>
      <c r="AB27" s="1" t="s">
        <v>550</v>
      </c>
      <c r="AD27" s="119" t="s">
        <v>1067</v>
      </c>
      <c r="AF27" s="1" t="s">
        <v>545</v>
      </c>
      <c r="AH27" s="119" t="s">
        <v>524</v>
      </c>
      <c r="AJ27" s="1" t="s">
        <v>526</v>
      </c>
      <c r="AL27" s="1" t="s">
        <v>530</v>
      </c>
      <c r="AN27" s="1" t="s">
        <v>537</v>
      </c>
      <c r="DN27"/>
      <c r="DO27"/>
      <c r="DV27" s="119" t="s">
        <v>540</v>
      </c>
      <c r="DX27" s="1" t="s">
        <v>523</v>
      </c>
      <c r="DZ27" s="119" t="s">
        <v>538</v>
      </c>
      <c r="EB27" s="1" t="s">
        <v>550</v>
      </c>
      <c r="ED27" s="119" t="s">
        <v>1067</v>
      </c>
      <c r="EF27" s="1" t="s">
        <v>545</v>
      </c>
      <c r="EH27" s="119" t="s">
        <v>524</v>
      </c>
      <c r="EJ27" s="1" t="s">
        <v>526</v>
      </c>
      <c r="EL27" s="1" t="s">
        <v>530</v>
      </c>
      <c r="EN27" s="1" t="s">
        <v>537</v>
      </c>
      <c r="HN27"/>
      <c r="HO27"/>
    </row>
    <row r="28" spans="1:223">
      <c r="A28" s="1" t="s">
        <v>718</v>
      </c>
      <c r="B28" s="3">
        <v>10</v>
      </c>
      <c r="C28" t="s">
        <v>120</v>
      </c>
      <c r="D28" s="3">
        <v>19</v>
      </c>
      <c r="E28" t="s">
        <v>19</v>
      </c>
      <c r="F28" s="3">
        <v>5</v>
      </c>
      <c r="G28" s="3"/>
      <c r="O28" t="s">
        <v>446</v>
      </c>
      <c r="P28" t="e">
        <v>#N/A</v>
      </c>
      <c r="Q28" s="75"/>
      <c r="R28" s="75"/>
      <c r="U28" s="1">
        <v>0</v>
      </c>
      <c r="V28" s="121">
        <v>0</v>
      </c>
      <c r="W28" s="79">
        <v>1</v>
      </c>
      <c r="X28" s="79">
        <v>0</v>
      </c>
      <c r="Y28" s="79">
        <v>1</v>
      </c>
      <c r="Z28" s="121">
        <v>0</v>
      </c>
      <c r="AA28" s="79">
        <v>1</v>
      </c>
      <c r="AB28" s="79">
        <v>0</v>
      </c>
      <c r="AC28" s="79">
        <v>1</v>
      </c>
      <c r="AD28" s="121">
        <v>0</v>
      </c>
      <c r="AE28" s="79">
        <v>1</v>
      </c>
      <c r="AF28" s="79">
        <v>0</v>
      </c>
      <c r="AG28" s="79">
        <v>1</v>
      </c>
      <c r="AH28" s="121">
        <v>0</v>
      </c>
      <c r="AI28" s="79">
        <v>1</v>
      </c>
      <c r="AJ28" s="79">
        <v>0</v>
      </c>
      <c r="AK28" s="79">
        <v>1</v>
      </c>
      <c r="AL28" s="79">
        <v>0</v>
      </c>
      <c r="AM28" s="79">
        <v>1</v>
      </c>
      <c r="AN28" s="79">
        <v>0</v>
      </c>
      <c r="AO28" s="79">
        <v>1</v>
      </c>
      <c r="DU28" s="1">
        <v>0</v>
      </c>
      <c r="DV28" s="121">
        <v>0</v>
      </c>
      <c r="DW28" s="79">
        <v>1</v>
      </c>
      <c r="DX28" s="79">
        <v>0</v>
      </c>
      <c r="DY28" s="79">
        <v>1</v>
      </c>
      <c r="DZ28" s="121">
        <v>0</v>
      </c>
      <c r="EA28" s="79">
        <v>1</v>
      </c>
      <c r="EB28" s="79">
        <v>0</v>
      </c>
      <c r="EC28" s="79">
        <v>1</v>
      </c>
      <c r="ED28" s="121">
        <v>0</v>
      </c>
      <c r="EE28" s="79">
        <v>1</v>
      </c>
      <c r="EF28" s="79">
        <v>0</v>
      </c>
      <c r="EG28" s="79">
        <v>1</v>
      </c>
      <c r="EH28" s="121">
        <v>0</v>
      </c>
      <c r="EI28" s="79">
        <v>1</v>
      </c>
      <c r="EJ28" s="79">
        <v>0</v>
      </c>
      <c r="EK28" s="79">
        <v>1</v>
      </c>
      <c r="EL28" s="79">
        <v>0</v>
      </c>
      <c r="EM28" s="79">
        <v>1</v>
      </c>
      <c r="EN28" s="79">
        <v>0</v>
      </c>
      <c r="EO28" s="79">
        <v>1</v>
      </c>
    </row>
    <row r="29" spans="1:223">
      <c r="A29" s="1" t="s">
        <v>719</v>
      </c>
      <c r="B29" s="3">
        <v>10</v>
      </c>
      <c r="C29" t="s">
        <v>94</v>
      </c>
      <c r="D29" s="3">
        <v>20</v>
      </c>
      <c r="E29" t="s">
        <v>19</v>
      </c>
      <c r="F29" s="3">
        <v>5</v>
      </c>
      <c r="G29" s="3"/>
      <c r="O29" t="s">
        <v>390</v>
      </c>
      <c r="P29" t="s">
        <v>499</v>
      </c>
      <c r="Q29" s="75"/>
      <c r="R29" s="75"/>
      <c r="U29" s="1">
        <v>0.1</v>
      </c>
      <c r="V29" s="121">
        <v>7.333333333333333</v>
      </c>
      <c r="W29" s="79">
        <v>2</v>
      </c>
      <c r="X29" s="79">
        <v>7</v>
      </c>
      <c r="Y29" s="79">
        <v>2</v>
      </c>
      <c r="Z29" s="121">
        <v>10.333333333333334</v>
      </c>
      <c r="AA29" s="79">
        <v>2</v>
      </c>
      <c r="AB29" s="79">
        <v>6</v>
      </c>
      <c r="AC29" s="79">
        <v>2</v>
      </c>
      <c r="AD29" s="121">
        <v>8.3333333333333339</v>
      </c>
      <c r="AE29" s="79">
        <v>2</v>
      </c>
      <c r="AF29" s="79">
        <v>5</v>
      </c>
      <c r="AG29" s="79">
        <v>2</v>
      </c>
      <c r="AH29" s="121">
        <v>5.666666666666667</v>
      </c>
      <c r="AI29" s="79">
        <v>2</v>
      </c>
      <c r="AJ29" s="79">
        <v>9</v>
      </c>
      <c r="AK29" s="79">
        <v>2</v>
      </c>
      <c r="AL29" s="79">
        <v>10.333333333333334</v>
      </c>
      <c r="AM29" s="79">
        <v>2</v>
      </c>
      <c r="AN29" s="79">
        <v>8.3333333333333339</v>
      </c>
      <c r="AO29" s="79">
        <v>2</v>
      </c>
      <c r="DU29" s="1">
        <v>0.1</v>
      </c>
      <c r="DV29" s="121">
        <v>7.333333333333333</v>
      </c>
      <c r="DW29" s="79">
        <v>2</v>
      </c>
      <c r="DX29" s="79">
        <v>7</v>
      </c>
      <c r="DY29" s="79">
        <v>2</v>
      </c>
      <c r="DZ29" s="121">
        <v>10.333333333333334</v>
      </c>
      <c r="EA29" s="79">
        <v>2</v>
      </c>
      <c r="EB29" s="79">
        <v>6</v>
      </c>
      <c r="EC29" s="79">
        <v>2</v>
      </c>
      <c r="ED29" s="121">
        <v>8.3333333333333339</v>
      </c>
      <c r="EE29" s="79">
        <v>2</v>
      </c>
      <c r="EF29" s="79">
        <v>5</v>
      </c>
      <c r="EG29" s="79">
        <v>2</v>
      </c>
      <c r="EH29" s="121">
        <v>5.666666666666667</v>
      </c>
      <c r="EI29" s="79">
        <v>2</v>
      </c>
      <c r="EJ29" s="79">
        <v>9</v>
      </c>
      <c r="EK29" s="79">
        <v>2</v>
      </c>
      <c r="EL29" s="79">
        <v>10.333333333333334</v>
      </c>
      <c r="EM29" s="79">
        <v>2</v>
      </c>
      <c r="EN29" s="79">
        <v>8.3333333333333339</v>
      </c>
      <c r="EO29" s="79">
        <v>2</v>
      </c>
    </row>
    <row r="30" spans="1:223">
      <c r="A30" s="1" t="s">
        <v>720</v>
      </c>
      <c r="B30" s="3">
        <v>11</v>
      </c>
      <c r="C30" s="169" t="s">
        <v>325</v>
      </c>
      <c r="D30" s="3">
        <v>21</v>
      </c>
      <c r="E30" t="s">
        <v>19</v>
      </c>
      <c r="F30" s="3">
        <v>3</v>
      </c>
      <c r="G30" s="3"/>
      <c r="O30" t="s">
        <v>467</v>
      </c>
      <c r="P30" t="s">
        <v>493</v>
      </c>
      <c r="Q30" s="75"/>
      <c r="R30" s="75"/>
      <c r="U30" s="1">
        <v>0.2</v>
      </c>
      <c r="V30" s="121">
        <v>8.3333333333333339</v>
      </c>
      <c r="W30" s="79">
        <v>3</v>
      </c>
      <c r="X30" s="79">
        <v>8.3333333333333339</v>
      </c>
      <c r="Y30" s="79">
        <v>3</v>
      </c>
      <c r="Z30" s="121">
        <v>11.666666666666666</v>
      </c>
      <c r="AA30" s="79">
        <v>3</v>
      </c>
      <c r="AB30" s="79">
        <v>7</v>
      </c>
      <c r="AC30" s="79">
        <v>3</v>
      </c>
      <c r="AD30" s="121">
        <v>10</v>
      </c>
      <c r="AE30" s="79">
        <v>3</v>
      </c>
      <c r="AF30" s="79">
        <v>6.333333333333333</v>
      </c>
      <c r="AG30" s="79">
        <v>3</v>
      </c>
      <c r="AH30" s="121">
        <v>7</v>
      </c>
      <c r="AI30" s="79">
        <v>3</v>
      </c>
      <c r="AJ30" s="79">
        <v>10</v>
      </c>
      <c r="AK30" s="79">
        <v>3</v>
      </c>
      <c r="AL30" s="79">
        <v>11.333333333333334</v>
      </c>
      <c r="AM30" s="79">
        <v>3</v>
      </c>
      <c r="AN30" s="79">
        <v>10</v>
      </c>
      <c r="AO30" s="79">
        <v>3</v>
      </c>
      <c r="DU30" s="1">
        <v>0.2</v>
      </c>
      <c r="DV30" s="121">
        <v>8.3333333333333339</v>
      </c>
      <c r="DW30" s="79">
        <v>3</v>
      </c>
      <c r="DX30" s="79">
        <v>8.3333333333333339</v>
      </c>
      <c r="DY30" s="79">
        <v>3</v>
      </c>
      <c r="DZ30" s="121">
        <v>11.666666666666666</v>
      </c>
      <c r="EA30" s="79">
        <v>3</v>
      </c>
      <c r="EB30" s="79">
        <v>7</v>
      </c>
      <c r="EC30" s="79">
        <v>3</v>
      </c>
      <c r="ED30" s="121">
        <v>10</v>
      </c>
      <c r="EE30" s="79">
        <v>3</v>
      </c>
      <c r="EF30" s="79">
        <v>6.333333333333333</v>
      </c>
      <c r="EG30" s="79">
        <v>3</v>
      </c>
      <c r="EH30" s="121">
        <v>7</v>
      </c>
      <c r="EI30" s="79">
        <v>3</v>
      </c>
      <c r="EJ30" s="79">
        <v>10</v>
      </c>
      <c r="EK30" s="79">
        <v>3</v>
      </c>
      <c r="EL30" s="79">
        <v>11.333333333333334</v>
      </c>
      <c r="EM30" s="79">
        <v>3</v>
      </c>
      <c r="EN30" s="79">
        <v>10</v>
      </c>
      <c r="EO30" s="79">
        <v>3</v>
      </c>
    </row>
    <row r="31" spans="1:223">
      <c r="A31" s="1" t="s">
        <v>721</v>
      </c>
      <c r="B31" s="3">
        <v>11</v>
      </c>
      <c r="C31" t="s">
        <v>109</v>
      </c>
      <c r="D31" s="3">
        <v>22</v>
      </c>
      <c r="E31" t="s">
        <v>19</v>
      </c>
      <c r="F31" s="3">
        <v>5</v>
      </c>
      <c r="G31" s="3"/>
      <c r="O31" t="s">
        <v>394</v>
      </c>
      <c r="P31" t="e">
        <v>#N/A</v>
      </c>
      <c r="U31" s="1">
        <v>0.3</v>
      </c>
      <c r="V31" s="121">
        <v>9.3333333333333339</v>
      </c>
      <c r="W31" s="79">
        <v>4</v>
      </c>
      <c r="X31" s="79">
        <v>9.3333333333333339</v>
      </c>
      <c r="Y31" s="79">
        <v>4</v>
      </c>
      <c r="Z31" s="121">
        <v>12.666666666666666</v>
      </c>
      <c r="AA31" s="79">
        <v>4</v>
      </c>
      <c r="AB31" s="79">
        <v>7.666666666666667</v>
      </c>
      <c r="AC31" s="79">
        <v>4</v>
      </c>
      <c r="AD31" s="121">
        <v>11</v>
      </c>
      <c r="AE31" s="79">
        <v>4</v>
      </c>
      <c r="AF31" s="79">
        <v>7.333333333333333</v>
      </c>
      <c r="AG31" s="79">
        <v>4</v>
      </c>
      <c r="AH31" s="121">
        <v>8</v>
      </c>
      <c r="AI31" s="79">
        <v>4</v>
      </c>
      <c r="AJ31" s="79">
        <v>11</v>
      </c>
      <c r="AK31" s="79">
        <v>4</v>
      </c>
      <c r="AL31" s="79">
        <v>12</v>
      </c>
      <c r="AM31" s="79">
        <v>4</v>
      </c>
      <c r="AN31" s="79">
        <v>10.666666666666666</v>
      </c>
      <c r="AO31" s="79">
        <v>4</v>
      </c>
      <c r="DU31" s="1">
        <v>0.3</v>
      </c>
      <c r="DV31" s="121">
        <v>9.3333333333333339</v>
      </c>
      <c r="DW31" s="79">
        <v>4</v>
      </c>
      <c r="DX31" s="79">
        <v>9.3333333333333339</v>
      </c>
      <c r="DY31" s="79">
        <v>4</v>
      </c>
      <c r="DZ31" s="121">
        <v>12.666666666666666</v>
      </c>
      <c r="EA31" s="79">
        <v>4</v>
      </c>
      <c r="EB31" s="79">
        <v>7.666666666666667</v>
      </c>
      <c r="EC31" s="79">
        <v>4</v>
      </c>
      <c r="ED31" s="121">
        <v>11</v>
      </c>
      <c r="EE31" s="79">
        <v>4</v>
      </c>
      <c r="EF31" s="79">
        <v>7.333333333333333</v>
      </c>
      <c r="EG31" s="79">
        <v>4</v>
      </c>
      <c r="EH31" s="121">
        <v>8</v>
      </c>
      <c r="EI31" s="79">
        <v>4</v>
      </c>
      <c r="EJ31" s="79">
        <v>11</v>
      </c>
      <c r="EK31" s="79">
        <v>4</v>
      </c>
      <c r="EL31" s="79">
        <v>12</v>
      </c>
      <c r="EM31" s="79">
        <v>4</v>
      </c>
      <c r="EN31" s="79">
        <v>10.666666666666666</v>
      </c>
      <c r="EO31" s="79">
        <v>4</v>
      </c>
    </row>
    <row r="32" spans="1:223">
      <c r="A32" s="1" t="s">
        <v>722</v>
      </c>
      <c r="B32" s="3">
        <v>12</v>
      </c>
      <c r="C32" t="s">
        <v>45</v>
      </c>
      <c r="D32" s="3">
        <v>23</v>
      </c>
      <c r="E32" t="s">
        <v>19</v>
      </c>
      <c r="F32" s="3">
        <v>3</v>
      </c>
      <c r="G32" s="3"/>
      <c r="O32" t="s">
        <v>465</v>
      </c>
      <c r="P32" t="s">
        <v>500</v>
      </c>
      <c r="U32" s="1">
        <v>0.4</v>
      </c>
      <c r="V32" s="121">
        <v>10</v>
      </c>
      <c r="W32" s="79">
        <v>5</v>
      </c>
      <c r="X32" s="79">
        <v>10</v>
      </c>
      <c r="Y32" s="79">
        <v>5</v>
      </c>
      <c r="Z32" s="121">
        <v>13.666666666666666</v>
      </c>
      <c r="AA32" s="79">
        <v>5</v>
      </c>
      <c r="AB32" s="79">
        <v>8.3333333333333339</v>
      </c>
      <c r="AC32" s="79">
        <v>5</v>
      </c>
      <c r="AD32" s="121">
        <v>11.666666666666666</v>
      </c>
      <c r="AE32" s="79">
        <v>5</v>
      </c>
      <c r="AF32" s="79">
        <v>8</v>
      </c>
      <c r="AG32" s="79">
        <v>5</v>
      </c>
      <c r="AH32" s="121">
        <v>8.6666666666666661</v>
      </c>
      <c r="AI32" s="79">
        <v>5</v>
      </c>
      <c r="AJ32" s="79">
        <v>11.666666666666666</v>
      </c>
      <c r="AK32" s="79">
        <v>5</v>
      </c>
      <c r="AL32" s="79">
        <v>13</v>
      </c>
      <c r="AM32" s="79">
        <v>5</v>
      </c>
      <c r="AN32" s="79">
        <v>11.333333333333334</v>
      </c>
      <c r="AO32" s="79">
        <v>5</v>
      </c>
      <c r="DU32" s="1">
        <v>0.4</v>
      </c>
      <c r="DV32" s="121">
        <v>10</v>
      </c>
      <c r="DW32" s="79">
        <v>5</v>
      </c>
      <c r="DX32" s="79">
        <v>10</v>
      </c>
      <c r="DY32" s="79">
        <v>5</v>
      </c>
      <c r="DZ32" s="121">
        <v>13.666666666666666</v>
      </c>
      <c r="EA32" s="79">
        <v>5</v>
      </c>
      <c r="EB32" s="79">
        <v>8.3333333333333339</v>
      </c>
      <c r="EC32" s="79">
        <v>5</v>
      </c>
      <c r="ED32" s="121">
        <v>11.666666666666666</v>
      </c>
      <c r="EE32" s="79">
        <v>5</v>
      </c>
      <c r="EF32" s="79">
        <v>8</v>
      </c>
      <c r="EG32" s="79">
        <v>5</v>
      </c>
      <c r="EH32" s="121">
        <v>8.6666666666666661</v>
      </c>
      <c r="EI32" s="79">
        <v>5</v>
      </c>
      <c r="EJ32" s="79">
        <v>11.666666666666666</v>
      </c>
      <c r="EK32" s="79">
        <v>5</v>
      </c>
      <c r="EL32" s="79">
        <v>13</v>
      </c>
      <c r="EM32" s="79">
        <v>5</v>
      </c>
      <c r="EN32" s="79">
        <v>11.333333333333334</v>
      </c>
      <c r="EO32" s="79">
        <v>5</v>
      </c>
    </row>
    <row r="33" spans="1:225">
      <c r="A33" s="1" t="s">
        <v>723</v>
      </c>
      <c r="B33" s="3">
        <v>12</v>
      </c>
      <c r="C33" t="s">
        <v>152</v>
      </c>
      <c r="D33" s="3">
        <v>24</v>
      </c>
      <c r="E33" t="s">
        <v>19</v>
      </c>
      <c r="F33" s="3">
        <v>5</v>
      </c>
      <c r="G33" s="3"/>
      <c r="U33" s="1">
        <v>0.5</v>
      </c>
      <c r="V33" s="121">
        <v>10.666666666666666</v>
      </c>
      <c r="W33" s="79">
        <v>6</v>
      </c>
      <c r="X33" s="79">
        <v>10.666666666666666</v>
      </c>
      <c r="Y33" s="79">
        <v>6</v>
      </c>
      <c r="Z33" s="121">
        <v>14.333333333333334</v>
      </c>
      <c r="AA33" s="79">
        <v>6</v>
      </c>
      <c r="AB33" s="79">
        <v>9.3333333333333339</v>
      </c>
      <c r="AC33" s="79">
        <v>6</v>
      </c>
      <c r="AD33" s="121">
        <v>12.333333333333334</v>
      </c>
      <c r="AE33" s="79">
        <v>6</v>
      </c>
      <c r="AF33" s="79">
        <v>9</v>
      </c>
      <c r="AG33" s="79">
        <v>6</v>
      </c>
      <c r="AH33" s="121">
        <v>9.3333333333333339</v>
      </c>
      <c r="AI33" s="79">
        <v>6</v>
      </c>
      <c r="AJ33" s="79">
        <v>12.666666666666666</v>
      </c>
      <c r="AK33" s="79">
        <v>6</v>
      </c>
      <c r="AL33" s="79">
        <v>13.666666666666666</v>
      </c>
      <c r="AM33" s="79">
        <v>6</v>
      </c>
      <c r="AN33" s="79">
        <v>12</v>
      </c>
      <c r="AO33" s="79">
        <v>6</v>
      </c>
      <c r="DU33" s="1">
        <v>0.5</v>
      </c>
      <c r="DV33" s="121">
        <v>10.666666666666666</v>
      </c>
      <c r="DW33" s="79">
        <v>6</v>
      </c>
      <c r="DX33" s="79">
        <v>10.666666666666666</v>
      </c>
      <c r="DY33" s="79">
        <v>6</v>
      </c>
      <c r="DZ33" s="121">
        <v>14.333333333333334</v>
      </c>
      <c r="EA33" s="79">
        <v>6</v>
      </c>
      <c r="EB33" s="79">
        <v>9.3333333333333339</v>
      </c>
      <c r="EC33" s="79">
        <v>6</v>
      </c>
      <c r="ED33" s="121">
        <v>12.333333333333334</v>
      </c>
      <c r="EE33" s="79">
        <v>6</v>
      </c>
      <c r="EF33" s="79">
        <v>9</v>
      </c>
      <c r="EG33" s="79">
        <v>6</v>
      </c>
      <c r="EH33" s="121">
        <v>9.3333333333333339</v>
      </c>
      <c r="EI33" s="79">
        <v>6</v>
      </c>
      <c r="EJ33" s="79">
        <v>12.666666666666666</v>
      </c>
      <c r="EK33" s="79">
        <v>6</v>
      </c>
      <c r="EL33" s="79">
        <v>13.666666666666666</v>
      </c>
      <c r="EM33" s="79">
        <v>6</v>
      </c>
      <c r="EN33" s="79">
        <v>12</v>
      </c>
      <c r="EO33" s="79">
        <v>6</v>
      </c>
    </row>
    <row r="34" spans="1:225">
      <c r="A34" s="1" t="s">
        <v>724</v>
      </c>
      <c r="B34" s="3">
        <v>13</v>
      </c>
      <c r="C34" t="s">
        <v>18</v>
      </c>
      <c r="D34" s="3">
        <v>25</v>
      </c>
      <c r="E34" t="s">
        <v>19</v>
      </c>
      <c r="F34" s="3">
        <v>3</v>
      </c>
      <c r="G34" s="3"/>
      <c r="U34" s="1">
        <v>0.6</v>
      </c>
      <c r="V34" s="121">
        <v>11.333333333333334</v>
      </c>
      <c r="W34" s="79">
        <v>7</v>
      </c>
      <c r="X34" s="79">
        <v>11.333333333333334</v>
      </c>
      <c r="Y34" s="79">
        <v>7</v>
      </c>
      <c r="Z34" s="121">
        <v>15</v>
      </c>
      <c r="AA34" s="79">
        <v>7</v>
      </c>
      <c r="AB34" s="79">
        <v>10</v>
      </c>
      <c r="AC34" s="79">
        <v>7</v>
      </c>
      <c r="AD34" s="121">
        <v>13</v>
      </c>
      <c r="AE34" s="79">
        <v>7</v>
      </c>
      <c r="AF34" s="79">
        <v>10</v>
      </c>
      <c r="AG34" s="79">
        <v>7</v>
      </c>
      <c r="AH34" s="121">
        <v>10.333333333333334</v>
      </c>
      <c r="AI34" s="79">
        <v>7</v>
      </c>
      <c r="AJ34" s="79">
        <v>13.333333333333334</v>
      </c>
      <c r="AK34" s="79">
        <v>7</v>
      </c>
      <c r="AL34" s="79">
        <v>14.333333333333334</v>
      </c>
      <c r="AM34" s="79">
        <v>7</v>
      </c>
      <c r="AN34" s="79">
        <v>12.666666666666666</v>
      </c>
      <c r="AO34" s="79">
        <v>7</v>
      </c>
      <c r="DU34" s="1">
        <v>0.6</v>
      </c>
      <c r="DV34" s="121">
        <v>11.333333333333334</v>
      </c>
      <c r="DW34" s="79">
        <v>7</v>
      </c>
      <c r="DX34" s="79">
        <v>11.333333333333334</v>
      </c>
      <c r="DY34" s="79">
        <v>7</v>
      </c>
      <c r="DZ34" s="121">
        <v>15</v>
      </c>
      <c r="EA34" s="79">
        <v>7</v>
      </c>
      <c r="EB34" s="79">
        <v>10</v>
      </c>
      <c r="EC34" s="79">
        <v>7</v>
      </c>
      <c r="ED34" s="121">
        <v>13</v>
      </c>
      <c r="EE34" s="79">
        <v>7</v>
      </c>
      <c r="EF34" s="79">
        <v>10</v>
      </c>
      <c r="EG34" s="79">
        <v>7</v>
      </c>
      <c r="EH34" s="121">
        <v>10.333333333333334</v>
      </c>
      <c r="EI34" s="79">
        <v>7</v>
      </c>
      <c r="EJ34" s="79">
        <v>13.333333333333334</v>
      </c>
      <c r="EK34" s="79">
        <v>7</v>
      </c>
      <c r="EL34" s="79">
        <v>14.333333333333334</v>
      </c>
      <c r="EM34" s="79">
        <v>7</v>
      </c>
      <c r="EN34" s="79">
        <v>12.666666666666666</v>
      </c>
      <c r="EO34" s="79">
        <v>7</v>
      </c>
    </row>
    <row r="35" spans="1:225">
      <c r="A35" s="1" t="s">
        <v>725</v>
      </c>
      <c r="B35" s="3">
        <v>13</v>
      </c>
      <c r="C35" t="s">
        <v>286</v>
      </c>
      <c r="D35" s="3">
        <v>26</v>
      </c>
      <c r="E35" t="s">
        <v>19</v>
      </c>
      <c r="F35" s="3">
        <v>4</v>
      </c>
      <c r="G35" s="3"/>
      <c r="U35" s="1">
        <v>0.7</v>
      </c>
      <c r="V35" s="121">
        <v>12.333333333333334</v>
      </c>
      <c r="W35" s="79">
        <v>8</v>
      </c>
      <c r="X35" s="79">
        <v>12</v>
      </c>
      <c r="Y35" s="79">
        <v>8</v>
      </c>
      <c r="Z35" s="121">
        <v>15.666666666666666</v>
      </c>
      <c r="AA35" s="79">
        <v>8</v>
      </c>
      <c r="AB35" s="79">
        <v>10.666666666666666</v>
      </c>
      <c r="AC35" s="79">
        <v>8</v>
      </c>
      <c r="AD35" s="121">
        <v>13.666666666666666</v>
      </c>
      <c r="AE35" s="79">
        <v>8</v>
      </c>
      <c r="AF35" s="79">
        <v>11</v>
      </c>
      <c r="AG35" s="79">
        <v>8</v>
      </c>
      <c r="AH35" s="121">
        <v>11</v>
      </c>
      <c r="AI35" s="79">
        <v>8</v>
      </c>
      <c r="AJ35" s="79">
        <v>14</v>
      </c>
      <c r="AK35" s="79">
        <v>8</v>
      </c>
      <c r="AL35" s="79">
        <v>15</v>
      </c>
      <c r="AM35" s="79">
        <v>8</v>
      </c>
      <c r="AN35" s="79">
        <v>13.666666666666666</v>
      </c>
      <c r="AO35" s="79">
        <v>8</v>
      </c>
      <c r="DU35" s="1">
        <v>0.7</v>
      </c>
      <c r="DV35" s="121">
        <v>12.333333333333334</v>
      </c>
      <c r="DW35" s="79">
        <v>8</v>
      </c>
      <c r="DX35" s="79">
        <v>12</v>
      </c>
      <c r="DY35" s="79">
        <v>8</v>
      </c>
      <c r="DZ35" s="121">
        <v>15.666666666666666</v>
      </c>
      <c r="EA35" s="79">
        <v>8</v>
      </c>
      <c r="EB35" s="79">
        <v>10.666666666666666</v>
      </c>
      <c r="EC35" s="79">
        <v>8</v>
      </c>
      <c r="ED35" s="121">
        <v>13.666666666666666</v>
      </c>
      <c r="EE35" s="79">
        <v>8</v>
      </c>
      <c r="EF35" s="79">
        <v>11</v>
      </c>
      <c r="EG35" s="79">
        <v>8</v>
      </c>
      <c r="EH35" s="121">
        <v>11</v>
      </c>
      <c r="EI35" s="79">
        <v>8</v>
      </c>
      <c r="EJ35" s="79">
        <v>14</v>
      </c>
      <c r="EK35" s="79">
        <v>8</v>
      </c>
      <c r="EL35" s="79">
        <v>15</v>
      </c>
      <c r="EM35" s="79">
        <v>8</v>
      </c>
      <c r="EN35" s="79">
        <v>13.666666666666666</v>
      </c>
      <c r="EO35" s="79">
        <v>8</v>
      </c>
    </row>
    <row r="36" spans="1:225">
      <c r="A36" s="1" t="s">
        <v>726</v>
      </c>
      <c r="B36" s="3">
        <v>14</v>
      </c>
      <c r="C36" t="s">
        <v>158</v>
      </c>
      <c r="D36" s="3">
        <v>27</v>
      </c>
      <c r="E36" t="s">
        <v>19</v>
      </c>
      <c r="F36" s="3">
        <v>4</v>
      </c>
      <c r="G36" s="3"/>
      <c r="U36" s="1">
        <v>0.8</v>
      </c>
      <c r="V36" s="121">
        <v>13.133333333333345</v>
      </c>
      <c r="W36" s="79">
        <v>9</v>
      </c>
      <c r="X36" s="79">
        <v>13</v>
      </c>
      <c r="Y36" s="79">
        <v>9</v>
      </c>
      <c r="Z36" s="121">
        <v>16.333333333333332</v>
      </c>
      <c r="AA36" s="79">
        <v>9</v>
      </c>
      <c r="AB36" s="79">
        <v>11.666666666666666</v>
      </c>
      <c r="AC36" s="79">
        <v>9</v>
      </c>
      <c r="AD36" s="121">
        <v>14.666666666666666</v>
      </c>
      <c r="AE36" s="79">
        <v>9</v>
      </c>
      <c r="AF36" s="79">
        <v>12</v>
      </c>
      <c r="AG36" s="79">
        <v>9</v>
      </c>
      <c r="AH36" s="121">
        <v>12</v>
      </c>
      <c r="AI36" s="79">
        <v>9</v>
      </c>
      <c r="AJ36" s="79">
        <v>14.666666666666666</v>
      </c>
      <c r="AK36" s="79">
        <v>9</v>
      </c>
      <c r="AL36" s="79">
        <v>15.666666666666666</v>
      </c>
      <c r="AM36" s="79">
        <v>9</v>
      </c>
      <c r="AN36" s="79">
        <v>14.333333333333334</v>
      </c>
      <c r="AO36" s="79">
        <v>9</v>
      </c>
      <c r="DU36" s="1">
        <v>0.8</v>
      </c>
      <c r="DV36" s="121">
        <v>13.133333333333345</v>
      </c>
      <c r="DW36" s="79">
        <v>9</v>
      </c>
      <c r="DX36" s="79">
        <v>13</v>
      </c>
      <c r="DY36" s="79">
        <v>9</v>
      </c>
      <c r="DZ36" s="121">
        <v>16.333333333333332</v>
      </c>
      <c r="EA36" s="79">
        <v>9</v>
      </c>
      <c r="EB36" s="79">
        <v>11.666666666666666</v>
      </c>
      <c r="EC36" s="79">
        <v>9</v>
      </c>
      <c r="ED36" s="121">
        <v>14.666666666666666</v>
      </c>
      <c r="EE36" s="79">
        <v>9</v>
      </c>
      <c r="EF36" s="79">
        <v>12</v>
      </c>
      <c r="EG36" s="79">
        <v>9</v>
      </c>
      <c r="EH36" s="121">
        <v>12</v>
      </c>
      <c r="EI36" s="79">
        <v>9</v>
      </c>
      <c r="EJ36" s="79">
        <v>14.666666666666666</v>
      </c>
      <c r="EK36" s="79">
        <v>9</v>
      </c>
      <c r="EL36" s="79">
        <v>15.666666666666666</v>
      </c>
      <c r="EM36" s="79">
        <v>9</v>
      </c>
      <c r="EN36" s="79">
        <v>14.333333333333334</v>
      </c>
      <c r="EO36" s="79">
        <v>9</v>
      </c>
    </row>
    <row r="37" spans="1:225">
      <c r="A37" s="1" t="s">
        <v>727</v>
      </c>
      <c r="B37" s="3">
        <v>14</v>
      </c>
      <c r="C37" t="s">
        <v>240</v>
      </c>
      <c r="D37" s="3">
        <v>28</v>
      </c>
      <c r="E37" t="s">
        <v>19</v>
      </c>
      <c r="F37" s="3">
        <v>3</v>
      </c>
      <c r="G37" s="3"/>
      <c r="U37" s="1">
        <v>0.9</v>
      </c>
      <c r="V37" s="121">
        <v>14</v>
      </c>
      <c r="W37" s="79">
        <v>10</v>
      </c>
      <c r="X37" s="79">
        <v>14</v>
      </c>
      <c r="Y37" s="79">
        <v>10</v>
      </c>
      <c r="Z37" s="121">
        <v>17.333333333333332</v>
      </c>
      <c r="AA37" s="79">
        <v>10</v>
      </c>
      <c r="AB37" s="79">
        <v>13</v>
      </c>
      <c r="AC37" s="79">
        <v>10</v>
      </c>
      <c r="AD37" s="121">
        <v>16</v>
      </c>
      <c r="AE37" s="79">
        <v>10</v>
      </c>
      <c r="AF37" s="79">
        <v>13.666666666666666</v>
      </c>
      <c r="AG37" s="79">
        <v>10</v>
      </c>
      <c r="AH37" s="121">
        <v>13.333333333333334</v>
      </c>
      <c r="AI37" s="79">
        <v>10</v>
      </c>
      <c r="AJ37" s="79">
        <v>16</v>
      </c>
      <c r="AK37" s="79">
        <v>10</v>
      </c>
      <c r="AL37" s="79">
        <v>16.666666666666668</v>
      </c>
      <c r="AM37" s="79">
        <v>10</v>
      </c>
      <c r="AN37" s="79">
        <v>15.666666666666666</v>
      </c>
      <c r="AO37" s="79">
        <v>10</v>
      </c>
      <c r="DU37" s="1">
        <v>0.9</v>
      </c>
      <c r="DV37" s="121">
        <v>14</v>
      </c>
      <c r="DW37" s="79">
        <v>10</v>
      </c>
      <c r="DX37" s="79">
        <v>14</v>
      </c>
      <c r="DY37" s="79">
        <v>10</v>
      </c>
      <c r="DZ37" s="121">
        <v>17.333333333333332</v>
      </c>
      <c r="EA37" s="79">
        <v>10</v>
      </c>
      <c r="EB37" s="79">
        <v>13</v>
      </c>
      <c r="EC37" s="79">
        <v>10</v>
      </c>
      <c r="ED37" s="121">
        <v>16</v>
      </c>
      <c r="EE37" s="79">
        <v>10</v>
      </c>
      <c r="EF37" s="79">
        <v>13.666666666666666</v>
      </c>
      <c r="EG37" s="79">
        <v>10</v>
      </c>
      <c r="EH37" s="121">
        <v>13.333333333333334</v>
      </c>
      <c r="EI37" s="79">
        <v>10</v>
      </c>
      <c r="EJ37" s="79">
        <v>16</v>
      </c>
      <c r="EK37" s="79">
        <v>10</v>
      </c>
      <c r="EL37" s="79">
        <v>16.666666666666668</v>
      </c>
      <c r="EM37" s="79">
        <v>10</v>
      </c>
      <c r="EN37" s="79">
        <v>15.666666666666666</v>
      </c>
      <c r="EO37" s="79">
        <v>10</v>
      </c>
    </row>
    <row r="38" spans="1:225">
      <c r="A38" s="1" t="s">
        <v>728</v>
      </c>
      <c r="B38" s="3">
        <v>15</v>
      </c>
      <c r="C38" s="170" t="s">
        <v>115</v>
      </c>
      <c r="D38" s="3">
        <v>29</v>
      </c>
      <c r="E38" t="s">
        <v>19</v>
      </c>
      <c r="F38" s="3">
        <v>3</v>
      </c>
      <c r="G38" s="3"/>
      <c r="AP38" s="79"/>
    </row>
    <row r="39" spans="1:225">
      <c r="A39" s="1" t="s">
        <v>729</v>
      </c>
      <c r="B39" s="3">
        <v>15</v>
      </c>
      <c r="C39" t="s">
        <v>212</v>
      </c>
      <c r="D39" s="3">
        <v>30</v>
      </c>
      <c r="E39" t="s">
        <v>19</v>
      </c>
      <c r="F39" s="3">
        <v>3</v>
      </c>
      <c r="G39" s="3"/>
      <c r="DT39" s="120" t="s">
        <v>1068</v>
      </c>
      <c r="DU39" s="171" t="s">
        <v>1069</v>
      </c>
      <c r="DV39" s="119"/>
      <c r="DW39" s="119"/>
      <c r="DX39" s="119"/>
      <c r="DY39" s="119"/>
      <c r="DZ39" s="119"/>
      <c r="EA39" s="119"/>
      <c r="EB39" s="119"/>
      <c r="EC39" s="119"/>
      <c r="ED39" s="119"/>
      <c r="EE39" s="119"/>
      <c r="EF39" s="119"/>
      <c r="EG39" s="119"/>
      <c r="EH39" s="119"/>
      <c r="EI39" s="119"/>
      <c r="EJ39" s="119"/>
      <c r="EK39" s="119"/>
      <c r="EL39" s="119"/>
      <c r="EM39" s="119"/>
      <c r="EN39" s="119"/>
      <c r="EO39" s="119"/>
      <c r="EP39" s="119"/>
      <c r="EQ39" s="119"/>
      <c r="ER39" s="119"/>
      <c r="ES39" s="119"/>
      <c r="ET39" s="119"/>
      <c r="EU39" s="119"/>
      <c r="EV39" s="119"/>
      <c r="EW39" s="119"/>
      <c r="EX39" s="119"/>
      <c r="EY39" s="119"/>
      <c r="EZ39" s="119"/>
      <c r="FA39" s="119"/>
      <c r="FB39" s="119"/>
      <c r="FC39" s="119"/>
      <c r="FD39" s="119"/>
      <c r="FE39" s="119"/>
      <c r="FF39" s="119"/>
      <c r="FG39" s="119"/>
      <c r="FH39" s="119"/>
      <c r="FI39" s="119"/>
      <c r="FJ39" s="119"/>
      <c r="FK39" s="119"/>
      <c r="FL39" s="119"/>
      <c r="FM39" s="119"/>
      <c r="FN39" s="119"/>
      <c r="FO39" s="119"/>
      <c r="FP39" s="119"/>
      <c r="FQ39" s="119"/>
      <c r="FR39" s="119"/>
      <c r="FS39" s="119"/>
      <c r="FT39" s="119"/>
      <c r="FU39" s="119"/>
      <c r="FV39" s="119"/>
      <c r="FW39" s="119"/>
      <c r="FX39" s="119"/>
      <c r="FY39" s="119"/>
      <c r="FZ39" s="119"/>
      <c r="GA39" s="119"/>
      <c r="GB39" s="119"/>
      <c r="GC39" s="119"/>
      <c r="GD39" s="119"/>
      <c r="GE39" s="119"/>
      <c r="GF39" s="119"/>
      <c r="GG39" s="119"/>
      <c r="GH39" s="119"/>
      <c r="GI39" s="119"/>
      <c r="GJ39" s="119"/>
      <c r="GK39" s="119"/>
      <c r="GL39" s="119"/>
      <c r="GM39" s="119"/>
      <c r="GN39" s="119"/>
      <c r="GO39" s="119"/>
      <c r="GP39" s="119"/>
      <c r="GQ39" s="119"/>
      <c r="GR39" s="119"/>
      <c r="GS39" s="119"/>
      <c r="GT39" s="119"/>
      <c r="GU39" s="119"/>
      <c r="GV39" s="119"/>
      <c r="GW39" s="119"/>
      <c r="GX39" s="119"/>
      <c r="GY39" s="119"/>
      <c r="GZ39" s="119"/>
      <c r="HA39" s="119"/>
      <c r="HB39" s="119"/>
      <c r="HC39" s="119"/>
      <c r="HD39" s="119"/>
      <c r="HE39" s="119"/>
      <c r="HF39" s="119"/>
      <c r="HG39" s="119"/>
      <c r="HH39" s="119"/>
      <c r="HI39" s="119"/>
      <c r="HJ39" s="119"/>
      <c r="HK39" s="119"/>
      <c r="HL39" s="119"/>
      <c r="HM39" s="119"/>
    </row>
    <row r="40" spans="1:225">
      <c r="A40" s="1" t="s">
        <v>730</v>
      </c>
      <c r="B40" s="3">
        <v>16</v>
      </c>
      <c r="C40" t="s">
        <v>138</v>
      </c>
      <c r="D40" s="3">
        <v>31</v>
      </c>
      <c r="E40" t="s">
        <v>19</v>
      </c>
      <c r="F40" s="3">
        <v>4</v>
      </c>
      <c r="G40" s="3"/>
      <c r="DU40" s="2"/>
      <c r="DV40" s="119" t="s">
        <v>186</v>
      </c>
      <c r="DW40" s="119"/>
      <c r="DX40" s="119" t="s">
        <v>306</v>
      </c>
      <c r="DY40" s="119"/>
      <c r="DZ40" s="119" t="s">
        <v>142</v>
      </c>
      <c r="EA40" s="119"/>
      <c r="EB40" s="119" t="s">
        <v>546</v>
      </c>
      <c r="EC40" s="119"/>
      <c r="ED40" s="119" t="s">
        <v>22</v>
      </c>
      <c r="EE40" s="119"/>
      <c r="EF40" s="119" t="s">
        <v>161</v>
      </c>
      <c r="EG40" s="119"/>
      <c r="EH40" s="119" t="s">
        <v>48</v>
      </c>
      <c r="EI40" s="119"/>
      <c r="EJ40" s="119" t="s">
        <v>179</v>
      </c>
      <c r="EK40" s="119"/>
      <c r="EL40" s="119" t="s">
        <v>563</v>
      </c>
      <c r="EM40" s="119"/>
      <c r="EN40" s="119" t="s">
        <v>41</v>
      </c>
      <c r="EO40" s="119"/>
      <c r="EP40" s="119" t="s">
        <v>113</v>
      </c>
      <c r="EQ40" s="119"/>
      <c r="ER40" s="119" t="s">
        <v>238</v>
      </c>
      <c r="ES40" s="119"/>
      <c r="ET40" s="119" t="s">
        <v>399</v>
      </c>
      <c r="EU40" s="119"/>
      <c r="EV40" s="119" t="s">
        <v>180</v>
      </c>
      <c r="EW40" s="119"/>
      <c r="EX40" s="119" t="s">
        <v>564</v>
      </c>
      <c r="EY40" s="119"/>
      <c r="EZ40" s="119" t="s">
        <v>16</v>
      </c>
      <c r="FA40" s="119"/>
      <c r="FB40" s="119" t="s">
        <v>135</v>
      </c>
      <c r="FC40" s="119"/>
      <c r="FD40" s="119" t="s">
        <v>217</v>
      </c>
      <c r="FE40" s="119"/>
      <c r="FF40" s="119" t="s">
        <v>130</v>
      </c>
      <c r="FG40" s="119"/>
      <c r="FH40" s="119" t="s">
        <v>62</v>
      </c>
      <c r="FI40" s="119"/>
      <c r="FJ40" s="119" t="s">
        <v>244</v>
      </c>
      <c r="FK40" s="119"/>
      <c r="FL40" s="119" t="s">
        <v>197</v>
      </c>
      <c r="FM40" s="119"/>
      <c r="FN40" s="119" t="s">
        <v>117</v>
      </c>
      <c r="FO40" s="119"/>
      <c r="FP40" s="119" t="s">
        <v>302</v>
      </c>
      <c r="FQ40" s="119"/>
      <c r="FR40" s="119" t="s">
        <v>269</v>
      </c>
      <c r="FS40" s="119"/>
      <c r="FT40" s="119" t="s">
        <v>125</v>
      </c>
      <c r="FU40" s="119"/>
      <c r="FV40" s="119" t="s">
        <v>445</v>
      </c>
      <c r="FW40" s="119"/>
      <c r="FX40" s="119" t="s">
        <v>27</v>
      </c>
      <c r="FY40" s="119"/>
      <c r="FZ40" s="119" t="s">
        <v>103</v>
      </c>
      <c r="GA40" s="119"/>
      <c r="GB40" s="119" t="s">
        <v>184</v>
      </c>
      <c r="GC40" s="119"/>
      <c r="GD40" s="119" t="s">
        <v>565</v>
      </c>
      <c r="GE40" s="119"/>
      <c r="GF40" s="119" t="s">
        <v>566</v>
      </c>
      <c r="GG40" s="119"/>
      <c r="GH40" s="119" t="s">
        <v>567</v>
      </c>
      <c r="GI40" s="119"/>
      <c r="GJ40" s="119" t="s">
        <v>105</v>
      </c>
      <c r="GK40" s="119"/>
      <c r="GL40" s="119" t="s">
        <v>182</v>
      </c>
      <c r="GM40" s="119"/>
      <c r="GN40" s="119" t="s">
        <v>313</v>
      </c>
      <c r="GO40" s="119"/>
      <c r="GP40" s="119" t="s">
        <v>266</v>
      </c>
      <c r="GQ40" s="119"/>
      <c r="GR40" s="119" t="s">
        <v>29</v>
      </c>
      <c r="GS40" s="119"/>
      <c r="GT40" s="119" t="s">
        <v>155</v>
      </c>
      <c r="GU40" s="119"/>
      <c r="GV40" s="119" t="s">
        <v>320</v>
      </c>
      <c r="GW40" s="119"/>
      <c r="GX40" s="119" t="s">
        <v>282</v>
      </c>
      <c r="GY40" s="119"/>
      <c r="GZ40" s="119" t="s">
        <v>258</v>
      </c>
      <c r="HA40" s="119"/>
      <c r="HB40" s="119" t="s">
        <v>568</v>
      </c>
      <c r="HC40" s="119"/>
      <c r="HD40" s="119" t="s">
        <v>54</v>
      </c>
      <c r="HE40" s="119"/>
      <c r="HF40" s="119" t="s">
        <v>401</v>
      </c>
      <c r="HG40" s="119"/>
      <c r="HH40" s="119" t="s">
        <v>192</v>
      </c>
      <c r="HI40" s="119"/>
      <c r="HJ40" s="119" t="s">
        <v>400</v>
      </c>
      <c r="HK40" s="119"/>
      <c r="HL40" s="119" t="s">
        <v>289</v>
      </c>
      <c r="HM40" s="119"/>
      <c r="HN40" s="119" t="s">
        <v>453</v>
      </c>
      <c r="HO40" s="119"/>
    </row>
    <row r="41" spans="1:225">
      <c r="A41" s="1" t="s">
        <v>731</v>
      </c>
      <c r="B41" s="3">
        <v>16</v>
      </c>
      <c r="C41" t="s">
        <v>344</v>
      </c>
      <c r="D41" s="3">
        <v>32</v>
      </c>
      <c r="E41" t="s">
        <v>19</v>
      </c>
      <c r="F41" s="3">
        <v>3</v>
      </c>
      <c r="G41" s="3"/>
      <c r="DU41" s="1">
        <v>0</v>
      </c>
      <c r="DV41" s="3">
        <v>0</v>
      </c>
      <c r="DW41" s="79">
        <v>1</v>
      </c>
      <c r="DX41" s="3">
        <v>0</v>
      </c>
      <c r="DY41" s="79">
        <v>1</v>
      </c>
      <c r="DZ41" s="3">
        <v>0</v>
      </c>
      <c r="EA41" s="79">
        <v>1</v>
      </c>
      <c r="EB41" s="3">
        <v>0</v>
      </c>
      <c r="EC41" s="79">
        <v>1</v>
      </c>
      <c r="ED41" s="3">
        <v>0</v>
      </c>
      <c r="EE41" s="79">
        <v>1</v>
      </c>
      <c r="EF41" s="3">
        <v>0</v>
      </c>
      <c r="EG41" s="79">
        <v>1</v>
      </c>
      <c r="EH41" s="3">
        <v>0</v>
      </c>
      <c r="EI41" s="79">
        <v>1</v>
      </c>
      <c r="EJ41" s="3">
        <v>0</v>
      </c>
      <c r="EK41" s="79">
        <v>1</v>
      </c>
      <c r="EL41" s="3">
        <v>0</v>
      </c>
      <c r="EM41" s="79">
        <v>1</v>
      </c>
      <c r="EN41" s="3">
        <v>0</v>
      </c>
      <c r="EO41" s="79">
        <v>1</v>
      </c>
      <c r="EP41" s="3">
        <v>0</v>
      </c>
      <c r="EQ41" s="79">
        <v>1</v>
      </c>
      <c r="ER41" s="3">
        <v>0</v>
      </c>
      <c r="ES41" s="79">
        <v>1</v>
      </c>
      <c r="ET41" s="3">
        <v>0</v>
      </c>
      <c r="EU41" s="79">
        <v>1</v>
      </c>
      <c r="EV41" s="3">
        <v>0</v>
      </c>
      <c r="EW41" s="79">
        <v>1</v>
      </c>
      <c r="EX41" s="3">
        <v>0</v>
      </c>
      <c r="EY41" s="79">
        <v>1</v>
      </c>
      <c r="EZ41" s="3">
        <v>0</v>
      </c>
      <c r="FA41" s="79">
        <v>1</v>
      </c>
      <c r="FB41" s="3">
        <v>0</v>
      </c>
      <c r="FC41" s="79">
        <v>1</v>
      </c>
      <c r="FD41" s="3">
        <v>0</v>
      </c>
      <c r="FE41" s="79">
        <v>1</v>
      </c>
      <c r="FF41" s="3">
        <v>0</v>
      </c>
      <c r="FG41" s="79">
        <v>1</v>
      </c>
      <c r="FH41" s="3">
        <v>0</v>
      </c>
      <c r="FI41" s="79">
        <v>1</v>
      </c>
      <c r="FJ41" s="3">
        <v>0</v>
      </c>
      <c r="FK41" s="79">
        <v>1</v>
      </c>
      <c r="FL41" s="3">
        <v>0</v>
      </c>
      <c r="FM41" s="79">
        <v>1</v>
      </c>
      <c r="FN41" s="3">
        <v>0</v>
      </c>
      <c r="FO41" s="79">
        <v>1</v>
      </c>
      <c r="FP41" s="3">
        <v>0</v>
      </c>
      <c r="FQ41" s="79">
        <v>1</v>
      </c>
      <c r="FR41" s="3">
        <v>0</v>
      </c>
      <c r="FS41" s="79">
        <v>1</v>
      </c>
      <c r="FT41" s="3">
        <v>0</v>
      </c>
      <c r="FU41" s="79">
        <v>1</v>
      </c>
      <c r="FV41" s="3">
        <v>0</v>
      </c>
      <c r="FW41" s="79">
        <v>1</v>
      </c>
      <c r="FX41" s="3">
        <v>0</v>
      </c>
      <c r="FY41" s="79">
        <v>1</v>
      </c>
      <c r="FZ41" s="3">
        <v>0</v>
      </c>
      <c r="GA41" s="79">
        <v>1</v>
      </c>
      <c r="GB41" s="3">
        <v>0</v>
      </c>
      <c r="GC41" s="79">
        <v>1</v>
      </c>
      <c r="GD41" s="3">
        <v>0</v>
      </c>
      <c r="GE41" s="79">
        <v>1</v>
      </c>
      <c r="GF41" s="3">
        <v>0</v>
      </c>
      <c r="GG41" s="79">
        <v>1</v>
      </c>
      <c r="GH41" s="3">
        <v>0</v>
      </c>
      <c r="GI41" s="79">
        <v>1</v>
      </c>
      <c r="GJ41" s="3">
        <v>0</v>
      </c>
      <c r="GK41" s="79">
        <v>1</v>
      </c>
      <c r="GL41" s="3">
        <v>0</v>
      </c>
      <c r="GM41" s="79">
        <v>1</v>
      </c>
      <c r="GN41" s="3">
        <v>0</v>
      </c>
      <c r="GO41" s="79">
        <v>1</v>
      </c>
      <c r="GP41" s="3">
        <v>0</v>
      </c>
      <c r="GQ41" s="79">
        <v>1</v>
      </c>
      <c r="GR41" s="3">
        <v>0</v>
      </c>
      <c r="GS41" s="79">
        <v>1</v>
      </c>
      <c r="GT41" s="3">
        <v>0</v>
      </c>
      <c r="GU41" s="79">
        <v>1</v>
      </c>
      <c r="GV41" s="3">
        <v>0</v>
      </c>
      <c r="GW41" s="79">
        <v>1</v>
      </c>
      <c r="GX41" s="3">
        <v>0</v>
      </c>
      <c r="GY41" s="79">
        <v>1</v>
      </c>
      <c r="GZ41" s="3">
        <v>0</v>
      </c>
      <c r="HA41" s="79">
        <v>1</v>
      </c>
      <c r="HB41" s="3">
        <v>0</v>
      </c>
      <c r="HC41" s="79">
        <v>1</v>
      </c>
      <c r="HD41" s="3">
        <v>0</v>
      </c>
      <c r="HE41" s="79">
        <v>1</v>
      </c>
      <c r="HF41" s="3">
        <v>0</v>
      </c>
      <c r="HG41" s="79">
        <v>1</v>
      </c>
      <c r="HH41" s="3">
        <v>0</v>
      </c>
      <c r="HI41" s="79">
        <v>1</v>
      </c>
      <c r="HJ41" s="3">
        <v>0</v>
      </c>
      <c r="HK41" s="79">
        <v>1</v>
      </c>
      <c r="HL41" s="3">
        <v>0</v>
      </c>
      <c r="HM41" s="79">
        <v>1</v>
      </c>
      <c r="HN41" s="3">
        <v>0</v>
      </c>
      <c r="HO41" s="79">
        <v>1</v>
      </c>
    </row>
    <row r="42" spans="1:225">
      <c r="A42" s="1" t="s">
        <v>732</v>
      </c>
      <c r="B42" s="3">
        <v>17</v>
      </c>
      <c r="C42" s="170" t="s">
        <v>215</v>
      </c>
      <c r="D42" s="3">
        <v>33</v>
      </c>
      <c r="E42" t="s">
        <v>19</v>
      </c>
      <c r="F42" s="3">
        <v>2</v>
      </c>
      <c r="G42" s="3"/>
      <c r="DU42" s="1">
        <v>0.1</v>
      </c>
      <c r="DV42" s="11">
        <v>7</v>
      </c>
      <c r="DW42" s="79">
        <v>2</v>
      </c>
      <c r="DX42" s="11">
        <v>3</v>
      </c>
      <c r="DY42" s="79">
        <v>2</v>
      </c>
      <c r="DZ42" s="11">
        <v>4</v>
      </c>
      <c r="EA42" s="79">
        <v>2</v>
      </c>
      <c r="EB42" s="11">
        <v>8</v>
      </c>
      <c r="EC42" s="79">
        <v>2</v>
      </c>
      <c r="ED42" s="11">
        <v>6.3000000000000043</v>
      </c>
      <c r="EE42" s="79">
        <v>2</v>
      </c>
      <c r="EF42" s="11">
        <v>6</v>
      </c>
      <c r="EG42" s="79">
        <v>2</v>
      </c>
      <c r="EH42" s="11">
        <v>9</v>
      </c>
      <c r="EI42" s="79">
        <v>2</v>
      </c>
      <c r="EJ42" s="11">
        <v>6</v>
      </c>
      <c r="EK42" s="79">
        <v>2</v>
      </c>
      <c r="EL42" s="11">
        <v>9</v>
      </c>
      <c r="EM42" s="79">
        <v>2</v>
      </c>
      <c r="EN42" s="11">
        <v>5</v>
      </c>
      <c r="EO42" s="79">
        <v>2</v>
      </c>
      <c r="EP42" s="11">
        <v>4</v>
      </c>
      <c r="EQ42" s="79">
        <v>2</v>
      </c>
      <c r="ER42" s="11">
        <v>4</v>
      </c>
      <c r="ES42" s="79">
        <v>2</v>
      </c>
      <c r="ET42" s="11">
        <v>2</v>
      </c>
      <c r="EU42" s="79">
        <v>2</v>
      </c>
      <c r="EV42" s="11">
        <v>9</v>
      </c>
      <c r="EW42" s="79">
        <v>2</v>
      </c>
      <c r="EX42" s="11">
        <v>6</v>
      </c>
      <c r="EY42" s="79">
        <v>2</v>
      </c>
      <c r="EZ42" s="11">
        <v>8</v>
      </c>
      <c r="FA42" s="79">
        <v>2</v>
      </c>
      <c r="FB42" s="11">
        <v>7</v>
      </c>
      <c r="FC42" s="79">
        <v>2</v>
      </c>
      <c r="FD42" s="11">
        <v>3</v>
      </c>
      <c r="FE42" s="79">
        <v>2</v>
      </c>
      <c r="FF42" s="11">
        <v>5</v>
      </c>
      <c r="FG42" s="79">
        <v>2</v>
      </c>
      <c r="FH42" s="11">
        <v>10</v>
      </c>
      <c r="FI42" s="79">
        <v>2</v>
      </c>
      <c r="FJ42" s="11">
        <v>4</v>
      </c>
      <c r="FK42" s="79">
        <v>2</v>
      </c>
      <c r="FL42" s="11">
        <v>7</v>
      </c>
      <c r="FM42" s="79">
        <v>2</v>
      </c>
      <c r="FN42" s="11">
        <v>3</v>
      </c>
      <c r="FO42" s="79">
        <v>2</v>
      </c>
      <c r="FP42" s="11">
        <v>2</v>
      </c>
      <c r="FQ42" s="79">
        <v>2</v>
      </c>
      <c r="FR42" s="11">
        <v>7</v>
      </c>
      <c r="FS42" s="79">
        <v>2</v>
      </c>
      <c r="FT42" s="11">
        <v>9</v>
      </c>
      <c r="FU42" s="79">
        <v>2</v>
      </c>
      <c r="FV42" s="11">
        <v>8</v>
      </c>
      <c r="FW42" s="79">
        <v>2</v>
      </c>
      <c r="FX42" s="11">
        <v>2</v>
      </c>
      <c r="FY42" s="79">
        <v>2</v>
      </c>
      <c r="FZ42" s="240">
        <v>2</v>
      </c>
      <c r="GA42" s="79">
        <v>2</v>
      </c>
      <c r="GB42" s="11">
        <v>4</v>
      </c>
      <c r="GC42" s="79">
        <v>2</v>
      </c>
      <c r="GD42" s="11">
        <v>4</v>
      </c>
      <c r="GE42" s="79">
        <v>2</v>
      </c>
      <c r="GF42" s="11">
        <v>7</v>
      </c>
      <c r="GG42" s="79">
        <v>2</v>
      </c>
      <c r="GH42" s="11">
        <v>4</v>
      </c>
      <c r="GI42" s="79">
        <v>2</v>
      </c>
      <c r="GJ42" s="11">
        <v>8</v>
      </c>
      <c r="GK42" s="79">
        <v>2</v>
      </c>
      <c r="GL42" s="11">
        <v>7</v>
      </c>
      <c r="GM42" s="79">
        <v>2</v>
      </c>
      <c r="GN42" s="11">
        <v>7</v>
      </c>
      <c r="GO42" s="79">
        <v>2</v>
      </c>
      <c r="GP42" s="11">
        <v>8</v>
      </c>
      <c r="GQ42" s="79">
        <v>2</v>
      </c>
      <c r="GR42" s="11">
        <v>7</v>
      </c>
      <c r="GS42" s="79">
        <v>2</v>
      </c>
      <c r="GT42" s="11">
        <v>8</v>
      </c>
      <c r="GU42" s="79">
        <v>2</v>
      </c>
      <c r="GV42" s="11">
        <v>3</v>
      </c>
      <c r="GW42" s="79">
        <v>2</v>
      </c>
      <c r="GX42" s="11">
        <v>3.3000000000000043</v>
      </c>
      <c r="GY42" s="79">
        <v>2</v>
      </c>
      <c r="GZ42" s="11">
        <v>3</v>
      </c>
      <c r="HA42" s="79">
        <v>2</v>
      </c>
      <c r="HB42" s="11">
        <v>5</v>
      </c>
      <c r="HC42" s="79">
        <v>2</v>
      </c>
      <c r="HD42" s="11">
        <v>3</v>
      </c>
      <c r="HE42" s="79">
        <v>2</v>
      </c>
      <c r="HF42" s="11">
        <v>7</v>
      </c>
      <c r="HG42" s="79">
        <v>2</v>
      </c>
      <c r="HH42" s="11">
        <v>2</v>
      </c>
      <c r="HI42" s="79">
        <v>2</v>
      </c>
      <c r="HJ42" s="11">
        <v>7</v>
      </c>
      <c r="HK42" s="79">
        <v>2</v>
      </c>
      <c r="HL42" s="11">
        <v>3</v>
      </c>
      <c r="HM42" s="79">
        <v>2</v>
      </c>
      <c r="HN42" s="11">
        <v>3</v>
      </c>
      <c r="HO42" s="79">
        <v>2</v>
      </c>
    </row>
    <row r="43" spans="1:225" ht="15.6">
      <c r="A43" s="1" t="s">
        <v>733</v>
      </c>
      <c r="B43" s="3">
        <v>17</v>
      </c>
      <c r="C43" t="s">
        <v>1039</v>
      </c>
      <c r="D43" s="3">
        <v>34</v>
      </c>
      <c r="E43" t="s">
        <v>19</v>
      </c>
      <c r="F43" s="3">
        <v>3</v>
      </c>
      <c r="G43" s="3"/>
      <c r="T43" s="1" t="s">
        <v>596</v>
      </c>
      <c r="U43" s="155" t="s">
        <v>629</v>
      </c>
      <c r="V43" s="155" t="s">
        <v>619</v>
      </c>
      <c r="W43" s="155" t="s">
        <v>630</v>
      </c>
      <c r="X43" s="155" t="s">
        <v>631</v>
      </c>
      <c r="Y43" s="155" t="s">
        <v>632</v>
      </c>
      <c r="Z43" s="155" t="s">
        <v>633</v>
      </c>
      <c r="AA43" s="155" t="s">
        <v>634</v>
      </c>
      <c r="AB43" s="155" t="s">
        <v>635</v>
      </c>
      <c r="AC43" s="155" t="s">
        <v>636</v>
      </c>
      <c r="AD43" s="155" t="s">
        <v>637</v>
      </c>
      <c r="AE43" s="155" t="s">
        <v>638</v>
      </c>
      <c r="AF43" s="155" t="s">
        <v>639</v>
      </c>
      <c r="AG43" s="155" t="s">
        <v>640</v>
      </c>
      <c r="AH43" s="156" t="s">
        <v>641</v>
      </c>
      <c r="AI43" s="156" t="s">
        <v>642</v>
      </c>
      <c r="AJ43" s="156" t="s">
        <v>643</v>
      </c>
      <c r="AK43" s="156" t="s">
        <v>644</v>
      </c>
      <c r="AL43" s="156" t="s">
        <v>645</v>
      </c>
      <c r="AM43" s="157" t="s">
        <v>646</v>
      </c>
      <c r="AN43" s="156" t="s">
        <v>647</v>
      </c>
      <c r="AO43" s="156" t="s">
        <v>648</v>
      </c>
      <c r="AP43" s="156" t="s">
        <v>649</v>
      </c>
      <c r="AQ43" s="156" t="s">
        <v>650</v>
      </c>
      <c r="AR43" s="156" t="s">
        <v>651</v>
      </c>
      <c r="AS43" s="156" t="s">
        <v>652</v>
      </c>
      <c r="AT43" s="156" t="s">
        <v>653</v>
      </c>
      <c r="AU43" s="156" t="s">
        <v>654</v>
      </c>
      <c r="AV43" s="157" t="s">
        <v>655</v>
      </c>
      <c r="AW43" s="156" t="s">
        <v>656</v>
      </c>
      <c r="AX43" s="156" t="s">
        <v>657</v>
      </c>
      <c r="AY43" s="156" t="s">
        <v>658</v>
      </c>
      <c r="AZ43" s="156" t="s">
        <v>659</v>
      </c>
      <c r="BA43" s="156" t="s">
        <v>660</v>
      </c>
      <c r="BB43" s="156" t="s">
        <v>661</v>
      </c>
      <c r="BC43" s="156" t="s">
        <v>662</v>
      </c>
      <c r="BD43" s="156" t="s">
        <v>663</v>
      </c>
      <c r="BE43" s="156" t="s">
        <v>664</v>
      </c>
      <c r="BF43" s="156" t="s">
        <v>665</v>
      </c>
      <c r="BG43" s="156" t="s">
        <v>666</v>
      </c>
      <c r="BH43" s="156" t="s">
        <v>667</v>
      </c>
      <c r="BI43" s="156" t="s">
        <v>668</v>
      </c>
      <c r="BJ43" s="156" t="s">
        <v>669</v>
      </c>
      <c r="BK43" s="156" t="s">
        <v>670</v>
      </c>
      <c r="DU43" s="1">
        <v>0.2</v>
      </c>
      <c r="DV43" s="11">
        <v>9</v>
      </c>
      <c r="DW43" s="79">
        <v>3</v>
      </c>
      <c r="DX43" s="11">
        <v>4</v>
      </c>
      <c r="DY43" s="79">
        <v>3</v>
      </c>
      <c r="DZ43" s="11">
        <v>6</v>
      </c>
      <c r="EA43" s="79">
        <v>3</v>
      </c>
      <c r="EB43" s="11">
        <v>10</v>
      </c>
      <c r="EC43" s="79">
        <v>3</v>
      </c>
      <c r="ED43" s="11">
        <v>9</v>
      </c>
      <c r="EE43" s="79">
        <v>3</v>
      </c>
      <c r="EF43" s="11">
        <v>8</v>
      </c>
      <c r="EG43" s="79">
        <v>3</v>
      </c>
      <c r="EH43" s="11">
        <v>11</v>
      </c>
      <c r="EI43" s="79">
        <v>3</v>
      </c>
      <c r="EJ43" s="11">
        <v>7</v>
      </c>
      <c r="EK43" s="79">
        <v>3</v>
      </c>
      <c r="EL43" s="11">
        <v>11</v>
      </c>
      <c r="EM43" s="79">
        <v>3</v>
      </c>
      <c r="EN43" s="11">
        <v>6</v>
      </c>
      <c r="EO43" s="79">
        <v>3</v>
      </c>
      <c r="EP43" s="11">
        <v>6</v>
      </c>
      <c r="EQ43" s="79">
        <v>3</v>
      </c>
      <c r="ER43" s="11">
        <v>6</v>
      </c>
      <c r="ES43" s="79">
        <v>3</v>
      </c>
      <c r="ET43" s="11">
        <v>5</v>
      </c>
      <c r="EU43" s="79">
        <v>3</v>
      </c>
      <c r="EV43" s="11">
        <v>11</v>
      </c>
      <c r="EW43" s="79">
        <v>3</v>
      </c>
      <c r="EX43" s="11">
        <v>8</v>
      </c>
      <c r="EY43" s="79">
        <v>3</v>
      </c>
      <c r="EZ43" s="11">
        <v>10</v>
      </c>
      <c r="FA43" s="79">
        <v>3</v>
      </c>
      <c r="FB43" s="11">
        <v>9</v>
      </c>
      <c r="FC43" s="79">
        <v>3</v>
      </c>
      <c r="FD43" s="11">
        <v>5</v>
      </c>
      <c r="FE43" s="79">
        <v>3</v>
      </c>
      <c r="FF43" s="11">
        <v>7</v>
      </c>
      <c r="FG43" s="79">
        <v>3</v>
      </c>
      <c r="FH43" s="11">
        <v>12</v>
      </c>
      <c r="FI43" s="79">
        <v>3</v>
      </c>
      <c r="FJ43" s="11">
        <v>6</v>
      </c>
      <c r="FK43" s="79">
        <v>3</v>
      </c>
      <c r="FL43" s="11">
        <v>9</v>
      </c>
      <c r="FM43" s="79">
        <v>3</v>
      </c>
      <c r="FN43" s="11">
        <v>5</v>
      </c>
      <c r="FO43" s="79">
        <v>3</v>
      </c>
      <c r="FP43" s="11">
        <v>4</v>
      </c>
      <c r="FQ43" s="79">
        <v>3</v>
      </c>
      <c r="FR43" s="11">
        <v>9</v>
      </c>
      <c r="FS43" s="79">
        <v>3</v>
      </c>
      <c r="FT43" s="11">
        <v>11</v>
      </c>
      <c r="FU43" s="79">
        <v>3</v>
      </c>
      <c r="FV43" s="11">
        <v>10</v>
      </c>
      <c r="FW43" s="79">
        <v>3</v>
      </c>
      <c r="FX43" s="11">
        <v>5</v>
      </c>
      <c r="FY43" s="79">
        <v>3</v>
      </c>
      <c r="FZ43" s="241">
        <v>2</v>
      </c>
      <c r="GA43" s="79">
        <v>3</v>
      </c>
      <c r="GB43" s="11">
        <v>6</v>
      </c>
      <c r="GC43" s="79">
        <v>3</v>
      </c>
      <c r="GD43" s="11">
        <v>5</v>
      </c>
      <c r="GE43" s="79">
        <v>3</v>
      </c>
      <c r="GF43" s="11">
        <v>8</v>
      </c>
      <c r="GG43" s="79">
        <v>3</v>
      </c>
      <c r="GH43" s="11">
        <v>6.6000000000000085</v>
      </c>
      <c r="GI43" s="79">
        <v>3</v>
      </c>
      <c r="GJ43" s="11">
        <v>10</v>
      </c>
      <c r="GK43" s="79">
        <v>3</v>
      </c>
      <c r="GL43" s="11">
        <v>8.6000000000000085</v>
      </c>
      <c r="GM43" s="79">
        <v>3</v>
      </c>
      <c r="GN43" s="11">
        <v>10</v>
      </c>
      <c r="GO43" s="79">
        <v>3</v>
      </c>
      <c r="GP43" s="11">
        <v>10</v>
      </c>
      <c r="GQ43" s="79">
        <v>3</v>
      </c>
      <c r="GR43" s="11">
        <v>10</v>
      </c>
      <c r="GS43" s="79">
        <v>3</v>
      </c>
      <c r="GT43" s="11">
        <v>10</v>
      </c>
      <c r="GU43" s="79">
        <v>3</v>
      </c>
      <c r="GV43" s="11">
        <v>5</v>
      </c>
      <c r="GW43" s="79">
        <v>3</v>
      </c>
      <c r="GX43" s="11">
        <v>6</v>
      </c>
      <c r="GY43" s="79">
        <v>3</v>
      </c>
      <c r="GZ43" s="11">
        <v>5</v>
      </c>
      <c r="HA43" s="79">
        <v>3</v>
      </c>
      <c r="HB43" s="11">
        <v>6</v>
      </c>
      <c r="HC43" s="79">
        <v>3</v>
      </c>
      <c r="HD43" s="11">
        <v>5</v>
      </c>
      <c r="HE43" s="79">
        <v>3</v>
      </c>
      <c r="HF43" s="11">
        <v>9</v>
      </c>
      <c r="HG43" s="79">
        <v>3</v>
      </c>
      <c r="HH43" s="11">
        <v>5</v>
      </c>
      <c r="HI43" s="79">
        <v>3</v>
      </c>
      <c r="HJ43" s="11">
        <v>9.6000000000000085</v>
      </c>
      <c r="HK43" s="79">
        <v>3</v>
      </c>
      <c r="HL43" s="11">
        <v>5</v>
      </c>
      <c r="HM43" s="79">
        <v>3</v>
      </c>
      <c r="HN43" s="11">
        <v>5</v>
      </c>
      <c r="HO43" s="79">
        <v>3</v>
      </c>
    </row>
    <row r="44" spans="1:225">
      <c r="A44" s="1" t="s">
        <v>734</v>
      </c>
      <c r="B44" s="3">
        <v>18</v>
      </c>
      <c r="C44" t="s">
        <v>207</v>
      </c>
      <c r="D44" s="3">
        <v>35</v>
      </c>
      <c r="E44" t="s">
        <v>19</v>
      </c>
      <c r="F44" s="3">
        <v>3</v>
      </c>
      <c r="G44" s="3"/>
      <c r="O44" s="128" t="s">
        <v>573</v>
      </c>
      <c r="P44" s="129" t="s">
        <v>579</v>
      </c>
      <c r="T44" s="7" t="s">
        <v>186</v>
      </c>
      <c r="U44" s="3">
        <v>9</v>
      </c>
      <c r="V44" s="3">
        <v>10</v>
      </c>
      <c r="W44" s="3">
        <v>10</v>
      </c>
      <c r="X44" s="3">
        <v>10</v>
      </c>
      <c r="Y44" s="3">
        <v>10</v>
      </c>
      <c r="Z44" s="79">
        <v>10</v>
      </c>
      <c r="AA44" s="3">
        <v>10</v>
      </c>
      <c r="AB44" s="3">
        <v>9</v>
      </c>
      <c r="AC44" s="3">
        <v>9</v>
      </c>
      <c r="AD44" s="3">
        <v>10</v>
      </c>
      <c r="AE44" s="79">
        <v>9</v>
      </c>
      <c r="AF44" s="3">
        <v>10</v>
      </c>
      <c r="AG44" s="3">
        <v>10</v>
      </c>
      <c r="AH44" s="3">
        <v>9</v>
      </c>
      <c r="AI44" s="3">
        <v>10</v>
      </c>
      <c r="AJ44" s="3">
        <v>9</v>
      </c>
      <c r="AK44" s="3">
        <v>10</v>
      </c>
      <c r="AL44" s="3">
        <v>10</v>
      </c>
      <c r="AM44" s="3">
        <v>10</v>
      </c>
      <c r="AN44" s="3">
        <v>10</v>
      </c>
      <c r="AO44" s="3">
        <v>10</v>
      </c>
      <c r="AP44" s="3">
        <v>10</v>
      </c>
      <c r="AQ44" s="3">
        <v>9</v>
      </c>
      <c r="AR44" s="3">
        <v>10</v>
      </c>
      <c r="AS44" s="3">
        <v>10</v>
      </c>
      <c r="AT44" s="3">
        <v>10</v>
      </c>
      <c r="AU44" s="3">
        <v>7</v>
      </c>
      <c r="AV44" s="3">
        <v>9</v>
      </c>
      <c r="AW44" s="3">
        <v>10</v>
      </c>
      <c r="AX44" s="3">
        <v>7</v>
      </c>
      <c r="AY44" s="3">
        <v>10</v>
      </c>
      <c r="AZ44" s="3">
        <v>10</v>
      </c>
      <c r="BA44" s="3">
        <v>10</v>
      </c>
      <c r="BB44" s="3">
        <v>9</v>
      </c>
      <c r="BC44" s="3">
        <v>10</v>
      </c>
      <c r="BD44" s="3">
        <v>9</v>
      </c>
      <c r="BE44" s="3">
        <v>10</v>
      </c>
      <c r="BF44" s="3">
        <v>10</v>
      </c>
      <c r="BG44" s="3">
        <v>7</v>
      </c>
      <c r="BH44" s="3">
        <v>6</v>
      </c>
      <c r="BI44" s="3">
        <v>9</v>
      </c>
      <c r="BJ44" s="3">
        <v>8</v>
      </c>
      <c r="BK44" s="3">
        <v>10</v>
      </c>
      <c r="DU44" s="1">
        <v>0.3</v>
      </c>
      <c r="DV44" s="11">
        <v>10</v>
      </c>
      <c r="DW44" s="79">
        <v>4</v>
      </c>
      <c r="DX44" s="11">
        <v>6</v>
      </c>
      <c r="DY44" s="79">
        <v>4</v>
      </c>
      <c r="DZ44" s="11">
        <v>8</v>
      </c>
      <c r="EA44" s="79">
        <v>4</v>
      </c>
      <c r="EB44" s="11">
        <v>12</v>
      </c>
      <c r="EC44" s="79">
        <v>4</v>
      </c>
      <c r="ED44" s="11">
        <v>10</v>
      </c>
      <c r="EE44" s="79">
        <v>4</v>
      </c>
      <c r="EF44" s="11">
        <v>9</v>
      </c>
      <c r="EG44" s="79">
        <v>4</v>
      </c>
      <c r="EH44" s="11">
        <v>13</v>
      </c>
      <c r="EI44" s="79">
        <v>4</v>
      </c>
      <c r="EJ44" s="11">
        <v>9</v>
      </c>
      <c r="EK44" s="79">
        <v>4</v>
      </c>
      <c r="EL44" s="11">
        <v>13</v>
      </c>
      <c r="EM44" s="79">
        <v>4</v>
      </c>
      <c r="EN44" s="11">
        <v>8</v>
      </c>
      <c r="EO44" s="79">
        <v>4</v>
      </c>
      <c r="EP44" s="11">
        <v>8</v>
      </c>
      <c r="EQ44" s="79">
        <v>4</v>
      </c>
      <c r="ER44" s="11">
        <v>8</v>
      </c>
      <c r="ES44" s="79">
        <v>4</v>
      </c>
      <c r="ET44" s="11">
        <v>6</v>
      </c>
      <c r="EU44" s="79">
        <v>4</v>
      </c>
      <c r="EV44" s="11">
        <v>12</v>
      </c>
      <c r="EW44" s="79">
        <v>4</v>
      </c>
      <c r="EX44" s="11">
        <v>9</v>
      </c>
      <c r="EY44" s="79">
        <v>4</v>
      </c>
      <c r="EZ44" s="11">
        <v>11</v>
      </c>
      <c r="FA44" s="79">
        <v>4</v>
      </c>
      <c r="FB44" s="11">
        <v>11</v>
      </c>
      <c r="FC44" s="79">
        <v>4</v>
      </c>
      <c r="FD44" s="11">
        <v>6</v>
      </c>
      <c r="FE44" s="79">
        <v>4</v>
      </c>
      <c r="FF44" s="11">
        <v>9</v>
      </c>
      <c r="FG44" s="79">
        <v>4</v>
      </c>
      <c r="FH44" s="11">
        <v>13</v>
      </c>
      <c r="FI44" s="79">
        <v>4</v>
      </c>
      <c r="FJ44" s="11">
        <v>7</v>
      </c>
      <c r="FK44" s="79">
        <v>4</v>
      </c>
      <c r="FL44" s="11">
        <v>10</v>
      </c>
      <c r="FM44" s="79">
        <v>4</v>
      </c>
      <c r="FN44" s="11">
        <v>6</v>
      </c>
      <c r="FO44" s="79">
        <v>4</v>
      </c>
      <c r="FP44" s="11">
        <v>6</v>
      </c>
      <c r="FQ44" s="79">
        <v>4</v>
      </c>
      <c r="FR44" s="11">
        <v>11</v>
      </c>
      <c r="FS44" s="79">
        <v>4</v>
      </c>
      <c r="FT44" s="11">
        <v>13</v>
      </c>
      <c r="FU44" s="79">
        <v>4</v>
      </c>
      <c r="FV44" s="11">
        <v>11.899999999999991</v>
      </c>
      <c r="FW44" s="79">
        <v>4</v>
      </c>
      <c r="FX44" s="11">
        <v>7</v>
      </c>
      <c r="FY44" s="79">
        <v>4</v>
      </c>
      <c r="FZ44" s="11">
        <v>4</v>
      </c>
      <c r="GA44" s="79">
        <v>4</v>
      </c>
      <c r="GB44" s="11">
        <v>7</v>
      </c>
      <c r="GC44" s="79">
        <v>4</v>
      </c>
      <c r="GD44" s="11">
        <v>7</v>
      </c>
      <c r="GE44" s="79">
        <v>4</v>
      </c>
      <c r="GF44" s="11">
        <v>10</v>
      </c>
      <c r="GG44" s="79">
        <v>4</v>
      </c>
      <c r="GH44" s="11">
        <v>8</v>
      </c>
      <c r="GI44" s="79">
        <v>4</v>
      </c>
      <c r="GJ44" s="11">
        <v>11</v>
      </c>
      <c r="GK44" s="79">
        <v>4</v>
      </c>
      <c r="GL44" s="11">
        <v>10</v>
      </c>
      <c r="GM44" s="79">
        <v>4</v>
      </c>
      <c r="GN44" s="11">
        <v>11</v>
      </c>
      <c r="GO44" s="79">
        <v>4</v>
      </c>
      <c r="GP44" s="11">
        <v>12</v>
      </c>
      <c r="GQ44" s="79">
        <v>4</v>
      </c>
      <c r="GR44" s="11">
        <v>11</v>
      </c>
      <c r="GS44" s="79">
        <v>4</v>
      </c>
      <c r="GT44" s="11">
        <v>12</v>
      </c>
      <c r="GU44" s="79">
        <v>4</v>
      </c>
      <c r="GV44" s="11">
        <v>6</v>
      </c>
      <c r="GW44" s="79">
        <v>4</v>
      </c>
      <c r="GX44" s="11">
        <v>8</v>
      </c>
      <c r="GY44" s="79">
        <v>4</v>
      </c>
      <c r="GZ44" s="11">
        <v>7</v>
      </c>
      <c r="HA44" s="79">
        <v>4</v>
      </c>
      <c r="HB44" s="11">
        <v>7</v>
      </c>
      <c r="HC44" s="79">
        <v>4</v>
      </c>
      <c r="HD44" s="11">
        <v>6</v>
      </c>
      <c r="HE44" s="79">
        <v>4</v>
      </c>
      <c r="HF44" s="11">
        <v>10</v>
      </c>
      <c r="HG44" s="79">
        <v>4</v>
      </c>
      <c r="HH44" s="11">
        <v>6</v>
      </c>
      <c r="HI44" s="79">
        <v>4</v>
      </c>
      <c r="HJ44" s="11">
        <v>11</v>
      </c>
      <c r="HK44" s="79">
        <v>4</v>
      </c>
      <c r="HL44" s="11">
        <v>6</v>
      </c>
      <c r="HM44" s="79">
        <v>4</v>
      </c>
      <c r="HN44" s="11">
        <v>6</v>
      </c>
      <c r="HO44" s="79">
        <v>4</v>
      </c>
    </row>
    <row r="45" spans="1:225">
      <c r="A45" s="1" t="s">
        <v>735</v>
      </c>
      <c r="B45" s="3">
        <v>18</v>
      </c>
      <c r="C45" s="169" t="s">
        <v>79</v>
      </c>
      <c r="D45" s="3">
        <v>36</v>
      </c>
      <c r="E45" t="s">
        <v>19</v>
      </c>
      <c r="F45" s="3">
        <v>2</v>
      </c>
      <c r="G45" s="3"/>
      <c r="O45" s="128" t="s">
        <v>574</v>
      </c>
      <c r="P45" s="129" t="s">
        <v>580</v>
      </c>
      <c r="T45" s="7" t="s">
        <v>306</v>
      </c>
      <c r="U45" s="3">
        <v>9</v>
      </c>
      <c r="V45" s="3">
        <v>7</v>
      </c>
      <c r="W45" s="3">
        <v>9</v>
      </c>
      <c r="X45" s="3">
        <v>8</v>
      </c>
      <c r="Y45" s="3">
        <v>9</v>
      </c>
      <c r="Z45" s="79">
        <v>7</v>
      </c>
      <c r="AA45" s="3">
        <v>7</v>
      </c>
      <c r="AB45" s="3">
        <v>8</v>
      </c>
      <c r="AC45" s="3">
        <v>9</v>
      </c>
      <c r="AD45" s="3">
        <v>8</v>
      </c>
      <c r="AE45" s="79">
        <v>7</v>
      </c>
      <c r="AF45" s="3">
        <v>8</v>
      </c>
      <c r="AG45" s="3">
        <v>7</v>
      </c>
      <c r="AH45" s="3">
        <v>8</v>
      </c>
      <c r="AI45" s="3">
        <v>8</v>
      </c>
      <c r="AJ45" s="3">
        <v>9</v>
      </c>
      <c r="AK45" s="3">
        <v>9</v>
      </c>
      <c r="AL45" s="3">
        <v>9</v>
      </c>
      <c r="AM45" s="3">
        <v>7</v>
      </c>
      <c r="AN45" s="3">
        <v>5</v>
      </c>
      <c r="AO45" s="3">
        <v>7</v>
      </c>
      <c r="AP45" s="3">
        <v>3</v>
      </c>
      <c r="AQ45" s="3">
        <v>6</v>
      </c>
      <c r="AR45" s="3">
        <v>7</v>
      </c>
      <c r="AS45" s="3">
        <v>7</v>
      </c>
      <c r="AT45" s="3">
        <v>9</v>
      </c>
      <c r="AU45" s="3">
        <v>8</v>
      </c>
      <c r="AV45" s="3">
        <v>5</v>
      </c>
      <c r="AW45" s="3">
        <v>7</v>
      </c>
      <c r="AX45" s="3">
        <v>10</v>
      </c>
      <c r="AY45" s="3">
        <v>7</v>
      </c>
      <c r="AZ45" s="3">
        <v>7</v>
      </c>
      <c r="BA45" s="3">
        <v>7</v>
      </c>
      <c r="BB45" s="3">
        <v>8</v>
      </c>
      <c r="BC45" s="3">
        <v>7</v>
      </c>
      <c r="BD45" s="3">
        <v>7</v>
      </c>
      <c r="BE45" s="3">
        <v>8</v>
      </c>
      <c r="BF45" s="3">
        <v>10</v>
      </c>
      <c r="BG45" s="3">
        <v>9</v>
      </c>
      <c r="BH45" s="3">
        <v>9</v>
      </c>
      <c r="BI45" s="3">
        <v>7</v>
      </c>
      <c r="BJ45" s="3">
        <v>8</v>
      </c>
      <c r="BK45" s="3">
        <v>5</v>
      </c>
      <c r="DU45" s="1">
        <v>0.4</v>
      </c>
      <c r="DV45" s="240">
        <v>12</v>
      </c>
      <c r="DW45" s="79">
        <v>5</v>
      </c>
      <c r="DX45" s="11">
        <v>7</v>
      </c>
      <c r="DY45" s="79">
        <v>5</v>
      </c>
      <c r="DZ45" s="11">
        <v>9</v>
      </c>
      <c r="EA45" s="79">
        <v>5</v>
      </c>
      <c r="EB45" s="11">
        <v>13</v>
      </c>
      <c r="EC45" s="79">
        <v>5</v>
      </c>
      <c r="ED45" s="11">
        <v>11</v>
      </c>
      <c r="EE45" s="79">
        <v>5</v>
      </c>
      <c r="EF45" s="240">
        <v>11</v>
      </c>
      <c r="EG45" s="79">
        <v>5</v>
      </c>
      <c r="EH45" s="11">
        <v>14</v>
      </c>
      <c r="EI45" s="79">
        <v>5</v>
      </c>
      <c r="EJ45" s="11">
        <v>10</v>
      </c>
      <c r="EK45" s="79">
        <v>5</v>
      </c>
      <c r="EL45" s="11">
        <v>14</v>
      </c>
      <c r="EM45" s="79">
        <v>5</v>
      </c>
      <c r="EN45" s="11">
        <v>9</v>
      </c>
      <c r="EO45" s="79">
        <v>5</v>
      </c>
      <c r="EP45" s="11">
        <v>9</v>
      </c>
      <c r="EQ45" s="79">
        <v>5</v>
      </c>
      <c r="ER45" s="11">
        <v>9</v>
      </c>
      <c r="ES45" s="79">
        <v>5</v>
      </c>
      <c r="ET45" s="11">
        <v>8</v>
      </c>
      <c r="EU45" s="79">
        <v>5</v>
      </c>
      <c r="EV45" s="11">
        <v>13</v>
      </c>
      <c r="EW45" s="79">
        <v>5</v>
      </c>
      <c r="EX45" s="11">
        <v>11</v>
      </c>
      <c r="EY45" s="79">
        <v>5</v>
      </c>
      <c r="EZ45" s="11">
        <v>13</v>
      </c>
      <c r="FA45" s="79">
        <v>5</v>
      </c>
      <c r="FB45" s="11">
        <v>13</v>
      </c>
      <c r="FC45" s="79">
        <v>5</v>
      </c>
      <c r="FD45" s="11">
        <v>8</v>
      </c>
      <c r="FE45" s="79">
        <v>5</v>
      </c>
      <c r="FF45" s="11">
        <v>10</v>
      </c>
      <c r="FG45" s="79">
        <v>5</v>
      </c>
      <c r="FH45" s="11">
        <v>14</v>
      </c>
      <c r="FI45" s="79">
        <v>5</v>
      </c>
      <c r="FJ45" s="11">
        <v>9</v>
      </c>
      <c r="FK45" s="79">
        <v>5</v>
      </c>
      <c r="FL45" s="11">
        <v>11</v>
      </c>
      <c r="FM45" s="79">
        <v>5</v>
      </c>
      <c r="FN45" s="11">
        <v>7</v>
      </c>
      <c r="FO45" s="79">
        <v>5</v>
      </c>
      <c r="FP45" s="11">
        <v>7</v>
      </c>
      <c r="FQ45" s="79">
        <v>5</v>
      </c>
      <c r="FR45" s="11">
        <v>12</v>
      </c>
      <c r="FS45" s="79">
        <v>5</v>
      </c>
      <c r="FT45" s="11">
        <v>14</v>
      </c>
      <c r="FU45" s="79">
        <v>5</v>
      </c>
      <c r="FV45" s="11">
        <v>13</v>
      </c>
      <c r="FW45" s="79">
        <v>5</v>
      </c>
      <c r="FX45" s="11">
        <v>8</v>
      </c>
      <c r="FY45" s="79">
        <v>5</v>
      </c>
      <c r="FZ45" s="11">
        <v>5</v>
      </c>
      <c r="GA45" s="79">
        <v>5</v>
      </c>
      <c r="GB45" s="11">
        <v>9</v>
      </c>
      <c r="GC45" s="79">
        <v>5</v>
      </c>
      <c r="GD45" s="240">
        <v>9</v>
      </c>
      <c r="GE45" s="79">
        <v>5</v>
      </c>
      <c r="GF45" s="11">
        <v>11</v>
      </c>
      <c r="GG45" s="79">
        <v>5</v>
      </c>
      <c r="GH45" s="11">
        <v>10</v>
      </c>
      <c r="GI45" s="79">
        <v>5</v>
      </c>
      <c r="GJ45" s="11">
        <v>12</v>
      </c>
      <c r="GK45" s="79">
        <v>5</v>
      </c>
      <c r="GL45" s="11">
        <v>11</v>
      </c>
      <c r="GM45" s="79">
        <v>5</v>
      </c>
      <c r="GN45" s="11">
        <v>13</v>
      </c>
      <c r="GO45" s="79">
        <v>5</v>
      </c>
      <c r="GP45" s="11">
        <v>13</v>
      </c>
      <c r="GQ45" s="79">
        <v>5</v>
      </c>
      <c r="GR45" s="11">
        <v>13</v>
      </c>
      <c r="GS45" s="79">
        <v>5</v>
      </c>
      <c r="GT45" s="11">
        <v>13</v>
      </c>
      <c r="GU45" s="79">
        <v>5</v>
      </c>
      <c r="GV45" s="11">
        <v>7</v>
      </c>
      <c r="GW45" s="79">
        <v>5</v>
      </c>
      <c r="GX45" s="11">
        <v>9</v>
      </c>
      <c r="GY45" s="79">
        <v>5</v>
      </c>
      <c r="GZ45" s="11">
        <v>8</v>
      </c>
      <c r="HA45" s="79">
        <v>5</v>
      </c>
      <c r="HB45" s="11">
        <v>9</v>
      </c>
      <c r="HC45" s="79">
        <v>5</v>
      </c>
      <c r="HD45" s="11">
        <v>7</v>
      </c>
      <c r="HE45" s="79">
        <v>5</v>
      </c>
      <c r="HF45" s="11">
        <v>11</v>
      </c>
      <c r="HG45" s="79">
        <v>5</v>
      </c>
      <c r="HH45" s="11">
        <v>7</v>
      </c>
      <c r="HI45" s="79">
        <v>5</v>
      </c>
      <c r="HJ45" s="11">
        <v>12</v>
      </c>
      <c r="HK45" s="79">
        <v>5</v>
      </c>
      <c r="HL45" s="240">
        <v>8</v>
      </c>
      <c r="HM45" s="79">
        <v>5</v>
      </c>
      <c r="HN45" s="11">
        <v>7</v>
      </c>
      <c r="HO45" s="79">
        <v>5</v>
      </c>
    </row>
    <row r="46" spans="1:225">
      <c r="A46" s="1" t="s">
        <v>736</v>
      </c>
      <c r="B46" s="3">
        <v>19</v>
      </c>
      <c r="C46" t="s">
        <v>202</v>
      </c>
      <c r="D46" s="3">
        <v>37</v>
      </c>
      <c r="E46" t="s">
        <v>19</v>
      </c>
      <c r="F46" s="3">
        <v>4</v>
      </c>
      <c r="G46" s="3"/>
      <c r="O46" s="128" t="s">
        <v>575</v>
      </c>
      <c r="P46" s="129" t="s">
        <v>581</v>
      </c>
      <c r="T46" s="7" t="s">
        <v>142</v>
      </c>
      <c r="U46" s="3">
        <v>6</v>
      </c>
      <c r="V46" s="3">
        <v>5</v>
      </c>
      <c r="W46" s="3">
        <v>5</v>
      </c>
      <c r="X46" s="3">
        <v>4</v>
      </c>
      <c r="Y46" s="3">
        <v>4</v>
      </c>
      <c r="Z46" s="79">
        <v>8</v>
      </c>
      <c r="AA46" s="3">
        <v>10</v>
      </c>
      <c r="AB46" s="3">
        <v>4</v>
      </c>
      <c r="AC46" s="3">
        <v>4</v>
      </c>
      <c r="AD46" s="3">
        <v>6</v>
      </c>
      <c r="AE46" s="79">
        <v>4</v>
      </c>
      <c r="AF46" s="3">
        <v>6</v>
      </c>
      <c r="AG46" s="3">
        <v>4</v>
      </c>
      <c r="AH46" s="3">
        <v>6</v>
      </c>
      <c r="AI46" s="3">
        <v>6</v>
      </c>
      <c r="AJ46" s="3">
        <v>2</v>
      </c>
      <c r="AK46" s="3">
        <v>7</v>
      </c>
      <c r="AL46" s="3">
        <v>4</v>
      </c>
      <c r="AM46" s="3">
        <v>7</v>
      </c>
      <c r="AN46" s="3">
        <v>7</v>
      </c>
      <c r="AO46" s="3">
        <v>5</v>
      </c>
      <c r="AP46" s="3">
        <v>7</v>
      </c>
      <c r="AQ46" s="3">
        <v>6</v>
      </c>
      <c r="AR46" s="3">
        <v>5</v>
      </c>
      <c r="AS46" s="3">
        <v>3</v>
      </c>
      <c r="AT46" s="3">
        <v>5</v>
      </c>
      <c r="AU46" s="3">
        <v>4</v>
      </c>
      <c r="AV46" s="3">
        <v>4</v>
      </c>
      <c r="AW46" s="3">
        <v>6</v>
      </c>
      <c r="AX46" s="3">
        <v>6</v>
      </c>
      <c r="AY46" s="3">
        <v>5</v>
      </c>
      <c r="AZ46" s="3">
        <v>5</v>
      </c>
      <c r="BA46" s="3">
        <v>6</v>
      </c>
      <c r="BB46" s="3">
        <v>5</v>
      </c>
      <c r="BC46" s="3">
        <v>8</v>
      </c>
      <c r="BD46" s="3">
        <v>4</v>
      </c>
      <c r="BE46" s="3">
        <v>4</v>
      </c>
      <c r="BF46" s="3">
        <v>5</v>
      </c>
      <c r="BG46" s="3">
        <v>6</v>
      </c>
      <c r="BH46" s="3">
        <v>6</v>
      </c>
      <c r="BI46" s="3">
        <v>3</v>
      </c>
      <c r="BJ46" s="3">
        <v>4</v>
      </c>
      <c r="BK46" s="3">
        <v>7</v>
      </c>
      <c r="DU46" s="1">
        <v>0.5</v>
      </c>
      <c r="DV46" s="241">
        <v>12</v>
      </c>
      <c r="DW46" s="79">
        <v>6</v>
      </c>
      <c r="DX46" s="11">
        <v>8</v>
      </c>
      <c r="DY46" s="79">
        <v>6</v>
      </c>
      <c r="DZ46" s="11">
        <v>10.5</v>
      </c>
      <c r="EA46" s="79">
        <v>6</v>
      </c>
      <c r="EB46" s="11">
        <v>14</v>
      </c>
      <c r="EC46" s="79">
        <v>6</v>
      </c>
      <c r="ED46" s="11">
        <v>12</v>
      </c>
      <c r="EE46" s="79">
        <v>6</v>
      </c>
      <c r="EF46" s="241">
        <v>11</v>
      </c>
      <c r="EG46" s="79">
        <v>6</v>
      </c>
      <c r="EH46" s="11">
        <v>15</v>
      </c>
      <c r="EI46" s="79">
        <v>6</v>
      </c>
      <c r="EJ46" s="11">
        <v>11</v>
      </c>
      <c r="EK46" s="79">
        <v>6</v>
      </c>
      <c r="EL46" s="11">
        <v>16</v>
      </c>
      <c r="EM46" s="79">
        <v>6</v>
      </c>
      <c r="EN46" s="11">
        <v>10</v>
      </c>
      <c r="EO46" s="79">
        <v>6</v>
      </c>
      <c r="EP46" s="240">
        <v>11</v>
      </c>
      <c r="EQ46" s="79">
        <v>6</v>
      </c>
      <c r="ER46" s="11">
        <v>11</v>
      </c>
      <c r="ES46" s="79">
        <v>6</v>
      </c>
      <c r="ET46" s="11">
        <v>9</v>
      </c>
      <c r="EU46" s="79">
        <v>6</v>
      </c>
      <c r="EV46" s="11">
        <v>15</v>
      </c>
      <c r="EW46" s="79">
        <v>6</v>
      </c>
      <c r="EX46" s="11">
        <v>12</v>
      </c>
      <c r="EY46" s="79">
        <v>6</v>
      </c>
      <c r="EZ46" s="11">
        <v>14</v>
      </c>
      <c r="FA46" s="79">
        <v>6</v>
      </c>
      <c r="FB46" s="11">
        <v>14</v>
      </c>
      <c r="FC46" s="79">
        <v>6</v>
      </c>
      <c r="FD46" s="11">
        <v>9</v>
      </c>
      <c r="FE46" s="79">
        <v>6</v>
      </c>
      <c r="FF46" s="11">
        <v>11</v>
      </c>
      <c r="FG46" s="79">
        <v>6</v>
      </c>
      <c r="FH46" s="11">
        <v>16</v>
      </c>
      <c r="FI46" s="79">
        <v>6</v>
      </c>
      <c r="FJ46" s="11">
        <v>10</v>
      </c>
      <c r="FK46" s="79">
        <v>6</v>
      </c>
      <c r="FL46" s="11">
        <v>12</v>
      </c>
      <c r="FM46" s="79">
        <v>6</v>
      </c>
      <c r="FN46" s="11">
        <v>8</v>
      </c>
      <c r="FO46" s="79">
        <v>6</v>
      </c>
      <c r="FP46" s="11">
        <v>8</v>
      </c>
      <c r="FQ46" s="79">
        <v>6</v>
      </c>
      <c r="FR46" s="11">
        <v>14</v>
      </c>
      <c r="FS46" s="79">
        <v>6</v>
      </c>
      <c r="FT46" s="11">
        <v>15</v>
      </c>
      <c r="FU46" s="79">
        <v>6</v>
      </c>
      <c r="FV46" s="11">
        <v>14</v>
      </c>
      <c r="FW46" s="79">
        <v>6</v>
      </c>
      <c r="FX46" s="11">
        <v>10</v>
      </c>
      <c r="FY46" s="79">
        <v>6</v>
      </c>
      <c r="FZ46" s="11">
        <v>6.5</v>
      </c>
      <c r="GA46" s="79">
        <v>6</v>
      </c>
      <c r="GB46" s="11">
        <v>10</v>
      </c>
      <c r="GC46" s="79">
        <v>6</v>
      </c>
      <c r="GD46" s="241">
        <v>9</v>
      </c>
      <c r="GE46" s="79">
        <v>6</v>
      </c>
      <c r="GF46" s="11">
        <v>12</v>
      </c>
      <c r="GG46" s="79">
        <v>6</v>
      </c>
      <c r="GH46" s="11">
        <v>11</v>
      </c>
      <c r="GI46" s="79">
        <v>6</v>
      </c>
      <c r="GJ46" s="240">
        <v>14</v>
      </c>
      <c r="GK46" s="79">
        <v>6</v>
      </c>
      <c r="GL46" s="11">
        <v>12</v>
      </c>
      <c r="GM46" s="79">
        <v>6</v>
      </c>
      <c r="GN46" s="11">
        <v>14</v>
      </c>
      <c r="GO46" s="79">
        <v>6</v>
      </c>
      <c r="GP46" s="11">
        <v>14</v>
      </c>
      <c r="GQ46" s="79">
        <v>6</v>
      </c>
      <c r="GR46" s="11">
        <v>14</v>
      </c>
      <c r="GS46" s="79">
        <v>6</v>
      </c>
      <c r="GT46" s="11">
        <v>14</v>
      </c>
      <c r="GU46" s="79">
        <v>6</v>
      </c>
      <c r="GV46" s="11">
        <v>9</v>
      </c>
      <c r="GW46" s="79">
        <v>6</v>
      </c>
      <c r="GX46" s="11">
        <v>10</v>
      </c>
      <c r="GY46" s="79">
        <v>6</v>
      </c>
      <c r="GZ46" s="11">
        <v>9</v>
      </c>
      <c r="HA46" s="79">
        <v>6</v>
      </c>
      <c r="HB46" s="240">
        <v>11</v>
      </c>
      <c r="HC46" s="79">
        <v>6</v>
      </c>
      <c r="HD46" s="11">
        <v>9</v>
      </c>
      <c r="HE46" s="79">
        <v>6</v>
      </c>
      <c r="HF46" s="11">
        <v>12</v>
      </c>
      <c r="HG46" s="79">
        <v>6</v>
      </c>
      <c r="HH46" s="11">
        <v>9</v>
      </c>
      <c r="HI46" s="79">
        <v>6</v>
      </c>
      <c r="HJ46" s="240">
        <v>14</v>
      </c>
      <c r="HK46" s="79">
        <v>6</v>
      </c>
      <c r="HL46" s="241">
        <v>8</v>
      </c>
      <c r="HM46" s="79">
        <v>6</v>
      </c>
      <c r="HN46" s="11">
        <v>9</v>
      </c>
      <c r="HO46" s="79">
        <v>6</v>
      </c>
    </row>
    <row r="47" spans="1:225">
      <c r="A47" s="1" t="s">
        <v>737</v>
      </c>
      <c r="B47" s="3">
        <v>19</v>
      </c>
      <c r="C47" t="s">
        <v>1040</v>
      </c>
      <c r="D47" s="3">
        <v>38</v>
      </c>
      <c r="E47" t="s">
        <v>19</v>
      </c>
      <c r="F47" s="3">
        <v>3</v>
      </c>
      <c r="G47" s="3"/>
      <c r="O47" s="128" t="s">
        <v>576</v>
      </c>
      <c r="P47" s="129" t="s">
        <v>572</v>
      </c>
      <c r="Q47" t="str">
        <f>CONCATENATE("Norma ",P47)</f>
        <v>Norma Global</v>
      </c>
      <c r="T47" s="2" t="s">
        <v>546</v>
      </c>
      <c r="U47" s="3">
        <v>10</v>
      </c>
      <c r="V47" s="3">
        <v>9</v>
      </c>
      <c r="W47" s="3">
        <v>9</v>
      </c>
      <c r="X47" s="3">
        <v>9</v>
      </c>
      <c r="Y47" s="3">
        <v>10</v>
      </c>
      <c r="Z47" s="79">
        <v>9</v>
      </c>
      <c r="AA47" s="3">
        <v>7</v>
      </c>
      <c r="AB47" s="3">
        <v>10</v>
      </c>
      <c r="AC47" s="3">
        <v>10</v>
      </c>
      <c r="AD47" s="3">
        <v>7</v>
      </c>
      <c r="AE47" s="79">
        <v>10</v>
      </c>
      <c r="AF47" s="3">
        <v>9</v>
      </c>
      <c r="AG47" s="3">
        <v>9</v>
      </c>
      <c r="AH47" s="3">
        <v>10</v>
      </c>
      <c r="AI47" s="3">
        <v>8</v>
      </c>
      <c r="AJ47" s="3">
        <v>10</v>
      </c>
      <c r="AK47" s="3">
        <v>10</v>
      </c>
      <c r="AL47" s="3">
        <v>10</v>
      </c>
      <c r="AM47" s="3">
        <v>10</v>
      </c>
      <c r="AN47" s="3">
        <v>10</v>
      </c>
      <c r="AO47" s="3">
        <v>10</v>
      </c>
      <c r="AP47" s="3">
        <v>7</v>
      </c>
      <c r="AQ47" s="3">
        <v>8</v>
      </c>
      <c r="AR47" s="3">
        <v>8</v>
      </c>
      <c r="AS47" s="3">
        <v>9</v>
      </c>
      <c r="AT47" s="3">
        <v>10</v>
      </c>
      <c r="AU47" s="3">
        <v>9</v>
      </c>
      <c r="AV47" s="3">
        <v>7</v>
      </c>
      <c r="AW47" s="3">
        <v>10</v>
      </c>
      <c r="AX47" s="3">
        <v>10</v>
      </c>
      <c r="AY47" s="3">
        <v>7</v>
      </c>
      <c r="AZ47" s="3">
        <v>7</v>
      </c>
      <c r="BA47" s="3">
        <v>9</v>
      </c>
      <c r="BB47" s="3">
        <v>10</v>
      </c>
      <c r="BC47" s="3">
        <v>10</v>
      </c>
      <c r="BD47" s="3">
        <v>9</v>
      </c>
      <c r="BE47" s="3">
        <v>10</v>
      </c>
      <c r="BF47" s="3">
        <v>9</v>
      </c>
      <c r="BG47" s="3">
        <v>9</v>
      </c>
      <c r="BH47" s="3">
        <v>9</v>
      </c>
      <c r="BI47" s="3">
        <v>9</v>
      </c>
      <c r="BJ47" s="3">
        <v>10</v>
      </c>
      <c r="BK47" s="3">
        <v>10</v>
      </c>
      <c r="DU47" s="1">
        <v>0.6</v>
      </c>
      <c r="DV47" s="11">
        <v>14.799999999999983</v>
      </c>
      <c r="DW47" s="79">
        <v>7</v>
      </c>
      <c r="DX47" s="11">
        <v>9</v>
      </c>
      <c r="DY47" s="79">
        <v>7</v>
      </c>
      <c r="DZ47" s="11">
        <v>12</v>
      </c>
      <c r="EA47" s="79">
        <v>7</v>
      </c>
      <c r="EB47" s="11">
        <v>16</v>
      </c>
      <c r="EC47" s="79">
        <v>7</v>
      </c>
      <c r="ED47" s="11">
        <v>13</v>
      </c>
      <c r="EE47" s="79">
        <v>7</v>
      </c>
      <c r="EF47" s="11">
        <v>13</v>
      </c>
      <c r="EG47" s="79">
        <v>7</v>
      </c>
      <c r="EH47" s="11">
        <v>16</v>
      </c>
      <c r="EI47" s="79">
        <v>7</v>
      </c>
      <c r="EJ47" s="11">
        <v>12</v>
      </c>
      <c r="EK47" s="79">
        <v>7</v>
      </c>
      <c r="EL47" s="11">
        <v>17</v>
      </c>
      <c r="EM47" s="79">
        <v>7</v>
      </c>
      <c r="EN47" s="240">
        <v>12</v>
      </c>
      <c r="EO47" s="79">
        <v>7</v>
      </c>
      <c r="EP47" s="241">
        <v>11</v>
      </c>
      <c r="EQ47" s="79">
        <v>7</v>
      </c>
      <c r="ER47" s="11">
        <v>12</v>
      </c>
      <c r="ES47" s="79">
        <v>7</v>
      </c>
      <c r="ET47" s="11">
        <v>10</v>
      </c>
      <c r="EU47" s="79">
        <v>7</v>
      </c>
      <c r="EV47" s="11">
        <v>17</v>
      </c>
      <c r="EW47" s="79">
        <v>7</v>
      </c>
      <c r="EX47" s="11">
        <v>14</v>
      </c>
      <c r="EY47" s="79">
        <v>7</v>
      </c>
      <c r="EZ47" s="11">
        <v>15</v>
      </c>
      <c r="FA47" s="79">
        <v>7</v>
      </c>
      <c r="FB47" s="11">
        <v>16</v>
      </c>
      <c r="FC47" s="79">
        <v>7</v>
      </c>
      <c r="FD47" s="11">
        <v>11</v>
      </c>
      <c r="FE47" s="79">
        <v>7</v>
      </c>
      <c r="FF47" s="11">
        <v>13</v>
      </c>
      <c r="FG47" s="79">
        <v>7</v>
      </c>
      <c r="FH47" s="240">
        <v>17</v>
      </c>
      <c r="FI47" s="79">
        <v>7</v>
      </c>
      <c r="FJ47" s="11">
        <v>11</v>
      </c>
      <c r="FK47" s="79">
        <v>7</v>
      </c>
      <c r="FL47" s="11">
        <v>13</v>
      </c>
      <c r="FM47" s="79">
        <v>7</v>
      </c>
      <c r="FN47" s="11">
        <v>9</v>
      </c>
      <c r="FO47" s="79">
        <v>7</v>
      </c>
      <c r="FP47" s="11">
        <v>9</v>
      </c>
      <c r="FQ47" s="79">
        <v>7</v>
      </c>
      <c r="FR47" s="11">
        <v>15</v>
      </c>
      <c r="FS47" s="79">
        <v>7</v>
      </c>
      <c r="FT47" s="11">
        <v>16</v>
      </c>
      <c r="FU47" s="79">
        <v>7</v>
      </c>
      <c r="FV47" s="11">
        <v>15</v>
      </c>
      <c r="FW47" s="79">
        <v>7</v>
      </c>
      <c r="FX47" s="11">
        <v>12</v>
      </c>
      <c r="FY47" s="79">
        <v>7</v>
      </c>
      <c r="FZ47" s="11">
        <v>8</v>
      </c>
      <c r="GA47" s="79">
        <v>7</v>
      </c>
      <c r="GB47" s="11">
        <v>11</v>
      </c>
      <c r="GC47" s="79">
        <v>7</v>
      </c>
      <c r="GD47" s="11">
        <v>11</v>
      </c>
      <c r="GE47" s="79">
        <v>7</v>
      </c>
      <c r="GF47" s="11">
        <v>13</v>
      </c>
      <c r="GG47" s="79">
        <v>7</v>
      </c>
      <c r="GH47" s="11">
        <v>12</v>
      </c>
      <c r="GI47" s="79">
        <v>7</v>
      </c>
      <c r="GJ47" s="241">
        <v>14</v>
      </c>
      <c r="GK47" s="79">
        <v>7</v>
      </c>
      <c r="GL47" s="11">
        <v>13</v>
      </c>
      <c r="GM47" s="79">
        <v>7</v>
      </c>
      <c r="GN47" s="11">
        <v>15</v>
      </c>
      <c r="GO47" s="79">
        <v>7</v>
      </c>
      <c r="GP47" s="11">
        <v>16</v>
      </c>
      <c r="GQ47" s="79">
        <v>7</v>
      </c>
      <c r="GR47" s="11">
        <v>16</v>
      </c>
      <c r="GS47" s="79">
        <v>7</v>
      </c>
      <c r="GT47" s="240">
        <v>16</v>
      </c>
      <c r="GU47" s="79">
        <v>7</v>
      </c>
      <c r="GV47" s="11">
        <v>10</v>
      </c>
      <c r="GW47" s="79">
        <v>7</v>
      </c>
      <c r="GX47" s="11">
        <v>11</v>
      </c>
      <c r="GY47" s="79">
        <v>7</v>
      </c>
      <c r="GZ47" s="11">
        <v>10</v>
      </c>
      <c r="HA47" s="79">
        <v>7</v>
      </c>
      <c r="HB47" s="241">
        <v>11</v>
      </c>
      <c r="HC47" s="79">
        <v>7</v>
      </c>
      <c r="HD47" s="11">
        <v>10</v>
      </c>
      <c r="HE47" s="79">
        <v>7</v>
      </c>
      <c r="HF47" s="11">
        <v>14</v>
      </c>
      <c r="HG47" s="79">
        <v>7</v>
      </c>
      <c r="HH47" s="11">
        <v>10</v>
      </c>
      <c r="HI47" s="79">
        <v>7</v>
      </c>
      <c r="HJ47" s="241">
        <v>14</v>
      </c>
      <c r="HK47" s="79">
        <v>7</v>
      </c>
      <c r="HL47" s="11">
        <v>10</v>
      </c>
      <c r="HM47" s="79">
        <v>7</v>
      </c>
      <c r="HN47" s="11">
        <v>10</v>
      </c>
      <c r="HO47" s="79">
        <v>7</v>
      </c>
      <c r="HP47" s="1"/>
      <c r="HQ47" s="1"/>
    </row>
    <row r="48" spans="1:225">
      <c r="A48" s="1" t="s">
        <v>738</v>
      </c>
      <c r="B48" s="3">
        <v>20</v>
      </c>
      <c r="C48" t="s">
        <v>1041</v>
      </c>
      <c r="D48" s="3">
        <v>39</v>
      </c>
      <c r="E48" t="s">
        <v>19</v>
      </c>
      <c r="F48" s="3">
        <v>3</v>
      </c>
      <c r="G48" s="3"/>
      <c r="O48" s="128" t="s">
        <v>595</v>
      </c>
      <c r="P48" s="155" t="s">
        <v>629</v>
      </c>
      <c r="T48" s="2" t="s">
        <v>22</v>
      </c>
      <c r="U48" s="3">
        <v>5</v>
      </c>
      <c r="V48" s="3">
        <v>5</v>
      </c>
      <c r="W48" s="3">
        <v>3</v>
      </c>
      <c r="X48" s="3">
        <v>2</v>
      </c>
      <c r="Y48" s="3">
        <v>5</v>
      </c>
      <c r="Z48" s="79">
        <v>8</v>
      </c>
      <c r="AA48" s="3">
        <v>8</v>
      </c>
      <c r="AB48" s="3">
        <v>4</v>
      </c>
      <c r="AC48" s="3">
        <v>4</v>
      </c>
      <c r="AD48" s="3">
        <v>8</v>
      </c>
      <c r="AE48" s="79">
        <v>4</v>
      </c>
      <c r="AF48" s="3">
        <v>5</v>
      </c>
      <c r="AG48" s="3">
        <v>4</v>
      </c>
      <c r="AH48" s="3">
        <v>8</v>
      </c>
      <c r="AI48" s="3">
        <v>6</v>
      </c>
      <c r="AJ48" s="3">
        <v>6</v>
      </c>
      <c r="AK48" s="3">
        <v>4</v>
      </c>
      <c r="AL48" s="3">
        <v>4</v>
      </c>
      <c r="AM48" s="3">
        <v>3</v>
      </c>
      <c r="AN48" s="3">
        <v>5</v>
      </c>
      <c r="AO48" s="3">
        <v>3</v>
      </c>
      <c r="AP48" s="3">
        <v>1</v>
      </c>
      <c r="AQ48" s="3">
        <v>4</v>
      </c>
      <c r="AR48" s="3">
        <v>2</v>
      </c>
      <c r="AS48" s="3">
        <v>3</v>
      </c>
      <c r="AT48" s="3">
        <v>6</v>
      </c>
      <c r="AU48" s="3">
        <v>3</v>
      </c>
      <c r="AV48" s="3">
        <v>1</v>
      </c>
      <c r="AW48" s="3">
        <v>2</v>
      </c>
      <c r="AX48" s="3">
        <v>6</v>
      </c>
      <c r="AY48" s="3">
        <v>4</v>
      </c>
      <c r="AZ48" s="3">
        <v>4</v>
      </c>
      <c r="BA48" s="3">
        <v>4</v>
      </c>
      <c r="BB48" s="3">
        <v>7</v>
      </c>
      <c r="BC48" s="3">
        <v>6</v>
      </c>
      <c r="BD48" s="3">
        <v>4</v>
      </c>
      <c r="BE48" s="3">
        <v>6</v>
      </c>
      <c r="BF48" s="3">
        <v>3</v>
      </c>
      <c r="BG48" s="3">
        <v>7</v>
      </c>
      <c r="BH48" s="3">
        <v>3</v>
      </c>
      <c r="BI48" s="3">
        <v>8</v>
      </c>
      <c r="BJ48" s="3">
        <v>3</v>
      </c>
      <c r="BK48" s="3">
        <v>4</v>
      </c>
      <c r="DU48" s="1">
        <v>0.7</v>
      </c>
      <c r="DV48" s="11">
        <v>16</v>
      </c>
      <c r="DW48" s="79">
        <v>8</v>
      </c>
      <c r="DX48" s="11">
        <v>11</v>
      </c>
      <c r="DY48" s="79">
        <v>8</v>
      </c>
      <c r="DZ48" s="11">
        <v>14</v>
      </c>
      <c r="EA48" s="79">
        <v>8</v>
      </c>
      <c r="EB48" s="11">
        <v>17</v>
      </c>
      <c r="EC48" s="79">
        <v>8</v>
      </c>
      <c r="ED48" s="11">
        <v>14</v>
      </c>
      <c r="EE48" s="79">
        <v>8</v>
      </c>
      <c r="EF48" s="11">
        <v>14</v>
      </c>
      <c r="EG48" s="79">
        <v>8</v>
      </c>
      <c r="EH48" s="11">
        <v>17</v>
      </c>
      <c r="EI48" s="79">
        <v>8</v>
      </c>
      <c r="EJ48" s="11">
        <v>13</v>
      </c>
      <c r="EK48" s="79">
        <v>8</v>
      </c>
      <c r="EL48" s="11">
        <v>18</v>
      </c>
      <c r="EM48" s="79">
        <v>8</v>
      </c>
      <c r="EN48" s="241">
        <v>12</v>
      </c>
      <c r="EO48" s="79">
        <v>8</v>
      </c>
      <c r="EP48" s="11">
        <v>13</v>
      </c>
      <c r="EQ48" s="79">
        <v>8</v>
      </c>
      <c r="ER48" s="11">
        <v>14</v>
      </c>
      <c r="ES48" s="79">
        <v>8</v>
      </c>
      <c r="ET48" s="11">
        <v>12</v>
      </c>
      <c r="EU48" s="79">
        <v>8</v>
      </c>
      <c r="EV48" s="11">
        <v>18</v>
      </c>
      <c r="EW48" s="79">
        <v>8</v>
      </c>
      <c r="EX48" s="11">
        <v>15</v>
      </c>
      <c r="EY48" s="79">
        <v>8</v>
      </c>
      <c r="EZ48" s="11">
        <v>16</v>
      </c>
      <c r="FA48" s="79">
        <v>8</v>
      </c>
      <c r="FB48" s="11">
        <v>17</v>
      </c>
      <c r="FC48" s="79">
        <v>8</v>
      </c>
      <c r="FD48" s="11">
        <v>12</v>
      </c>
      <c r="FE48" s="79">
        <v>8</v>
      </c>
      <c r="FF48" s="11">
        <v>14</v>
      </c>
      <c r="FG48" s="79">
        <v>8</v>
      </c>
      <c r="FH48" s="241">
        <v>17</v>
      </c>
      <c r="FI48" s="79">
        <v>8</v>
      </c>
      <c r="FJ48" s="11">
        <v>12</v>
      </c>
      <c r="FK48" s="79">
        <v>8</v>
      </c>
      <c r="FL48" s="11">
        <v>15</v>
      </c>
      <c r="FM48" s="79">
        <v>8</v>
      </c>
      <c r="FN48" s="11">
        <v>11</v>
      </c>
      <c r="FO48" s="79">
        <v>8</v>
      </c>
      <c r="FP48" s="11">
        <v>11</v>
      </c>
      <c r="FQ48" s="79">
        <v>8</v>
      </c>
      <c r="FR48" s="11">
        <v>16</v>
      </c>
      <c r="FS48" s="79">
        <v>8</v>
      </c>
      <c r="FT48" s="11">
        <v>18</v>
      </c>
      <c r="FU48" s="79">
        <v>8</v>
      </c>
      <c r="FV48" s="11">
        <v>17</v>
      </c>
      <c r="FW48" s="79">
        <v>8</v>
      </c>
      <c r="FX48" s="11">
        <v>14</v>
      </c>
      <c r="FY48" s="79">
        <v>8</v>
      </c>
      <c r="FZ48" s="11">
        <v>10</v>
      </c>
      <c r="GA48" s="79">
        <v>8</v>
      </c>
      <c r="GB48" s="11">
        <v>13</v>
      </c>
      <c r="GC48" s="79">
        <v>8</v>
      </c>
      <c r="GD48" s="11">
        <v>12</v>
      </c>
      <c r="GE48" s="79">
        <v>8</v>
      </c>
      <c r="GF48" s="11">
        <v>14</v>
      </c>
      <c r="GG48" s="79">
        <v>8</v>
      </c>
      <c r="GH48" s="11">
        <v>13</v>
      </c>
      <c r="GI48" s="79">
        <v>8</v>
      </c>
      <c r="GJ48" s="11">
        <v>16</v>
      </c>
      <c r="GK48" s="79">
        <v>8</v>
      </c>
      <c r="GL48" s="11">
        <v>14</v>
      </c>
      <c r="GM48" s="79">
        <v>8</v>
      </c>
      <c r="GN48" s="11">
        <v>16</v>
      </c>
      <c r="GO48" s="79">
        <v>8</v>
      </c>
      <c r="GP48" s="11">
        <v>17</v>
      </c>
      <c r="GQ48" s="79">
        <v>8</v>
      </c>
      <c r="GR48" s="11">
        <v>17</v>
      </c>
      <c r="GS48" s="79">
        <v>8</v>
      </c>
      <c r="GT48" s="241">
        <v>16</v>
      </c>
      <c r="GU48" s="79">
        <v>8</v>
      </c>
      <c r="GV48" s="11">
        <v>12</v>
      </c>
      <c r="GW48" s="79">
        <v>8</v>
      </c>
      <c r="GX48" s="11">
        <v>13</v>
      </c>
      <c r="GY48" s="79">
        <v>8</v>
      </c>
      <c r="GZ48" s="11">
        <v>12</v>
      </c>
      <c r="HA48" s="79">
        <v>8</v>
      </c>
      <c r="HB48" s="11">
        <v>12.099999999999966</v>
      </c>
      <c r="HC48" s="79">
        <v>8</v>
      </c>
      <c r="HD48" s="11">
        <v>12</v>
      </c>
      <c r="HE48" s="79">
        <v>8</v>
      </c>
      <c r="HF48" s="11">
        <v>15</v>
      </c>
      <c r="HG48" s="79">
        <v>8</v>
      </c>
      <c r="HH48" s="11">
        <v>11</v>
      </c>
      <c r="HI48" s="79">
        <v>8</v>
      </c>
      <c r="HJ48" s="11">
        <v>16</v>
      </c>
      <c r="HK48" s="79">
        <v>8</v>
      </c>
      <c r="HL48" s="11">
        <v>11</v>
      </c>
      <c r="HM48" s="79">
        <v>8</v>
      </c>
      <c r="HN48" s="11">
        <v>12</v>
      </c>
      <c r="HO48" s="79">
        <v>8</v>
      </c>
    </row>
    <row r="49" spans="1:225">
      <c r="A49" s="1" t="s">
        <v>739</v>
      </c>
      <c r="B49" s="3">
        <v>20</v>
      </c>
      <c r="C49" t="s">
        <v>165</v>
      </c>
      <c r="D49" s="3">
        <v>40</v>
      </c>
      <c r="E49" t="s">
        <v>19</v>
      </c>
      <c r="F49" s="3">
        <v>4</v>
      </c>
      <c r="G49" s="3"/>
      <c r="Q49" s="1" t="s">
        <v>616</v>
      </c>
      <c r="T49" s="2" t="s">
        <v>161</v>
      </c>
      <c r="U49" s="3">
        <v>3</v>
      </c>
      <c r="V49" s="3">
        <v>2</v>
      </c>
      <c r="W49" s="3">
        <v>2</v>
      </c>
      <c r="X49" s="3">
        <v>1</v>
      </c>
      <c r="Y49" s="3">
        <v>3</v>
      </c>
      <c r="Z49" s="79">
        <v>1</v>
      </c>
      <c r="AA49" s="3">
        <v>2</v>
      </c>
      <c r="AB49" s="3">
        <v>3</v>
      </c>
      <c r="AC49" s="3">
        <v>4</v>
      </c>
      <c r="AD49" s="3">
        <v>4</v>
      </c>
      <c r="AE49" s="79">
        <v>2</v>
      </c>
      <c r="AF49" s="3">
        <v>4</v>
      </c>
      <c r="AG49" s="3">
        <v>2</v>
      </c>
      <c r="AH49" s="3">
        <v>3</v>
      </c>
      <c r="AI49" s="3">
        <v>2</v>
      </c>
      <c r="AJ49" s="3">
        <v>2</v>
      </c>
      <c r="AK49" s="3">
        <v>3</v>
      </c>
      <c r="AL49" s="3">
        <v>8</v>
      </c>
      <c r="AM49" s="3">
        <v>5</v>
      </c>
      <c r="AN49" s="3">
        <v>1</v>
      </c>
      <c r="AO49" s="3">
        <v>1</v>
      </c>
      <c r="AP49" s="3">
        <v>2</v>
      </c>
      <c r="AQ49" s="3">
        <v>1</v>
      </c>
      <c r="AR49" s="3">
        <v>1</v>
      </c>
      <c r="AS49" s="3">
        <v>2</v>
      </c>
      <c r="AT49" s="3">
        <v>7</v>
      </c>
      <c r="AU49" s="3">
        <v>4</v>
      </c>
      <c r="AV49" s="3">
        <v>3</v>
      </c>
      <c r="AW49" s="3">
        <v>8</v>
      </c>
      <c r="AX49" s="3">
        <v>5</v>
      </c>
      <c r="AY49" s="3">
        <v>1</v>
      </c>
      <c r="AZ49" s="3">
        <v>1</v>
      </c>
      <c r="BA49" s="3">
        <v>1</v>
      </c>
      <c r="BB49" s="3">
        <v>3</v>
      </c>
      <c r="BC49" s="3">
        <v>3</v>
      </c>
      <c r="BD49" s="3">
        <v>1</v>
      </c>
      <c r="BE49" s="3">
        <v>2</v>
      </c>
      <c r="BF49" s="3">
        <v>2</v>
      </c>
      <c r="BG49" s="3">
        <v>2</v>
      </c>
      <c r="BH49" s="3">
        <v>4</v>
      </c>
      <c r="BI49" s="3">
        <v>2</v>
      </c>
      <c r="BJ49" s="3">
        <v>3</v>
      </c>
      <c r="BK49" s="3">
        <v>2</v>
      </c>
      <c r="DU49" s="1">
        <v>0.8</v>
      </c>
      <c r="DV49" s="11">
        <v>16.400000000000034</v>
      </c>
      <c r="DW49" s="79">
        <v>9</v>
      </c>
      <c r="DX49" s="11">
        <v>12</v>
      </c>
      <c r="DY49" s="79">
        <v>9</v>
      </c>
      <c r="DZ49" s="11">
        <v>15</v>
      </c>
      <c r="EA49" s="79">
        <v>9</v>
      </c>
      <c r="EB49" s="11">
        <v>18</v>
      </c>
      <c r="EC49" s="79">
        <v>9</v>
      </c>
      <c r="ED49" s="11">
        <v>16</v>
      </c>
      <c r="EE49" s="79">
        <v>9</v>
      </c>
      <c r="EF49" s="11">
        <v>15</v>
      </c>
      <c r="EG49" s="79">
        <v>9</v>
      </c>
      <c r="EH49" s="11">
        <v>18</v>
      </c>
      <c r="EI49" s="79">
        <v>9</v>
      </c>
      <c r="EJ49" s="11">
        <v>15</v>
      </c>
      <c r="EK49" s="79">
        <v>9</v>
      </c>
      <c r="EL49" s="11">
        <v>19</v>
      </c>
      <c r="EM49" s="79">
        <v>9</v>
      </c>
      <c r="EN49" s="11">
        <v>14</v>
      </c>
      <c r="EO49" s="79">
        <v>9</v>
      </c>
      <c r="EP49" s="11">
        <v>14</v>
      </c>
      <c r="EQ49" s="79">
        <v>9</v>
      </c>
      <c r="ER49" s="11">
        <v>16</v>
      </c>
      <c r="ES49" s="79">
        <v>9</v>
      </c>
      <c r="ET49" s="11">
        <v>14</v>
      </c>
      <c r="EU49" s="79">
        <v>9</v>
      </c>
      <c r="EV49" s="11">
        <v>20</v>
      </c>
      <c r="EW49" s="79">
        <v>9</v>
      </c>
      <c r="EX49" s="11">
        <v>16</v>
      </c>
      <c r="EY49" s="79">
        <v>9</v>
      </c>
      <c r="EZ49" s="11">
        <v>17</v>
      </c>
      <c r="FA49" s="79">
        <v>9</v>
      </c>
      <c r="FB49" s="11">
        <v>18</v>
      </c>
      <c r="FC49" s="79">
        <v>9</v>
      </c>
      <c r="FD49" s="11">
        <v>14</v>
      </c>
      <c r="FE49" s="79">
        <v>9</v>
      </c>
      <c r="FF49" s="11">
        <v>15</v>
      </c>
      <c r="FG49" s="79">
        <v>9</v>
      </c>
      <c r="FH49" s="11">
        <v>19</v>
      </c>
      <c r="FI49" s="79">
        <v>9</v>
      </c>
      <c r="FJ49" s="11">
        <v>15</v>
      </c>
      <c r="FK49" s="79">
        <v>9</v>
      </c>
      <c r="FL49" s="11">
        <v>16</v>
      </c>
      <c r="FM49" s="79">
        <v>9</v>
      </c>
      <c r="FN49" s="11">
        <v>13</v>
      </c>
      <c r="FO49" s="79">
        <v>9</v>
      </c>
      <c r="FP49" s="11">
        <v>13</v>
      </c>
      <c r="FQ49" s="79">
        <v>9</v>
      </c>
      <c r="FR49" s="240">
        <v>18</v>
      </c>
      <c r="FS49" s="79">
        <v>9</v>
      </c>
      <c r="FT49" s="11">
        <v>19</v>
      </c>
      <c r="FU49" s="79">
        <v>9</v>
      </c>
      <c r="FV49" s="11">
        <v>18</v>
      </c>
      <c r="FW49" s="79">
        <v>9</v>
      </c>
      <c r="FX49" s="11">
        <v>16</v>
      </c>
      <c r="FY49" s="79">
        <v>9</v>
      </c>
      <c r="FZ49" s="11">
        <v>11</v>
      </c>
      <c r="GA49" s="79">
        <v>9</v>
      </c>
      <c r="GB49" s="11">
        <v>14</v>
      </c>
      <c r="GC49" s="79">
        <v>9</v>
      </c>
      <c r="GD49" s="11">
        <v>14</v>
      </c>
      <c r="GE49" s="79">
        <v>9</v>
      </c>
      <c r="GF49" s="11">
        <v>16</v>
      </c>
      <c r="GG49" s="79">
        <v>9</v>
      </c>
      <c r="GH49" s="11">
        <v>14</v>
      </c>
      <c r="GI49" s="79">
        <v>9</v>
      </c>
      <c r="GJ49" s="11">
        <v>17.400000000000034</v>
      </c>
      <c r="GK49" s="79">
        <v>9</v>
      </c>
      <c r="GL49" s="240">
        <v>16</v>
      </c>
      <c r="GM49" s="79">
        <v>9</v>
      </c>
      <c r="GN49" s="11">
        <v>17</v>
      </c>
      <c r="GO49" s="79">
        <v>9</v>
      </c>
      <c r="GP49" s="11">
        <v>18</v>
      </c>
      <c r="GQ49" s="79">
        <v>9</v>
      </c>
      <c r="GR49" s="11">
        <v>18</v>
      </c>
      <c r="GS49" s="79">
        <v>9</v>
      </c>
      <c r="GT49" s="11">
        <v>18</v>
      </c>
      <c r="GU49" s="79">
        <v>9</v>
      </c>
      <c r="GV49" s="11">
        <v>14</v>
      </c>
      <c r="GW49" s="79">
        <v>9</v>
      </c>
      <c r="GX49" s="11">
        <v>15</v>
      </c>
      <c r="GY49" s="79">
        <v>9</v>
      </c>
      <c r="GZ49" s="11">
        <v>14</v>
      </c>
      <c r="HA49" s="79">
        <v>9</v>
      </c>
      <c r="HB49" s="11">
        <v>14</v>
      </c>
      <c r="HC49" s="79">
        <v>9</v>
      </c>
      <c r="HD49" s="11">
        <v>14</v>
      </c>
      <c r="HE49" s="79">
        <v>9</v>
      </c>
      <c r="HF49" s="11">
        <v>16</v>
      </c>
      <c r="HG49" s="79">
        <v>9</v>
      </c>
      <c r="HH49" s="11">
        <v>13</v>
      </c>
      <c r="HI49" s="79">
        <v>9</v>
      </c>
      <c r="HJ49" s="11">
        <v>17</v>
      </c>
      <c r="HK49" s="79">
        <v>9</v>
      </c>
      <c r="HL49" s="11">
        <v>12.400000000000034</v>
      </c>
      <c r="HM49" s="79">
        <v>9</v>
      </c>
      <c r="HN49" s="11">
        <v>14</v>
      </c>
      <c r="HO49" s="79">
        <v>9</v>
      </c>
    </row>
    <row r="50" spans="1:225">
      <c r="A50" s="1" t="s">
        <v>740</v>
      </c>
      <c r="B50" s="3">
        <v>21</v>
      </c>
      <c r="C50" t="s">
        <v>342</v>
      </c>
      <c r="D50" s="3">
        <v>41</v>
      </c>
      <c r="E50" t="s">
        <v>19</v>
      </c>
      <c r="F50" s="3">
        <v>5</v>
      </c>
      <c r="G50" s="3"/>
      <c r="O50" s="1" t="s">
        <v>598</v>
      </c>
      <c r="P50" s="73" t="s">
        <v>622</v>
      </c>
      <c r="Q50">
        <v>0.125</v>
      </c>
      <c r="R50" t="s">
        <v>691</v>
      </c>
      <c r="T50" s="7" t="s">
        <v>48</v>
      </c>
      <c r="U50" s="3">
        <v>6</v>
      </c>
      <c r="V50" s="3">
        <v>7</v>
      </c>
      <c r="W50" s="3">
        <v>6</v>
      </c>
      <c r="X50" s="3">
        <v>6</v>
      </c>
      <c r="Y50" s="3">
        <v>5</v>
      </c>
      <c r="Z50" s="79">
        <v>8</v>
      </c>
      <c r="AA50" s="3">
        <v>5</v>
      </c>
      <c r="AB50" s="3">
        <v>5</v>
      </c>
      <c r="AC50" s="3">
        <v>7</v>
      </c>
      <c r="AD50" s="3">
        <v>7</v>
      </c>
      <c r="AE50" s="79">
        <v>7</v>
      </c>
      <c r="AF50" s="3">
        <v>6</v>
      </c>
      <c r="AG50" s="3">
        <v>8</v>
      </c>
      <c r="AH50" s="3">
        <v>7</v>
      </c>
      <c r="AI50" s="3">
        <v>4</v>
      </c>
      <c r="AJ50" s="3">
        <v>7</v>
      </c>
      <c r="AK50" s="3">
        <v>8</v>
      </c>
      <c r="AL50" s="3">
        <v>5</v>
      </c>
      <c r="AM50" s="3">
        <v>5</v>
      </c>
      <c r="AN50" s="3">
        <v>6</v>
      </c>
      <c r="AO50" s="3">
        <v>6</v>
      </c>
      <c r="AP50" s="3">
        <v>9</v>
      </c>
      <c r="AQ50" s="3">
        <v>6</v>
      </c>
      <c r="AR50" s="3">
        <v>3</v>
      </c>
      <c r="AS50" s="3">
        <v>7</v>
      </c>
      <c r="AT50" s="3">
        <v>3</v>
      </c>
      <c r="AU50" s="3">
        <v>5</v>
      </c>
      <c r="AV50" s="3">
        <v>9</v>
      </c>
      <c r="AW50" s="3">
        <v>5</v>
      </c>
      <c r="AX50" s="3">
        <v>4</v>
      </c>
      <c r="AY50" s="3">
        <v>8</v>
      </c>
      <c r="AZ50" s="3">
        <v>8</v>
      </c>
      <c r="BA50" s="3">
        <v>6</v>
      </c>
      <c r="BB50" s="3">
        <v>7</v>
      </c>
      <c r="BC50" s="3">
        <v>8</v>
      </c>
      <c r="BD50" s="3">
        <v>7</v>
      </c>
      <c r="BE50" s="3">
        <v>6</v>
      </c>
      <c r="BF50" s="3">
        <v>4</v>
      </c>
      <c r="BG50" s="3">
        <v>8</v>
      </c>
      <c r="BH50" s="3">
        <v>7</v>
      </c>
      <c r="BI50" s="3">
        <v>7</v>
      </c>
      <c r="BJ50" s="3">
        <v>6</v>
      </c>
      <c r="BK50" s="3">
        <v>7</v>
      </c>
      <c r="DU50" s="1">
        <v>0.9</v>
      </c>
      <c r="DV50" s="11">
        <v>19</v>
      </c>
      <c r="DW50" s="79">
        <v>10</v>
      </c>
      <c r="DX50" s="11">
        <v>15</v>
      </c>
      <c r="DY50" s="79">
        <v>10</v>
      </c>
      <c r="DZ50" s="11">
        <v>17.699999999999989</v>
      </c>
      <c r="EA50" s="79">
        <v>10</v>
      </c>
      <c r="EB50" s="11">
        <v>21</v>
      </c>
      <c r="EC50" s="79">
        <v>10</v>
      </c>
      <c r="ED50" s="11">
        <v>18</v>
      </c>
      <c r="EE50" s="79">
        <v>10</v>
      </c>
      <c r="EF50" s="11">
        <v>17</v>
      </c>
      <c r="EG50" s="79">
        <v>10</v>
      </c>
      <c r="EH50" s="11">
        <v>19</v>
      </c>
      <c r="EI50" s="79">
        <v>10</v>
      </c>
      <c r="EJ50" s="11">
        <v>16</v>
      </c>
      <c r="EK50" s="79">
        <v>10</v>
      </c>
      <c r="EL50" s="11">
        <v>21</v>
      </c>
      <c r="EM50" s="79">
        <v>10</v>
      </c>
      <c r="EN50" s="11">
        <v>17</v>
      </c>
      <c r="EO50" s="79">
        <v>10</v>
      </c>
      <c r="EP50" s="11">
        <v>16</v>
      </c>
      <c r="EQ50" s="79">
        <v>10</v>
      </c>
      <c r="ER50" s="11">
        <v>18.699999999999989</v>
      </c>
      <c r="ES50" s="79">
        <v>10</v>
      </c>
      <c r="ET50" s="11">
        <v>16</v>
      </c>
      <c r="EU50" s="79">
        <v>10</v>
      </c>
      <c r="EV50" s="11">
        <v>21.699999999999989</v>
      </c>
      <c r="EW50" s="79">
        <v>10</v>
      </c>
      <c r="EX50" s="11">
        <v>18</v>
      </c>
      <c r="EY50" s="79">
        <v>10</v>
      </c>
      <c r="EZ50" s="11">
        <v>19</v>
      </c>
      <c r="FA50" s="79">
        <v>10</v>
      </c>
      <c r="FB50" s="11">
        <v>20</v>
      </c>
      <c r="FC50" s="79">
        <v>10</v>
      </c>
      <c r="FD50" s="11">
        <v>16</v>
      </c>
      <c r="FE50" s="79">
        <v>10</v>
      </c>
      <c r="FF50" s="11">
        <v>18</v>
      </c>
      <c r="FG50" s="79">
        <v>10</v>
      </c>
      <c r="FH50" s="11">
        <v>21</v>
      </c>
      <c r="FI50" s="79">
        <v>10</v>
      </c>
      <c r="FJ50" s="11">
        <v>17</v>
      </c>
      <c r="FK50" s="79">
        <v>10</v>
      </c>
      <c r="FL50" s="11">
        <v>18</v>
      </c>
      <c r="FM50" s="79">
        <v>10</v>
      </c>
      <c r="FN50" s="11">
        <v>14</v>
      </c>
      <c r="FO50" s="79">
        <v>10</v>
      </c>
      <c r="FP50" s="11">
        <v>15</v>
      </c>
      <c r="FQ50" s="79">
        <v>10</v>
      </c>
      <c r="FR50" s="241">
        <v>18</v>
      </c>
      <c r="FS50" s="79">
        <v>10</v>
      </c>
      <c r="FT50" s="11">
        <v>21</v>
      </c>
      <c r="FU50" s="79">
        <v>10</v>
      </c>
      <c r="FV50" s="11">
        <v>20</v>
      </c>
      <c r="FW50" s="79">
        <v>10</v>
      </c>
      <c r="FX50" s="11">
        <v>18</v>
      </c>
      <c r="FY50" s="79">
        <v>10</v>
      </c>
      <c r="FZ50" s="11">
        <v>14</v>
      </c>
      <c r="GA50" s="79">
        <v>10</v>
      </c>
      <c r="GB50" s="11">
        <v>16</v>
      </c>
      <c r="GC50" s="79">
        <v>10</v>
      </c>
      <c r="GD50" s="11">
        <v>15</v>
      </c>
      <c r="GE50" s="79">
        <v>10</v>
      </c>
      <c r="GF50" s="11">
        <v>17.699999999999989</v>
      </c>
      <c r="GG50" s="79">
        <v>10</v>
      </c>
      <c r="GH50" s="11">
        <v>16</v>
      </c>
      <c r="GI50" s="79">
        <v>10</v>
      </c>
      <c r="GJ50" s="11">
        <v>19</v>
      </c>
      <c r="GK50" s="79">
        <v>10</v>
      </c>
      <c r="GL50" s="241">
        <v>16</v>
      </c>
      <c r="GM50" s="79">
        <v>10</v>
      </c>
      <c r="GN50" s="11">
        <v>19</v>
      </c>
      <c r="GO50" s="79">
        <v>10</v>
      </c>
      <c r="GP50" s="11">
        <v>20</v>
      </c>
      <c r="GQ50" s="79">
        <v>10</v>
      </c>
      <c r="GR50" s="11">
        <v>20</v>
      </c>
      <c r="GS50" s="79">
        <v>10</v>
      </c>
      <c r="GT50" s="11">
        <v>20</v>
      </c>
      <c r="GU50" s="79">
        <v>10</v>
      </c>
      <c r="GV50" s="11">
        <v>16</v>
      </c>
      <c r="GW50" s="79">
        <v>10</v>
      </c>
      <c r="GX50" s="11">
        <v>17</v>
      </c>
      <c r="GY50" s="79">
        <v>10</v>
      </c>
      <c r="GZ50" s="11">
        <v>16</v>
      </c>
      <c r="HA50" s="79">
        <v>10</v>
      </c>
      <c r="HB50" s="11">
        <v>16</v>
      </c>
      <c r="HC50" s="79">
        <v>10</v>
      </c>
      <c r="HD50" s="11">
        <v>16</v>
      </c>
      <c r="HE50" s="79">
        <v>10</v>
      </c>
      <c r="HF50" s="11">
        <v>18</v>
      </c>
      <c r="HG50" s="79">
        <v>10</v>
      </c>
      <c r="HH50" s="11">
        <v>15</v>
      </c>
      <c r="HI50" s="79">
        <v>10</v>
      </c>
      <c r="HJ50" s="11">
        <v>18</v>
      </c>
      <c r="HK50" s="79">
        <v>10</v>
      </c>
      <c r="HL50" s="11">
        <v>15</v>
      </c>
      <c r="HM50" s="79">
        <v>10</v>
      </c>
      <c r="HN50" s="11">
        <v>16</v>
      </c>
      <c r="HO50" s="79">
        <v>10</v>
      </c>
    </row>
    <row r="51" spans="1:225">
      <c r="A51" s="1" t="s">
        <v>741</v>
      </c>
      <c r="B51" s="3">
        <v>21</v>
      </c>
      <c r="C51" t="s">
        <v>241</v>
      </c>
      <c r="D51" s="3">
        <v>42</v>
      </c>
      <c r="E51" t="s">
        <v>19</v>
      </c>
      <c r="F51" s="3">
        <v>5</v>
      </c>
      <c r="G51" s="3"/>
      <c r="O51" s="128" t="s">
        <v>599</v>
      </c>
      <c r="P51" s="73" t="s">
        <v>1080</v>
      </c>
      <c r="Q51">
        <v>0.125</v>
      </c>
      <c r="R51" t="s">
        <v>690</v>
      </c>
      <c r="T51" s="7" t="s">
        <v>179</v>
      </c>
      <c r="U51" s="3">
        <v>7</v>
      </c>
      <c r="V51" s="3">
        <v>7</v>
      </c>
      <c r="W51" s="3">
        <v>6</v>
      </c>
      <c r="X51" s="3">
        <v>5</v>
      </c>
      <c r="Y51" s="3">
        <v>5</v>
      </c>
      <c r="Z51" s="79">
        <v>7</v>
      </c>
      <c r="AA51" s="3">
        <v>5</v>
      </c>
      <c r="AB51" s="3">
        <v>6</v>
      </c>
      <c r="AC51" s="3">
        <v>8</v>
      </c>
      <c r="AD51" s="3">
        <v>7</v>
      </c>
      <c r="AE51" s="79">
        <v>6</v>
      </c>
      <c r="AF51" s="3">
        <v>6</v>
      </c>
      <c r="AG51" s="3">
        <v>7</v>
      </c>
      <c r="AH51" s="3">
        <v>4</v>
      </c>
      <c r="AI51" s="3">
        <v>5</v>
      </c>
      <c r="AJ51" s="3">
        <v>7</v>
      </c>
      <c r="AK51" s="3">
        <v>6</v>
      </c>
      <c r="AL51" s="3">
        <v>5</v>
      </c>
      <c r="AM51" s="3">
        <v>9</v>
      </c>
      <c r="AN51" s="3">
        <v>6</v>
      </c>
      <c r="AO51" s="3">
        <v>9</v>
      </c>
      <c r="AP51" s="3">
        <v>5</v>
      </c>
      <c r="AQ51" s="3">
        <v>7</v>
      </c>
      <c r="AR51" s="3">
        <v>6</v>
      </c>
      <c r="AS51" s="3">
        <v>5</v>
      </c>
      <c r="AT51" s="3">
        <v>7</v>
      </c>
      <c r="AU51" s="3">
        <v>9</v>
      </c>
      <c r="AV51" s="3">
        <v>9</v>
      </c>
      <c r="AW51" s="3">
        <v>6</v>
      </c>
      <c r="AX51" s="3">
        <v>8</v>
      </c>
      <c r="AY51" s="3">
        <v>9</v>
      </c>
      <c r="AZ51" s="3">
        <v>9</v>
      </c>
      <c r="BA51" s="3">
        <v>7</v>
      </c>
      <c r="BB51" s="3">
        <v>8</v>
      </c>
      <c r="BC51" s="3">
        <v>6</v>
      </c>
      <c r="BD51" s="3">
        <v>6</v>
      </c>
      <c r="BE51" s="3">
        <v>5</v>
      </c>
      <c r="BF51" s="3">
        <v>6</v>
      </c>
      <c r="BG51" s="3">
        <v>5</v>
      </c>
      <c r="BH51" s="3">
        <v>9</v>
      </c>
      <c r="BI51" s="3">
        <v>7</v>
      </c>
      <c r="BJ51" s="3">
        <v>5</v>
      </c>
      <c r="BK51" s="3">
        <v>7</v>
      </c>
    </row>
    <row r="52" spans="1:225">
      <c r="A52" s="1" t="s">
        <v>742</v>
      </c>
      <c r="B52" s="3">
        <v>22</v>
      </c>
      <c r="C52" t="s">
        <v>110</v>
      </c>
      <c r="D52" s="3">
        <v>43</v>
      </c>
      <c r="E52" t="s">
        <v>19</v>
      </c>
      <c r="F52" s="3">
        <v>4</v>
      </c>
      <c r="G52" s="3"/>
      <c r="O52" s="128" t="s">
        <v>600</v>
      </c>
      <c r="P52" s="73" t="s">
        <v>475</v>
      </c>
      <c r="Q52">
        <v>0.125</v>
      </c>
      <c r="R52" t="s">
        <v>690</v>
      </c>
      <c r="T52" s="7" t="s">
        <v>563</v>
      </c>
      <c r="U52" s="3">
        <v>3</v>
      </c>
      <c r="V52" s="3">
        <v>2</v>
      </c>
      <c r="W52" s="3">
        <v>2</v>
      </c>
      <c r="X52" s="3">
        <v>3</v>
      </c>
      <c r="Y52" s="3">
        <v>3</v>
      </c>
      <c r="Z52" s="79">
        <v>1</v>
      </c>
      <c r="AA52" s="3">
        <v>1</v>
      </c>
      <c r="AB52" s="3">
        <v>2</v>
      </c>
      <c r="AC52" s="3">
        <v>5</v>
      </c>
      <c r="AD52" s="3">
        <v>3</v>
      </c>
      <c r="AE52" s="79">
        <v>2</v>
      </c>
      <c r="AF52" s="3">
        <v>3</v>
      </c>
      <c r="AG52" s="3">
        <v>3</v>
      </c>
      <c r="AH52" s="3">
        <v>2</v>
      </c>
      <c r="AI52" s="3">
        <v>1</v>
      </c>
      <c r="AJ52" s="3">
        <v>2</v>
      </c>
      <c r="AK52" s="3">
        <v>4</v>
      </c>
      <c r="AL52" s="3">
        <v>5</v>
      </c>
      <c r="AM52" s="3">
        <v>3</v>
      </c>
      <c r="AN52" s="3">
        <v>2</v>
      </c>
      <c r="AO52" s="3">
        <v>3</v>
      </c>
      <c r="AP52" s="3">
        <v>7</v>
      </c>
      <c r="AQ52" s="3">
        <v>2</v>
      </c>
      <c r="AR52" s="3">
        <v>3</v>
      </c>
      <c r="AS52" s="3">
        <v>2</v>
      </c>
      <c r="AT52" s="3">
        <v>1</v>
      </c>
      <c r="AU52" s="3">
        <v>7</v>
      </c>
      <c r="AV52" s="3">
        <v>3</v>
      </c>
      <c r="AW52" s="3">
        <v>3</v>
      </c>
      <c r="AX52" s="3">
        <v>2</v>
      </c>
      <c r="AY52" s="3">
        <v>5</v>
      </c>
      <c r="AZ52" s="3">
        <v>5</v>
      </c>
      <c r="BA52" s="3">
        <v>4</v>
      </c>
      <c r="BB52" s="3">
        <v>3</v>
      </c>
      <c r="BC52" s="3">
        <v>3</v>
      </c>
      <c r="BD52" s="3">
        <v>2</v>
      </c>
      <c r="BE52" s="3">
        <v>3</v>
      </c>
      <c r="BF52" s="3">
        <v>3</v>
      </c>
      <c r="BG52" s="3">
        <v>1</v>
      </c>
      <c r="BH52" s="3">
        <v>3</v>
      </c>
      <c r="BI52" s="3">
        <v>2</v>
      </c>
      <c r="BJ52" s="3">
        <v>4</v>
      </c>
      <c r="BK52" s="3">
        <v>1</v>
      </c>
      <c r="DV52" s="119"/>
      <c r="DW52" s="2"/>
      <c r="DX52" s="119"/>
      <c r="DY52" s="2"/>
      <c r="DZ52" s="119"/>
      <c r="EA52" s="2"/>
      <c r="EB52" s="119"/>
      <c r="EC52" s="2"/>
      <c r="ED52" s="119"/>
      <c r="EE52" s="2"/>
      <c r="EF52" s="119"/>
      <c r="EG52" s="2"/>
      <c r="EH52" s="119"/>
      <c r="EI52" s="2"/>
      <c r="EJ52" s="119"/>
      <c r="EK52" s="2"/>
      <c r="EL52" s="119"/>
      <c r="EM52" s="2"/>
      <c r="EN52" s="119"/>
      <c r="EO52" s="2"/>
      <c r="EP52" s="119"/>
      <c r="EQ52" s="2"/>
      <c r="ER52" s="119"/>
      <c r="ES52" s="2"/>
      <c r="ET52" s="119"/>
      <c r="EU52" s="2"/>
      <c r="EV52" s="119"/>
      <c r="EW52" s="2"/>
      <c r="EX52" s="119"/>
      <c r="EY52" s="2"/>
      <c r="EZ52" s="119"/>
      <c r="FA52" s="119"/>
      <c r="FB52" s="119"/>
      <c r="FC52" s="2"/>
      <c r="FD52" s="119"/>
      <c r="FE52" s="2"/>
      <c r="FF52" s="119"/>
      <c r="FG52" s="2"/>
      <c r="FH52" s="119"/>
      <c r="FI52" s="119"/>
      <c r="FJ52" s="119"/>
      <c r="FK52" s="2"/>
      <c r="FL52" s="119"/>
      <c r="FM52" s="2"/>
      <c r="FN52" s="119"/>
      <c r="FO52" s="2"/>
      <c r="FP52" s="119"/>
      <c r="FQ52" s="2"/>
      <c r="FR52" s="119"/>
      <c r="FS52" s="2"/>
      <c r="FT52" s="119"/>
      <c r="FU52" s="2"/>
      <c r="FV52" s="119"/>
      <c r="FW52" s="2"/>
      <c r="FX52" s="119"/>
      <c r="FY52" s="2"/>
      <c r="FZ52" s="119"/>
      <c r="GA52" s="2"/>
      <c r="GB52" s="119"/>
      <c r="GC52" s="2"/>
      <c r="GD52" s="119"/>
      <c r="GE52" s="2"/>
      <c r="GF52" s="119"/>
      <c r="GG52" s="2"/>
      <c r="GH52" s="119"/>
    </row>
    <row r="53" spans="1:225" ht="43.2">
      <c r="A53" s="1" t="s">
        <v>743</v>
      </c>
      <c r="B53" s="3">
        <v>22</v>
      </c>
      <c r="C53" t="s">
        <v>236</v>
      </c>
      <c r="D53" s="3">
        <v>44</v>
      </c>
      <c r="E53" t="s">
        <v>19</v>
      </c>
      <c r="F53" s="3">
        <v>2</v>
      </c>
      <c r="G53" s="3"/>
      <c r="P53" s="73" t="s">
        <v>393</v>
      </c>
      <c r="Q53">
        <v>0.125</v>
      </c>
      <c r="R53" t="s">
        <v>691</v>
      </c>
      <c r="T53" s="2" t="s">
        <v>41</v>
      </c>
      <c r="U53" s="3">
        <v>2</v>
      </c>
      <c r="V53" s="3">
        <v>2</v>
      </c>
      <c r="W53" s="3">
        <v>2</v>
      </c>
      <c r="X53" s="3">
        <v>3</v>
      </c>
      <c r="Y53" s="3">
        <v>2</v>
      </c>
      <c r="Z53" s="79">
        <v>1</v>
      </c>
      <c r="AA53" s="3">
        <v>1</v>
      </c>
      <c r="AB53" s="3">
        <v>2</v>
      </c>
      <c r="AC53" s="3">
        <v>2</v>
      </c>
      <c r="AD53" s="3">
        <v>1</v>
      </c>
      <c r="AE53" s="79">
        <v>3</v>
      </c>
      <c r="AF53" s="3">
        <v>2</v>
      </c>
      <c r="AG53" s="3">
        <v>2</v>
      </c>
      <c r="AH53" s="3">
        <v>1</v>
      </c>
      <c r="AI53" s="3">
        <v>4</v>
      </c>
      <c r="AJ53" s="3">
        <v>3</v>
      </c>
      <c r="AK53" s="3">
        <v>1</v>
      </c>
      <c r="AL53" s="3">
        <v>2</v>
      </c>
      <c r="AM53" s="3">
        <v>1</v>
      </c>
      <c r="AN53" s="3">
        <v>4</v>
      </c>
      <c r="AO53" s="3">
        <v>2</v>
      </c>
      <c r="AP53" s="3">
        <v>9</v>
      </c>
      <c r="AQ53" s="3">
        <v>5</v>
      </c>
      <c r="AR53" s="3">
        <v>4</v>
      </c>
      <c r="AS53" s="3">
        <v>3</v>
      </c>
      <c r="AT53" s="3">
        <v>3</v>
      </c>
      <c r="AU53" s="3">
        <v>5</v>
      </c>
      <c r="AV53" s="3">
        <v>2</v>
      </c>
      <c r="AW53" s="3">
        <v>3</v>
      </c>
      <c r="AX53" s="3">
        <v>2</v>
      </c>
      <c r="AY53" s="3">
        <v>1</v>
      </c>
      <c r="AZ53" s="3">
        <v>1</v>
      </c>
      <c r="BA53" s="3">
        <v>2</v>
      </c>
      <c r="BB53" s="3">
        <v>1</v>
      </c>
      <c r="BC53" s="3">
        <v>2</v>
      </c>
      <c r="BD53" s="3">
        <v>1</v>
      </c>
      <c r="BE53" s="3">
        <v>2</v>
      </c>
      <c r="BF53" s="3">
        <v>2</v>
      </c>
      <c r="BG53" s="3">
        <v>1</v>
      </c>
      <c r="BH53" s="3">
        <v>2</v>
      </c>
      <c r="BI53" s="3">
        <v>2</v>
      </c>
      <c r="BJ53" s="3">
        <v>2</v>
      </c>
      <c r="BK53" s="3">
        <v>6</v>
      </c>
      <c r="DU53" s="1"/>
      <c r="DV53" s="119" t="s">
        <v>106</v>
      </c>
      <c r="DW53" s="119"/>
      <c r="DX53" s="119" t="s">
        <v>393</v>
      </c>
      <c r="DY53" s="119"/>
      <c r="DZ53" s="119" t="s">
        <v>547</v>
      </c>
      <c r="EA53" s="119"/>
      <c r="EB53" s="119" t="s">
        <v>680</v>
      </c>
      <c r="EC53" s="119"/>
      <c r="ED53" s="119" t="s">
        <v>392</v>
      </c>
      <c r="EE53" s="119"/>
      <c r="EF53" s="119" t="s">
        <v>475</v>
      </c>
      <c r="EG53" s="119"/>
      <c r="EH53" s="119" t="s">
        <v>621</v>
      </c>
      <c r="EI53" s="119"/>
      <c r="EJ53" s="119" t="s">
        <v>63</v>
      </c>
      <c r="EK53" s="119"/>
      <c r="EL53" s="119" t="s">
        <v>578</v>
      </c>
      <c r="EM53" s="119"/>
      <c r="EN53" s="119" t="s">
        <v>570</v>
      </c>
      <c r="EO53" s="119"/>
      <c r="EP53" s="119" t="s">
        <v>469</v>
      </c>
      <c r="EQ53" s="119"/>
      <c r="ER53" s="119" t="s">
        <v>531</v>
      </c>
      <c r="ES53" s="119"/>
      <c r="ET53" s="119" t="s">
        <v>620</v>
      </c>
      <c r="EU53" s="119"/>
      <c r="EV53" s="119" t="s">
        <v>465</v>
      </c>
      <c r="EW53" s="119"/>
      <c r="EX53" s="119" t="s">
        <v>143</v>
      </c>
      <c r="EY53" s="119"/>
      <c r="EZ53" s="119" t="s">
        <v>391</v>
      </c>
      <c r="FA53" s="119"/>
      <c r="FB53" s="119" t="s">
        <v>446</v>
      </c>
      <c r="FC53" s="119"/>
      <c r="FD53" s="119" t="s">
        <v>1070</v>
      </c>
      <c r="FE53" s="119"/>
      <c r="FF53" s="119" t="s">
        <v>394</v>
      </c>
      <c r="FG53" s="119"/>
      <c r="FH53" s="119" t="s">
        <v>466</v>
      </c>
      <c r="FI53" s="119"/>
      <c r="FJ53" s="119" t="s">
        <v>474</v>
      </c>
      <c r="FK53" s="119"/>
      <c r="FL53" s="119" t="s">
        <v>682</v>
      </c>
      <c r="FM53" s="119"/>
      <c r="FN53" s="119" t="s">
        <v>536</v>
      </c>
      <c r="FO53" s="119"/>
      <c r="FP53" s="119" t="s">
        <v>571</v>
      </c>
      <c r="FQ53" s="119"/>
      <c r="FR53" s="119" t="s">
        <v>549</v>
      </c>
      <c r="FS53" s="119"/>
      <c r="FT53" s="119" t="s">
        <v>390</v>
      </c>
      <c r="FU53" s="119"/>
      <c r="FV53" s="119" t="s">
        <v>515</v>
      </c>
      <c r="FW53" s="119"/>
      <c r="FX53" s="119" t="s">
        <v>467</v>
      </c>
      <c r="FY53" s="119"/>
      <c r="FZ53" s="119" t="s">
        <v>17</v>
      </c>
      <c r="GA53" s="119"/>
      <c r="GB53" s="119" t="s">
        <v>473</v>
      </c>
      <c r="GC53" s="119"/>
      <c r="GD53" s="119" t="s">
        <v>24</v>
      </c>
      <c r="GE53" s="119"/>
      <c r="GF53" s="119" t="s">
        <v>442</v>
      </c>
      <c r="GG53" s="119"/>
      <c r="GH53" s="119" t="s">
        <v>30</v>
      </c>
      <c r="GI53" s="1"/>
      <c r="GJ53" s="245" t="s">
        <v>14</v>
      </c>
      <c r="GK53" s="246"/>
      <c r="GL53" s="245" t="s">
        <v>452</v>
      </c>
      <c r="GM53" s="246"/>
      <c r="GN53" s="252" t="s">
        <v>1125</v>
      </c>
      <c r="GO53" s="253" t="s">
        <v>1126</v>
      </c>
      <c r="GP53" s="1"/>
      <c r="GQ53" s="1"/>
      <c r="GR53" s="1"/>
      <c r="GS53" s="1"/>
      <c r="GT53" s="1"/>
      <c r="GU53" s="1"/>
      <c r="GV53" s="1"/>
      <c r="GW53" s="1"/>
      <c r="GX53" s="1"/>
      <c r="GY53" s="1"/>
      <c r="GZ53" s="1"/>
      <c r="HA53" s="1"/>
      <c r="HB53" s="1"/>
      <c r="HC53" s="1"/>
      <c r="HD53" s="1"/>
      <c r="HE53" s="1"/>
      <c r="HF53" s="1"/>
      <c r="HG53" s="1"/>
      <c r="HH53" s="1"/>
      <c r="HI53" s="1"/>
      <c r="HJ53" s="1"/>
      <c r="HK53" s="1"/>
      <c r="HL53" s="1"/>
      <c r="HM53" s="1"/>
      <c r="HP53" s="1"/>
      <c r="HQ53" s="1"/>
    </row>
    <row r="54" spans="1:225">
      <c r="A54" s="1" t="s">
        <v>744</v>
      </c>
      <c r="B54" s="3">
        <v>23</v>
      </c>
      <c r="C54" t="s">
        <v>132</v>
      </c>
      <c r="D54" s="3">
        <v>45</v>
      </c>
      <c r="E54" t="s">
        <v>19</v>
      </c>
      <c r="F54" s="3">
        <v>3</v>
      </c>
      <c r="G54" s="3"/>
      <c r="N54" s="1" t="s">
        <v>608</v>
      </c>
      <c r="O54" s="23" t="s">
        <v>515</v>
      </c>
      <c r="P54" s="73" t="s">
        <v>594</v>
      </c>
      <c r="Q54">
        <v>0.125</v>
      </c>
      <c r="R54" t="s">
        <v>691</v>
      </c>
      <c r="T54" s="2" t="s">
        <v>113</v>
      </c>
      <c r="U54" s="3">
        <v>2</v>
      </c>
      <c r="V54" s="3">
        <v>3</v>
      </c>
      <c r="W54" s="3">
        <v>3</v>
      </c>
      <c r="X54" s="3">
        <v>4</v>
      </c>
      <c r="Y54" s="3">
        <v>4</v>
      </c>
      <c r="Z54" s="79">
        <v>1</v>
      </c>
      <c r="AA54" s="3">
        <v>3</v>
      </c>
      <c r="AB54" s="3">
        <v>3</v>
      </c>
      <c r="AC54" s="3">
        <v>3</v>
      </c>
      <c r="AD54" s="3">
        <v>2</v>
      </c>
      <c r="AE54" s="79">
        <v>3</v>
      </c>
      <c r="AF54" s="3">
        <v>2</v>
      </c>
      <c r="AG54" s="3">
        <v>2</v>
      </c>
      <c r="AH54" s="3">
        <v>1</v>
      </c>
      <c r="AI54" s="3">
        <v>7</v>
      </c>
      <c r="AJ54" s="3">
        <v>3</v>
      </c>
      <c r="AK54" s="3">
        <v>2</v>
      </c>
      <c r="AL54" s="3">
        <v>3</v>
      </c>
      <c r="AM54" s="3">
        <v>1</v>
      </c>
      <c r="AN54" s="3">
        <v>1</v>
      </c>
      <c r="AO54" s="3">
        <v>2</v>
      </c>
      <c r="AP54" s="3">
        <v>2</v>
      </c>
      <c r="AQ54" s="3">
        <v>4</v>
      </c>
      <c r="AR54" s="3">
        <v>2</v>
      </c>
      <c r="AS54" s="3">
        <v>4</v>
      </c>
      <c r="AT54" s="3">
        <v>1</v>
      </c>
      <c r="AU54" s="3">
        <v>3</v>
      </c>
      <c r="AV54" s="3">
        <v>4</v>
      </c>
      <c r="AW54" s="3">
        <v>3</v>
      </c>
      <c r="AX54" s="3">
        <v>2</v>
      </c>
      <c r="AY54" s="3">
        <v>3</v>
      </c>
      <c r="AZ54" s="3">
        <v>3</v>
      </c>
      <c r="BA54" s="3">
        <v>2</v>
      </c>
      <c r="BB54" s="3">
        <v>1</v>
      </c>
      <c r="BC54" s="3">
        <v>2</v>
      </c>
      <c r="BD54" s="3">
        <v>3</v>
      </c>
      <c r="BE54" s="3">
        <v>5</v>
      </c>
      <c r="BF54" s="3">
        <v>1</v>
      </c>
      <c r="BG54" s="3">
        <v>3</v>
      </c>
      <c r="BH54" s="3">
        <v>3</v>
      </c>
      <c r="BI54" s="3">
        <v>4</v>
      </c>
      <c r="BJ54" s="3">
        <v>3</v>
      </c>
      <c r="BK54" s="3">
        <v>3</v>
      </c>
      <c r="DU54" s="1">
        <v>0</v>
      </c>
      <c r="DV54" s="121">
        <v>0</v>
      </c>
      <c r="DW54" s="79">
        <v>1</v>
      </c>
      <c r="DX54" s="3">
        <v>0</v>
      </c>
      <c r="DY54" s="79">
        <v>1</v>
      </c>
      <c r="DZ54" s="3">
        <v>0</v>
      </c>
      <c r="EA54" s="79">
        <v>1</v>
      </c>
      <c r="EB54" s="3">
        <v>0</v>
      </c>
      <c r="EC54" s="79">
        <v>1</v>
      </c>
      <c r="ED54" s="3">
        <v>0</v>
      </c>
      <c r="EE54" s="79">
        <v>1</v>
      </c>
      <c r="EF54" s="3">
        <v>0</v>
      </c>
      <c r="EG54" s="79">
        <v>1</v>
      </c>
      <c r="EH54" s="3">
        <v>0</v>
      </c>
      <c r="EI54" s="79">
        <v>1</v>
      </c>
      <c r="EJ54" s="3">
        <v>0</v>
      </c>
      <c r="EK54" s="79">
        <v>1</v>
      </c>
      <c r="EL54" s="3">
        <v>0</v>
      </c>
      <c r="EM54" s="79">
        <v>1</v>
      </c>
      <c r="EN54" s="3">
        <v>0</v>
      </c>
      <c r="EO54" s="79">
        <v>1</v>
      </c>
      <c r="EP54" s="3">
        <v>0</v>
      </c>
      <c r="EQ54" s="79">
        <v>1</v>
      </c>
      <c r="ER54" s="3">
        <v>0</v>
      </c>
      <c r="ES54" s="79">
        <v>1</v>
      </c>
      <c r="ET54" s="3">
        <v>0</v>
      </c>
      <c r="EU54" s="79">
        <v>1</v>
      </c>
      <c r="EV54" s="3">
        <v>0</v>
      </c>
      <c r="EW54" s="79">
        <v>1</v>
      </c>
      <c r="EX54" s="3">
        <v>0</v>
      </c>
      <c r="EY54" s="79">
        <v>1</v>
      </c>
      <c r="EZ54" s="3">
        <v>0</v>
      </c>
      <c r="FA54" s="79">
        <v>1</v>
      </c>
      <c r="FB54" s="3">
        <v>0</v>
      </c>
      <c r="FC54" s="79">
        <v>1</v>
      </c>
      <c r="FD54" s="3">
        <v>0</v>
      </c>
      <c r="FE54" s="79">
        <v>1</v>
      </c>
      <c r="FF54" s="3">
        <v>0</v>
      </c>
      <c r="FG54" s="79">
        <v>1</v>
      </c>
      <c r="FH54" s="3">
        <v>0</v>
      </c>
      <c r="FI54" s="79">
        <v>1</v>
      </c>
      <c r="FJ54" s="3">
        <v>0</v>
      </c>
      <c r="FK54" s="79">
        <v>1</v>
      </c>
      <c r="FL54" s="3">
        <v>0</v>
      </c>
      <c r="FM54" s="79">
        <v>1</v>
      </c>
      <c r="FN54" s="3">
        <v>0</v>
      </c>
      <c r="FO54" s="79">
        <v>1</v>
      </c>
      <c r="FP54" s="3">
        <v>0</v>
      </c>
      <c r="FQ54" s="79">
        <v>1</v>
      </c>
      <c r="FR54" s="3">
        <v>0</v>
      </c>
      <c r="FS54" s="79">
        <v>1</v>
      </c>
      <c r="FT54" s="3">
        <v>0</v>
      </c>
      <c r="FU54" s="79">
        <v>1</v>
      </c>
      <c r="FV54" s="3">
        <v>0</v>
      </c>
      <c r="FW54" s="79">
        <v>1</v>
      </c>
      <c r="FX54" s="3">
        <v>0</v>
      </c>
      <c r="FY54" s="79">
        <v>1</v>
      </c>
      <c r="FZ54" s="3">
        <v>0</v>
      </c>
      <c r="GA54" s="79">
        <v>1</v>
      </c>
      <c r="GB54" s="3">
        <v>0</v>
      </c>
      <c r="GC54" s="79">
        <v>1</v>
      </c>
      <c r="GD54" s="3">
        <v>0</v>
      </c>
      <c r="GE54" s="79">
        <v>1</v>
      </c>
      <c r="GF54" s="3">
        <v>0</v>
      </c>
      <c r="GG54" s="79">
        <v>1</v>
      </c>
      <c r="GH54" s="3">
        <v>0</v>
      </c>
      <c r="GI54" s="79">
        <v>1</v>
      </c>
      <c r="GJ54" s="243">
        <v>0</v>
      </c>
      <c r="GK54" s="242">
        <v>1</v>
      </c>
      <c r="GL54" s="243">
        <v>0</v>
      </c>
      <c r="GM54" s="242">
        <v>1</v>
      </c>
      <c r="GN54" s="248"/>
      <c r="GO54" s="249"/>
    </row>
    <row r="55" spans="1:225">
      <c r="A55" s="1" t="s">
        <v>745</v>
      </c>
      <c r="B55" s="3">
        <v>23</v>
      </c>
      <c r="C55" t="s">
        <v>315</v>
      </c>
      <c r="D55" s="3">
        <v>46</v>
      </c>
      <c r="E55" t="s">
        <v>19</v>
      </c>
      <c r="F55" s="3">
        <v>2</v>
      </c>
      <c r="G55" s="3"/>
      <c r="O55" s="20" t="s">
        <v>465</v>
      </c>
      <c r="P55" s="73" t="s">
        <v>571</v>
      </c>
      <c r="Q55">
        <v>0.125</v>
      </c>
      <c r="R55" t="s">
        <v>692</v>
      </c>
      <c r="T55" s="2" t="s">
        <v>238</v>
      </c>
      <c r="U55" s="3">
        <v>9</v>
      </c>
      <c r="V55" s="3">
        <v>10</v>
      </c>
      <c r="W55" s="3">
        <v>9</v>
      </c>
      <c r="X55" s="3">
        <v>10</v>
      </c>
      <c r="Y55" s="3">
        <v>10</v>
      </c>
      <c r="Z55" s="79">
        <v>10</v>
      </c>
      <c r="AA55" s="3">
        <v>8</v>
      </c>
      <c r="AB55" s="3">
        <v>9</v>
      </c>
      <c r="AC55" s="3">
        <v>10</v>
      </c>
      <c r="AD55" s="3">
        <v>6</v>
      </c>
      <c r="AE55" s="79">
        <v>10</v>
      </c>
      <c r="AF55" s="3">
        <v>9</v>
      </c>
      <c r="AG55" s="3">
        <v>9</v>
      </c>
      <c r="AH55" s="3">
        <v>7</v>
      </c>
      <c r="AI55" s="3">
        <v>8</v>
      </c>
      <c r="AJ55" s="3">
        <v>10</v>
      </c>
      <c r="AK55" s="3">
        <v>9</v>
      </c>
      <c r="AL55" s="3">
        <v>10</v>
      </c>
      <c r="AM55" s="3">
        <v>10</v>
      </c>
      <c r="AN55" s="3">
        <v>9</v>
      </c>
      <c r="AO55" s="3">
        <v>8</v>
      </c>
      <c r="AP55" s="3">
        <v>8</v>
      </c>
      <c r="AQ55" s="3">
        <v>9</v>
      </c>
      <c r="AR55" s="3">
        <v>9</v>
      </c>
      <c r="AS55" s="3">
        <v>9</v>
      </c>
      <c r="AT55" s="3">
        <v>9</v>
      </c>
      <c r="AU55" s="3">
        <v>9</v>
      </c>
      <c r="AV55" s="3">
        <v>8</v>
      </c>
      <c r="AW55" s="3">
        <v>10</v>
      </c>
      <c r="AX55" s="3">
        <v>6</v>
      </c>
      <c r="AY55" s="3">
        <v>10</v>
      </c>
      <c r="AZ55" s="3">
        <v>10</v>
      </c>
      <c r="BA55" s="3">
        <v>8</v>
      </c>
      <c r="BB55" s="3">
        <v>6</v>
      </c>
      <c r="BC55" s="3">
        <v>10</v>
      </c>
      <c r="BD55" s="3">
        <v>10</v>
      </c>
      <c r="BE55" s="3">
        <v>10</v>
      </c>
      <c r="BF55" s="3">
        <v>6</v>
      </c>
      <c r="BG55" s="3">
        <v>9</v>
      </c>
      <c r="BH55" s="3">
        <v>10</v>
      </c>
      <c r="BI55" s="3">
        <v>10</v>
      </c>
      <c r="BJ55" s="3">
        <v>10</v>
      </c>
      <c r="BK55" s="3">
        <v>9</v>
      </c>
      <c r="DU55" s="1">
        <v>0.1</v>
      </c>
      <c r="DV55" s="11">
        <v>9.3333333333333339</v>
      </c>
      <c r="DW55" s="79">
        <v>2</v>
      </c>
      <c r="DX55" s="11">
        <v>7.666666666666667</v>
      </c>
      <c r="DY55" s="79">
        <v>2</v>
      </c>
      <c r="DZ55" s="11">
        <v>10</v>
      </c>
      <c r="EA55" s="79">
        <v>2</v>
      </c>
      <c r="EB55" s="11">
        <v>9.3333333333333339</v>
      </c>
      <c r="EC55" s="79">
        <v>2</v>
      </c>
      <c r="ED55" s="11">
        <v>8.6666666666666661</v>
      </c>
      <c r="EE55" s="79">
        <v>2</v>
      </c>
      <c r="EF55" s="11">
        <v>6.333333333333333</v>
      </c>
      <c r="EG55" s="79">
        <v>2</v>
      </c>
      <c r="EH55" s="11">
        <v>9</v>
      </c>
      <c r="EI55" s="79">
        <v>2</v>
      </c>
      <c r="EJ55" s="11">
        <v>8.3333333333333339</v>
      </c>
      <c r="EK55" s="79">
        <v>2</v>
      </c>
      <c r="EL55" s="11">
        <v>5.666666666666667</v>
      </c>
      <c r="EM55" s="79">
        <v>2</v>
      </c>
      <c r="EN55" s="11">
        <v>7</v>
      </c>
      <c r="EO55" s="79">
        <v>2</v>
      </c>
      <c r="EP55" s="11">
        <v>8.3333333333333339</v>
      </c>
      <c r="EQ55" s="79">
        <v>2</v>
      </c>
      <c r="ER55" s="11">
        <v>6.666666666666667</v>
      </c>
      <c r="ES55" s="79">
        <v>2</v>
      </c>
      <c r="ET55" s="11">
        <v>9.3333333333333339</v>
      </c>
      <c r="EU55" s="79">
        <v>2</v>
      </c>
      <c r="EV55" s="11">
        <v>6.666666666666667</v>
      </c>
      <c r="EW55" s="79">
        <v>2</v>
      </c>
      <c r="EX55" s="11">
        <v>7.333333333333333</v>
      </c>
      <c r="EY55" s="79">
        <v>2</v>
      </c>
      <c r="EZ55" s="11">
        <v>8.3333333333333339</v>
      </c>
      <c r="FA55" s="79">
        <v>2</v>
      </c>
      <c r="FB55" s="11">
        <v>9</v>
      </c>
      <c r="FC55" s="79">
        <v>2</v>
      </c>
      <c r="FD55" s="11">
        <v>9.25</v>
      </c>
      <c r="FE55" s="79">
        <v>2</v>
      </c>
      <c r="FF55" s="11">
        <v>8.25</v>
      </c>
      <c r="FG55" s="79">
        <v>2</v>
      </c>
      <c r="FH55" s="11">
        <v>6</v>
      </c>
      <c r="FI55" s="79">
        <v>2</v>
      </c>
      <c r="FJ55" s="11">
        <v>10.333333333333334</v>
      </c>
      <c r="FK55" s="79">
        <v>2</v>
      </c>
      <c r="FL55" s="11">
        <v>10</v>
      </c>
      <c r="FM55" s="79">
        <v>2</v>
      </c>
      <c r="FN55" s="11">
        <v>6.4333333333333345</v>
      </c>
      <c r="FO55" s="79">
        <v>2</v>
      </c>
      <c r="FP55" s="11">
        <v>5</v>
      </c>
      <c r="FQ55" s="79">
        <v>2</v>
      </c>
      <c r="FR55" s="11">
        <v>5.333333333333333</v>
      </c>
      <c r="FS55" s="79">
        <v>2</v>
      </c>
      <c r="FT55" s="11">
        <v>8.3333333333333339</v>
      </c>
      <c r="FU55" s="79">
        <v>2</v>
      </c>
      <c r="FV55" s="11">
        <v>9.3333333333333339</v>
      </c>
      <c r="FW55" s="79">
        <v>2</v>
      </c>
      <c r="FX55" s="11">
        <v>6</v>
      </c>
      <c r="FY55" s="79">
        <v>2</v>
      </c>
      <c r="FZ55" s="11">
        <v>8.3333333333333339</v>
      </c>
      <c r="GA55" s="79">
        <v>2</v>
      </c>
      <c r="GB55" s="11">
        <v>6</v>
      </c>
      <c r="GC55" s="79">
        <v>2</v>
      </c>
      <c r="GD55" s="11">
        <v>8.6666666666666661</v>
      </c>
      <c r="GE55" s="79">
        <v>2</v>
      </c>
      <c r="GF55" s="11">
        <v>10.333333333333334</v>
      </c>
      <c r="GG55" s="79">
        <v>2</v>
      </c>
      <c r="GH55" s="11">
        <v>10.333333333333334</v>
      </c>
      <c r="GI55" s="79">
        <v>2</v>
      </c>
      <c r="GJ55" s="243">
        <v>7</v>
      </c>
      <c r="GK55" s="242">
        <v>2</v>
      </c>
      <c r="GL55" s="243">
        <v>5.1500000000000021</v>
      </c>
      <c r="GM55" s="242">
        <v>2</v>
      </c>
      <c r="GN55" s="248"/>
      <c r="GO55" s="249"/>
    </row>
    <row r="56" spans="1:225">
      <c r="A56" s="1" t="s">
        <v>746</v>
      </c>
      <c r="B56" s="3">
        <v>24</v>
      </c>
      <c r="C56" t="s">
        <v>1042</v>
      </c>
      <c r="D56" s="3">
        <v>47</v>
      </c>
      <c r="E56" t="s">
        <v>19</v>
      </c>
      <c r="F56" s="3">
        <v>4</v>
      </c>
      <c r="G56" s="3"/>
      <c r="O56" s="12" t="s">
        <v>442</v>
      </c>
      <c r="P56" t="s">
        <v>394</v>
      </c>
      <c r="Q56">
        <v>0.125</v>
      </c>
      <c r="R56" t="s">
        <v>690</v>
      </c>
      <c r="T56" s="7" t="s">
        <v>399</v>
      </c>
      <c r="U56" s="3">
        <v>3</v>
      </c>
      <c r="V56" s="3">
        <v>4</v>
      </c>
      <c r="W56" s="3">
        <v>4</v>
      </c>
      <c r="X56" s="3">
        <v>5</v>
      </c>
      <c r="Y56" s="3">
        <v>4</v>
      </c>
      <c r="Z56" s="79">
        <v>3</v>
      </c>
      <c r="AA56" s="3">
        <v>5</v>
      </c>
      <c r="AB56" s="3">
        <v>9</v>
      </c>
      <c r="AC56" s="3">
        <v>5</v>
      </c>
      <c r="AD56" s="3">
        <v>4</v>
      </c>
      <c r="AE56" s="79">
        <v>3</v>
      </c>
      <c r="AF56" s="3">
        <v>4</v>
      </c>
      <c r="AG56" s="3">
        <v>4</v>
      </c>
      <c r="AH56" s="3">
        <v>1</v>
      </c>
      <c r="AI56" s="3">
        <v>4</v>
      </c>
      <c r="AJ56" s="3">
        <v>4</v>
      </c>
      <c r="AK56" s="3">
        <v>4</v>
      </c>
      <c r="AL56" s="3">
        <v>2</v>
      </c>
      <c r="AM56" s="3">
        <v>7</v>
      </c>
      <c r="AN56" s="3">
        <v>1</v>
      </c>
      <c r="AO56" s="3">
        <v>8</v>
      </c>
      <c r="AP56" s="3">
        <v>9</v>
      </c>
      <c r="AQ56" s="3">
        <v>5</v>
      </c>
      <c r="AR56" s="3">
        <v>7</v>
      </c>
      <c r="AS56" s="3">
        <v>2</v>
      </c>
      <c r="AT56" s="3">
        <v>5</v>
      </c>
      <c r="AU56" s="3">
        <v>5</v>
      </c>
      <c r="AV56" s="3">
        <v>3</v>
      </c>
      <c r="AW56" s="3">
        <v>3</v>
      </c>
      <c r="AX56" s="3">
        <v>6</v>
      </c>
      <c r="AY56" s="3">
        <v>6</v>
      </c>
      <c r="AZ56" s="3">
        <v>6</v>
      </c>
      <c r="BA56" s="3">
        <v>6</v>
      </c>
      <c r="BB56" s="3">
        <v>4</v>
      </c>
      <c r="BC56" s="3">
        <v>2</v>
      </c>
      <c r="BD56" s="3">
        <v>8</v>
      </c>
      <c r="BE56" s="3">
        <v>4</v>
      </c>
      <c r="BF56" s="3">
        <v>4</v>
      </c>
      <c r="BG56" s="3">
        <v>1</v>
      </c>
      <c r="BH56" s="3">
        <v>9</v>
      </c>
      <c r="BI56" s="3">
        <v>3</v>
      </c>
      <c r="BJ56" s="3">
        <v>2</v>
      </c>
      <c r="BK56" s="3">
        <v>3</v>
      </c>
      <c r="DU56" s="1">
        <v>0.2</v>
      </c>
      <c r="DV56" s="11">
        <v>10.333333333333334</v>
      </c>
      <c r="DW56" s="79">
        <v>3</v>
      </c>
      <c r="DX56" s="11">
        <v>8.6666666666666661</v>
      </c>
      <c r="DY56" s="79">
        <v>3</v>
      </c>
      <c r="DZ56" s="11">
        <v>11</v>
      </c>
      <c r="EA56" s="79">
        <v>3</v>
      </c>
      <c r="EB56" s="11">
        <v>10.333333333333334</v>
      </c>
      <c r="EC56" s="79">
        <v>3</v>
      </c>
      <c r="ED56" s="11">
        <v>9.5333333333333368</v>
      </c>
      <c r="EE56" s="79">
        <v>3</v>
      </c>
      <c r="EF56" s="11">
        <v>7.666666666666667</v>
      </c>
      <c r="EG56" s="79">
        <v>3</v>
      </c>
      <c r="EH56" s="11">
        <v>10</v>
      </c>
      <c r="EI56" s="79">
        <v>3</v>
      </c>
      <c r="EJ56" s="11">
        <v>10</v>
      </c>
      <c r="EK56" s="79">
        <v>3</v>
      </c>
      <c r="EL56" s="11">
        <v>7</v>
      </c>
      <c r="EM56" s="79">
        <v>3</v>
      </c>
      <c r="EN56" s="11">
        <v>8.3333333333333339</v>
      </c>
      <c r="EO56" s="79">
        <v>3</v>
      </c>
      <c r="EP56" s="11">
        <v>9.3333333333333339</v>
      </c>
      <c r="EQ56" s="79">
        <v>3</v>
      </c>
      <c r="ER56" s="11">
        <v>8</v>
      </c>
      <c r="ES56" s="79">
        <v>3</v>
      </c>
      <c r="ET56" s="11">
        <v>10.666666666666666</v>
      </c>
      <c r="EU56" s="79">
        <v>3</v>
      </c>
      <c r="EV56" s="11">
        <v>8</v>
      </c>
      <c r="EW56" s="79">
        <v>3</v>
      </c>
      <c r="EX56" s="11">
        <v>8.3333333333333339</v>
      </c>
      <c r="EY56" s="79">
        <v>3</v>
      </c>
      <c r="EZ56" s="11">
        <v>9.3333333333333339</v>
      </c>
      <c r="FA56" s="79">
        <v>3</v>
      </c>
      <c r="FB56" s="11">
        <v>10</v>
      </c>
      <c r="FC56" s="79">
        <v>3</v>
      </c>
      <c r="FD56" s="11">
        <v>10.25</v>
      </c>
      <c r="FE56" s="79">
        <v>3</v>
      </c>
      <c r="FF56" s="11">
        <v>9.25</v>
      </c>
      <c r="FG56" s="79">
        <v>3</v>
      </c>
      <c r="FH56" s="11">
        <v>7</v>
      </c>
      <c r="FI56" s="79">
        <v>3</v>
      </c>
      <c r="FJ56" s="11">
        <v>11.666666666666666</v>
      </c>
      <c r="FK56" s="79">
        <v>3</v>
      </c>
      <c r="FL56" s="11">
        <v>11.333333333333334</v>
      </c>
      <c r="FM56" s="79">
        <v>3</v>
      </c>
      <c r="FN56" s="11">
        <v>7.666666666666667</v>
      </c>
      <c r="FO56" s="79">
        <v>3</v>
      </c>
      <c r="FP56" s="11">
        <v>6.333333333333333</v>
      </c>
      <c r="FQ56" s="79">
        <v>3</v>
      </c>
      <c r="FR56" s="11">
        <v>6.666666666666667</v>
      </c>
      <c r="FS56" s="79">
        <v>3</v>
      </c>
      <c r="FT56" s="11">
        <v>10</v>
      </c>
      <c r="FU56" s="79">
        <v>3</v>
      </c>
      <c r="FV56" s="11">
        <v>10.666666666666666</v>
      </c>
      <c r="FW56" s="79">
        <v>3</v>
      </c>
      <c r="FX56" s="11">
        <v>7</v>
      </c>
      <c r="FY56" s="79">
        <v>3</v>
      </c>
      <c r="FZ56" s="11">
        <v>9.8666666666666689</v>
      </c>
      <c r="GA56" s="79">
        <v>3</v>
      </c>
      <c r="GB56" s="11">
        <v>7.333333333333333</v>
      </c>
      <c r="GC56" s="79">
        <v>3</v>
      </c>
      <c r="GD56" s="11">
        <v>9.6666666666666661</v>
      </c>
      <c r="GE56" s="79">
        <v>3</v>
      </c>
      <c r="GF56" s="11">
        <v>11.333333333333334</v>
      </c>
      <c r="GG56" s="79">
        <v>3</v>
      </c>
      <c r="GH56" s="11">
        <v>11.666666666666666</v>
      </c>
      <c r="GI56" s="79">
        <v>3</v>
      </c>
      <c r="GJ56" s="243">
        <v>8</v>
      </c>
      <c r="GK56" s="242">
        <v>3</v>
      </c>
      <c r="GL56" s="243">
        <v>6.5</v>
      </c>
      <c r="GM56" s="242">
        <v>3</v>
      </c>
      <c r="GN56" s="248"/>
      <c r="GO56" s="249"/>
    </row>
    <row r="57" spans="1:225">
      <c r="A57" s="1" t="s">
        <v>747</v>
      </c>
      <c r="B57" s="3">
        <v>24</v>
      </c>
      <c r="C57" t="s">
        <v>89</v>
      </c>
      <c r="D57" s="3">
        <v>48</v>
      </c>
      <c r="E57" t="s">
        <v>19</v>
      </c>
      <c r="F57" s="3">
        <v>5</v>
      </c>
      <c r="G57" s="3"/>
      <c r="O57" s="12" t="s">
        <v>475</v>
      </c>
      <c r="P57" s="12" t="s">
        <v>465</v>
      </c>
      <c r="Q57">
        <v>0.125</v>
      </c>
      <c r="R57" t="s">
        <v>692</v>
      </c>
      <c r="T57" s="7" t="s">
        <v>180</v>
      </c>
      <c r="U57" s="3">
        <v>5</v>
      </c>
      <c r="V57" s="3">
        <v>6</v>
      </c>
      <c r="W57" s="3">
        <v>5</v>
      </c>
      <c r="X57" s="3">
        <v>4</v>
      </c>
      <c r="Y57" s="3">
        <v>6</v>
      </c>
      <c r="Z57" s="79">
        <v>6</v>
      </c>
      <c r="AA57" s="3">
        <v>5</v>
      </c>
      <c r="AB57" s="3">
        <v>9</v>
      </c>
      <c r="AC57" s="3">
        <v>6</v>
      </c>
      <c r="AD57" s="3">
        <v>4</v>
      </c>
      <c r="AE57" s="79">
        <v>5</v>
      </c>
      <c r="AF57" s="3">
        <v>5</v>
      </c>
      <c r="AG57" s="3">
        <v>6</v>
      </c>
      <c r="AH57" s="3">
        <v>6</v>
      </c>
      <c r="AI57" s="3">
        <v>6</v>
      </c>
      <c r="AJ57" s="3">
        <v>7</v>
      </c>
      <c r="AK57" s="3">
        <v>6</v>
      </c>
      <c r="AL57" s="3">
        <v>4</v>
      </c>
      <c r="AM57" s="3">
        <v>4</v>
      </c>
      <c r="AN57" s="3">
        <v>3</v>
      </c>
      <c r="AO57" s="3">
        <v>6</v>
      </c>
      <c r="AP57" s="3">
        <v>9</v>
      </c>
      <c r="AQ57" s="3">
        <v>3</v>
      </c>
      <c r="AR57" s="3">
        <v>7</v>
      </c>
      <c r="AS57" s="3">
        <v>6</v>
      </c>
      <c r="AT57" s="3">
        <v>5</v>
      </c>
      <c r="AU57" s="3">
        <v>7</v>
      </c>
      <c r="AV57" s="3">
        <v>6</v>
      </c>
      <c r="AW57" s="3">
        <v>5</v>
      </c>
      <c r="AX57" s="3">
        <v>7</v>
      </c>
      <c r="AY57" s="3">
        <v>6</v>
      </c>
      <c r="AZ57" s="3">
        <v>6</v>
      </c>
      <c r="BA57" s="3">
        <v>7</v>
      </c>
      <c r="BB57" s="3">
        <v>8</v>
      </c>
      <c r="BC57" s="3">
        <v>3</v>
      </c>
      <c r="BD57" s="3">
        <v>6</v>
      </c>
      <c r="BE57" s="3">
        <v>7</v>
      </c>
      <c r="BF57" s="3">
        <v>5</v>
      </c>
      <c r="BG57" s="3">
        <v>3</v>
      </c>
      <c r="BH57" s="3">
        <v>9</v>
      </c>
      <c r="BI57" s="3">
        <v>6</v>
      </c>
      <c r="BJ57" s="3">
        <v>5</v>
      </c>
      <c r="BK57" s="3">
        <v>5</v>
      </c>
      <c r="DU57" s="1">
        <v>0.3</v>
      </c>
      <c r="DV57" s="11">
        <v>11.333333333333334</v>
      </c>
      <c r="DW57" s="79">
        <v>4</v>
      </c>
      <c r="DX57" s="11">
        <v>9.3333333333333339</v>
      </c>
      <c r="DY57" s="79">
        <v>4</v>
      </c>
      <c r="DZ57" s="11">
        <v>11.666666666666666</v>
      </c>
      <c r="EA57" s="79">
        <v>4</v>
      </c>
      <c r="EB57" s="11">
        <v>11</v>
      </c>
      <c r="EC57" s="79">
        <v>4</v>
      </c>
      <c r="ED57" s="11">
        <v>10.333333333333334</v>
      </c>
      <c r="EE57" s="79">
        <v>4</v>
      </c>
      <c r="EF57" s="11">
        <v>8.3333333333333339</v>
      </c>
      <c r="EG57" s="79">
        <v>4</v>
      </c>
      <c r="EH57" s="11">
        <v>11</v>
      </c>
      <c r="EI57" s="79">
        <v>4</v>
      </c>
      <c r="EJ57" s="11">
        <v>11</v>
      </c>
      <c r="EK57" s="79">
        <v>4</v>
      </c>
      <c r="EL57" s="11">
        <v>8</v>
      </c>
      <c r="EM57" s="79">
        <v>4</v>
      </c>
      <c r="EN57" s="11">
        <v>9.3333333333333339</v>
      </c>
      <c r="EO57" s="79">
        <v>4</v>
      </c>
      <c r="EP57" s="11">
        <v>10</v>
      </c>
      <c r="EQ57" s="79">
        <v>4</v>
      </c>
      <c r="ER57" s="11">
        <v>8.6666666666666661</v>
      </c>
      <c r="ES57" s="79">
        <v>4</v>
      </c>
      <c r="ET57" s="11">
        <v>11.666666666666666</v>
      </c>
      <c r="EU57" s="79">
        <v>4</v>
      </c>
      <c r="EV57" s="11">
        <v>9</v>
      </c>
      <c r="EW57" s="79">
        <v>4</v>
      </c>
      <c r="EX57" s="11">
        <v>9.3333333333333339</v>
      </c>
      <c r="EY57" s="79">
        <v>4</v>
      </c>
      <c r="EZ57" s="11">
        <v>10.333333333333334</v>
      </c>
      <c r="FA57" s="79">
        <v>4</v>
      </c>
      <c r="FB57" s="11">
        <v>10.75</v>
      </c>
      <c r="FC57" s="79">
        <v>4</v>
      </c>
      <c r="FD57" s="11">
        <v>11</v>
      </c>
      <c r="FE57" s="79">
        <v>4</v>
      </c>
      <c r="FF57" s="11">
        <v>10</v>
      </c>
      <c r="FG57" s="79">
        <v>4</v>
      </c>
      <c r="FH57" s="11">
        <v>7.666666666666667</v>
      </c>
      <c r="FI57" s="79">
        <v>4</v>
      </c>
      <c r="FJ57" s="11">
        <v>12.666666666666666</v>
      </c>
      <c r="FK57" s="79">
        <v>4</v>
      </c>
      <c r="FL57" s="11">
        <v>12</v>
      </c>
      <c r="FM57" s="79">
        <v>4</v>
      </c>
      <c r="FN57" s="11">
        <v>8.3333333333333339</v>
      </c>
      <c r="FO57" s="79">
        <v>4</v>
      </c>
      <c r="FP57" s="11">
        <v>7.333333333333333</v>
      </c>
      <c r="FQ57" s="79">
        <v>4</v>
      </c>
      <c r="FR57" s="11">
        <v>7.666666666666667</v>
      </c>
      <c r="FS57" s="79">
        <v>4</v>
      </c>
      <c r="FT57" s="11">
        <v>10.666666666666666</v>
      </c>
      <c r="FU57" s="79">
        <v>4</v>
      </c>
      <c r="FV57" s="11">
        <v>11.666666666666666</v>
      </c>
      <c r="FW57" s="79">
        <v>4</v>
      </c>
      <c r="FX57" s="11">
        <v>7.666666666666667</v>
      </c>
      <c r="FY57" s="79">
        <v>4</v>
      </c>
      <c r="FZ57" s="11">
        <v>10.666666666666666</v>
      </c>
      <c r="GA57" s="79">
        <v>4</v>
      </c>
      <c r="GB57" s="11">
        <v>8.3333333333333339</v>
      </c>
      <c r="GC57" s="79">
        <v>4</v>
      </c>
      <c r="GD57" s="11">
        <v>10.633333333333329</v>
      </c>
      <c r="GE57" s="79">
        <v>4</v>
      </c>
      <c r="GF57" s="11">
        <v>12</v>
      </c>
      <c r="GG57" s="79">
        <v>4</v>
      </c>
      <c r="GH57" s="11">
        <v>12.666666666666666</v>
      </c>
      <c r="GI57" s="79">
        <v>4</v>
      </c>
      <c r="GJ57" s="243">
        <v>8.6666666666666661</v>
      </c>
      <c r="GK57" s="242">
        <v>4</v>
      </c>
      <c r="GL57" s="243">
        <v>7.5</v>
      </c>
      <c r="GM57" s="242">
        <v>4</v>
      </c>
      <c r="GN57" s="248"/>
      <c r="GO57" s="249"/>
    </row>
    <row r="58" spans="1:225">
      <c r="A58" s="1" t="s">
        <v>748</v>
      </c>
      <c r="B58" s="3">
        <v>25</v>
      </c>
      <c r="C58" t="s">
        <v>39</v>
      </c>
      <c r="D58" s="3">
        <v>49</v>
      </c>
      <c r="E58" t="s">
        <v>19</v>
      </c>
      <c r="F58" s="3">
        <v>5</v>
      </c>
      <c r="G58" s="3"/>
      <c r="O58" s="18" t="s">
        <v>621</v>
      </c>
      <c r="P58" s="73"/>
      <c r="T58" s="7" t="s">
        <v>564</v>
      </c>
      <c r="U58" s="3">
        <v>2</v>
      </c>
      <c r="V58" s="3">
        <v>3</v>
      </c>
      <c r="W58" s="3">
        <v>3</v>
      </c>
      <c r="X58" s="3">
        <v>5</v>
      </c>
      <c r="Y58" s="3">
        <v>2</v>
      </c>
      <c r="Z58" s="79">
        <v>2</v>
      </c>
      <c r="AA58" s="3">
        <v>2</v>
      </c>
      <c r="AB58" s="3">
        <v>4</v>
      </c>
      <c r="AC58" s="3">
        <v>3</v>
      </c>
      <c r="AD58" s="3">
        <v>1</v>
      </c>
      <c r="AE58" s="79">
        <v>2</v>
      </c>
      <c r="AF58" s="3">
        <v>1</v>
      </c>
      <c r="AG58" s="3">
        <v>1</v>
      </c>
      <c r="AH58" s="3">
        <v>2</v>
      </c>
      <c r="AI58" s="3">
        <v>2</v>
      </c>
      <c r="AJ58" s="3">
        <v>2</v>
      </c>
      <c r="AK58" s="3">
        <v>1</v>
      </c>
      <c r="AL58" s="3">
        <v>1</v>
      </c>
      <c r="AM58" s="3">
        <v>3</v>
      </c>
      <c r="AN58" s="3">
        <v>3</v>
      </c>
      <c r="AO58" s="3">
        <v>6</v>
      </c>
      <c r="AP58" s="3">
        <v>1</v>
      </c>
      <c r="AQ58" s="3">
        <v>1</v>
      </c>
      <c r="AR58" s="3">
        <v>8</v>
      </c>
      <c r="AS58" s="3">
        <v>2</v>
      </c>
      <c r="AT58" s="3">
        <v>1</v>
      </c>
      <c r="AU58" s="3">
        <v>2</v>
      </c>
      <c r="AV58" s="3">
        <v>3</v>
      </c>
      <c r="AW58" s="3">
        <v>5</v>
      </c>
      <c r="AX58" s="3">
        <v>2</v>
      </c>
      <c r="AY58" s="3">
        <v>4</v>
      </c>
      <c r="AZ58" s="3">
        <v>4</v>
      </c>
      <c r="BA58" s="3">
        <v>2</v>
      </c>
      <c r="BB58" s="3">
        <v>3</v>
      </c>
      <c r="BC58" s="3">
        <v>3</v>
      </c>
      <c r="BD58" s="3">
        <v>5</v>
      </c>
      <c r="BE58" s="3">
        <v>3</v>
      </c>
      <c r="BF58" s="3">
        <v>1</v>
      </c>
      <c r="BG58" s="3">
        <v>2</v>
      </c>
      <c r="BH58" s="3">
        <v>6</v>
      </c>
      <c r="BI58" s="3">
        <v>2</v>
      </c>
      <c r="BJ58" s="3">
        <v>2</v>
      </c>
      <c r="BK58" s="3">
        <v>3</v>
      </c>
      <c r="DU58" s="1">
        <v>0.4</v>
      </c>
      <c r="DV58" s="11">
        <v>12.333333333333334</v>
      </c>
      <c r="DW58" s="79">
        <v>5</v>
      </c>
      <c r="DX58" s="11">
        <v>10.333333333333334</v>
      </c>
      <c r="DY58" s="79">
        <v>5</v>
      </c>
      <c r="DZ58" s="11">
        <v>12.333333333333334</v>
      </c>
      <c r="EA58" s="79">
        <v>5</v>
      </c>
      <c r="EB58" s="11">
        <v>12</v>
      </c>
      <c r="EC58" s="79">
        <v>5</v>
      </c>
      <c r="ED58" s="11">
        <v>11</v>
      </c>
      <c r="EE58" s="79">
        <v>5</v>
      </c>
      <c r="EF58" s="11">
        <v>9</v>
      </c>
      <c r="EG58" s="79">
        <v>5</v>
      </c>
      <c r="EH58" s="11">
        <v>11.666666666666666</v>
      </c>
      <c r="EI58" s="79">
        <v>5</v>
      </c>
      <c r="EJ58" s="11">
        <v>11.666666666666666</v>
      </c>
      <c r="EK58" s="79">
        <v>5</v>
      </c>
      <c r="EL58" s="11">
        <v>8.6666666666666661</v>
      </c>
      <c r="EM58" s="79">
        <v>5</v>
      </c>
      <c r="EN58" s="11">
        <v>10</v>
      </c>
      <c r="EO58" s="79">
        <v>5</v>
      </c>
      <c r="EP58" s="11">
        <v>10.666666666666666</v>
      </c>
      <c r="EQ58" s="79">
        <v>5</v>
      </c>
      <c r="ER58" s="11">
        <v>9.6666666666666661</v>
      </c>
      <c r="ES58" s="79">
        <v>5</v>
      </c>
      <c r="ET58" s="11">
        <v>12.333333333333334</v>
      </c>
      <c r="EU58" s="79">
        <v>5</v>
      </c>
      <c r="EV58" s="11">
        <v>10</v>
      </c>
      <c r="EW58" s="79">
        <v>5</v>
      </c>
      <c r="EX58" s="11">
        <v>10</v>
      </c>
      <c r="EY58" s="79">
        <v>5</v>
      </c>
      <c r="EZ58" s="11">
        <v>11</v>
      </c>
      <c r="FA58" s="79">
        <v>5</v>
      </c>
      <c r="FB58" s="11">
        <v>11.5</v>
      </c>
      <c r="FC58" s="79">
        <v>5</v>
      </c>
      <c r="FD58" s="11">
        <v>11.75</v>
      </c>
      <c r="FE58" s="79">
        <v>5</v>
      </c>
      <c r="FF58" s="11">
        <v>10.5</v>
      </c>
      <c r="FG58" s="79">
        <v>5</v>
      </c>
      <c r="FH58" s="11">
        <v>8.6666666666666661</v>
      </c>
      <c r="FI58" s="79">
        <v>5</v>
      </c>
      <c r="FJ58" s="11">
        <v>13.666666666666666</v>
      </c>
      <c r="FK58" s="79">
        <v>5</v>
      </c>
      <c r="FL58" s="11">
        <v>13</v>
      </c>
      <c r="FM58" s="79">
        <v>5</v>
      </c>
      <c r="FN58" s="11">
        <v>9.3333333333333339</v>
      </c>
      <c r="FO58" s="79">
        <v>5</v>
      </c>
      <c r="FP58" s="11">
        <v>8</v>
      </c>
      <c r="FQ58" s="79">
        <v>5</v>
      </c>
      <c r="FR58" s="11">
        <v>8.6666666666666661</v>
      </c>
      <c r="FS58" s="79">
        <v>5</v>
      </c>
      <c r="FT58" s="11">
        <v>11.333333333333334</v>
      </c>
      <c r="FU58" s="79">
        <v>5</v>
      </c>
      <c r="FV58" s="11">
        <v>12.333333333333334</v>
      </c>
      <c r="FW58" s="79">
        <v>5</v>
      </c>
      <c r="FX58" s="11">
        <v>8.3333333333333339</v>
      </c>
      <c r="FY58" s="79">
        <v>5</v>
      </c>
      <c r="FZ58" s="11">
        <v>11.333333333333334</v>
      </c>
      <c r="GA58" s="79">
        <v>5</v>
      </c>
      <c r="GB58" s="11">
        <v>9</v>
      </c>
      <c r="GC58" s="79">
        <v>5</v>
      </c>
      <c r="GD58" s="11">
        <v>11.333333333333334</v>
      </c>
      <c r="GE58" s="79">
        <v>5</v>
      </c>
      <c r="GF58" s="11">
        <v>13</v>
      </c>
      <c r="GG58" s="79">
        <v>5</v>
      </c>
      <c r="GH58" s="11">
        <v>13.333333333333334</v>
      </c>
      <c r="GI58" s="79">
        <v>5</v>
      </c>
      <c r="GJ58" s="243">
        <v>9.6666666666666661</v>
      </c>
      <c r="GK58" s="242">
        <v>5</v>
      </c>
      <c r="GL58" s="243">
        <v>8.5</v>
      </c>
      <c r="GM58" s="242">
        <v>5</v>
      </c>
      <c r="GN58" s="248"/>
      <c r="GO58" s="249"/>
    </row>
    <row r="59" spans="1:225">
      <c r="A59" s="1" t="s">
        <v>749</v>
      </c>
      <c r="B59" s="3">
        <v>25</v>
      </c>
      <c r="C59" t="s">
        <v>345</v>
      </c>
      <c r="D59" s="3">
        <v>50</v>
      </c>
      <c r="E59" t="s">
        <v>19</v>
      </c>
      <c r="F59" s="3">
        <v>4</v>
      </c>
      <c r="G59" s="3"/>
      <c r="O59" s="12" t="s">
        <v>1080</v>
      </c>
      <c r="P59" s="140" t="e">
        <f>$N$1*P$1*10</f>
        <v>#VALUE!</v>
      </c>
      <c r="R59" s="166">
        <f>SUM(Q50:Q57)</f>
        <v>1</v>
      </c>
      <c r="T59" s="2" t="s">
        <v>16</v>
      </c>
      <c r="U59" s="3">
        <v>10</v>
      </c>
      <c r="V59" s="3">
        <v>10</v>
      </c>
      <c r="W59" s="3">
        <v>10</v>
      </c>
      <c r="X59" s="3">
        <v>10</v>
      </c>
      <c r="Y59" s="3">
        <v>10</v>
      </c>
      <c r="Z59" s="79">
        <v>8</v>
      </c>
      <c r="AA59" s="3">
        <v>10</v>
      </c>
      <c r="AB59" s="3">
        <v>10</v>
      </c>
      <c r="AC59" s="3">
        <v>10</v>
      </c>
      <c r="AD59" s="3">
        <v>10</v>
      </c>
      <c r="AE59" s="79">
        <v>10</v>
      </c>
      <c r="AF59" s="3">
        <v>10</v>
      </c>
      <c r="AG59" s="3">
        <v>9</v>
      </c>
      <c r="AH59" s="3">
        <v>10</v>
      </c>
      <c r="AI59" s="3">
        <v>10</v>
      </c>
      <c r="AJ59" s="3">
        <v>9</v>
      </c>
      <c r="AK59" s="3">
        <v>10</v>
      </c>
      <c r="AL59" s="3">
        <v>10</v>
      </c>
      <c r="AM59" s="3">
        <v>9</v>
      </c>
      <c r="AN59" s="3">
        <v>8</v>
      </c>
      <c r="AO59" s="3">
        <v>9</v>
      </c>
      <c r="AP59" s="3">
        <v>5</v>
      </c>
      <c r="AQ59" s="3">
        <v>10</v>
      </c>
      <c r="AR59" s="3">
        <v>10</v>
      </c>
      <c r="AS59" s="3">
        <v>10</v>
      </c>
      <c r="AT59" s="3">
        <v>10</v>
      </c>
      <c r="AU59" s="3">
        <v>10</v>
      </c>
      <c r="AV59" s="3">
        <v>10</v>
      </c>
      <c r="AW59" s="3">
        <v>9</v>
      </c>
      <c r="AX59" s="3">
        <v>8</v>
      </c>
      <c r="AY59" s="3">
        <v>10</v>
      </c>
      <c r="AZ59" s="3">
        <v>10</v>
      </c>
      <c r="BA59" s="3">
        <v>10</v>
      </c>
      <c r="BB59" s="3">
        <v>10</v>
      </c>
      <c r="BC59" s="3">
        <v>10</v>
      </c>
      <c r="BD59" s="3">
        <v>10</v>
      </c>
      <c r="BE59" s="3">
        <v>10</v>
      </c>
      <c r="BF59" s="3">
        <v>10</v>
      </c>
      <c r="BG59" s="3">
        <v>10</v>
      </c>
      <c r="BH59" s="3">
        <v>10</v>
      </c>
      <c r="BI59" s="3">
        <v>9</v>
      </c>
      <c r="BJ59" s="3">
        <v>10</v>
      </c>
      <c r="BK59" s="3">
        <v>9</v>
      </c>
      <c r="DU59" s="1">
        <v>0.5</v>
      </c>
      <c r="DV59" s="11">
        <v>13</v>
      </c>
      <c r="DW59" s="79">
        <v>6</v>
      </c>
      <c r="DX59" s="11">
        <v>11</v>
      </c>
      <c r="DY59" s="79">
        <v>6</v>
      </c>
      <c r="DZ59" s="11">
        <v>13</v>
      </c>
      <c r="EA59" s="79">
        <v>6</v>
      </c>
      <c r="EB59" s="11">
        <v>12.666666666666666</v>
      </c>
      <c r="EC59" s="79">
        <v>6</v>
      </c>
      <c r="ED59" s="11">
        <v>11.666666666666666</v>
      </c>
      <c r="EE59" s="79">
        <v>6</v>
      </c>
      <c r="EF59" s="11">
        <v>9.6666666666666661</v>
      </c>
      <c r="EG59" s="79">
        <v>6</v>
      </c>
      <c r="EH59" s="11">
        <v>12.666666666666666</v>
      </c>
      <c r="EI59" s="79">
        <v>6</v>
      </c>
      <c r="EJ59" s="11">
        <v>12.333333333333334</v>
      </c>
      <c r="EK59" s="79">
        <v>6</v>
      </c>
      <c r="EL59" s="11">
        <v>9.3333333333333339</v>
      </c>
      <c r="EM59" s="79">
        <v>6</v>
      </c>
      <c r="EN59" s="11">
        <v>10.666666666666666</v>
      </c>
      <c r="EO59" s="79">
        <v>6</v>
      </c>
      <c r="EP59" s="11">
        <v>11.333333333333334</v>
      </c>
      <c r="EQ59" s="79">
        <v>6</v>
      </c>
      <c r="ER59" s="11">
        <v>10.333333333333334</v>
      </c>
      <c r="ES59" s="79">
        <v>6</v>
      </c>
      <c r="ET59" s="11">
        <v>13</v>
      </c>
      <c r="EU59" s="79">
        <v>6</v>
      </c>
      <c r="EV59" s="11">
        <v>10.666666666666666</v>
      </c>
      <c r="EW59" s="79">
        <v>6</v>
      </c>
      <c r="EX59" s="11">
        <v>10.666666666666666</v>
      </c>
      <c r="EY59" s="79">
        <v>6</v>
      </c>
      <c r="EZ59" s="11">
        <v>11.666666666666666</v>
      </c>
      <c r="FA59" s="79">
        <v>6</v>
      </c>
      <c r="FB59" s="11">
        <v>12.25</v>
      </c>
      <c r="FC59" s="79">
        <v>6</v>
      </c>
      <c r="FD59" s="11">
        <v>12.5</v>
      </c>
      <c r="FE59" s="79">
        <v>6</v>
      </c>
      <c r="FF59" s="11">
        <v>11.25</v>
      </c>
      <c r="FG59" s="79">
        <v>6</v>
      </c>
      <c r="FH59" s="11">
        <v>9</v>
      </c>
      <c r="FI59" s="79">
        <v>6</v>
      </c>
      <c r="FJ59" s="11">
        <v>14.333333333333334</v>
      </c>
      <c r="FK59" s="79">
        <v>6</v>
      </c>
      <c r="FL59" s="11">
        <v>13.666666666666666</v>
      </c>
      <c r="FM59" s="79">
        <v>6</v>
      </c>
      <c r="FN59" s="11">
        <v>10.333333333333334</v>
      </c>
      <c r="FO59" s="79">
        <v>6</v>
      </c>
      <c r="FP59" s="11">
        <v>9</v>
      </c>
      <c r="FQ59" s="79">
        <v>6</v>
      </c>
      <c r="FR59" s="11">
        <v>9.6666666666666661</v>
      </c>
      <c r="FS59" s="79">
        <v>6</v>
      </c>
      <c r="FT59" s="11">
        <v>12</v>
      </c>
      <c r="FU59" s="79">
        <v>6</v>
      </c>
      <c r="FV59" s="11">
        <v>13</v>
      </c>
      <c r="FW59" s="79">
        <v>6</v>
      </c>
      <c r="FX59" s="11">
        <v>9.3333333333333339</v>
      </c>
      <c r="FY59" s="79">
        <v>6</v>
      </c>
      <c r="FZ59" s="11">
        <v>12.333333333333334</v>
      </c>
      <c r="GA59" s="79">
        <v>6</v>
      </c>
      <c r="GB59" s="11">
        <v>10</v>
      </c>
      <c r="GC59" s="79">
        <v>6</v>
      </c>
      <c r="GD59" s="11">
        <v>12</v>
      </c>
      <c r="GE59" s="79">
        <v>6</v>
      </c>
      <c r="GF59" s="11">
        <v>13.666666666666666</v>
      </c>
      <c r="GG59" s="79">
        <v>6</v>
      </c>
      <c r="GH59" s="11">
        <v>14</v>
      </c>
      <c r="GI59" s="79">
        <v>6</v>
      </c>
      <c r="GJ59" s="243">
        <v>10.333333333333334</v>
      </c>
      <c r="GK59" s="242">
        <v>6</v>
      </c>
      <c r="GL59" s="243">
        <v>9.5</v>
      </c>
      <c r="GM59" s="242">
        <v>6</v>
      </c>
      <c r="GN59" s="248"/>
      <c r="GO59" s="249"/>
    </row>
    <row r="60" spans="1:225">
      <c r="A60" s="1" t="s">
        <v>750</v>
      </c>
      <c r="B60" s="3">
        <v>26</v>
      </c>
      <c r="C60" t="s">
        <v>268</v>
      </c>
      <c r="D60" s="3">
        <v>51</v>
      </c>
      <c r="E60" t="s">
        <v>19</v>
      </c>
      <c r="F60" s="3">
        <v>4</v>
      </c>
      <c r="G60" s="3"/>
      <c r="O60" s="12" t="s">
        <v>143</v>
      </c>
      <c r="T60" s="2" t="s">
        <v>135</v>
      </c>
      <c r="U60" s="3">
        <v>6</v>
      </c>
      <c r="V60" s="3">
        <v>3</v>
      </c>
      <c r="W60" s="3">
        <v>5</v>
      </c>
      <c r="X60" s="3">
        <v>3</v>
      </c>
      <c r="Y60" s="3">
        <v>5</v>
      </c>
      <c r="Z60" s="79">
        <v>2</v>
      </c>
      <c r="AA60" s="3">
        <v>8</v>
      </c>
      <c r="AB60" s="3">
        <v>6</v>
      </c>
      <c r="AC60" s="3">
        <v>5</v>
      </c>
      <c r="AD60" s="3">
        <v>6</v>
      </c>
      <c r="AE60" s="79">
        <v>2</v>
      </c>
      <c r="AF60" s="3">
        <v>6</v>
      </c>
      <c r="AG60" s="3">
        <v>6</v>
      </c>
      <c r="AH60" s="3">
        <v>4</v>
      </c>
      <c r="AI60" s="3">
        <v>3</v>
      </c>
      <c r="AJ60" s="3">
        <v>4</v>
      </c>
      <c r="AK60" s="3">
        <v>7</v>
      </c>
      <c r="AL60" s="3">
        <v>6</v>
      </c>
      <c r="AM60" s="3">
        <v>6</v>
      </c>
      <c r="AN60" s="3">
        <v>7</v>
      </c>
      <c r="AO60" s="3">
        <v>5</v>
      </c>
      <c r="AP60" s="3">
        <v>3</v>
      </c>
      <c r="AQ60" s="3">
        <v>7</v>
      </c>
      <c r="AR60" s="3">
        <v>2</v>
      </c>
      <c r="AS60" s="3">
        <v>2</v>
      </c>
      <c r="AT60" s="3">
        <v>6</v>
      </c>
      <c r="AU60" s="3">
        <v>2</v>
      </c>
      <c r="AV60" s="3">
        <v>8</v>
      </c>
      <c r="AW60" s="3">
        <v>8</v>
      </c>
      <c r="AX60" s="3">
        <v>5</v>
      </c>
      <c r="AY60" s="3">
        <v>2</v>
      </c>
      <c r="AZ60" s="3">
        <v>2</v>
      </c>
      <c r="BA60" s="3">
        <v>4</v>
      </c>
      <c r="BB60" s="3">
        <v>6</v>
      </c>
      <c r="BC60" s="3">
        <v>3</v>
      </c>
      <c r="BD60" s="3">
        <v>6</v>
      </c>
      <c r="BE60" s="3">
        <v>5</v>
      </c>
      <c r="BF60" s="3">
        <v>7</v>
      </c>
      <c r="BG60" s="3">
        <v>3</v>
      </c>
      <c r="BH60" s="3">
        <v>5</v>
      </c>
      <c r="BI60" s="3">
        <v>4</v>
      </c>
      <c r="BJ60" s="3">
        <v>2</v>
      </c>
      <c r="BK60" s="3">
        <v>3</v>
      </c>
      <c r="DU60" s="1">
        <v>0.6</v>
      </c>
      <c r="DV60" s="11">
        <v>13.666666666666666</v>
      </c>
      <c r="DW60" s="79">
        <v>7</v>
      </c>
      <c r="DX60" s="11">
        <v>11.666666666666666</v>
      </c>
      <c r="DY60" s="79">
        <v>7</v>
      </c>
      <c r="DZ60" s="11">
        <v>13.666666666666666</v>
      </c>
      <c r="EA60" s="79">
        <v>7</v>
      </c>
      <c r="EB60" s="11">
        <v>13.333333333333334</v>
      </c>
      <c r="EC60" s="79">
        <v>7</v>
      </c>
      <c r="ED60" s="11">
        <v>12.599999999999994</v>
      </c>
      <c r="EE60" s="79">
        <v>7</v>
      </c>
      <c r="EF60" s="11">
        <v>10.333333333333334</v>
      </c>
      <c r="EG60" s="79">
        <v>7</v>
      </c>
      <c r="EH60" s="11">
        <v>13.333333333333334</v>
      </c>
      <c r="EI60" s="79">
        <v>7</v>
      </c>
      <c r="EJ60" s="11">
        <v>13</v>
      </c>
      <c r="EK60" s="79">
        <v>7</v>
      </c>
      <c r="EL60" s="11">
        <v>10.333333333333334</v>
      </c>
      <c r="EM60" s="79">
        <v>7</v>
      </c>
      <c r="EN60" s="11">
        <v>11.333333333333334</v>
      </c>
      <c r="EO60" s="79">
        <v>7</v>
      </c>
      <c r="EP60" s="11">
        <v>11.666666666666666</v>
      </c>
      <c r="EQ60" s="79">
        <v>7</v>
      </c>
      <c r="ER60" s="11">
        <v>11.333333333333334</v>
      </c>
      <c r="ES60" s="79">
        <v>7</v>
      </c>
      <c r="ET60" s="11">
        <v>13.666666666666666</v>
      </c>
      <c r="EU60" s="79">
        <v>7</v>
      </c>
      <c r="EV60" s="11">
        <v>11.333333333333334</v>
      </c>
      <c r="EW60" s="79">
        <v>7</v>
      </c>
      <c r="EX60" s="11">
        <v>11.333333333333334</v>
      </c>
      <c r="EY60" s="79">
        <v>7</v>
      </c>
      <c r="EZ60" s="11">
        <v>12.933333333333328</v>
      </c>
      <c r="FA60" s="79">
        <v>7</v>
      </c>
      <c r="FB60" s="11">
        <v>12.75</v>
      </c>
      <c r="FC60" s="79">
        <v>7</v>
      </c>
      <c r="FD60" s="11">
        <v>13.449999999999996</v>
      </c>
      <c r="FE60" s="79">
        <v>7</v>
      </c>
      <c r="FF60" s="11">
        <v>11.75</v>
      </c>
      <c r="FG60" s="79">
        <v>7</v>
      </c>
      <c r="FH60" s="11">
        <v>10</v>
      </c>
      <c r="FI60" s="79">
        <v>7</v>
      </c>
      <c r="FJ60" s="11">
        <v>15</v>
      </c>
      <c r="FK60" s="79">
        <v>7</v>
      </c>
      <c r="FL60" s="11">
        <v>14.333333333333334</v>
      </c>
      <c r="FM60" s="79">
        <v>7</v>
      </c>
      <c r="FN60" s="11">
        <v>10.666666666666666</v>
      </c>
      <c r="FO60" s="79">
        <v>7</v>
      </c>
      <c r="FP60" s="11">
        <v>10</v>
      </c>
      <c r="FQ60" s="79">
        <v>7</v>
      </c>
      <c r="FR60" s="11">
        <v>10.666666666666666</v>
      </c>
      <c r="FS60" s="79">
        <v>7</v>
      </c>
      <c r="FT60" s="11">
        <v>12.666666666666666</v>
      </c>
      <c r="FU60" s="79">
        <v>7</v>
      </c>
      <c r="FV60" s="11">
        <v>13.333333333333334</v>
      </c>
      <c r="FW60" s="79">
        <v>7</v>
      </c>
      <c r="FX60" s="11">
        <v>10</v>
      </c>
      <c r="FY60" s="79">
        <v>7</v>
      </c>
      <c r="FZ60" s="11">
        <v>13.333333333333334</v>
      </c>
      <c r="GA60" s="79">
        <v>7</v>
      </c>
      <c r="GB60" s="11">
        <v>10.666666666666666</v>
      </c>
      <c r="GC60" s="79">
        <v>7</v>
      </c>
      <c r="GD60" s="11">
        <v>12.666666666666666</v>
      </c>
      <c r="GE60" s="79">
        <v>7</v>
      </c>
      <c r="GF60" s="11">
        <v>14.333333333333334</v>
      </c>
      <c r="GG60" s="79">
        <v>7</v>
      </c>
      <c r="GH60" s="11">
        <v>15</v>
      </c>
      <c r="GI60" s="79">
        <v>7</v>
      </c>
      <c r="GJ60" s="243">
        <v>11</v>
      </c>
      <c r="GK60" s="242">
        <v>7</v>
      </c>
      <c r="GL60" s="243">
        <v>10.899999999999991</v>
      </c>
      <c r="GM60" s="242">
        <v>7</v>
      </c>
      <c r="GN60" s="248"/>
      <c r="GO60" s="249"/>
    </row>
    <row r="61" spans="1:225">
      <c r="A61" s="1" t="s">
        <v>751</v>
      </c>
      <c r="B61" s="3">
        <v>26</v>
      </c>
      <c r="C61" t="s">
        <v>60</v>
      </c>
      <c r="D61" s="3">
        <v>52</v>
      </c>
      <c r="E61" t="s">
        <v>19</v>
      </c>
      <c r="F61" s="3">
        <v>5</v>
      </c>
      <c r="G61" s="3"/>
      <c r="O61" s="20" t="s">
        <v>30</v>
      </c>
      <c r="P61" s="18" t="s">
        <v>604</v>
      </c>
      <c r="T61" s="2" t="s">
        <v>217</v>
      </c>
      <c r="U61" s="3">
        <v>1</v>
      </c>
      <c r="V61" s="3">
        <v>1</v>
      </c>
      <c r="W61" s="3">
        <v>2</v>
      </c>
      <c r="X61" s="3">
        <v>2</v>
      </c>
      <c r="Y61" s="3">
        <v>2</v>
      </c>
      <c r="Z61" s="79">
        <v>1</v>
      </c>
      <c r="AA61" s="3">
        <v>4</v>
      </c>
      <c r="AB61" s="3">
        <v>2</v>
      </c>
      <c r="AC61" s="3">
        <v>1</v>
      </c>
      <c r="AD61" s="3">
        <v>1</v>
      </c>
      <c r="AE61" s="79">
        <v>2</v>
      </c>
      <c r="AF61" s="3">
        <v>1</v>
      </c>
      <c r="AG61" s="3">
        <v>1</v>
      </c>
      <c r="AH61" s="3">
        <v>2</v>
      </c>
      <c r="AI61" s="3">
        <v>2</v>
      </c>
      <c r="AJ61" s="3">
        <v>1</v>
      </c>
      <c r="AK61" s="3">
        <v>2</v>
      </c>
      <c r="AL61" s="3">
        <v>2</v>
      </c>
      <c r="AM61" s="3">
        <v>2</v>
      </c>
      <c r="AN61" s="3">
        <v>1</v>
      </c>
      <c r="AO61" s="3">
        <v>2</v>
      </c>
      <c r="AP61" s="3">
        <v>1</v>
      </c>
      <c r="AQ61" s="3">
        <v>7</v>
      </c>
      <c r="AR61" s="3">
        <v>1</v>
      </c>
      <c r="AS61" s="3">
        <v>1</v>
      </c>
      <c r="AT61" s="3">
        <v>1</v>
      </c>
      <c r="AU61" s="3">
        <v>1</v>
      </c>
      <c r="AV61" s="3">
        <v>1</v>
      </c>
      <c r="AW61" s="3">
        <v>1</v>
      </c>
      <c r="AX61" s="3">
        <v>1</v>
      </c>
      <c r="AY61" s="3">
        <v>1</v>
      </c>
      <c r="AZ61" s="3">
        <v>1</v>
      </c>
      <c r="BA61" s="3">
        <v>1</v>
      </c>
      <c r="BB61" s="3">
        <v>2</v>
      </c>
      <c r="BC61" s="3">
        <v>2</v>
      </c>
      <c r="BD61" s="3">
        <v>3</v>
      </c>
      <c r="BE61" s="3">
        <v>2</v>
      </c>
      <c r="BF61" s="3">
        <v>5</v>
      </c>
      <c r="BG61" s="3">
        <v>1</v>
      </c>
      <c r="BH61" s="3">
        <v>2</v>
      </c>
      <c r="BI61" s="3">
        <v>1</v>
      </c>
      <c r="BJ61" s="3">
        <v>1</v>
      </c>
      <c r="BK61" s="3">
        <v>3</v>
      </c>
      <c r="DU61" s="1">
        <v>0.7</v>
      </c>
      <c r="DV61" s="11">
        <v>14.666666666666666</v>
      </c>
      <c r="DW61" s="79">
        <v>8</v>
      </c>
      <c r="DX61" s="11">
        <v>12.033333333333323</v>
      </c>
      <c r="DY61" s="79">
        <v>8</v>
      </c>
      <c r="DZ61" s="11">
        <v>14.333333333333334</v>
      </c>
      <c r="EA61" s="79">
        <v>8</v>
      </c>
      <c r="EB61" s="11">
        <v>14</v>
      </c>
      <c r="EC61" s="79">
        <v>8</v>
      </c>
      <c r="ED61" s="11">
        <v>13</v>
      </c>
      <c r="EE61" s="79">
        <v>8</v>
      </c>
      <c r="EF61" s="11">
        <v>11</v>
      </c>
      <c r="EG61" s="79">
        <v>8</v>
      </c>
      <c r="EH61" s="11">
        <v>14</v>
      </c>
      <c r="EI61" s="79">
        <v>8</v>
      </c>
      <c r="EJ61" s="11">
        <v>13.666666666666666</v>
      </c>
      <c r="EK61" s="79">
        <v>8</v>
      </c>
      <c r="EL61" s="11">
        <v>11</v>
      </c>
      <c r="EM61" s="79">
        <v>8</v>
      </c>
      <c r="EN61" s="11">
        <v>12</v>
      </c>
      <c r="EO61" s="79">
        <v>8</v>
      </c>
      <c r="EP61" s="11">
        <v>12.333333333333334</v>
      </c>
      <c r="EQ61" s="79">
        <v>8</v>
      </c>
      <c r="ER61" s="11">
        <v>12</v>
      </c>
      <c r="ES61" s="79">
        <v>8</v>
      </c>
      <c r="ET61" s="11">
        <v>14.333333333333334</v>
      </c>
      <c r="EU61" s="79">
        <v>8</v>
      </c>
      <c r="EV61" s="11">
        <v>12.333333333333334</v>
      </c>
      <c r="EW61" s="79">
        <v>8</v>
      </c>
      <c r="EX61" s="11">
        <v>12.333333333333334</v>
      </c>
      <c r="EY61" s="79">
        <v>8</v>
      </c>
      <c r="EZ61" s="11">
        <v>13.666666666666666</v>
      </c>
      <c r="FA61" s="79">
        <v>8</v>
      </c>
      <c r="FB61" s="11">
        <v>13.5</v>
      </c>
      <c r="FC61" s="79">
        <v>8</v>
      </c>
      <c r="FD61" s="11">
        <v>14</v>
      </c>
      <c r="FE61" s="79">
        <v>8</v>
      </c>
      <c r="FF61" s="11">
        <v>12.5</v>
      </c>
      <c r="FG61" s="79">
        <v>8</v>
      </c>
      <c r="FH61" s="11">
        <v>10.666666666666666</v>
      </c>
      <c r="FI61" s="79">
        <v>8</v>
      </c>
      <c r="FJ61" s="11">
        <v>15.666666666666666</v>
      </c>
      <c r="FK61" s="79">
        <v>8</v>
      </c>
      <c r="FL61" s="11">
        <v>15</v>
      </c>
      <c r="FM61" s="79">
        <v>8</v>
      </c>
      <c r="FN61" s="11">
        <v>11.666666666666666</v>
      </c>
      <c r="FO61" s="79">
        <v>8</v>
      </c>
      <c r="FP61" s="11">
        <v>11</v>
      </c>
      <c r="FQ61" s="79">
        <v>8</v>
      </c>
      <c r="FR61" s="11">
        <v>11.333333333333334</v>
      </c>
      <c r="FS61" s="79">
        <v>8</v>
      </c>
      <c r="FT61" s="11">
        <v>13.666666666666666</v>
      </c>
      <c r="FU61" s="79">
        <v>8</v>
      </c>
      <c r="FV61" s="11">
        <v>14.333333333333334</v>
      </c>
      <c r="FW61" s="79">
        <v>8</v>
      </c>
      <c r="FX61" s="11">
        <v>10.666666666666666</v>
      </c>
      <c r="FY61" s="79">
        <v>8</v>
      </c>
      <c r="FZ61" s="11">
        <v>14</v>
      </c>
      <c r="GA61" s="79">
        <v>8</v>
      </c>
      <c r="GB61" s="11">
        <v>11.666666666666666</v>
      </c>
      <c r="GC61" s="79">
        <v>8</v>
      </c>
      <c r="GD61" s="11">
        <v>13.666666666666666</v>
      </c>
      <c r="GE61" s="79">
        <v>8</v>
      </c>
      <c r="GF61" s="11">
        <v>15</v>
      </c>
      <c r="GG61" s="79">
        <v>8</v>
      </c>
      <c r="GH61" s="11">
        <v>15.666666666666666</v>
      </c>
      <c r="GI61" s="79">
        <v>8</v>
      </c>
      <c r="GJ61" s="243">
        <v>11.666666666666666</v>
      </c>
      <c r="GK61" s="242">
        <v>8</v>
      </c>
      <c r="GL61" s="243">
        <v>12</v>
      </c>
      <c r="GM61" s="242">
        <v>8</v>
      </c>
      <c r="GN61" s="248"/>
      <c r="GO61" s="249"/>
    </row>
    <row r="62" spans="1:225">
      <c r="A62" s="1" t="s">
        <v>752</v>
      </c>
      <c r="B62" s="3">
        <v>27</v>
      </c>
      <c r="C62" t="s">
        <v>300</v>
      </c>
      <c r="D62" s="3">
        <v>53</v>
      </c>
      <c r="E62" t="s">
        <v>19</v>
      </c>
      <c r="F62" s="3">
        <v>3</v>
      </c>
      <c r="G62" s="3"/>
      <c r="J62" s="92"/>
      <c r="P62" s="17">
        <f>COUNTIF(Equivalencias!$P$50:$P$57,P63)</f>
        <v>0</v>
      </c>
      <c r="T62" s="7" t="s">
        <v>130</v>
      </c>
      <c r="U62" s="3">
        <v>9</v>
      </c>
      <c r="V62" s="3">
        <v>9</v>
      </c>
      <c r="W62" s="3">
        <v>8</v>
      </c>
      <c r="X62" s="3">
        <v>9</v>
      </c>
      <c r="Y62" s="3">
        <v>9</v>
      </c>
      <c r="Z62" s="79">
        <v>9</v>
      </c>
      <c r="AA62" s="3">
        <v>3</v>
      </c>
      <c r="AB62" s="3">
        <v>9</v>
      </c>
      <c r="AC62" s="3">
        <v>9</v>
      </c>
      <c r="AD62" s="3">
        <v>9</v>
      </c>
      <c r="AE62" s="79">
        <v>9</v>
      </c>
      <c r="AF62" s="3">
        <v>9</v>
      </c>
      <c r="AG62" s="3">
        <v>9</v>
      </c>
      <c r="AH62" s="3">
        <v>4</v>
      </c>
      <c r="AI62" s="3">
        <v>3</v>
      </c>
      <c r="AJ62" s="3">
        <v>9</v>
      </c>
      <c r="AK62" s="3">
        <v>10</v>
      </c>
      <c r="AL62" s="3">
        <v>10</v>
      </c>
      <c r="AM62" s="3">
        <v>9</v>
      </c>
      <c r="AN62" s="3">
        <v>9</v>
      </c>
      <c r="AO62" s="3">
        <v>10</v>
      </c>
      <c r="AP62" s="3">
        <v>9</v>
      </c>
      <c r="AQ62" s="3">
        <v>8</v>
      </c>
      <c r="AR62" s="3">
        <v>5</v>
      </c>
      <c r="AS62" s="3">
        <v>10</v>
      </c>
      <c r="AT62" s="3">
        <v>7</v>
      </c>
      <c r="AU62" s="3">
        <v>9</v>
      </c>
      <c r="AV62" s="3">
        <v>7</v>
      </c>
      <c r="AW62" s="3">
        <v>9</v>
      </c>
      <c r="AX62" s="3">
        <v>10</v>
      </c>
      <c r="AY62" s="3">
        <v>9</v>
      </c>
      <c r="AZ62" s="3">
        <v>9</v>
      </c>
      <c r="BA62" s="3">
        <v>9</v>
      </c>
      <c r="BB62" s="3">
        <v>9</v>
      </c>
      <c r="BC62" s="3">
        <v>7</v>
      </c>
      <c r="BD62" s="3">
        <v>9</v>
      </c>
      <c r="BE62" s="3">
        <v>9</v>
      </c>
      <c r="BF62" s="3">
        <v>9</v>
      </c>
      <c r="BG62" s="3">
        <v>8</v>
      </c>
      <c r="BH62" s="3">
        <v>8</v>
      </c>
      <c r="BI62" s="3">
        <v>10</v>
      </c>
      <c r="BJ62" s="3">
        <v>9</v>
      </c>
      <c r="BK62" s="3">
        <v>10</v>
      </c>
      <c r="DU62" s="1">
        <v>0.8</v>
      </c>
      <c r="DV62" s="11">
        <v>15.333333333333334</v>
      </c>
      <c r="DW62" s="79">
        <v>9</v>
      </c>
      <c r="DX62" s="11">
        <v>13</v>
      </c>
      <c r="DY62" s="79">
        <v>9</v>
      </c>
      <c r="DZ62" s="11">
        <v>15.333333333333334</v>
      </c>
      <c r="EA62" s="79">
        <v>9</v>
      </c>
      <c r="EB62" s="11">
        <v>14.666666666666666</v>
      </c>
      <c r="EC62" s="79">
        <v>9</v>
      </c>
      <c r="ED62" s="11">
        <v>14</v>
      </c>
      <c r="EE62" s="79">
        <v>9</v>
      </c>
      <c r="EF62" s="11">
        <v>12</v>
      </c>
      <c r="EG62" s="79">
        <v>9</v>
      </c>
      <c r="EH62" s="11">
        <v>14.666666666666666</v>
      </c>
      <c r="EI62" s="79">
        <v>9</v>
      </c>
      <c r="EJ62" s="11">
        <v>14.666666666666666</v>
      </c>
      <c r="EK62" s="79">
        <v>9</v>
      </c>
      <c r="EL62" s="11">
        <v>12</v>
      </c>
      <c r="EM62" s="79">
        <v>9</v>
      </c>
      <c r="EN62" s="11">
        <v>13</v>
      </c>
      <c r="EO62" s="79">
        <v>9</v>
      </c>
      <c r="EP62" s="11">
        <v>13.333333333333334</v>
      </c>
      <c r="EQ62" s="79">
        <v>9</v>
      </c>
      <c r="ER62" s="11">
        <v>13.333333333333334</v>
      </c>
      <c r="ES62" s="79">
        <v>9</v>
      </c>
      <c r="ET62" s="11">
        <v>15</v>
      </c>
      <c r="EU62" s="79">
        <v>9</v>
      </c>
      <c r="EV62" s="11">
        <v>13.133333333333345</v>
      </c>
      <c r="EW62" s="79">
        <v>9</v>
      </c>
      <c r="EX62" s="11">
        <v>13.133333333333345</v>
      </c>
      <c r="EY62" s="79">
        <v>9</v>
      </c>
      <c r="EZ62" s="11">
        <v>14.333333333333334</v>
      </c>
      <c r="FA62" s="79">
        <v>9</v>
      </c>
      <c r="FB62" s="11">
        <v>14.25</v>
      </c>
      <c r="FC62" s="79">
        <v>9</v>
      </c>
      <c r="FD62" s="11">
        <v>15</v>
      </c>
      <c r="FE62" s="79">
        <v>9</v>
      </c>
      <c r="FF62" s="11">
        <v>13.5</v>
      </c>
      <c r="FG62" s="79">
        <v>9</v>
      </c>
      <c r="FH62" s="11">
        <v>11.666666666666666</v>
      </c>
      <c r="FI62" s="79">
        <v>9</v>
      </c>
      <c r="FJ62" s="11">
        <v>16.333333333333332</v>
      </c>
      <c r="FK62" s="79">
        <v>9</v>
      </c>
      <c r="FL62" s="11">
        <v>16</v>
      </c>
      <c r="FM62" s="79">
        <v>9</v>
      </c>
      <c r="FN62" s="11">
        <v>12.666666666666666</v>
      </c>
      <c r="FO62" s="79">
        <v>9</v>
      </c>
      <c r="FP62" s="11">
        <v>12</v>
      </c>
      <c r="FQ62" s="79">
        <v>9</v>
      </c>
      <c r="FR62" s="11">
        <v>12.800000000000011</v>
      </c>
      <c r="FS62" s="79">
        <v>9</v>
      </c>
      <c r="FT62" s="11">
        <v>14.333333333333334</v>
      </c>
      <c r="FU62" s="79">
        <v>9</v>
      </c>
      <c r="FV62" s="11">
        <v>15</v>
      </c>
      <c r="FW62" s="79">
        <v>9</v>
      </c>
      <c r="FX62" s="11">
        <v>11.666666666666666</v>
      </c>
      <c r="FY62" s="79">
        <v>9</v>
      </c>
      <c r="FZ62" s="11">
        <v>15</v>
      </c>
      <c r="GA62" s="79">
        <v>9</v>
      </c>
      <c r="GB62" s="11">
        <v>12.666666666666666</v>
      </c>
      <c r="GC62" s="79">
        <v>9</v>
      </c>
      <c r="GD62" s="11">
        <v>14.333333333333334</v>
      </c>
      <c r="GE62" s="79">
        <v>9</v>
      </c>
      <c r="GF62" s="11">
        <v>15.666666666666666</v>
      </c>
      <c r="GG62" s="79">
        <v>9</v>
      </c>
      <c r="GH62" s="11">
        <v>16.333333333333332</v>
      </c>
      <c r="GI62" s="79">
        <v>9</v>
      </c>
      <c r="GJ62" s="243">
        <v>12.333333333333334</v>
      </c>
      <c r="GK62" s="242">
        <v>9</v>
      </c>
      <c r="GL62" s="243">
        <v>13</v>
      </c>
      <c r="GM62" s="242">
        <v>9</v>
      </c>
      <c r="GN62" s="248"/>
      <c r="GO62" s="249"/>
    </row>
    <row r="63" spans="1:225">
      <c r="A63" s="1" t="s">
        <v>753</v>
      </c>
      <c r="B63" s="3">
        <v>27</v>
      </c>
      <c r="C63" t="s">
        <v>249</v>
      </c>
      <c r="D63" s="3">
        <v>54</v>
      </c>
      <c r="E63" t="s">
        <v>19</v>
      </c>
      <c r="F63" s="3">
        <v>3</v>
      </c>
      <c r="G63" s="3"/>
      <c r="T63" s="7" t="s">
        <v>62</v>
      </c>
      <c r="U63" s="3">
        <v>7</v>
      </c>
      <c r="V63" s="3">
        <v>5</v>
      </c>
      <c r="W63" s="3">
        <v>6</v>
      </c>
      <c r="X63" s="3">
        <v>7</v>
      </c>
      <c r="Y63" s="3">
        <v>7</v>
      </c>
      <c r="Z63" s="79">
        <v>5</v>
      </c>
      <c r="AA63" s="3">
        <v>2</v>
      </c>
      <c r="AB63" s="3">
        <v>8</v>
      </c>
      <c r="AC63" s="3">
        <v>6</v>
      </c>
      <c r="AD63" s="3">
        <v>8</v>
      </c>
      <c r="AE63" s="79">
        <v>5</v>
      </c>
      <c r="AF63" s="3">
        <v>7</v>
      </c>
      <c r="AG63" s="3">
        <v>5</v>
      </c>
      <c r="AH63" s="3">
        <v>6</v>
      </c>
      <c r="AI63" s="3">
        <v>7</v>
      </c>
      <c r="AJ63" s="3">
        <v>3</v>
      </c>
      <c r="AK63" s="3">
        <v>7</v>
      </c>
      <c r="AL63" s="3">
        <v>7</v>
      </c>
      <c r="AM63" s="3">
        <v>9</v>
      </c>
      <c r="AN63" s="3">
        <v>5</v>
      </c>
      <c r="AO63" s="3">
        <v>7</v>
      </c>
      <c r="AP63" s="3">
        <v>1</v>
      </c>
      <c r="AQ63" s="3">
        <v>6</v>
      </c>
      <c r="AR63" s="3">
        <v>7</v>
      </c>
      <c r="AS63" s="3">
        <v>5</v>
      </c>
      <c r="AT63" s="3">
        <v>9</v>
      </c>
      <c r="AU63" s="3">
        <v>6</v>
      </c>
      <c r="AV63" s="3">
        <v>3</v>
      </c>
      <c r="AW63" s="3">
        <v>9</v>
      </c>
      <c r="AX63" s="3">
        <v>10</v>
      </c>
      <c r="AY63" s="3">
        <v>5</v>
      </c>
      <c r="AZ63" s="3">
        <v>5</v>
      </c>
      <c r="BA63" s="3">
        <v>7</v>
      </c>
      <c r="BB63" s="3">
        <v>8</v>
      </c>
      <c r="BC63" s="3">
        <v>5</v>
      </c>
      <c r="BD63" s="3">
        <v>7</v>
      </c>
      <c r="BE63" s="3">
        <v>6</v>
      </c>
      <c r="BF63" s="3">
        <v>7</v>
      </c>
      <c r="BG63" s="3">
        <v>5</v>
      </c>
      <c r="BH63" s="3">
        <v>8</v>
      </c>
      <c r="BI63" s="3">
        <v>3</v>
      </c>
      <c r="BJ63" s="3">
        <v>8</v>
      </c>
      <c r="BK63" s="3">
        <v>3</v>
      </c>
      <c r="DU63" s="1">
        <v>0.9</v>
      </c>
      <c r="DV63" s="11">
        <v>16.666666666666668</v>
      </c>
      <c r="DW63" s="79">
        <v>10</v>
      </c>
      <c r="DX63" s="11">
        <v>14.333333333333334</v>
      </c>
      <c r="DY63" s="79">
        <v>10</v>
      </c>
      <c r="DZ63" s="11">
        <v>16.333333333333332</v>
      </c>
      <c r="EA63" s="79">
        <v>10</v>
      </c>
      <c r="EB63" s="11">
        <v>15.666666666666666</v>
      </c>
      <c r="EC63" s="79">
        <v>10</v>
      </c>
      <c r="ED63" s="11">
        <v>15.333333333333334</v>
      </c>
      <c r="EE63" s="79">
        <v>10</v>
      </c>
      <c r="EF63" s="11">
        <v>13</v>
      </c>
      <c r="EG63" s="79">
        <v>10</v>
      </c>
      <c r="EH63" s="11">
        <v>16</v>
      </c>
      <c r="EI63" s="79">
        <v>10</v>
      </c>
      <c r="EJ63" s="11">
        <v>16</v>
      </c>
      <c r="EK63" s="79">
        <v>10</v>
      </c>
      <c r="EL63" s="11">
        <v>13.333333333333334</v>
      </c>
      <c r="EM63" s="79">
        <v>10</v>
      </c>
      <c r="EN63" s="11">
        <v>14</v>
      </c>
      <c r="EO63" s="79">
        <v>10</v>
      </c>
      <c r="EP63" s="11">
        <v>14.666666666666666</v>
      </c>
      <c r="EQ63" s="79">
        <v>10</v>
      </c>
      <c r="ER63" s="11">
        <v>14.233333333333331</v>
      </c>
      <c r="ES63" s="79">
        <v>10</v>
      </c>
      <c r="ET63" s="11">
        <v>16.333333333333332</v>
      </c>
      <c r="EU63" s="79">
        <v>10</v>
      </c>
      <c r="EV63" s="11">
        <v>14.333333333333334</v>
      </c>
      <c r="EW63" s="79">
        <v>10</v>
      </c>
      <c r="EX63" s="11">
        <v>14</v>
      </c>
      <c r="EY63" s="79">
        <v>10</v>
      </c>
      <c r="EZ63" s="11">
        <v>15.666666666666666</v>
      </c>
      <c r="FA63" s="79">
        <v>10</v>
      </c>
      <c r="FB63" s="11">
        <v>15.25</v>
      </c>
      <c r="FC63" s="79">
        <v>10</v>
      </c>
      <c r="FD63" s="11">
        <v>16</v>
      </c>
      <c r="FE63" s="79">
        <v>10</v>
      </c>
      <c r="FF63" s="11">
        <v>14.75</v>
      </c>
      <c r="FG63" s="79">
        <v>10</v>
      </c>
      <c r="FH63" s="11">
        <v>12.666666666666666</v>
      </c>
      <c r="FI63" s="79">
        <v>10</v>
      </c>
      <c r="FJ63" s="11">
        <v>17.333333333333332</v>
      </c>
      <c r="FK63" s="79">
        <v>10</v>
      </c>
      <c r="FL63" s="11">
        <v>17</v>
      </c>
      <c r="FM63" s="79">
        <v>10</v>
      </c>
      <c r="FN63" s="11">
        <v>14</v>
      </c>
      <c r="FO63" s="79">
        <v>10</v>
      </c>
      <c r="FP63" s="11">
        <v>13.666666666666666</v>
      </c>
      <c r="FQ63" s="79">
        <v>10</v>
      </c>
      <c r="FR63" s="11">
        <v>14</v>
      </c>
      <c r="FS63" s="79">
        <v>10</v>
      </c>
      <c r="FT63" s="11">
        <v>15.666666666666666</v>
      </c>
      <c r="FU63" s="79">
        <v>10</v>
      </c>
      <c r="FV63" s="11">
        <v>16</v>
      </c>
      <c r="FW63" s="79">
        <v>10</v>
      </c>
      <c r="FX63" s="11">
        <v>13</v>
      </c>
      <c r="FY63" s="79">
        <v>10</v>
      </c>
      <c r="FZ63" s="11">
        <v>16.333333333333332</v>
      </c>
      <c r="GA63" s="79">
        <v>10</v>
      </c>
      <c r="GB63" s="11">
        <v>13.666666666666666</v>
      </c>
      <c r="GC63" s="79">
        <v>10</v>
      </c>
      <c r="GD63" s="11">
        <v>15.666666666666666</v>
      </c>
      <c r="GE63" s="79">
        <v>10</v>
      </c>
      <c r="GF63" s="11">
        <v>16.666666666666668</v>
      </c>
      <c r="GG63" s="79">
        <v>10</v>
      </c>
      <c r="GH63" s="11">
        <v>17.666666666666668</v>
      </c>
      <c r="GI63" s="79">
        <v>10</v>
      </c>
      <c r="GJ63" s="244">
        <v>13.666666666666666</v>
      </c>
      <c r="GK63" s="247">
        <v>18.166666666666664</v>
      </c>
      <c r="GL63" s="244">
        <v>14.5</v>
      </c>
      <c r="GM63" s="247">
        <v>18.166666666666664</v>
      </c>
      <c r="GN63" s="250"/>
      <c r="GO63" s="251"/>
    </row>
    <row r="64" spans="1:225">
      <c r="A64" s="1" t="s">
        <v>754</v>
      </c>
      <c r="B64" s="3">
        <v>28</v>
      </c>
      <c r="C64" t="s">
        <v>71</v>
      </c>
      <c r="D64" s="3">
        <v>55</v>
      </c>
      <c r="E64" t="s">
        <v>19</v>
      </c>
      <c r="F64" s="3">
        <v>5</v>
      </c>
      <c r="G64" s="3"/>
      <c r="T64" s="7" t="s">
        <v>244</v>
      </c>
      <c r="U64" s="3">
        <v>9</v>
      </c>
      <c r="V64" s="3">
        <v>9</v>
      </c>
      <c r="W64" s="3">
        <v>10</v>
      </c>
      <c r="X64" s="3">
        <v>9</v>
      </c>
      <c r="Y64" s="3">
        <v>9</v>
      </c>
      <c r="Z64" s="79">
        <v>10</v>
      </c>
      <c r="AA64" s="3">
        <v>6</v>
      </c>
      <c r="AB64" s="3">
        <v>9</v>
      </c>
      <c r="AC64" s="3">
        <v>8</v>
      </c>
      <c r="AD64" s="3">
        <v>10</v>
      </c>
      <c r="AE64" s="79">
        <v>8</v>
      </c>
      <c r="AF64" s="3">
        <v>10</v>
      </c>
      <c r="AG64" s="3">
        <v>10</v>
      </c>
      <c r="AH64" s="3">
        <v>9</v>
      </c>
      <c r="AI64" s="3">
        <v>9</v>
      </c>
      <c r="AJ64" s="3">
        <v>10</v>
      </c>
      <c r="AK64" s="3">
        <v>6</v>
      </c>
      <c r="AL64" s="3">
        <v>8</v>
      </c>
      <c r="AM64" s="3">
        <v>9</v>
      </c>
      <c r="AN64" s="3">
        <v>9</v>
      </c>
      <c r="AO64" s="3">
        <v>9</v>
      </c>
      <c r="AP64" s="3">
        <v>9</v>
      </c>
      <c r="AQ64" s="3">
        <v>9</v>
      </c>
      <c r="AR64" s="3">
        <v>8</v>
      </c>
      <c r="AS64" s="3">
        <v>9</v>
      </c>
      <c r="AT64" s="3">
        <v>10</v>
      </c>
      <c r="AU64" s="3">
        <v>9</v>
      </c>
      <c r="AV64" s="3">
        <v>6</v>
      </c>
      <c r="AW64" s="3">
        <v>8</v>
      </c>
      <c r="AX64" s="3">
        <v>9</v>
      </c>
      <c r="AY64" s="3">
        <v>9</v>
      </c>
      <c r="AZ64" s="3">
        <v>9</v>
      </c>
      <c r="BA64" s="3">
        <v>10</v>
      </c>
      <c r="BB64" s="3">
        <v>10</v>
      </c>
      <c r="BC64" s="3">
        <v>7</v>
      </c>
      <c r="BD64" s="3">
        <v>9</v>
      </c>
      <c r="BE64" s="3">
        <v>9</v>
      </c>
      <c r="BF64" s="3">
        <v>10</v>
      </c>
      <c r="BG64" s="3">
        <v>10</v>
      </c>
      <c r="BH64" s="3">
        <v>9</v>
      </c>
      <c r="BI64" s="3">
        <v>10</v>
      </c>
      <c r="BJ64" s="3">
        <v>9</v>
      </c>
      <c r="BK64" s="3">
        <v>8</v>
      </c>
    </row>
    <row r="65" spans="1:225">
      <c r="A65" s="1" t="s">
        <v>755</v>
      </c>
      <c r="B65" s="3">
        <v>28</v>
      </c>
      <c r="C65" t="s">
        <v>1043</v>
      </c>
      <c r="D65" s="3">
        <v>56</v>
      </c>
      <c r="E65" t="s">
        <v>19</v>
      </c>
      <c r="F65" s="3">
        <v>5</v>
      </c>
      <c r="G65" s="3"/>
      <c r="O65" s="143" t="s">
        <v>605</v>
      </c>
      <c r="P65" t="s">
        <v>515</v>
      </c>
      <c r="T65" s="2" t="s">
        <v>197</v>
      </c>
      <c r="U65" s="3">
        <v>4</v>
      </c>
      <c r="V65" s="3">
        <v>5</v>
      </c>
      <c r="W65" s="3">
        <v>6</v>
      </c>
      <c r="X65" s="3">
        <v>7</v>
      </c>
      <c r="Y65" s="3">
        <v>6</v>
      </c>
      <c r="Z65" s="79">
        <v>5</v>
      </c>
      <c r="AA65" s="3">
        <v>2</v>
      </c>
      <c r="AB65" s="3">
        <v>5</v>
      </c>
      <c r="AC65" s="3">
        <v>6</v>
      </c>
      <c r="AD65" s="3">
        <v>4</v>
      </c>
      <c r="AE65" s="79">
        <v>2</v>
      </c>
      <c r="AF65" s="3">
        <v>4</v>
      </c>
      <c r="AG65" s="3">
        <v>5</v>
      </c>
      <c r="AH65" s="3">
        <v>3</v>
      </c>
      <c r="AI65" s="3">
        <v>6</v>
      </c>
      <c r="AJ65" s="3">
        <v>3</v>
      </c>
      <c r="AK65" s="3">
        <v>4</v>
      </c>
      <c r="AL65" s="3">
        <v>7</v>
      </c>
      <c r="AM65" s="3">
        <v>4</v>
      </c>
      <c r="AN65" s="3">
        <v>5</v>
      </c>
      <c r="AO65" s="3">
        <v>9</v>
      </c>
      <c r="AP65" s="3">
        <v>2</v>
      </c>
      <c r="AQ65" s="3">
        <v>4</v>
      </c>
      <c r="AR65" s="3">
        <v>6</v>
      </c>
      <c r="AS65" s="3">
        <v>7</v>
      </c>
      <c r="AT65" s="3">
        <v>5</v>
      </c>
      <c r="AU65" s="3">
        <v>3</v>
      </c>
      <c r="AV65" s="3">
        <v>8</v>
      </c>
      <c r="AW65" s="3">
        <v>6</v>
      </c>
      <c r="AX65" s="3">
        <v>7</v>
      </c>
      <c r="AY65" s="3">
        <v>4</v>
      </c>
      <c r="AZ65" s="3">
        <v>4</v>
      </c>
      <c r="BA65" s="3">
        <v>5</v>
      </c>
      <c r="BB65" s="3">
        <v>4</v>
      </c>
      <c r="BC65" s="3">
        <v>4</v>
      </c>
      <c r="BD65" s="3">
        <v>7</v>
      </c>
      <c r="BE65" s="3">
        <v>6</v>
      </c>
      <c r="BF65" s="3">
        <v>5</v>
      </c>
      <c r="BG65" s="3">
        <v>7</v>
      </c>
      <c r="BH65" s="3">
        <v>5</v>
      </c>
      <c r="BI65" s="3">
        <v>3</v>
      </c>
      <c r="BJ65" s="3">
        <v>2</v>
      </c>
      <c r="BK65" s="3">
        <v>2</v>
      </c>
      <c r="DU65" s="1"/>
      <c r="DV65" s="119" t="s">
        <v>540</v>
      </c>
      <c r="DW65" s="1"/>
      <c r="DX65" s="1" t="s">
        <v>523</v>
      </c>
      <c r="DY65" s="1"/>
      <c r="DZ65" s="119" t="s">
        <v>538</v>
      </c>
      <c r="EA65" s="1"/>
      <c r="EB65" s="1" t="s">
        <v>550</v>
      </c>
      <c r="EC65" s="1"/>
      <c r="ED65" s="119" t="s">
        <v>1067</v>
      </c>
      <c r="EE65" s="1"/>
      <c r="EF65" s="1" t="s">
        <v>545</v>
      </c>
      <c r="EG65" s="1"/>
      <c r="EH65" s="119" t="s">
        <v>524</v>
      </c>
      <c r="EI65" s="1"/>
      <c r="EJ65" s="1" t="s">
        <v>526</v>
      </c>
      <c r="EK65" s="1"/>
      <c r="EL65" s="1" t="s">
        <v>530</v>
      </c>
      <c r="EM65" s="1"/>
      <c r="EN65" s="1" t="s">
        <v>537</v>
      </c>
      <c r="EO65" s="1"/>
      <c r="EP65" s="1"/>
      <c r="EQ65" s="1"/>
      <c r="ER65" s="1"/>
      <c r="ES65" s="1"/>
      <c r="ET65" s="1"/>
      <c r="EU65" s="1"/>
      <c r="EV65" s="1"/>
      <c r="EW65" s="1"/>
      <c r="EX65" s="1"/>
      <c r="EY65" s="1"/>
      <c r="EZ65" s="1"/>
      <c r="FA65" s="1"/>
      <c r="FB65" s="1"/>
      <c r="FC65" s="1"/>
      <c r="FD65" s="1"/>
      <c r="FE65" s="1"/>
      <c r="FF65" s="1"/>
      <c r="FG65" s="1"/>
      <c r="FH65" s="1"/>
      <c r="FI65" s="1"/>
      <c r="FJ65" s="1"/>
      <c r="FK65" s="1"/>
      <c r="FL65" s="1"/>
      <c r="FM65" s="1"/>
      <c r="FN65" s="1"/>
      <c r="FO65" s="1"/>
      <c r="FP65" s="1"/>
      <c r="FQ65" s="1"/>
      <c r="FR65" s="1"/>
      <c r="FS65" s="1"/>
      <c r="FT65" s="1"/>
      <c r="FU65" s="1"/>
      <c r="FV65" s="1"/>
      <c r="FW65" s="1"/>
      <c r="FX65" s="1"/>
      <c r="FY65" s="1"/>
      <c r="FZ65" s="1"/>
      <c r="GA65" s="1"/>
      <c r="GB65" s="1"/>
      <c r="GC65" s="1"/>
      <c r="GD65" s="1"/>
      <c r="GE65" s="1"/>
      <c r="GF65" s="1"/>
      <c r="GG65" s="1"/>
      <c r="GH65" s="1"/>
      <c r="GI65" s="1"/>
      <c r="GJ65" s="1"/>
      <c r="GK65" s="1"/>
      <c r="GL65" s="1"/>
      <c r="GM65" s="1"/>
      <c r="GN65" s="1"/>
      <c r="GO65" s="1"/>
      <c r="GP65" s="1"/>
      <c r="GQ65" s="1"/>
      <c r="GR65" s="1"/>
      <c r="GS65" s="1"/>
      <c r="GT65" s="1"/>
      <c r="GU65" s="1"/>
      <c r="GV65" s="1"/>
      <c r="GW65" s="1"/>
      <c r="GX65" s="1"/>
      <c r="GY65" s="1"/>
      <c r="GZ65" s="1"/>
      <c r="HA65" s="1"/>
      <c r="HB65" s="1"/>
      <c r="HC65" s="1"/>
      <c r="HD65" s="1"/>
      <c r="HE65" s="1"/>
      <c r="HF65" s="1"/>
      <c r="HG65" s="1"/>
      <c r="HH65" s="1"/>
      <c r="HI65" s="1"/>
      <c r="HJ65" s="1"/>
      <c r="HK65" s="1"/>
      <c r="HL65" s="1"/>
      <c r="HM65" s="1"/>
      <c r="HP65" s="1"/>
      <c r="HQ65" s="1"/>
    </row>
    <row r="66" spans="1:225">
      <c r="A66" s="1" t="s">
        <v>756</v>
      </c>
      <c r="B66" s="3">
        <v>29</v>
      </c>
      <c r="C66" t="s">
        <v>111</v>
      </c>
      <c r="D66" s="3">
        <v>57</v>
      </c>
      <c r="E66" t="s">
        <v>19</v>
      </c>
      <c r="F66" s="3">
        <v>3</v>
      </c>
      <c r="G66" s="3"/>
      <c r="O66" s="143" t="s">
        <v>606</v>
      </c>
      <c r="P66" t="s">
        <v>394</v>
      </c>
      <c r="T66" s="2" t="s">
        <v>117</v>
      </c>
      <c r="U66" s="3">
        <v>4</v>
      </c>
      <c r="V66" s="3">
        <v>5</v>
      </c>
      <c r="W66" s="3">
        <v>3</v>
      </c>
      <c r="X66" s="3">
        <v>4</v>
      </c>
      <c r="Y66" s="3">
        <v>6</v>
      </c>
      <c r="Z66" s="79">
        <v>7</v>
      </c>
      <c r="AA66" s="3">
        <v>1</v>
      </c>
      <c r="AB66" s="3">
        <v>3</v>
      </c>
      <c r="AC66" s="3">
        <v>4</v>
      </c>
      <c r="AD66" s="3">
        <v>4</v>
      </c>
      <c r="AE66" s="79">
        <v>4</v>
      </c>
      <c r="AF66" s="3">
        <v>3</v>
      </c>
      <c r="AG66" s="3">
        <v>2</v>
      </c>
      <c r="AH66" s="3">
        <v>5</v>
      </c>
      <c r="AI66" s="3">
        <v>2</v>
      </c>
      <c r="AJ66" s="3">
        <v>5</v>
      </c>
      <c r="AK66" s="3">
        <v>2</v>
      </c>
      <c r="AL66" s="3">
        <v>5</v>
      </c>
      <c r="AM66" s="3">
        <v>8</v>
      </c>
      <c r="AN66" s="3">
        <v>3</v>
      </c>
      <c r="AO66" s="3">
        <v>1</v>
      </c>
      <c r="AP66" s="3">
        <v>2</v>
      </c>
      <c r="AQ66" s="3">
        <v>4</v>
      </c>
      <c r="AR66" s="3">
        <v>3</v>
      </c>
      <c r="AS66" s="3">
        <v>4</v>
      </c>
      <c r="AT66" s="3">
        <v>5</v>
      </c>
      <c r="AU66" s="3">
        <v>1</v>
      </c>
      <c r="AV66" s="3">
        <v>2</v>
      </c>
      <c r="AW66" s="3">
        <v>2</v>
      </c>
      <c r="AX66" s="3">
        <v>7</v>
      </c>
      <c r="AY66" s="3">
        <v>7</v>
      </c>
      <c r="AZ66" s="3">
        <v>7</v>
      </c>
      <c r="BA66" s="3">
        <v>5</v>
      </c>
      <c r="BB66" s="3">
        <v>8</v>
      </c>
      <c r="BC66" s="3">
        <v>6</v>
      </c>
      <c r="BD66" s="3">
        <v>4</v>
      </c>
      <c r="BE66" s="3">
        <v>5</v>
      </c>
      <c r="BF66" s="3">
        <v>6</v>
      </c>
      <c r="BG66" s="3">
        <v>6</v>
      </c>
      <c r="BH66" s="3">
        <v>3</v>
      </c>
      <c r="BI66" s="3">
        <v>5</v>
      </c>
      <c r="BJ66" s="3">
        <v>5</v>
      </c>
      <c r="BK66" s="3">
        <v>5</v>
      </c>
      <c r="DU66" s="1">
        <v>0</v>
      </c>
      <c r="DV66" s="121">
        <v>0</v>
      </c>
      <c r="DW66" s="79">
        <v>1</v>
      </c>
      <c r="DX66" s="79">
        <v>0</v>
      </c>
      <c r="DY66" s="79">
        <v>1</v>
      </c>
      <c r="DZ66" s="121">
        <v>0</v>
      </c>
      <c r="EA66" s="79">
        <v>1</v>
      </c>
      <c r="EB66" s="79">
        <v>0</v>
      </c>
      <c r="EC66" s="79">
        <v>1</v>
      </c>
      <c r="ED66" s="121">
        <v>0</v>
      </c>
      <c r="EE66" s="79">
        <v>1</v>
      </c>
      <c r="EF66" s="79">
        <v>0</v>
      </c>
      <c r="EG66" s="79">
        <v>1</v>
      </c>
      <c r="EH66" s="121">
        <v>0</v>
      </c>
      <c r="EI66" s="79">
        <v>1</v>
      </c>
      <c r="EJ66" s="79">
        <v>0</v>
      </c>
      <c r="EK66" s="79">
        <v>1</v>
      </c>
      <c r="EL66" s="79">
        <v>0</v>
      </c>
      <c r="EM66" s="79">
        <v>1</v>
      </c>
      <c r="EN66" s="79">
        <v>0</v>
      </c>
      <c r="EO66" s="79">
        <v>1</v>
      </c>
    </row>
    <row r="67" spans="1:225">
      <c r="A67" s="1" t="s">
        <v>757</v>
      </c>
      <c r="B67" s="3">
        <v>29</v>
      </c>
      <c r="C67" s="170" t="s">
        <v>25</v>
      </c>
      <c r="D67" s="3">
        <v>58</v>
      </c>
      <c r="E67" t="s">
        <v>19</v>
      </c>
      <c r="F67" s="3">
        <v>2</v>
      </c>
      <c r="G67" s="3"/>
      <c r="T67" s="2" t="s">
        <v>302</v>
      </c>
      <c r="U67" s="3">
        <v>7</v>
      </c>
      <c r="V67" s="3">
        <v>6</v>
      </c>
      <c r="W67" s="3">
        <v>7</v>
      </c>
      <c r="X67" s="3">
        <v>7</v>
      </c>
      <c r="Y67" s="3">
        <v>6</v>
      </c>
      <c r="Z67" s="79">
        <v>6</v>
      </c>
      <c r="AA67" s="3">
        <v>9</v>
      </c>
      <c r="AB67" s="3">
        <v>5</v>
      </c>
      <c r="AC67" s="3">
        <v>7</v>
      </c>
      <c r="AD67" s="3">
        <v>9</v>
      </c>
      <c r="AE67" s="79">
        <v>6</v>
      </c>
      <c r="AF67" s="3">
        <v>7</v>
      </c>
      <c r="AG67" s="3">
        <v>6</v>
      </c>
      <c r="AH67" s="3">
        <v>6</v>
      </c>
      <c r="AI67" s="3">
        <v>6</v>
      </c>
      <c r="AJ67" s="3">
        <v>4</v>
      </c>
      <c r="AK67" s="3">
        <v>8</v>
      </c>
      <c r="AL67" s="3">
        <v>7</v>
      </c>
      <c r="AM67" s="3">
        <v>5</v>
      </c>
      <c r="AN67" s="3">
        <v>4</v>
      </c>
      <c r="AO67" s="3">
        <v>6</v>
      </c>
      <c r="AP67" s="3">
        <v>1</v>
      </c>
      <c r="AQ67" s="3">
        <v>7</v>
      </c>
      <c r="AR67" s="3">
        <v>6</v>
      </c>
      <c r="AS67" s="3">
        <v>8</v>
      </c>
      <c r="AT67" s="3">
        <v>5</v>
      </c>
      <c r="AU67" s="3">
        <v>5</v>
      </c>
      <c r="AV67" s="3">
        <v>5</v>
      </c>
      <c r="AW67" s="3">
        <v>4</v>
      </c>
      <c r="AX67" s="3">
        <v>5</v>
      </c>
      <c r="AY67" s="3">
        <v>6</v>
      </c>
      <c r="AZ67" s="3">
        <v>6</v>
      </c>
      <c r="BA67" s="3">
        <v>7</v>
      </c>
      <c r="BB67" s="3">
        <v>6</v>
      </c>
      <c r="BC67" s="3">
        <v>6</v>
      </c>
      <c r="BD67" s="3">
        <v>4</v>
      </c>
      <c r="BE67" s="3">
        <v>5</v>
      </c>
      <c r="BF67" s="3">
        <v>7</v>
      </c>
      <c r="BG67" s="3">
        <v>4</v>
      </c>
      <c r="BH67" s="3">
        <v>6</v>
      </c>
      <c r="BI67" s="3">
        <v>4</v>
      </c>
      <c r="BJ67" s="3">
        <v>6</v>
      </c>
      <c r="BK67" s="3">
        <v>5</v>
      </c>
      <c r="DU67" s="1">
        <v>0.1</v>
      </c>
      <c r="DV67" s="121">
        <v>7.333333333333333</v>
      </c>
      <c r="DW67" s="79">
        <v>2</v>
      </c>
      <c r="DX67" s="79">
        <v>7</v>
      </c>
      <c r="DY67" s="79">
        <v>2</v>
      </c>
      <c r="DZ67" s="121">
        <v>10.333333333333334</v>
      </c>
      <c r="EA67" s="79">
        <v>2</v>
      </c>
      <c r="EB67" s="79">
        <v>6</v>
      </c>
      <c r="EC67" s="79">
        <v>2</v>
      </c>
      <c r="ED67" s="121">
        <v>8.3333333333333339</v>
      </c>
      <c r="EE67" s="79">
        <v>2</v>
      </c>
      <c r="EF67" s="79">
        <v>5</v>
      </c>
      <c r="EG67" s="79">
        <v>2</v>
      </c>
      <c r="EH67" s="121">
        <v>5.666666666666667</v>
      </c>
      <c r="EI67" s="79">
        <v>2</v>
      </c>
      <c r="EJ67" s="79">
        <v>9</v>
      </c>
      <c r="EK67" s="79">
        <v>2</v>
      </c>
      <c r="EL67" s="79">
        <v>10.333333333333334</v>
      </c>
      <c r="EM67" s="79">
        <v>2</v>
      </c>
      <c r="EN67" s="79">
        <v>8.3333333333333339</v>
      </c>
      <c r="EO67" s="79">
        <v>2</v>
      </c>
    </row>
    <row r="68" spans="1:225">
      <c r="A68" s="1" t="s">
        <v>758</v>
      </c>
      <c r="B68" s="3">
        <v>30</v>
      </c>
      <c r="C68" t="s">
        <v>67</v>
      </c>
      <c r="D68" s="3">
        <v>59</v>
      </c>
      <c r="E68" t="s">
        <v>19</v>
      </c>
      <c r="F68" s="3">
        <v>2</v>
      </c>
      <c r="G68" s="3"/>
      <c r="T68" s="7" t="s">
        <v>269</v>
      </c>
      <c r="U68" s="3">
        <v>10</v>
      </c>
      <c r="V68" s="3">
        <v>10</v>
      </c>
      <c r="W68" s="3">
        <v>10</v>
      </c>
      <c r="X68" s="3">
        <v>10</v>
      </c>
      <c r="Y68" s="3">
        <v>10</v>
      </c>
      <c r="Z68" s="79">
        <v>10</v>
      </c>
      <c r="AA68" s="3">
        <v>6</v>
      </c>
      <c r="AB68" s="3">
        <v>10</v>
      </c>
      <c r="AC68" s="3">
        <v>10</v>
      </c>
      <c r="AD68" s="3">
        <v>10</v>
      </c>
      <c r="AE68" s="79">
        <v>10</v>
      </c>
      <c r="AF68" s="3">
        <v>10</v>
      </c>
      <c r="AG68" s="3">
        <v>10</v>
      </c>
      <c r="AH68" s="3">
        <v>9</v>
      </c>
      <c r="AI68" s="3">
        <v>10</v>
      </c>
      <c r="AJ68" s="3">
        <v>9</v>
      </c>
      <c r="AK68" s="3">
        <v>9</v>
      </c>
      <c r="AL68" s="3">
        <v>8</v>
      </c>
      <c r="AM68" s="3">
        <v>10</v>
      </c>
      <c r="AN68" s="3">
        <v>8</v>
      </c>
      <c r="AO68" s="3">
        <v>10</v>
      </c>
      <c r="AP68" s="3">
        <v>10</v>
      </c>
      <c r="AQ68" s="3">
        <v>9</v>
      </c>
      <c r="AR68" s="3">
        <v>8</v>
      </c>
      <c r="AS68" s="3">
        <v>10</v>
      </c>
      <c r="AT68" s="3">
        <v>6</v>
      </c>
      <c r="AU68" s="3">
        <v>8</v>
      </c>
      <c r="AV68" s="3">
        <v>10</v>
      </c>
      <c r="AW68" s="3">
        <v>10</v>
      </c>
      <c r="AX68" s="3">
        <v>9</v>
      </c>
      <c r="AY68" s="3">
        <v>10</v>
      </c>
      <c r="AZ68" s="3">
        <v>10</v>
      </c>
      <c r="BA68" s="3">
        <v>9</v>
      </c>
      <c r="BB68" s="3">
        <v>10</v>
      </c>
      <c r="BC68" s="3">
        <v>10</v>
      </c>
      <c r="BD68" s="3">
        <v>10</v>
      </c>
      <c r="BE68" s="3">
        <v>10</v>
      </c>
      <c r="BF68" s="3">
        <v>10</v>
      </c>
      <c r="BG68" s="3">
        <v>10</v>
      </c>
      <c r="BH68" s="3">
        <v>10</v>
      </c>
      <c r="BI68" s="3">
        <v>9</v>
      </c>
      <c r="BJ68" s="3">
        <v>10</v>
      </c>
      <c r="BK68" s="3">
        <v>9</v>
      </c>
      <c r="DU68" s="1">
        <v>0.2</v>
      </c>
      <c r="DV68" s="121">
        <v>8.3333333333333339</v>
      </c>
      <c r="DW68" s="79">
        <v>3</v>
      </c>
      <c r="DX68" s="79">
        <v>8.3333333333333339</v>
      </c>
      <c r="DY68" s="79">
        <v>3</v>
      </c>
      <c r="DZ68" s="121">
        <v>11.666666666666666</v>
      </c>
      <c r="EA68" s="79">
        <v>3</v>
      </c>
      <c r="EB68" s="79">
        <v>7</v>
      </c>
      <c r="EC68" s="79">
        <v>3</v>
      </c>
      <c r="ED68" s="121">
        <v>10</v>
      </c>
      <c r="EE68" s="79">
        <v>3</v>
      </c>
      <c r="EF68" s="79">
        <v>6.333333333333333</v>
      </c>
      <c r="EG68" s="79">
        <v>3</v>
      </c>
      <c r="EH68" s="121">
        <v>7</v>
      </c>
      <c r="EI68" s="79">
        <v>3</v>
      </c>
      <c r="EJ68" s="79">
        <v>10</v>
      </c>
      <c r="EK68" s="79">
        <v>3</v>
      </c>
      <c r="EL68" s="79">
        <v>11.333333333333334</v>
      </c>
      <c r="EM68" s="79">
        <v>3</v>
      </c>
      <c r="EN68" s="79">
        <v>10</v>
      </c>
      <c r="EO68" s="79">
        <v>3</v>
      </c>
    </row>
    <row r="69" spans="1:225">
      <c r="A69" s="1" t="s">
        <v>759</v>
      </c>
      <c r="B69" s="3">
        <v>30</v>
      </c>
      <c r="C69" t="s">
        <v>294</v>
      </c>
      <c r="D69" s="3">
        <v>60</v>
      </c>
      <c r="E69" t="s">
        <v>19</v>
      </c>
      <c r="F69" s="3">
        <v>2</v>
      </c>
      <c r="G69" s="3"/>
      <c r="T69" s="7" t="s">
        <v>125</v>
      </c>
      <c r="U69" s="3">
        <v>9</v>
      </c>
      <c r="V69" s="3">
        <v>9</v>
      </c>
      <c r="W69" s="3">
        <v>9</v>
      </c>
      <c r="X69" s="3">
        <v>10</v>
      </c>
      <c r="Y69" s="3">
        <v>9</v>
      </c>
      <c r="Z69" s="79">
        <v>8</v>
      </c>
      <c r="AA69" s="3">
        <v>10</v>
      </c>
      <c r="AB69" s="3">
        <v>10</v>
      </c>
      <c r="AC69" s="3">
        <v>9</v>
      </c>
      <c r="AD69" s="3">
        <v>10</v>
      </c>
      <c r="AE69" s="79">
        <v>8</v>
      </c>
      <c r="AF69" s="3">
        <v>9</v>
      </c>
      <c r="AG69" s="3">
        <v>10</v>
      </c>
      <c r="AH69" s="3">
        <v>10</v>
      </c>
      <c r="AI69" s="3">
        <v>10</v>
      </c>
      <c r="AJ69" s="3">
        <v>9</v>
      </c>
      <c r="AK69" s="3">
        <v>10</v>
      </c>
      <c r="AL69" s="3">
        <v>6</v>
      </c>
      <c r="AM69" s="3">
        <v>9</v>
      </c>
      <c r="AN69" s="3">
        <v>10</v>
      </c>
      <c r="AO69" s="3">
        <v>9</v>
      </c>
      <c r="AP69" s="3">
        <v>10</v>
      </c>
      <c r="AQ69" s="3">
        <v>10</v>
      </c>
      <c r="AR69" s="3">
        <v>10</v>
      </c>
      <c r="AS69" s="3">
        <v>9</v>
      </c>
      <c r="AT69" s="3">
        <v>10</v>
      </c>
      <c r="AU69" s="3">
        <v>10</v>
      </c>
      <c r="AV69" s="3">
        <v>7</v>
      </c>
      <c r="AW69" s="3">
        <v>8</v>
      </c>
      <c r="AX69" s="3">
        <v>5</v>
      </c>
      <c r="AY69" s="3">
        <v>10</v>
      </c>
      <c r="AZ69" s="3">
        <v>10</v>
      </c>
      <c r="BA69" s="3">
        <v>10</v>
      </c>
      <c r="BB69" s="3">
        <v>8</v>
      </c>
      <c r="BC69" s="3">
        <v>9</v>
      </c>
      <c r="BD69" s="3">
        <v>10</v>
      </c>
      <c r="BE69" s="3">
        <v>9</v>
      </c>
      <c r="BF69" s="3">
        <v>8</v>
      </c>
      <c r="BG69" s="3">
        <v>8</v>
      </c>
      <c r="BH69" s="3">
        <v>10</v>
      </c>
      <c r="BI69" s="3">
        <v>9</v>
      </c>
      <c r="BJ69" s="3">
        <v>7</v>
      </c>
      <c r="BK69" s="3">
        <v>10</v>
      </c>
      <c r="DU69" s="1">
        <v>0.3</v>
      </c>
      <c r="DV69" s="121">
        <v>9.3333333333333339</v>
      </c>
      <c r="DW69" s="79">
        <v>4</v>
      </c>
      <c r="DX69" s="79">
        <v>9.3333333333333339</v>
      </c>
      <c r="DY69" s="79">
        <v>4</v>
      </c>
      <c r="DZ69" s="121">
        <v>12.666666666666666</v>
      </c>
      <c r="EA69" s="79">
        <v>4</v>
      </c>
      <c r="EB69" s="79">
        <v>7.666666666666667</v>
      </c>
      <c r="EC69" s="79">
        <v>4</v>
      </c>
      <c r="ED69" s="121">
        <v>11</v>
      </c>
      <c r="EE69" s="79">
        <v>4</v>
      </c>
      <c r="EF69" s="79">
        <v>7.333333333333333</v>
      </c>
      <c r="EG69" s="79">
        <v>4</v>
      </c>
      <c r="EH69" s="121">
        <v>8</v>
      </c>
      <c r="EI69" s="79">
        <v>4</v>
      </c>
      <c r="EJ69" s="79">
        <v>11</v>
      </c>
      <c r="EK69" s="79">
        <v>4</v>
      </c>
      <c r="EL69" s="79">
        <v>12</v>
      </c>
      <c r="EM69" s="79">
        <v>4</v>
      </c>
      <c r="EN69" s="79">
        <v>10.666666666666666</v>
      </c>
      <c r="EO69" s="79">
        <v>4</v>
      </c>
    </row>
    <row r="70" spans="1:225">
      <c r="A70" s="1" t="s">
        <v>760</v>
      </c>
      <c r="B70" s="3">
        <v>31</v>
      </c>
      <c r="C70" t="s">
        <v>272</v>
      </c>
      <c r="D70" s="3">
        <v>61</v>
      </c>
      <c r="E70" t="s">
        <v>19</v>
      </c>
      <c r="F70" s="3">
        <v>3</v>
      </c>
      <c r="G70" s="3"/>
      <c r="T70" s="7" t="s">
        <v>445</v>
      </c>
      <c r="U70" s="3">
        <v>7</v>
      </c>
      <c r="V70" s="3">
        <v>9</v>
      </c>
      <c r="W70" s="3">
        <v>8</v>
      </c>
      <c r="X70" s="3">
        <v>9</v>
      </c>
      <c r="Y70" s="3">
        <v>7</v>
      </c>
      <c r="Z70" s="79">
        <v>8</v>
      </c>
      <c r="AA70" s="3">
        <v>6</v>
      </c>
      <c r="AB70" s="3">
        <v>9</v>
      </c>
      <c r="AC70" s="3">
        <v>9</v>
      </c>
      <c r="AD70" s="3">
        <v>7</v>
      </c>
      <c r="AE70" s="79">
        <v>8</v>
      </c>
      <c r="AF70" s="3">
        <v>8</v>
      </c>
      <c r="AG70" s="3">
        <v>7</v>
      </c>
      <c r="AH70" s="3">
        <v>9</v>
      </c>
      <c r="AI70" s="3">
        <v>9</v>
      </c>
      <c r="AJ70" s="3">
        <v>8</v>
      </c>
      <c r="AK70" s="3">
        <v>8</v>
      </c>
      <c r="AL70" s="3">
        <v>6</v>
      </c>
      <c r="AM70" s="3">
        <v>5</v>
      </c>
      <c r="AN70" s="3">
        <v>9</v>
      </c>
      <c r="AO70" s="3">
        <v>9</v>
      </c>
      <c r="AP70" s="3">
        <v>10</v>
      </c>
      <c r="AQ70" s="3">
        <v>9</v>
      </c>
      <c r="AR70" s="3">
        <v>10</v>
      </c>
      <c r="AS70" s="3">
        <v>9</v>
      </c>
      <c r="AT70" s="3">
        <v>8</v>
      </c>
      <c r="AU70" s="3">
        <v>9</v>
      </c>
      <c r="AV70" s="3">
        <v>7</v>
      </c>
      <c r="AW70" s="3">
        <v>7</v>
      </c>
      <c r="AX70" s="3">
        <v>9</v>
      </c>
      <c r="AY70" s="3">
        <v>10</v>
      </c>
      <c r="AZ70" s="3">
        <v>10</v>
      </c>
      <c r="BA70" s="3">
        <v>9</v>
      </c>
      <c r="BB70" s="3">
        <v>8</v>
      </c>
      <c r="BC70" s="3">
        <v>7</v>
      </c>
      <c r="BD70" s="3">
        <v>9</v>
      </c>
      <c r="BE70" s="3">
        <v>9</v>
      </c>
      <c r="BF70" s="3">
        <v>7</v>
      </c>
      <c r="BG70" s="3">
        <v>7</v>
      </c>
      <c r="BH70" s="3">
        <v>9</v>
      </c>
      <c r="BI70" s="3">
        <v>9</v>
      </c>
      <c r="BJ70" s="3">
        <v>6</v>
      </c>
      <c r="BK70" s="3">
        <v>9</v>
      </c>
      <c r="DU70" s="1">
        <v>0.4</v>
      </c>
      <c r="DV70" s="121">
        <v>10</v>
      </c>
      <c r="DW70" s="79">
        <v>5</v>
      </c>
      <c r="DX70" s="79">
        <v>10</v>
      </c>
      <c r="DY70" s="79">
        <v>5</v>
      </c>
      <c r="DZ70" s="121">
        <v>13.666666666666666</v>
      </c>
      <c r="EA70" s="79">
        <v>5</v>
      </c>
      <c r="EB70" s="79">
        <v>8.3333333333333339</v>
      </c>
      <c r="EC70" s="79">
        <v>5</v>
      </c>
      <c r="ED70" s="121">
        <v>11.666666666666666</v>
      </c>
      <c r="EE70" s="79">
        <v>5</v>
      </c>
      <c r="EF70" s="79">
        <v>8</v>
      </c>
      <c r="EG70" s="79">
        <v>5</v>
      </c>
      <c r="EH70" s="121">
        <v>8.6666666666666661</v>
      </c>
      <c r="EI70" s="79">
        <v>5</v>
      </c>
      <c r="EJ70" s="79">
        <v>11.666666666666666</v>
      </c>
      <c r="EK70" s="79">
        <v>5</v>
      </c>
      <c r="EL70" s="79">
        <v>13</v>
      </c>
      <c r="EM70" s="79">
        <v>5</v>
      </c>
      <c r="EN70" s="79">
        <v>11.333333333333334</v>
      </c>
      <c r="EO70" s="79">
        <v>5</v>
      </c>
    </row>
    <row r="71" spans="1:225">
      <c r="A71" s="1" t="s">
        <v>761</v>
      </c>
      <c r="B71" s="3">
        <v>31</v>
      </c>
      <c r="C71" t="s">
        <v>140</v>
      </c>
      <c r="D71" s="3">
        <v>62</v>
      </c>
      <c r="E71" t="s">
        <v>19</v>
      </c>
      <c r="F71" s="3">
        <v>2</v>
      </c>
      <c r="G71" s="3"/>
      <c r="T71" s="2" t="s">
        <v>27</v>
      </c>
      <c r="U71" s="3">
        <v>3</v>
      </c>
      <c r="V71" s="3">
        <v>8</v>
      </c>
      <c r="W71" s="3">
        <v>8</v>
      </c>
      <c r="X71" s="3">
        <v>7</v>
      </c>
      <c r="Y71" s="3">
        <v>5</v>
      </c>
      <c r="Z71" s="79">
        <v>10</v>
      </c>
      <c r="AA71" s="3">
        <v>6</v>
      </c>
      <c r="AB71" s="3">
        <v>2</v>
      </c>
      <c r="AC71" s="3">
        <v>3</v>
      </c>
      <c r="AD71" s="3">
        <v>1</v>
      </c>
      <c r="AE71" s="79">
        <v>9</v>
      </c>
      <c r="AF71" s="3">
        <v>2</v>
      </c>
      <c r="AG71" s="3">
        <v>7</v>
      </c>
      <c r="AH71" s="3">
        <v>5</v>
      </c>
      <c r="AI71" s="3">
        <v>4</v>
      </c>
      <c r="AJ71" s="3">
        <v>7</v>
      </c>
      <c r="AK71" s="3">
        <v>2</v>
      </c>
      <c r="AL71" s="3">
        <v>3</v>
      </c>
      <c r="AM71" s="3">
        <v>7</v>
      </c>
      <c r="AN71" s="3">
        <v>7</v>
      </c>
      <c r="AO71" s="3">
        <v>7</v>
      </c>
      <c r="AP71" s="3">
        <v>9</v>
      </c>
      <c r="AQ71" s="3">
        <v>1</v>
      </c>
      <c r="AR71" s="3">
        <v>7</v>
      </c>
      <c r="AS71" s="3">
        <v>9</v>
      </c>
      <c r="AT71" s="3">
        <v>4</v>
      </c>
      <c r="AU71" s="3">
        <v>3</v>
      </c>
      <c r="AV71" s="3">
        <v>9</v>
      </c>
      <c r="AW71" s="3">
        <v>3</v>
      </c>
      <c r="AX71" s="3">
        <v>1</v>
      </c>
      <c r="AY71" s="3">
        <v>7</v>
      </c>
      <c r="AZ71" s="3">
        <v>7</v>
      </c>
      <c r="BA71" s="3">
        <v>4</v>
      </c>
      <c r="BB71" s="3">
        <v>2</v>
      </c>
      <c r="BC71" s="3">
        <v>4</v>
      </c>
      <c r="BD71" s="3">
        <v>3</v>
      </c>
      <c r="BE71" s="3">
        <v>7</v>
      </c>
      <c r="BF71" s="3">
        <v>9</v>
      </c>
      <c r="BG71" s="3">
        <v>10</v>
      </c>
      <c r="BH71" s="3">
        <v>5</v>
      </c>
      <c r="BI71" s="3">
        <v>7</v>
      </c>
      <c r="BJ71" s="3">
        <v>9</v>
      </c>
      <c r="BK71" s="3">
        <v>9</v>
      </c>
      <c r="DU71" s="1">
        <v>0.5</v>
      </c>
      <c r="DV71" s="121">
        <v>10.666666666666666</v>
      </c>
      <c r="DW71" s="79">
        <v>6</v>
      </c>
      <c r="DX71" s="79">
        <v>10.666666666666666</v>
      </c>
      <c r="DY71" s="79">
        <v>6</v>
      </c>
      <c r="DZ71" s="121">
        <v>14.333333333333334</v>
      </c>
      <c r="EA71" s="79">
        <v>6</v>
      </c>
      <c r="EB71" s="79">
        <v>9.3333333333333339</v>
      </c>
      <c r="EC71" s="79">
        <v>6</v>
      </c>
      <c r="ED71" s="121">
        <v>12.333333333333334</v>
      </c>
      <c r="EE71" s="79">
        <v>6</v>
      </c>
      <c r="EF71" s="79">
        <v>9</v>
      </c>
      <c r="EG71" s="79">
        <v>6</v>
      </c>
      <c r="EH71" s="121">
        <v>9.3333333333333339</v>
      </c>
      <c r="EI71" s="79">
        <v>6</v>
      </c>
      <c r="EJ71" s="79">
        <v>12.666666666666666</v>
      </c>
      <c r="EK71" s="79">
        <v>6</v>
      </c>
      <c r="EL71" s="79">
        <v>13.666666666666666</v>
      </c>
      <c r="EM71" s="79">
        <v>6</v>
      </c>
      <c r="EN71" s="79">
        <v>12</v>
      </c>
      <c r="EO71" s="79">
        <v>6</v>
      </c>
    </row>
    <row r="72" spans="1:225">
      <c r="A72" s="1" t="s">
        <v>762</v>
      </c>
      <c r="B72" s="3">
        <v>32</v>
      </c>
      <c r="C72" t="s">
        <v>351</v>
      </c>
      <c r="D72" s="3">
        <v>63</v>
      </c>
      <c r="E72" t="s">
        <v>19</v>
      </c>
      <c r="F72" s="3">
        <v>3</v>
      </c>
      <c r="G72" s="3"/>
      <c r="T72" s="2" t="s">
        <v>103</v>
      </c>
      <c r="U72" s="3">
        <v>2</v>
      </c>
      <c r="V72" s="3">
        <v>2</v>
      </c>
      <c r="W72" s="3">
        <v>1</v>
      </c>
      <c r="X72" s="3">
        <v>1</v>
      </c>
      <c r="Y72" s="3">
        <v>1</v>
      </c>
      <c r="Z72" s="79">
        <v>3</v>
      </c>
      <c r="AA72" s="3">
        <v>3</v>
      </c>
      <c r="AB72" s="3">
        <v>1</v>
      </c>
      <c r="AC72" s="3">
        <v>1</v>
      </c>
      <c r="AD72" s="3">
        <v>2</v>
      </c>
      <c r="AE72" s="79">
        <v>4</v>
      </c>
      <c r="AF72" s="3">
        <v>2</v>
      </c>
      <c r="AG72" s="3">
        <v>1</v>
      </c>
      <c r="AH72" s="3">
        <v>3</v>
      </c>
      <c r="AI72" s="3">
        <v>3</v>
      </c>
      <c r="AJ72" s="3">
        <v>2</v>
      </c>
      <c r="AK72" s="3">
        <v>2</v>
      </c>
      <c r="AL72" s="3">
        <v>1</v>
      </c>
      <c r="AM72" s="3">
        <v>2</v>
      </c>
      <c r="AN72" s="3">
        <v>2</v>
      </c>
      <c r="AO72" s="3">
        <v>2</v>
      </c>
      <c r="AP72" s="3">
        <v>5</v>
      </c>
      <c r="AQ72" s="3">
        <v>3</v>
      </c>
      <c r="AR72" s="3">
        <v>2</v>
      </c>
      <c r="AS72" s="3">
        <v>3</v>
      </c>
      <c r="AT72" s="3">
        <v>2</v>
      </c>
      <c r="AU72" s="3">
        <v>1</v>
      </c>
      <c r="AV72" s="3">
        <v>3</v>
      </c>
      <c r="AW72" s="3">
        <v>1</v>
      </c>
      <c r="AX72" s="3">
        <v>1</v>
      </c>
      <c r="AY72" s="3">
        <v>2</v>
      </c>
      <c r="AZ72" s="3">
        <v>2</v>
      </c>
      <c r="BA72" s="3">
        <v>2</v>
      </c>
      <c r="BB72" s="3">
        <v>1</v>
      </c>
      <c r="BC72" s="3">
        <v>1</v>
      </c>
      <c r="BD72" s="3">
        <v>1</v>
      </c>
      <c r="BE72" s="3">
        <v>2</v>
      </c>
      <c r="BF72" s="3">
        <v>4</v>
      </c>
      <c r="BG72" s="3">
        <v>4</v>
      </c>
      <c r="BH72" s="3">
        <v>1</v>
      </c>
      <c r="BI72" s="3">
        <v>1</v>
      </c>
      <c r="BJ72" s="3">
        <v>3</v>
      </c>
      <c r="BK72" s="3">
        <v>6</v>
      </c>
      <c r="DU72" s="1">
        <v>0.6</v>
      </c>
      <c r="DV72" s="121">
        <v>11.333333333333334</v>
      </c>
      <c r="DW72" s="79">
        <v>7</v>
      </c>
      <c r="DX72" s="79">
        <v>11.333333333333334</v>
      </c>
      <c r="DY72" s="79">
        <v>7</v>
      </c>
      <c r="DZ72" s="121">
        <v>15</v>
      </c>
      <c r="EA72" s="79">
        <v>7</v>
      </c>
      <c r="EB72" s="79">
        <v>10</v>
      </c>
      <c r="EC72" s="79">
        <v>7</v>
      </c>
      <c r="ED72" s="121">
        <v>13</v>
      </c>
      <c r="EE72" s="79">
        <v>7</v>
      </c>
      <c r="EF72" s="79">
        <v>10</v>
      </c>
      <c r="EG72" s="79">
        <v>7</v>
      </c>
      <c r="EH72" s="121">
        <v>10.333333333333334</v>
      </c>
      <c r="EI72" s="79">
        <v>7</v>
      </c>
      <c r="EJ72" s="79">
        <v>13.333333333333334</v>
      </c>
      <c r="EK72" s="79">
        <v>7</v>
      </c>
      <c r="EL72" s="79">
        <v>14.333333333333334</v>
      </c>
      <c r="EM72" s="79">
        <v>7</v>
      </c>
      <c r="EN72" s="79">
        <v>12.666666666666666</v>
      </c>
      <c r="EO72" s="79">
        <v>7</v>
      </c>
    </row>
    <row r="73" spans="1:225">
      <c r="A73" s="1" t="s">
        <v>763</v>
      </c>
      <c r="B73" s="3">
        <v>32</v>
      </c>
      <c r="C73" t="s">
        <v>91</v>
      </c>
      <c r="D73" s="3">
        <v>64</v>
      </c>
      <c r="E73" t="s">
        <v>19</v>
      </c>
      <c r="F73" s="3">
        <v>2</v>
      </c>
      <c r="G73" s="3"/>
      <c r="T73" s="2" t="s">
        <v>184</v>
      </c>
      <c r="U73" s="3">
        <v>3</v>
      </c>
      <c r="V73" s="3">
        <v>3</v>
      </c>
      <c r="W73" s="3">
        <v>3</v>
      </c>
      <c r="X73" s="3">
        <v>3</v>
      </c>
      <c r="Y73" s="3">
        <v>3</v>
      </c>
      <c r="Z73" s="79">
        <v>2</v>
      </c>
      <c r="AA73" s="3">
        <v>2</v>
      </c>
      <c r="AB73" s="3">
        <v>2</v>
      </c>
      <c r="AC73" s="3">
        <v>3</v>
      </c>
      <c r="AD73" s="3">
        <v>4</v>
      </c>
      <c r="AE73" s="79">
        <v>5</v>
      </c>
      <c r="AF73" s="3">
        <v>3</v>
      </c>
      <c r="AG73" s="3">
        <v>2</v>
      </c>
      <c r="AH73" s="3">
        <v>3</v>
      </c>
      <c r="AI73" s="3">
        <v>4</v>
      </c>
      <c r="AJ73" s="3">
        <v>5</v>
      </c>
      <c r="AK73" s="3">
        <v>3</v>
      </c>
      <c r="AL73" s="3">
        <v>3</v>
      </c>
      <c r="AM73" s="3">
        <v>3</v>
      </c>
      <c r="AN73" s="3">
        <v>6</v>
      </c>
      <c r="AO73" s="3">
        <v>2</v>
      </c>
      <c r="AP73" s="3">
        <v>2</v>
      </c>
      <c r="AQ73" s="3">
        <v>4</v>
      </c>
      <c r="AR73" s="3">
        <v>4</v>
      </c>
      <c r="AS73" s="3">
        <v>4</v>
      </c>
      <c r="AT73" s="3">
        <v>7</v>
      </c>
      <c r="AU73" s="3">
        <v>1</v>
      </c>
      <c r="AV73" s="3">
        <v>2</v>
      </c>
      <c r="AW73" s="3">
        <v>3</v>
      </c>
      <c r="AX73" s="3">
        <v>4</v>
      </c>
      <c r="AY73" s="3">
        <v>2</v>
      </c>
      <c r="AZ73" s="3">
        <v>2</v>
      </c>
      <c r="BA73" s="3">
        <v>3</v>
      </c>
      <c r="BB73" s="3">
        <v>2</v>
      </c>
      <c r="BC73" s="3">
        <v>3</v>
      </c>
      <c r="BD73" s="3">
        <v>2</v>
      </c>
      <c r="BE73" s="3">
        <v>5</v>
      </c>
      <c r="BF73" s="3">
        <v>2</v>
      </c>
      <c r="BG73" s="3">
        <v>5</v>
      </c>
      <c r="BH73" s="3">
        <v>2</v>
      </c>
      <c r="BI73" s="3">
        <v>5</v>
      </c>
      <c r="BJ73" s="3">
        <v>6</v>
      </c>
      <c r="BK73" s="3">
        <v>4</v>
      </c>
      <c r="DU73" s="1">
        <v>0.7</v>
      </c>
      <c r="DV73" s="121">
        <v>12.333333333333334</v>
      </c>
      <c r="DW73" s="79">
        <v>8</v>
      </c>
      <c r="DX73" s="79">
        <v>12</v>
      </c>
      <c r="DY73" s="79">
        <v>8</v>
      </c>
      <c r="DZ73" s="121">
        <v>15.666666666666666</v>
      </c>
      <c r="EA73" s="79">
        <v>8</v>
      </c>
      <c r="EB73" s="79">
        <v>10.666666666666666</v>
      </c>
      <c r="EC73" s="79">
        <v>8</v>
      </c>
      <c r="ED73" s="121">
        <v>13.666666666666666</v>
      </c>
      <c r="EE73" s="79">
        <v>8</v>
      </c>
      <c r="EF73" s="79">
        <v>11</v>
      </c>
      <c r="EG73" s="79">
        <v>8</v>
      </c>
      <c r="EH73" s="121">
        <v>11</v>
      </c>
      <c r="EI73" s="79">
        <v>8</v>
      </c>
      <c r="EJ73" s="79">
        <v>14</v>
      </c>
      <c r="EK73" s="79">
        <v>8</v>
      </c>
      <c r="EL73" s="79">
        <v>15</v>
      </c>
      <c r="EM73" s="79">
        <v>8</v>
      </c>
      <c r="EN73" s="79">
        <v>13.666666666666666</v>
      </c>
      <c r="EO73" s="79">
        <v>8</v>
      </c>
    </row>
    <row r="74" spans="1:225">
      <c r="A74" s="1" t="s">
        <v>764</v>
      </c>
      <c r="B74" s="3">
        <v>33</v>
      </c>
      <c r="C74" t="s">
        <v>1044</v>
      </c>
      <c r="D74" s="3">
        <v>65</v>
      </c>
      <c r="E74" t="s">
        <v>19</v>
      </c>
      <c r="F74" s="3">
        <v>3</v>
      </c>
      <c r="G74" s="3"/>
      <c r="T74" s="7" t="s">
        <v>565</v>
      </c>
      <c r="U74" s="3">
        <v>5</v>
      </c>
      <c r="V74" s="3">
        <v>3</v>
      </c>
      <c r="W74" s="3">
        <v>3</v>
      </c>
      <c r="X74" s="3">
        <v>6</v>
      </c>
      <c r="Y74" s="3">
        <v>4</v>
      </c>
      <c r="Z74" s="79">
        <v>4</v>
      </c>
      <c r="AA74" s="3">
        <v>6</v>
      </c>
      <c r="AB74" s="3">
        <v>5</v>
      </c>
      <c r="AC74" s="3">
        <v>4</v>
      </c>
      <c r="AD74" s="3">
        <v>4</v>
      </c>
      <c r="AE74" s="79">
        <v>3</v>
      </c>
      <c r="AF74" s="3">
        <v>4</v>
      </c>
      <c r="AG74" s="3">
        <v>5</v>
      </c>
      <c r="AH74" s="3">
        <v>4</v>
      </c>
      <c r="AI74" s="3">
        <v>5</v>
      </c>
      <c r="AJ74" s="3">
        <v>3</v>
      </c>
      <c r="AK74" s="3">
        <v>6</v>
      </c>
      <c r="AL74" s="3">
        <v>3</v>
      </c>
      <c r="AM74" s="3">
        <v>4</v>
      </c>
      <c r="AN74" s="3">
        <v>2</v>
      </c>
      <c r="AO74" s="3">
        <v>2</v>
      </c>
      <c r="AP74" s="3">
        <v>4</v>
      </c>
      <c r="AQ74" s="3">
        <v>5</v>
      </c>
      <c r="AR74" s="3">
        <v>9</v>
      </c>
      <c r="AS74" s="3">
        <v>6</v>
      </c>
      <c r="AT74" s="3">
        <v>2</v>
      </c>
      <c r="AU74" s="3">
        <v>3</v>
      </c>
      <c r="AV74" s="3">
        <v>9</v>
      </c>
      <c r="AW74" s="3">
        <v>5</v>
      </c>
      <c r="AX74" s="3">
        <v>7</v>
      </c>
      <c r="AY74" s="3">
        <v>5</v>
      </c>
      <c r="AZ74" s="3">
        <v>5</v>
      </c>
      <c r="BA74" s="3">
        <v>6</v>
      </c>
      <c r="BB74" s="3">
        <v>5</v>
      </c>
      <c r="BC74" s="3">
        <v>5</v>
      </c>
      <c r="BD74" s="3">
        <v>5</v>
      </c>
      <c r="BE74" s="3">
        <v>3</v>
      </c>
      <c r="BF74" s="3">
        <v>6</v>
      </c>
      <c r="BG74" s="3">
        <v>4</v>
      </c>
      <c r="BH74" s="3">
        <v>5</v>
      </c>
      <c r="BI74" s="3">
        <v>3</v>
      </c>
      <c r="BJ74" s="3">
        <v>5</v>
      </c>
      <c r="BK74" s="3">
        <v>2</v>
      </c>
      <c r="DU74" s="1">
        <v>0.8</v>
      </c>
      <c r="DV74" s="121">
        <v>13.133333333333345</v>
      </c>
      <c r="DW74" s="79">
        <v>9</v>
      </c>
      <c r="DX74" s="79">
        <v>13</v>
      </c>
      <c r="DY74" s="79">
        <v>9</v>
      </c>
      <c r="DZ74" s="121">
        <v>16.333333333333332</v>
      </c>
      <c r="EA74" s="79">
        <v>9</v>
      </c>
      <c r="EB74" s="79">
        <v>11.666666666666666</v>
      </c>
      <c r="EC74" s="79">
        <v>9</v>
      </c>
      <c r="ED74" s="121">
        <v>14.666666666666666</v>
      </c>
      <c r="EE74" s="79">
        <v>9</v>
      </c>
      <c r="EF74" s="79">
        <v>12</v>
      </c>
      <c r="EG74" s="79">
        <v>9</v>
      </c>
      <c r="EH74" s="121">
        <v>12</v>
      </c>
      <c r="EI74" s="79">
        <v>9</v>
      </c>
      <c r="EJ74" s="79">
        <v>14.666666666666666</v>
      </c>
      <c r="EK74" s="79">
        <v>9</v>
      </c>
      <c r="EL74" s="79">
        <v>15.666666666666666</v>
      </c>
      <c r="EM74" s="79">
        <v>9</v>
      </c>
      <c r="EN74" s="79">
        <v>14.333333333333334</v>
      </c>
      <c r="EO74" s="79">
        <v>9</v>
      </c>
    </row>
    <row r="75" spans="1:225">
      <c r="A75" s="1" t="s">
        <v>765</v>
      </c>
      <c r="B75" s="3">
        <v>33</v>
      </c>
      <c r="C75" t="s">
        <v>220</v>
      </c>
      <c r="D75" s="3">
        <v>66</v>
      </c>
      <c r="E75" t="s">
        <v>19</v>
      </c>
      <c r="F75" s="3">
        <v>3</v>
      </c>
      <c r="G75" s="3"/>
      <c r="T75" s="7" t="s">
        <v>566</v>
      </c>
      <c r="U75" s="3">
        <v>5</v>
      </c>
      <c r="V75" s="3">
        <v>5</v>
      </c>
      <c r="W75" s="3">
        <v>5</v>
      </c>
      <c r="X75" s="3">
        <v>6</v>
      </c>
      <c r="Y75" s="3">
        <v>3</v>
      </c>
      <c r="Z75" s="79">
        <v>2</v>
      </c>
      <c r="AA75" s="3">
        <v>8</v>
      </c>
      <c r="AB75" s="3">
        <v>8</v>
      </c>
      <c r="AC75" s="3">
        <v>4</v>
      </c>
      <c r="AD75" s="3">
        <v>8</v>
      </c>
      <c r="AE75" s="79">
        <v>7</v>
      </c>
      <c r="AF75" s="3">
        <v>6</v>
      </c>
      <c r="AG75" s="3">
        <v>4</v>
      </c>
      <c r="AH75" s="3">
        <v>3</v>
      </c>
      <c r="AI75" s="3">
        <v>5</v>
      </c>
      <c r="AJ75" s="3">
        <v>6</v>
      </c>
      <c r="AK75" s="3">
        <v>6</v>
      </c>
      <c r="AL75" s="3">
        <v>4</v>
      </c>
      <c r="AM75" s="3">
        <v>4</v>
      </c>
      <c r="AN75" s="3">
        <v>3</v>
      </c>
      <c r="AO75" s="3">
        <v>4</v>
      </c>
      <c r="AP75" s="3">
        <v>8</v>
      </c>
      <c r="AQ75" s="3">
        <v>2</v>
      </c>
      <c r="AR75" s="3">
        <v>4</v>
      </c>
      <c r="AS75" s="3">
        <v>5</v>
      </c>
      <c r="AT75" s="3">
        <v>4</v>
      </c>
      <c r="AU75" s="3">
        <v>5</v>
      </c>
      <c r="AV75" s="3">
        <v>6</v>
      </c>
      <c r="AW75" s="3">
        <v>3</v>
      </c>
      <c r="AX75" s="3">
        <v>3</v>
      </c>
      <c r="AY75" s="3">
        <v>4</v>
      </c>
      <c r="AZ75" s="3">
        <v>4</v>
      </c>
      <c r="BA75" s="3">
        <v>4</v>
      </c>
      <c r="BB75" s="3">
        <v>3</v>
      </c>
      <c r="BC75" s="3">
        <v>4</v>
      </c>
      <c r="BD75" s="3">
        <v>8</v>
      </c>
      <c r="BE75" s="3">
        <v>4</v>
      </c>
      <c r="BF75" s="3">
        <v>4</v>
      </c>
      <c r="BG75" s="3">
        <v>3</v>
      </c>
      <c r="BH75" s="3">
        <v>6</v>
      </c>
      <c r="BI75" s="3">
        <v>6</v>
      </c>
      <c r="BJ75" s="3">
        <v>7</v>
      </c>
      <c r="BK75" s="3">
        <v>7</v>
      </c>
      <c r="DU75" s="1">
        <v>0.9</v>
      </c>
      <c r="DV75" s="121">
        <v>14</v>
      </c>
      <c r="DW75" s="79">
        <v>10</v>
      </c>
      <c r="DX75" s="79">
        <v>14</v>
      </c>
      <c r="DY75" s="79">
        <v>10</v>
      </c>
      <c r="DZ75" s="121">
        <v>17.333333333333332</v>
      </c>
      <c r="EA75" s="79">
        <v>10</v>
      </c>
      <c r="EB75" s="79">
        <v>13</v>
      </c>
      <c r="EC75" s="79">
        <v>10</v>
      </c>
      <c r="ED75" s="121">
        <v>16</v>
      </c>
      <c r="EE75" s="79">
        <v>10</v>
      </c>
      <c r="EF75" s="79">
        <v>13.666666666666666</v>
      </c>
      <c r="EG75" s="79">
        <v>10</v>
      </c>
      <c r="EH75" s="121">
        <v>13.333333333333334</v>
      </c>
      <c r="EI75" s="79">
        <v>10</v>
      </c>
      <c r="EJ75" s="79">
        <v>16</v>
      </c>
      <c r="EK75" s="79">
        <v>10</v>
      </c>
      <c r="EL75" s="79">
        <v>16.666666666666668</v>
      </c>
      <c r="EM75" s="79">
        <v>10</v>
      </c>
      <c r="EN75" s="79">
        <v>15.666666666666666</v>
      </c>
      <c r="EO75" s="79">
        <v>10</v>
      </c>
    </row>
    <row r="76" spans="1:225">
      <c r="A76" s="1" t="s">
        <v>766</v>
      </c>
      <c r="B76" s="3">
        <v>34</v>
      </c>
      <c r="C76" t="s">
        <v>34</v>
      </c>
      <c r="D76" s="3">
        <v>67</v>
      </c>
      <c r="E76" t="s">
        <v>19</v>
      </c>
      <c r="F76" s="3">
        <v>4</v>
      </c>
      <c r="G76" s="3"/>
      <c r="T76" s="7" t="s">
        <v>567</v>
      </c>
      <c r="U76" s="3">
        <v>7</v>
      </c>
      <c r="V76" s="3">
        <v>6</v>
      </c>
      <c r="W76" s="3">
        <v>6</v>
      </c>
      <c r="X76" s="3">
        <v>6</v>
      </c>
      <c r="Y76" s="3">
        <v>7</v>
      </c>
      <c r="Z76" s="79">
        <v>6</v>
      </c>
      <c r="AA76" s="3">
        <v>9</v>
      </c>
      <c r="AB76" s="3">
        <v>7</v>
      </c>
      <c r="AC76" s="3">
        <v>8</v>
      </c>
      <c r="AD76" s="3">
        <v>7</v>
      </c>
      <c r="AE76" s="79">
        <v>6</v>
      </c>
      <c r="AF76" s="3">
        <v>7</v>
      </c>
      <c r="AG76" s="3">
        <v>7</v>
      </c>
      <c r="AH76" s="3">
        <v>6</v>
      </c>
      <c r="AI76" s="3">
        <v>4</v>
      </c>
      <c r="AJ76" s="3">
        <v>4</v>
      </c>
      <c r="AK76" s="3">
        <v>4</v>
      </c>
      <c r="AL76" s="3">
        <v>7</v>
      </c>
      <c r="AM76" s="3">
        <v>7</v>
      </c>
      <c r="AN76" s="3">
        <v>7</v>
      </c>
      <c r="AO76" s="3">
        <v>5</v>
      </c>
      <c r="AP76" s="3">
        <v>3</v>
      </c>
      <c r="AQ76" s="3">
        <v>10</v>
      </c>
      <c r="AR76" s="3">
        <v>8</v>
      </c>
      <c r="AS76" s="3">
        <v>6</v>
      </c>
      <c r="AT76" s="3">
        <v>5</v>
      </c>
      <c r="AU76" s="3">
        <v>7</v>
      </c>
      <c r="AV76" s="3">
        <v>8</v>
      </c>
      <c r="AW76" s="3">
        <v>8</v>
      </c>
      <c r="AX76" s="3">
        <v>9</v>
      </c>
      <c r="AY76" s="3">
        <v>8</v>
      </c>
      <c r="AZ76" s="3">
        <v>8</v>
      </c>
      <c r="BA76" s="3">
        <v>9</v>
      </c>
      <c r="BB76" s="3">
        <v>5</v>
      </c>
      <c r="BC76" s="3">
        <v>8</v>
      </c>
      <c r="BD76" s="3">
        <v>6</v>
      </c>
      <c r="BE76" s="3">
        <v>5</v>
      </c>
      <c r="BF76" s="3">
        <v>4</v>
      </c>
      <c r="BG76" s="3">
        <v>5</v>
      </c>
      <c r="BH76" s="3">
        <v>5</v>
      </c>
      <c r="BI76" s="3">
        <v>5</v>
      </c>
      <c r="BJ76" s="3">
        <v>6</v>
      </c>
      <c r="BK76" s="3">
        <v>8</v>
      </c>
    </row>
    <row r="77" spans="1:225">
      <c r="A77" s="1" t="s">
        <v>767</v>
      </c>
      <c r="B77" s="3">
        <v>34</v>
      </c>
      <c r="C77" t="s">
        <v>95</v>
      </c>
      <c r="D77" s="3">
        <v>68</v>
      </c>
      <c r="E77" t="s">
        <v>19</v>
      </c>
      <c r="F77" s="3">
        <v>4</v>
      </c>
      <c r="G77" s="3"/>
      <c r="T77" s="2" t="s">
        <v>105</v>
      </c>
      <c r="U77" s="3">
        <v>6</v>
      </c>
      <c r="V77" s="3">
        <v>7</v>
      </c>
      <c r="W77" s="3">
        <v>9</v>
      </c>
      <c r="X77" s="3">
        <v>8</v>
      </c>
      <c r="Y77" s="3">
        <v>7</v>
      </c>
      <c r="Z77" s="79">
        <v>9</v>
      </c>
      <c r="AA77" s="3">
        <v>4</v>
      </c>
      <c r="AB77" s="3">
        <v>6</v>
      </c>
      <c r="AC77" s="3">
        <v>8</v>
      </c>
      <c r="AD77" s="3">
        <v>4</v>
      </c>
      <c r="AE77" s="79">
        <v>7</v>
      </c>
      <c r="AF77" s="3">
        <v>5</v>
      </c>
      <c r="AG77" s="3">
        <v>8</v>
      </c>
      <c r="AH77" s="3">
        <v>5</v>
      </c>
      <c r="AI77" s="3">
        <v>6</v>
      </c>
      <c r="AJ77" s="3">
        <v>6</v>
      </c>
      <c r="AK77" s="3">
        <v>6</v>
      </c>
      <c r="AL77" s="3">
        <v>10</v>
      </c>
      <c r="AM77" s="3">
        <v>3</v>
      </c>
      <c r="AN77" s="3">
        <v>7</v>
      </c>
      <c r="AO77" s="3">
        <v>8</v>
      </c>
      <c r="AP77" s="3">
        <v>8</v>
      </c>
      <c r="AQ77" s="3">
        <v>5</v>
      </c>
      <c r="AR77" s="3">
        <v>8</v>
      </c>
      <c r="AS77" s="3">
        <v>7</v>
      </c>
      <c r="AT77" s="3">
        <v>6</v>
      </c>
      <c r="AU77" s="3">
        <v>7</v>
      </c>
      <c r="AV77" s="3">
        <v>9</v>
      </c>
      <c r="AW77" s="3">
        <v>5</v>
      </c>
      <c r="AX77" s="3">
        <v>6</v>
      </c>
      <c r="AY77" s="3">
        <v>9</v>
      </c>
      <c r="AZ77" s="3">
        <v>9</v>
      </c>
      <c r="BA77" s="3">
        <v>8</v>
      </c>
      <c r="BB77" s="3">
        <v>4</v>
      </c>
      <c r="BC77" s="3">
        <v>8</v>
      </c>
      <c r="BD77" s="3">
        <v>6</v>
      </c>
      <c r="BE77" s="3">
        <v>7</v>
      </c>
      <c r="BF77" s="3">
        <v>8</v>
      </c>
      <c r="BG77" s="3">
        <v>6</v>
      </c>
      <c r="BH77" s="3">
        <v>3</v>
      </c>
      <c r="BI77" s="3">
        <v>5</v>
      </c>
      <c r="BJ77" s="3">
        <v>8</v>
      </c>
      <c r="BK77" s="3">
        <v>5</v>
      </c>
      <c r="DT77" s="120" t="s">
        <v>572</v>
      </c>
      <c r="DU77" s="171" t="s">
        <v>1069</v>
      </c>
      <c r="DV77" s="119"/>
      <c r="DW77" s="119"/>
      <c r="DX77" s="119"/>
      <c r="DY77" s="119"/>
      <c r="DZ77" s="119"/>
      <c r="EA77" s="119"/>
      <c r="EB77" s="119"/>
      <c r="EC77" s="119"/>
      <c r="ED77" s="119"/>
      <c r="EE77" s="119"/>
      <c r="EF77" s="119"/>
      <c r="EG77" s="119"/>
      <c r="EH77" s="119"/>
      <c r="EI77" s="119"/>
      <c r="EJ77" s="119"/>
      <c r="EK77" s="119"/>
      <c r="EL77" s="119"/>
      <c r="EM77" s="119"/>
      <c r="EN77" s="119"/>
      <c r="EO77" s="119"/>
      <c r="EP77" s="119"/>
      <c r="EQ77" s="119"/>
      <c r="ER77" s="119"/>
      <c r="ES77" s="119"/>
      <c r="ET77" s="119"/>
      <c r="EU77" s="119"/>
      <c r="EV77" s="119"/>
      <c r="EW77" s="119"/>
      <c r="EX77" s="119"/>
      <c r="EY77" s="119"/>
      <c r="EZ77" s="119"/>
      <c r="FA77" s="119"/>
      <c r="FB77" s="119"/>
      <c r="FC77" s="119"/>
      <c r="FD77" s="119"/>
      <c r="FE77" s="119"/>
      <c r="FF77" s="119"/>
      <c r="FG77" s="119"/>
      <c r="FH77" s="119"/>
      <c r="FI77" s="119"/>
      <c r="FJ77" s="119"/>
      <c r="FK77" s="119"/>
      <c r="FL77" s="119"/>
      <c r="FM77" s="119"/>
      <c r="FN77" s="119"/>
      <c r="FO77" s="119"/>
      <c r="FP77" s="119"/>
      <c r="FQ77" s="119"/>
      <c r="FR77" s="119"/>
      <c r="FS77" s="119"/>
      <c r="FT77" s="119"/>
      <c r="FU77" s="119"/>
      <c r="FV77" s="119"/>
      <c r="FW77" s="119"/>
      <c r="FX77" s="119"/>
      <c r="FY77" s="119"/>
      <c r="FZ77" s="119"/>
      <c r="GA77" s="119"/>
      <c r="GB77" s="119"/>
      <c r="GC77" s="119"/>
      <c r="GD77" s="119"/>
      <c r="GE77" s="119"/>
      <c r="GF77" s="119"/>
      <c r="GG77" s="119"/>
      <c r="GH77" s="119"/>
      <c r="GI77" s="119"/>
      <c r="GJ77" s="119"/>
      <c r="GK77" s="119"/>
      <c r="GL77" s="119"/>
      <c r="GM77" s="119"/>
      <c r="GN77" s="119"/>
      <c r="GO77" s="119"/>
      <c r="GP77" s="119"/>
      <c r="GQ77" s="119"/>
      <c r="GR77" s="119"/>
      <c r="GS77" s="119"/>
      <c r="GT77" s="119"/>
      <c r="GU77" s="119"/>
      <c r="GV77" s="119"/>
      <c r="GW77" s="119"/>
      <c r="GX77" s="119"/>
      <c r="GY77" s="119"/>
      <c r="GZ77" s="119"/>
      <c r="HA77" s="119"/>
      <c r="HB77" s="119"/>
      <c r="HC77" s="119"/>
      <c r="HD77" s="119"/>
      <c r="HE77" s="119"/>
      <c r="HF77" s="119"/>
      <c r="HG77" s="119"/>
      <c r="HH77" s="119"/>
      <c r="HI77" s="119"/>
      <c r="HJ77" s="119"/>
      <c r="HK77" s="119"/>
      <c r="HL77" s="119"/>
      <c r="HM77" s="119"/>
    </row>
    <row r="78" spans="1:225">
      <c r="A78" s="1" t="s">
        <v>768</v>
      </c>
      <c r="B78" s="3">
        <v>35</v>
      </c>
      <c r="C78" t="s">
        <v>340</v>
      </c>
      <c r="D78" s="3">
        <v>69</v>
      </c>
      <c r="E78" t="s">
        <v>19</v>
      </c>
      <c r="F78" s="3">
        <v>5</v>
      </c>
      <c r="G78" s="3"/>
      <c r="T78" s="2" t="s">
        <v>182</v>
      </c>
      <c r="U78" s="3">
        <v>8</v>
      </c>
      <c r="V78" s="3">
        <v>8</v>
      </c>
      <c r="W78" s="3">
        <v>7</v>
      </c>
      <c r="X78" s="3">
        <v>5</v>
      </c>
      <c r="Y78" s="3">
        <v>8</v>
      </c>
      <c r="Z78" s="79">
        <v>7</v>
      </c>
      <c r="AA78" s="3">
        <v>7</v>
      </c>
      <c r="AB78" s="3">
        <v>4</v>
      </c>
      <c r="AC78" s="3">
        <v>8</v>
      </c>
      <c r="AD78" s="3">
        <v>9</v>
      </c>
      <c r="AE78" s="79">
        <v>8</v>
      </c>
      <c r="AF78" s="3">
        <v>7</v>
      </c>
      <c r="AG78" s="3">
        <v>9</v>
      </c>
      <c r="AH78" s="3">
        <v>9</v>
      </c>
      <c r="AI78" s="3">
        <v>9</v>
      </c>
      <c r="AJ78" s="3">
        <v>7</v>
      </c>
      <c r="AK78" s="3">
        <v>8</v>
      </c>
      <c r="AL78" s="3">
        <v>9</v>
      </c>
      <c r="AM78" s="3">
        <v>8</v>
      </c>
      <c r="AN78" s="3">
        <v>9</v>
      </c>
      <c r="AO78" s="3">
        <v>5</v>
      </c>
      <c r="AP78" s="3">
        <v>4</v>
      </c>
      <c r="AQ78" s="3">
        <v>5</v>
      </c>
      <c r="AR78" s="3">
        <v>9</v>
      </c>
      <c r="AS78" s="3">
        <v>9</v>
      </c>
      <c r="AT78" s="3">
        <v>8</v>
      </c>
      <c r="AU78" s="3">
        <v>7</v>
      </c>
      <c r="AV78" s="3">
        <v>9</v>
      </c>
      <c r="AW78" s="3">
        <v>10</v>
      </c>
      <c r="AX78" s="3">
        <v>7</v>
      </c>
      <c r="AY78" s="3">
        <v>9</v>
      </c>
      <c r="AZ78" s="3">
        <v>9</v>
      </c>
      <c r="BA78" s="3">
        <v>8</v>
      </c>
      <c r="BB78" s="3">
        <v>4</v>
      </c>
      <c r="BC78" s="3">
        <v>6</v>
      </c>
      <c r="BD78" s="3">
        <v>3</v>
      </c>
      <c r="BE78" s="3">
        <v>9</v>
      </c>
      <c r="BF78" s="3">
        <v>6</v>
      </c>
      <c r="BG78" s="3">
        <v>9</v>
      </c>
      <c r="BH78" s="3">
        <v>2</v>
      </c>
      <c r="BI78" s="3">
        <v>7</v>
      </c>
      <c r="BJ78" s="3">
        <v>7</v>
      </c>
      <c r="BK78" s="3">
        <v>10</v>
      </c>
      <c r="DU78" s="2"/>
      <c r="DV78" s="119" t="s">
        <v>186</v>
      </c>
      <c r="DW78" s="119"/>
      <c r="DX78" s="119" t="s">
        <v>306</v>
      </c>
      <c r="DY78" s="119"/>
      <c r="DZ78" s="119" t="s">
        <v>142</v>
      </c>
      <c r="EA78" s="119"/>
      <c r="EB78" s="119" t="s">
        <v>546</v>
      </c>
      <c r="EC78" s="119"/>
      <c r="ED78" s="119" t="s">
        <v>22</v>
      </c>
      <c r="EE78" s="119"/>
      <c r="EF78" s="119" t="s">
        <v>161</v>
      </c>
      <c r="EG78" s="119"/>
      <c r="EH78" s="119" t="s">
        <v>48</v>
      </c>
      <c r="EI78" s="119"/>
      <c r="EJ78" s="119" t="s">
        <v>179</v>
      </c>
      <c r="EK78" s="119"/>
      <c r="EL78" s="119" t="s">
        <v>563</v>
      </c>
      <c r="EM78" s="119"/>
      <c r="EN78" s="119" t="s">
        <v>41</v>
      </c>
      <c r="EO78" s="119"/>
      <c r="EP78" s="119" t="s">
        <v>113</v>
      </c>
      <c r="EQ78" s="119"/>
      <c r="ER78" s="119" t="s">
        <v>238</v>
      </c>
      <c r="ES78" s="119"/>
      <c r="ET78" s="119" t="s">
        <v>399</v>
      </c>
      <c r="EU78" s="119"/>
      <c r="EV78" s="119" t="s">
        <v>180</v>
      </c>
      <c r="EW78" s="119"/>
      <c r="EX78" s="119" t="s">
        <v>564</v>
      </c>
      <c r="EY78" s="119"/>
      <c r="EZ78" s="119" t="s">
        <v>16</v>
      </c>
      <c r="FA78" s="119"/>
      <c r="FB78" s="119" t="s">
        <v>135</v>
      </c>
      <c r="FC78" s="119"/>
      <c r="FD78" s="119" t="s">
        <v>217</v>
      </c>
      <c r="FE78" s="119"/>
      <c r="FF78" s="119" t="s">
        <v>130</v>
      </c>
      <c r="FG78" s="119"/>
      <c r="FH78" s="119" t="s">
        <v>62</v>
      </c>
      <c r="FI78" s="119"/>
      <c r="FJ78" s="119" t="s">
        <v>244</v>
      </c>
      <c r="FK78" s="119"/>
      <c r="FL78" s="119" t="s">
        <v>197</v>
      </c>
      <c r="FM78" s="119"/>
      <c r="FN78" s="119" t="s">
        <v>117</v>
      </c>
      <c r="FO78" s="119"/>
      <c r="FP78" s="119" t="s">
        <v>302</v>
      </c>
      <c r="FQ78" s="119"/>
      <c r="FR78" s="119" t="s">
        <v>269</v>
      </c>
      <c r="FS78" s="119"/>
      <c r="FT78" s="119" t="s">
        <v>125</v>
      </c>
      <c r="FU78" s="119"/>
      <c r="FV78" s="119" t="s">
        <v>445</v>
      </c>
      <c r="FW78" s="119"/>
      <c r="FX78" s="119" t="s">
        <v>27</v>
      </c>
      <c r="FY78" s="119"/>
      <c r="FZ78" s="119" t="s">
        <v>103</v>
      </c>
      <c r="GA78" s="119"/>
      <c r="GB78" s="119" t="s">
        <v>184</v>
      </c>
      <c r="GC78" s="119"/>
      <c r="GD78" s="119" t="s">
        <v>565</v>
      </c>
      <c r="GE78" s="119"/>
      <c r="GF78" s="119" t="s">
        <v>566</v>
      </c>
      <c r="GG78" s="119"/>
      <c r="GH78" s="119" t="s">
        <v>567</v>
      </c>
      <c r="GI78" s="119"/>
      <c r="GJ78" s="119" t="s">
        <v>105</v>
      </c>
      <c r="GK78" s="119"/>
      <c r="GL78" s="119" t="s">
        <v>182</v>
      </c>
      <c r="GM78" s="119"/>
      <c r="GN78" s="119" t="s">
        <v>313</v>
      </c>
      <c r="GO78" s="119"/>
      <c r="GP78" s="119" t="s">
        <v>266</v>
      </c>
      <c r="GQ78" s="119"/>
      <c r="GR78" s="119" t="s">
        <v>29</v>
      </c>
      <c r="GS78" s="119"/>
      <c r="GT78" s="119" t="s">
        <v>155</v>
      </c>
      <c r="GU78" s="119"/>
      <c r="GV78" s="119" t="s">
        <v>320</v>
      </c>
      <c r="GW78" s="119"/>
      <c r="GX78" s="119" t="s">
        <v>282</v>
      </c>
      <c r="GY78" s="119"/>
      <c r="GZ78" s="119" t="s">
        <v>258</v>
      </c>
      <c r="HA78" s="119"/>
      <c r="HB78" s="119" t="s">
        <v>568</v>
      </c>
      <c r="HC78" s="119"/>
      <c r="HD78" s="119" t="s">
        <v>54</v>
      </c>
      <c r="HE78" s="119"/>
      <c r="HF78" s="119" t="s">
        <v>401</v>
      </c>
      <c r="HG78" s="119"/>
      <c r="HH78" s="119" t="s">
        <v>192</v>
      </c>
      <c r="HI78" s="119"/>
      <c r="HJ78" s="119" t="s">
        <v>400</v>
      </c>
      <c r="HK78" s="119"/>
      <c r="HL78" s="119" t="s">
        <v>289</v>
      </c>
      <c r="HM78" s="119"/>
      <c r="HN78" s="119" t="s">
        <v>453</v>
      </c>
      <c r="HO78" s="119"/>
    </row>
    <row r="79" spans="1:225">
      <c r="A79" s="1" t="s">
        <v>769</v>
      </c>
      <c r="B79" s="3">
        <v>35</v>
      </c>
      <c r="C79" t="s">
        <v>114</v>
      </c>
      <c r="D79" s="3">
        <v>70</v>
      </c>
      <c r="E79" t="s">
        <v>19</v>
      </c>
      <c r="F79" s="3">
        <v>5</v>
      </c>
      <c r="G79" s="3"/>
      <c r="T79" s="2" t="s">
        <v>313</v>
      </c>
      <c r="U79" s="3">
        <v>10</v>
      </c>
      <c r="V79" s="3">
        <v>10</v>
      </c>
      <c r="W79" s="3">
        <v>10</v>
      </c>
      <c r="X79" s="3">
        <v>9</v>
      </c>
      <c r="Y79" s="3">
        <v>10</v>
      </c>
      <c r="Z79" s="79">
        <v>10</v>
      </c>
      <c r="AA79" s="3">
        <v>10</v>
      </c>
      <c r="AB79" s="3">
        <v>9</v>
      </c>
      <c r="AC79" s="3">
        <v>10</v>
      </c>
      <c r="AD79" s="3">
        <v>7</v>
      </c>
      <c r="AE79" s="79">
        <v>10</v>
      </c>
      <c r="AF79" s="3">
        <v>8</v>
      </c>
      <c r="AG79" s="3">
        <v>10</v>
      </c>
      <c r="AH79" s="3">
        <v>10</v>
      </c>
      <c r="AI79" s="3">
        <v>10</v>
      </c>
      <c r="AJ79" s="3">
        <v>10</v>
      </c>
      <c r="AK79" s="3">
        <v>8</v>
      </c>
      <c r="AL79" s="3">
        <v>10</v>
      </c>
      <c r="AM79" s="3">
        <v>8</v>
      </c>
      <c r="AN79" s="3">
        <v>6</v>
      </c>
      <c r="AO79" s="3">
        <v>9</v>
      </c>
      <c r="AP79" s="3">
        <v>10</v>
      </c>
      <c r="AQ79" s="3">
        <v>10</v>
      </c>
      <c r="AR79" s="3">
        <v>10</v>
      </c>
      <c r="AS79" s="3">
        <v>9</v>
      </c>
      <c r="AT79" s="3">
        <v>9</v>
      </c>
      <c r="AU79" s="3">
        <v>10</v>
      </c>
      <c r="AV79" s="3">
        <v>10</v>
      </c>
      <c r="AW79" s="3">
        <v>9</v>
      </c>
      <c r="AX79" s="3">
        <v>10</v>
      </c>
      <c r="AY79" s="3">
        <v>9</v>
      </c>
      <c r="AZ79" s="3">
        <v>9</v>
      </c>
      <c r="BA79" s="3">
        <v>10</v>
      </c>
      <c r="BB79" s="3">
        <v>9</v>
      </c>
      <c r="BC79" s="3">
        <v>9</v>
      </c>
      <c r="BD79" s="3">
        <v>9</v>
      </c>
      <c r="BE79" s="3">
        <v>10</v>
      </c>
      <c r="BF79" s="3">
        <v>10</v>
      </c>
      <c r="BG79" s="3">
        <v>10</v>
      </c>
      <c r="BH79" s="3">
        <v>9</v>
      </c>
      <c r="BI79" s="3">
        <v>10</v>
      </c>
      <c r="BJ79" s="3">
        <v>10</v>
      </c>
      <c r="BK79" s="3">
        <v>10</v>
      </c>
      <c r="DU79" s="1">
        <v>0</v>
      </c>
      <c r="DV79" s="3">
        <v>0</v>
      </c>
      <c r="DW79" s="79">
        <v>1</v>
      </c>
      <c r="DX79" s="3">
        <v>0</v>
      </c>
      <c r="DY79" s="79">
        <v>1</v>
      </c>
      <c r="DZ79" s="3">
        <v>0</v>
      </c>
      <c r="EA79" s="79">
        <v>1</v>
      </c>
      <c r="EB79" s="3">
        <v>0</v>
      </c>
      <c r="EC79" s="79">
        <v>1</v>
      </c>
      <c r="ED79" s="3">
        <v>0</v>
      </c>
      <c r="EE79" s="79">
        <v>1</v>
      </c>
      <c r="EF79" s="3">
        <v>0</v>
      </c>
      <c r="EG79" s="79">
        <v>1</v>
      </c>
      <c r="EH79" s="3">
        <v>0</v>
      </c>
      <c r="EI79" s="79">
        <v>1</v>
      </c>
      <c r="EJ79" s="3">
        <v>0</v>
      </c>
      <c r="EK79" s="79">
        <v>1</v>
      </c>
      <c r="EL79" s="3">
        <v>0</v>
      </c>
      <c r="EM79" s="79">
        <v>1</v>
      </c>
      <c r="EN79" s="3">
        <v>0</v>
      </c>
      <c r="EO79" s="79">
        <v>1</v>
      </c>
      <c r="EP79" s="3">
        <v>0</v>
      </c>
      <c r="EQ79" s="79">
        <v>1</v>
      </c>
      <c r="ER79" s="3">
        <v>0</v>
      </c>
      <c r="ES79" s="79">
        <v>1</v>
      </c>
      <c r="ET79" s="3">
        <v>0</v>
      </c>
      <c r="EU79" s="79">
        <v>1</v>
      </c>
      <c r="EV79" s="3">
        <v>0</v>
      </c>
      <c r="EW79" s="79">
        <v>1</v>
      </c>
      <c r="EX79" s="3">
        <v>0</v>
      </c>
      <c r="EY79" s="79">
        <v>1</v>
      </c>
      <c r="EZ79" s="3">
        <v>0</v>
      </c>
      <c r="FA79" s="79">
        <v>1</v>
      </c>
      <c r="FB79" s="3">
        <v>0</v>
      </c>
      <c r="FC79" s="79">
        <v>1</v>
      </c>
      <c r="FD79" s="3">
        <v>0</v>
      </c>
      <c r="FE79" s="79">
        <v>1</v>
      </c>
      <c r="FF79" s="3">
        <v>0</v>
      </c>
      <c r="FG79" s="79">
        <v>1</v>
      </c>
      <c r="FH79" s="3">
        <v>0</v>
      </c>
      <c r="FI79" s="79">
        <v>1</v>
      </c>
      <c r="FJ79" s="3">
        <v>0</v>
      </c>
      <c r="FK79" s="79">
        <v>1</v>
      </c>
      <c r="FL79" s="3">
        <v>0</v>
      </c>
      <c r="FM79" s="79">
        <v>1</v>
      </c>
      <c r="FN79" s="3">
        <v>0</v>
      </c>
      <c r="FO79" s="79">
        <v>1</v>
      </c>
      <c r="FP79" s="3">
        <v>0</v>
      </c>
      <c r="FQ79" s="79">
        <v>1</v>
      </c>
      <c r="FR79" s="3">
        <v>0</v>
      </c>
      <c r="FS79" s="79">
        <v>1</v>
      </c>
      <c r="FT79" s="3">
        <v>0</v>
      </c>
      <c r="FU79" s="79">
        <v>1</v>
      </c>
      <c r="FV79" s="3">
        <v>0</v>
      </c>
      <c r="FW79" s="79">
        <v>1</v>
      </c>
      <c r="FX79" s="3">
        <v>0</v>
      </c>
      <c r="FY79" s="79">
        <v>1</v>
      </c>
      <c r="FZ79" s="3">
        <v>0</v>
      </c>
      <c r="GA79" s="79">
        <v>1</v>
      </c>
      <c r="GB79" s="3">
        <v>0</v>
      </c>
      <c r="GC79" s="79">
        <v>1</v>
      </c>
      <c r="GD79" s="3">
        <v>0</v>
      </c>
      <c r="GE79" s="79">
        <v>1</v>
      </c>
      <c r="GF79" s="3">
        <v>0</v>
      </c>
      <c r="GG79" s="79">
        <v>1</v>
      </c>
      <c r="GH79" s="3">
        <v>0</v>
      </c>
      <c r="GI79" s="79">
        <v>1</v>
      </c>
      <c r="GJ79" s="3">
        <v>0</v>
      </c>
      <c r="GK79" s="79">
        <v>1</v>
      </c>
      <c r="GL79" s="3">
        <v>0</v>
      </c>
      <c r="GM79" s="79">
        <v>1</v>
      </c>
      <c r="GN79" s="3">
        <v>0</v>
      </c>
      <c r="GO79" s="79">
        <v>1</v>
      </c>
      <c r="GP79" s="3">
        <v>0</v>
      </c>
      <c r="GQ79" s="79">
        <v>1</v>
      </c>
      <c r="GR79" s="3">
        <v>0</v>
      </c>
      <c r="GS79" s="79">
        <v>1</v>
      </c>
      <c r="GT79" s="3">
        <v>0</v>
      </c>
      <c r="GU79" s="79">
        <v>1</v>
      </c>
      <c r="GV79" s="3">
        <v>0</v>
      </c>
      <c r="GW79" s="79">
        <v>1</v>
      </c>
      <c r="GX79" s="3">
        <v>0</v>
      </c>
      <c r="GY79" s="79">
        <v>1</v>
      </c>
      <c r="GZ79" s="3">
        <v>0</v>
      </c>
      <c r="HA79" s="79">
        <v>1</v>
      </c>
      <c r="HB79" s="3">
        <v>0</v>
      </c>
      <c r="HC79" s="79">
        <v>1</v>
      </c>
      <c r="HD79" s="3">
        <v>0</v>
      </c>
      <c r="HE79" s="79">
        <v>1</v>
      </c>
      <c r="HF79" s="3">
        <v>0</v>
      </c>
      <c r="HG79" s="79">
        <v>1</v>
      </c>
      <c r="HH79" s="3">
        <v>0</v>
      </c>
      <c r="HI79" s="79">
        <v>1</v>
      </c>
      <c r="HJ79" s="3">
        <v>0</v>
      </c>
      <c r="HK79" s="79">
        <v>1</v>
      </c>
      <c r="HL79" s="3">
        <v>0</v>
      </c>
      <c r="HM79" s="79">
        <v>1</v>
      </c>
      <c r="HN79" s="3">
        <v>0</v>
      </c>
      <c r="HO79" s="79">
        <v>1</v>
      </c>
    </row>
    <row r="80" spans="1:225">
      <c r="A80" s="1" t="s">
        <v>770</v>
      </c>
      <c r="B80" s="3">
        <v>36</v>
      </c>
      <c r="C80" t="s">
        <v>252</v>
      </c>
      <c r="D80" s="3">
        <v>71</v>
      </c>
      <c r="E80" t="s">
        <v>19</v>
      </c>
      <c r="F80" s="3">
        <v>5</v>
      </c>
      <c r="G80" s="3"/>
      <c r="T80" s="7" t="s">
        <v>266</v>
      </c>
      <c r="U80" s="3">
        <v>10</v>
      </c>
      <c r="V80" s="3">
        <v>9</v>
      </c>
      <c r="W80" s="3">
        <v>7</v>
      </c>
      <c r="X80" s="3">
        <v>8</v>
      </c>
      <c r="Y80" s="3">
        <v>8</v>
      </c>
      <c r="Z80" s="79">
        <v>5</v>
      </c>
      <c r="AA80" s="3">
        <v>9</v>
      </c>
      <c r="AB80" s="3">
        <v>8</v>
      </c>
      <c r="AC80" s="3">
        <v>9</v>
      </c>
      <c r="AD80" s="3">
        <v>10</v>
      </c>
      <c r="AE80" s="79">
        <v>9</v>
      </c>
      <c r="AF80" s="3">
        <v>10</v>
      </c>
      <c r="AG80" s="3">
        <v>9</v>
      </c>
      <c r="AH80" s="3">
        <v>10</v>
      </c>
      <c r="AI80" s="3">
        <v>10</v>
      </c>
      <c r="AJ80" s="3">
        <v>10</v>
      </c>
      <c r="AK80" s="3">
        <v>10</v>
      </c>
      <c r="AL80" s="3">
        <v>9</v>
      </c>
      <c r="AM80" s="3">
        <v>10</v>
      </c>
      <c r="AN80" s="3">
        <v>10</v>
      </c>
      <c r="AO80" s="3">
        <v>9</v>
      </c>
      <c r="AP80" s="3">
        <v>8</v>
      </c>
      <c r="AQ80" s="3">
        <v>10</v>
      </c>
      <c r="AR80" s="3">
        <v>4</v>
      </c>
      <c r="AS80" s="3">
        <v>9</v>
      </c>
      <c r="AT80" s="3">
        <v>10</v>
      </c>
      <c r="AU80" s="3">
        <v>10</v>
      </c>
      <c r="AV80" s="3">
        <v>10</v>
      </c>
      <c r="AW80" s="3">
        <v>10</v>
      </c>
      <c r="AX80" s="3">
        <v>9</v>
      </c>
      <c r="AY80" s="3">
        <v>7</v>
      </c>
      <c r="AZ80" s="3">
        <v>7</v>
      </c>
      <c r="BA80" s="3">
        <v>8</v>
      </c>
      <c r="BB80" s="3">
        <v>9</v>
      </c>
      <c r="BC80" s="3">
        <v>9</v>
      </c>
      <c r="BD80" s="3">
        <v>8</v>
      </c>
      <c r="BE80" s="3">
        <v>7</v>
      </c>
      <c r="BF80" s="3">
        <v>3</v>
      </c>
      <c r="BG80" s="3">
        <v>3</v>
      </c>
      <c r="BH80" s="3">
        <v>7</v>
      </c>
      <c r="BI80" s="3">
        <v>10</v>
      </c>
      <c r="BJ80" s="3">
        <v>9</v>
      </c>
      <c r="BK80" s="3">
        <v>10</v>
      </c>
      <c r="DU80" s="1">
        <v>0.1</v>
      </c>
      <c r="DV80" s="11">
        <v>7</v>
      </c>
      <c r="DW80" s="79">
        <v>2</v>
      </c>
      <c r="DX80" s="11">
        <v>3</v>
      </c>
      <c r="DY80" s="79">
        <v>2</v>
      </c>
      <c r="DZ80" s="11">
        <v>4</v>
      </c>
      <c r="EA80" s="79">
        <v>2</v>
      </c>
      <c r="EB80" s="11">
        <v>8</v>
      </c>
      <c r="EC80" s="79">
        <v>2</v>
      </c>
      <c r="ED80" s="11">
        <v>6.3000000000000043</v>
      </c>
      <c r="EE80" s="79">
        <v>2</v>
      </c>
      <c r="EF80" s="11">
        <v>6</v>
      </c>
      <c r="EG80" s="79">
        <v>2</v>
      </c>
      <c r="EH80" s="11">
        <v>9</v>
      </c>
      <c r="EI80" s="79">
        <v>2</v>
      </c>
      <c r="EJ80" s="11">
        <v>6</v>
      </c>
      <c r="EK80" s="79">
        <v>2</v>
      </c>
      <c r="EL80" s="11">
        <v>9</v>
      </c>
      <c r="EM80" s="79">
        <v>2</v>
      </c>
      <c r="EN80" s="11">
        <v>5</v>
      </c>
      <c r="EO80" s="79">
        <v>2</v>
      </c>
      <c r="EP80" s="11">
        <v>4</v>
      </c>
      <c r="EQ80" s="79">
        <v>2</v>
      </c>
      <c r="ER80" s="11">
        <v>4</v>
      </c>
      <c r="ES80" s="79">
        <v>2</v>
      </c>
      <c r="ET80" s="11">
        <v>2</v>
      </c>
      <c r="EU80" s="79">
        <v>2</v>
      </c>
      <c r="EV80" s="11">
        <v>9</v>
      </c>
      <c r="EW80" s="79">
        <v>2</v>
      </c>
      <c r="EX80" s="11">
        <v>6</v>
      </c>
      <c r="EY80" s="79">
        <v>2</v>
      </c>
      <c r="EZ80" s="11">
        <v>8</v>
      </c>
      <c r="FA80" s="79">
        <v>2</v>
      </c>
      <c r="FB80" s="11">
        <v>7</v>
      </c>
      <c r="FC80" s="79">
        <v>2</v>
      </c>
      <c r="FD80" s="11">
        <v>3</v>
      </c>
      <c r="FE80" s="79">
        <v>2</v>
      </c>
      <c r="FF80" s="11">
        <v>5</v>
      </c>
      <c r="FG80" s="79">
        <v>2</v>
      </c>
      <c r="FH80" s="11">
        <v>10</v>
      </c>
      <c r="FI80" s="79">
        <v>2</v>
      </c>
      <c r="FJ80" s="11">
        <v>4</v>
      </c>
      <c r="FK80" s="79">
        <v>2</v>
      </c>
      <c r="FL80" s="11">
        <v>7</v>
      </c>
      <c r="FM80" s="79">
        <v>2</v>
      </c>
      <c r="FN80" s="11">
        <v>3</v>
      </c>
      <c r="FO80" s="79">
        <v>2</v>
      </c>
      <c r="FP80" s="11">
        <v>2</v>
      </c>
      <c r="FQ80" s="79">
        <v>2</v>
      </c>
      <c r="FR80" s="11">
        <v>7</v>
      </c>
      <c r="FS80" s="79">
        <v>2</v>
      </c>
      <c r="FT80" s="11">
        <v>9</v>
      </c>
      <c r="FU80" s="79">
        <v>2</v>
      </c>
      <c r="FV80" s="11">
        <v>8</v>
      </c>
      <c r="FW80" s="79">
        <v>2</v>
      </c>
      <c r="FX80" s="11">
        <v>2</v>
      </c>
      <c r="FY80" s="79">
        <v>2</v>
      </c>
      <c r="FZ80" s="240">
        <v>2</v>
      </c>
      <c r="GA80" s="79">
        <v>2</v>
      </c>
      <c r="GB80" s="11">
        <v>4</v>
      </c>
      <c r="GC80" s="79">
        <v>2</v>
      </c>
      <c r="GD80" s="11">
        <v>4</v>
      </c>
      <c r="GE80" s="79">
        <v>2</v>
      </c>
      <c r="GF80" s="11">
        <v>7</v>
      </c>
      <c r="GG80" s="79">
        <v>2</v>
      </c>
      <c r="GH80" s="11">
        <v>4</v>
      </c>
      <c r="GI80" s="79">
        <v>2</v>
      </c>
      <c r="GJ80" s="11">
        <v>8</v>
      </c>
      <c r="GK80" s="79">
        <v>2</v>
      </c>
      <c r="GL80" s="11">
        <v>7</v>
      </c>
      <c r="GM80" s="79">
        <v>2</v>
      </c>
      <c r="GN80" s="11">
        <v>7</v>
      </c>
      <c r="GO80" s="79">
        <v>2</v>
      </c>
      <c r="GP80" s="11">
        <v>8</v>
      </c>
      <c r="GQ80" s="79">
        <v>2</v>
      </c>
      <c r="GR80" s="11">
        <v>7</v>
      </c>
      <c r="GS80" s="79">
        <v>2</v>
      </c>
      <c r="GT80" s="11">
        <v>8</v>
      </c>
      <c r="GU80" s="79">
        <v>2</v>
      </c>
      <c r="GV80" s="11">
        <v>3</v>
      </c>
      <c r="GW80" s="79">
        <v>2</v>
      </c>
      <c r="GX80" s="11">
        <v>3.3000000000000043</v>
      </c>
      <c r="GY80" s="79">
        <v>2</v>
      </c>
      <c r="GZ80" s="11">
        <v>3</v>
      </c>
      <c r="HA80" s="79">
        <v>2</v>
      </c>
      <c r="HB80" s="11">
        <v>5</v>
      </c>
      <c r="HC80" s="79">
        <v>2</v>
      </c>
      <c r="HD80" s="11">
        <v>3</v>
      </c>
      <c r="HE80" s="79">
        <v>2</v>
      </c>
      <c r="HF80" s="11">
        <v>7</v>
      </c>
      <c r="HG80" s="79">
        <v>2</v>
      </c>
      <c r="HH80" s="11">
        <v>2</v>
      </c>
      <c r="HI80" s="79">
        <v>2</v>
      </c>
      <c r="HJ80" s="11">
        <v>7</v>
      </c>
      <c r="HK80" s="79">
        <v>2</v>
      </c>
      <c r="HL80" s="11">
        <v>3</v>
      </c>
      <c r="HM80" s="79">
        <v>2</v>
      </c>
      <c r="HN80" s="11">
        <v>3</v>
      </c>
      <c r="HO80" s="79">
        <v>2</v>
      </c>
    </row>
    <row r="81" spans="1:224">
      <c r="A81" s="1" t="s">
        <v>771</v>
      </c>
      <c r="B81" s="3">
        <v>36</v>
      </c>
      <c r="C81" t="s">
        <v>235</v>
      </c>
      <c r="D81" s="3">
        <v>72</v>
      </c>
      <c r="E81" t="s">
        <v>19</v>
      </c>
      <c r="F81" s="3">
        <v>5</v>
      </c>
      <c r="G81" s="3"/>
      <c r="T81" s="7" t="s">
        <v>29</v>
      </c>
      <c r="U81" s="3">
        <v>10</v>
      </c>
      <c r="V81" s="3">
        <v>10</v>
      </c>
      <c r="W81" s="3">
        <v>10</v>
      </c>
      <c r="X81" s="3">
        <v>10</v>
      </c>
      <c r="Y81" s="3">
        <v>10</v>
      </c>
      <c r="Z81" s="79">
        <v>10</v>
      </c>
      <c r="AA81" s="3">
        <v>10</v>
      </c>
      <c r="AB81" s="3">
        <v>10</v>
      </c>
      <c r="AC81" s="3">
        <v>10</v>
      </c>
      <c r="AD81" s="3">
        <v>10</v>
      </c>
      <c r="AE81" s="79">
        <v>10</v>
      </c>
      <c r="AF81" s="3">
        <v>10</v>
      </c>
      <c r="AG81" s="3">
        <v>10</v>
      </c>
      <c r="AH81" s="3">
        <v>10</v>
      </c>
      <c r="AI81" s="3">
        <v>10</v>
      </c>
      <c r="AJ81" s="3">
        <v>10</v>
      </c>
      <c r="AK81" s="3">
        <v>10</v>
      </c>
      <c r="AL81" s="3">
        <v>10</v>
      </c>
      <c r="AM81" s="3">
        <v>10</v>
      </c>
      <c r="AN81" s="3">
        <v>10</v>
      </c>
      <c r="AO81" s="3">
        <v>10</v>
      </c>
      <c r="AP81" s="3">
        <v>10</v>
      </c>
      <c r="AQ81" s="3">
        <v>10</v>
      </c>
      <c r="AR81" s="3">
        <v>10</v>
      </c>
      <c r="AS81" s="3">
        <v>10</v>
      </c>
      <c r="AT81" s="3">
        <v>10</v>
      </c>
      <c r="AU81" s="3">
        <v>10</v>
      </c>
      <c r="AV81" s="3">
        <v>10</v>
      </c>
      <c r="AW81" s="3">
        <v>10</v>
      </c>
      <c r="AX81" s="3">
        <v>10</v>
      </c>
      <c r="AY81" s="3">
        <v>10</v>
      </c>
      <c r="AZ81" s="3">
        <v>10</v>
      </c>
      <c r="BA81" s="3">
        <v>10</v>
      </c>
      <c r="BB81" s="3">
        <v>10</v>
      </c>
      <c r="BC81" s="3">
        <v>10</v>
      </c>
      <c r="BD81" s="3">
        <v>10</v>
      </c>
      <c r="BE81" s="3">
        <v>10</v>
      </c>
      <c r="BF81" s="3">
        <v>10</v>
      </c>
      <c r="BG81" s="3">
        <v>10</v>
      </c>
      <c r="BH81" s="3">
        <v>10</v>
      </c>
      <c r="BI81" s="3">
        <v>10</v>
      </c>
      <c r="BJ81" s="3">
        <v>10</v>
      </c>
      <c r="BK81" s="3">
        <v>10</v>
      </c>
      <c r="DU81" s="1">
        <v>0.2</v>
      </c>
      <c r="DV81" s="11">
        <v>9</v>
      </c>
      <c r="DW81" s="79">
        <v>3</v>
      </c>
      <c r="DX81" s="11">
        <v>4</v>
      </c>
      <c r="DY81" s="79">
        <v>3</v>
      </c>
      <c r="DZ81" s="11">
        <v>6</v>
      </c>
      <c r="EA81" s="79">
        <v>3</v>
      </c>
      <c r="EB81" s="11">
        <v>10</v>
      </c>
      <c r="EC81" s="79">
        <v>3</v>
      </c>
      <c r="ED81" s="11">
        <v>9</v>
      </c>
      <c r="EE81" s="79">
        <v>3</v>
      </c>
      <c r="EF81" s="11">
        <v>8</v>
      </c>
      <c r="EG81" s="79">
        <v>3</v>
      </c>
      <c r="EH81" s="11">
        <v>11</v>
      </c>
      <c r="EI81" s="79">
        <v>3</v>
      </c>
      <c r="EJ81" s="11">
        <v>7</v>
      </c>
      <c r="EK81" s="79">
        <v>3</v>
      </c>
      <c r="EL81" s="11">
        <v>11</v>
      </c>
      <c r="EM81" s="79">
        <v>3</v>
      </c>
      <c r="EN81" s="11">
        <v>6</v>
      </c>
      <c r="EO81" s="79">
        <v>3</v>
      </c>
      <c r="EP81" s="11">
        <v>6</v>
      </c>
      <c r="EQ81" s="79">
        <v>3</v>
      </c>
      <c r="ER81" s="11">
        <v>6</v>
      </c>
      <c r="ES81" s="79">
        <v>3</v>
      </c>
      <c r="ET81" s="11">
        <v>5</v>
      </c>
      <c r="EU81" s="79">
        <v>3</v>
      </c>
      <c r="EV81" s="11">
        <v>11</v>
      </c>
      <c r="EW81" s="79">
        <v>3</v>
      </c>
      <c r="EX81" s="11">
        <v>8</v>
      </c>
      <c r="EY81" s="79">
        <v>3</v>
      </c>
      <c r="EZ81" s="11">
        <v>10</v>
      </c>
      <c r="FA81" s="79">
        <v>3</v>
      </c>
      <c r="FB81" s="11">
        <v>9</v>
      </c>
      <c r="FC81" s="79">
        <v>3</v>
      </c>
      <c r="FD81" s="11">
        <v>5</v>
      </c>
      <c r="FE81" s="79">
        <v>3</v>
      </c>
      <c r="FF81" s="11">
        <v>7</v>
      </c>
      <c r="FG81" s="79">
        <v>3</v>
      </c>
      <c r="FH81" s="11">
        <v>12</v>
      </c>
      <c r="FI81" s="79">
        <v>3</v>
      </c>
      <c r="FJ81" s="11">
        <v>6</v>
      </c>
      <c r="FK81" s="79">
        <v>3</v>
      </c>
      <c r="FL81" s="11">
        <v>9</v>
      </c>
      <c r="FM81" s="79">
        <v>3</v>
      </c>
      <c r="FN81" s="11">
        <v>5</v>
      </c>
      <c r="FO81" s="79">
        <v>3</v>
      </c>
      <c r="FP81" s="11">
        <v>4</v>
      </c>
      <c r="FQ81" s="79">
        <v>3</v>
      </c>
      <c r="FR81" s="11">
        <v>9</v>
      </c>
      <c r="FS81" s="79">
        <v>3</v>
      </c>
      <c r="FT81" s="11">
        <v>11</v>
      </c>
      <c r="FU81" s="79">
        <v>3</v>
      </c>
      <c r="FV81" s="11">
        <v>10</v>
      </c>
      <c r="FW81" s="79">
        <v>3</v>
      </c>
      <c r="FX81" s="11">
        <v>5</v>
      </c>
      <c r="FY81" s="79">
        <v>3</v>
      </c>
      <c r="FZ81" s="241">
        <v>2</v>
      </c>
      <c r="GA81" s="79">
        <v>3</v>
      </c>
      <c r="GB81" s="11">
        <v>6</v>
      </c>
      <c r="GC81" s="79">
        <v>3</v>
      </c>
      <c r="GD81" s="11">
        <v>5</v>
      </c>
      <c r="GE81" s="79">
        <v>3</v>
      </c>
      <c r="GF81" s="11">
        <v>8</v>
      </c>
      <c r="GG81" s="79">
        <v>3</v>
      </c>
      <c r="GH81" s="11">
        <v>6.6000000000000085</v>
      </c>
      <c r="GI81" s="79">
        <v>3</v>
      </c>
      <c r="GJ81" s="11">
        <v>10</v>
      </c>
      <c r="GK81" s="79">
        <v>3</v>
      </c>
      <c r="GL81" s="11">
        <v>8.6000000000000085</v>
      </c>
      <c r="GM81" s="79">
        <v>3</v>
      </c>
      <c r="GN81" s="11">
        <v>10</v>
      </c>
      <c r="GO81" s="79">
        <v>3</v>
      </c>
      <c r="GP81" s="11">
        <v>10</v>
      </c>
      <c r="GQ81" s="79">
        <v>3</v>
      </c>
      <c r="GR81" s="11">
        <v>10</v>
      </c>
      <c r="GS81" s="79">
        <v>3</v>
      </c>
      <c r="GT81" s="11">
        <v>10</v>
      </c>
      <c r="GU81" s="79">
        <v>3</v>
      </c>
      <c r="GV81" s="11">
        <v>5</v>
      </c>
      <c r="GW81" s="79">
        <v>3</v>
      </c>
      <c r="GX81" s="11">
        <v>6</v>
      </c>
      <c r="GY81" s="79">
        <v>3</v>
      </c>
      <c r="GZ81" s="11">
        <v>5</v>
      </c>
      <c r="HA81" s="79">
        <v>3</v>
      </c>
      <c r="HB81" s="11">
        <v>6</v>
      </c>
      <c r="HC81" s="79">
        <v>3</v>
      </c>
      <c r="HD81" s="11">
        <v>5</v>
      </c>
      <c r="HE81" s="79">
        <v>3</v>
      </c>
      <c r="HF81" s="11">
        <v>9</v>
      </c>
      <c r="HG81" s="79">
        <v>3</v>
      </c>
      <c r="HH81" s="11">
        <v>5</v>
      </c>
      <c r="HI81" s="79">
        <v>3</v>
      </c>
      <c r="HJ81" s="11">
        <v>9.6000000000000085</v>
      </c>
      <c r="HK81" s="79">
        <v>3</v>
      </c>
      <c r="HL81" s="11">
        <v>5</v>
      </c>
      <c r="HM81" s="79">
        <v>3</v>
      </c>
      <c r="HN81" s="11">
        <v>5</v>
      </c>
      <c r="HO81" s="79">
        <v>3</v>
      </c>
    </row>
    <row r="82" spans="1:224">
      <c r="A82" s="1" t="s">
        <v>772</v>
      </c>
      <c r="B82" s="3">
        <v>37</v>
      </c>
      <c r="C82" t="s">
        <v>301</v>
      </c>
      <c r="D82" s="3">
        <v>73</v>
      </c>
      <c r="E82" t="s">
        <v>19</v>
      </c>
      <c r="F82" s="3">
        <v>4</v>
      </c>
      <c r="G82" s="3"/>
      <c r="P82" s="73" t="s">
        <v>143</v>
      </c>
      <c r="T82" s="7" t="s">
        <v>155</v>
      </c>
      <c r="U82" s="3">
        <v>10</v>
      </c>
      <c r="V82" s="3">
        <v>10</v>
      </c>
      <c r="W82" s="3">
        <v>10</v>
      </c>
      <c r="X82" s="3">
        <v>10</v>
      </c>
      <c r="Y82" s="3">
        <v>9</v>
      </c>
      <c r="Z82" s="79">
        <v>10</v>
      </c>
      <c r="AA82" s="3">
        <v>10</v>
      </c>
      <c r="AB82" s="3">
        <v>10</v>
      </c>
      <c r="AC82" s="3">
        <v>10</v>
      </c>
      <c r="AD82" s="3">
        <v>9</v>
      </c>
      <c r="AE82" s="79">
        <v>10</v>
      </c>
      <c r="AF82" s="3">
        <v>10</v>
      </c>
      <c r="AG82" s="3">
        <v>10</v>
      </c>
      <c r="AH82" s="3">
        <v>10</v>
      </c>
      <c r="AI82" s="3">
        <v>10</v>
      </c>
      <c r="AJ82" s="3">
        <v>10</v>
      </c>
      <c r="AK82" s="3">
        <v>10</v>
      </c>
      <c r="AL82" s="3">
        <v>9</v>
      </c>
      <c r="AM82" s="3">
        <v>8</v>
      </c>
      <c r="AN82" s="3">
        <v>10</v>
      </c>
      <c r="AO82" s="3">
        <v>10</v>
      </c>
      <c r="AP82" s="3">
        <v>9</v>
      </c>
      <c r="AQ82" s="3">
        <v>10</v>
      </c>
      <c r="AR82" s="3">
        <v>10</v>
      </c>
      <c r="AS82" s="3">
        <v>10</v>
      </c>
      <c r="AT82" s="3">
        <v>7</v>
      </c>
      <c r="AU82" s="3">
        <v>10</v>
      </c>
      <c r="AV82" s="3">
        <v>10</v>
      </c>
      <c r="AW82" s="3">
        <v>9</v>
      </c>
      <c r="AX82" s="3">
        <v>10</v>
      </c>
      <c r="AY82" s="3">
        <v>8</v>
      </c>
      <c r="AZ82" s="3">
        <v>8</v>
      </c>
      <c r="BA82" s="3">
        <v>10</v>
      </c>
      <c r="BB82" s="3">
        <v>10</v>
      </c>
      <c r="BC82" s="3">
        <v>10</v>
      </c>
      <c r="BD82" s="3">
        <v>10</v>
      </c>
      <c r="BE82" s="3">
        <v>10</v>
      </c>
      <c r="BF82" s="3">
        <v>10</v>
      </c>
      <c r="BG82" s="3">
        <v>9</v>
      </c>
      <c r="BH82" s="3">
        <v>10</v>
      </c>
      <c r="BI82" s="3">
        <v>10</v>
      </c>
      <c r="BJ82" s="3">
        <v>10</v>
      </c>
      <c r="BK82" s="3">
        <v>9</v>
      </c>
      <c r="DU82" s="1">
        <v>0.3</v>
      </c>
      <c r="DV82" s="11">
        <v>10</v>
      </c>
      <c r="DW82" s="79">
        <v>4</v>
      </c>
      <c r="DX82" s="11">
        <v>6</v>
      </c>
      <c r="DY82" s="79">
        <v>4</v>
      </c>
      <c r="DZ82" s="11">
        <v>8</v>
      </c>
      <c r="EA82" s="79">
        <v>4</v>
      </c>
      <c r="EB82" s="11">
        <v>12</v>
      </c>
      <c r="EC82" s="79">
        <v>4</v>
      </c>
      <c r="ED82" s="11">
        <v>10</v>
      </c>
      <c r="EE82" s="79">
        <v>4</v>
      </c>
      <c r="EF82" s="11">
        <v>9</v>
      </c>
      <c r="EG82" s="79">
        <v>4</v>
      </c>
      <c r="EH82" s="11">
        <v>13</v>
      </c>
      <c r="EI82" s="79">
        <v>4</v>
      </c>
      <c r="EJ82" s="11">
        <v>9</v>
      </c>
      <c r="EK82" s="79">
        <v>4</v>
      </c>
      <c r="EL82" s="11">
        <v>13</v>
      </c>
      <c r="EM82" s="79">
        <v>4</v>
      </c>
      <c r="EN82" s="11">
        <v>8</v>
      </c>
      <c r="EO82" s="79">
        <v>4</v>
      </c>
      <c r="EP82" s="11">
        <v>8</v>
      </c>
      <c r="EQ82" s="79">
        <v>4</v>
      </c>
      <c r="ER82" s="11">
        <v>8</v>
      </c>
      <c r="ES82" s="79">
        <v>4</v>
      </c>
      <c r="ET82" s="11">
        <v>6</v>
      </c>
      <c r="EU82" s="79">
        <v>4</v>
      </c>
      <c r="EV82" s="11">
        <v>12</v>
      </c>
      <c r="EW82" s="79">
        <v>4</v>
      </c>
      <c r="EX82" s="11">
        <v>9</v>
      </c>
      <c r="EY82" s="79">
        <v>4</v>
      </c>
      <c r="EZ82" s="11">
        <v>11</v>
      </c>
      <c r="FA82" s="79">
        <v>4</v>
      </c>
      <c r="FB82" s="11">
        <v>11</v>
      </c>
      <c r="FC82" s="79">
        <v>4</v>
      </c>
      <c r="FD82" s="11">
        <v>6</v>
      </c>
      <c r="FE82" s="79">
        <v>4</v>
      </c>
      <c r="FF82" s="11">
        <v>9</v>
      </c>
      <c r="FG82" s="79">
        <v>4</v>
      </c>
      <c r="FH82" s="11">
        <v>13</v>
      </c>
      <c r="FI82" s="79">
        <v>4</v>
      </c>
      <c r="FJ82" s="11">
        <v>7</v>
      </c>
      <c r="FK82" s="79">
        <v>4</v>
      </c>
      <c r="FL82" s="11">
        <v>10</v>
      </c>
      <c r="FM82" s="79">
        <v>4</v>
      </c>
      <c r="FN82" s="11">
        <v>6</v>
      </c>
      <c r="FO82" s="79">
        <v>4</v>
      </c>
      <c r="FP82" s="11">
        <v>6</v>
      </c>
      <c r="FQ82" s="79">
        <v>4</v>
      </c>
      <c r="FR82" s="11">
        <v>11</v>
      </c>
      <c r="FS82" s="79">
        <v>4</v>
      </c>
      <c r="FT82" s="11">
        <v>13</v>
      </c>
      <c r="FU82" s="79">
        <v>4</v>
      </c>
      <c r="FV82" s="11">
        <v>11.899999999999991</v>
      </c>
      <c r="FW82" s="79">
        <v>4</v>
      </c>
      <c r="FX82" s="11">
        <v>7</v>
      </c>
      <c r="FY82" s="79">
        <v>4</v>
      </c>
      <c r="FZ82" s="11">
        <v>4</v>
      </c>
      <c r="GA82" s="79">
        <v>4</v>
      </c>
      <c r="GB82" s="11">
        <v>7</v>
      </c>
      <c r="GC82" s="79">
        <v>4</v>
      </c>
      <c r="GD82" s="11">
        <v>7</v>
      </c>
      <c r="GE82" s="79">
        <v>4</v>
      </c>
      <c r="GF82" s="11">
        <v>10</v>
      </c>
      <c r="GG82" s="79">
        <v>4</v>
      </c>
      <c r="GH82" s="11">
        <v>8</v>
      </c>
      <c r="GI82" s="79">
        <v>4</v>
      </c>
      <c r="GJ82" s="11">
        <v>11</v>
      </c>
      <c r="GK82" s="79">
        <v>4</v>
      </c>
      <c r="GL82" s="11">
        <v>10</v>
      </c>
      <c r="GM82" s="79">
        <v>4</v>
      </c>
      <c r="GN82" s="11">
        <v>11</v>
      </c>
      <c r="GO82" s="79">
        <v>4</v>
      </c>
      <c r="GP82" s="11">
        <v>12</v>
      </c>
      <c r="GQ82" s="79">
        <v>4</v>
      </c>
      <c r="GR82" s="11">
        <v>11</v>
      </c>
      <c r="GS82" s="79">
        <v>4</v>
      </c>
      <c r="GT82" s="11">
        <v>12</v>
      </c>
      <c r="GU82" s="79">
        <v>4</v>
      </c>
      <c r="GV82" s="11">
        <v>6</v>
      </c>
      <c r="GW82" s="79">
        <v>4</v>
      </c>
      <c r="GX82" s="11">
        <v>8</v>
      </c>
      <c r="GY82" s="79">
        <v>4</v>
      </c>
      <c r="GZ82" s="11">
        <v>7</v>
      </c>
      <c r="HA82" s="79">
        <v>4</v>
      </c>
      <c r="HB82" s="11">
        <v>7</v>
      </c>
      <c r="HC82" s="79">
        <v>4</v>
      </c>
      <c r="HD82" s="11">
        <v>6</v>
      </c>
      <c r="HE82" s="79">
        <v>4</v>
      </c>
      <c r="HF82" s="11">
        <v>10</v>
      </c>
      <c r="HG82" s="79">
        <v>4</v>
      </c>
      <c r="HH82" s="11">
        <v>6</v>
      </c>
      <c r="HI82" s="79">
        <v>4</v>
      </c>
      <c r="HJ82" s="11">
        <v>11</v>
      </c>
      <c r="HK82" s="79">
        <v>4</v>
      </c>
      <c r="HL82" s="11">
        <v>6</v>
      </c>
      <c r="HM82" s="79">
        <v>4</v>
      </c>
      <c r="HN82" s="11">
        <v>6</v>
      </c>
      <c r="HO82" s="79">
        <v>4</v>
      </c>
    </row>
    <row r="83" spans="1:224">
      <c r="A83" s="1" t="s">
        <v>773</v>
      </c>
      <c r="B83" s="3">
        <v>37</v>
      </c>
      <c r="C83" t="s">
        <v>280</v>
      </c>
      <c r="D83" s="3">
        <v>74</v>
      </c>
      <c r="E83" t="s">
        <v>19</v>
      </c>
      <c r="F83" s="3">
        <v>4</v>
      </c>
      <c r="G83" s="3"/>
      <c r="N83" s="73" t="s">
        <v>622</v>
      </c>
      <c r="P83" s="73" t="s">
        <v>622</v>
      </c>
      <c r="T83" t="s">
        <v>320</v>
      </c>
      <c r="U83" s="3">
        <v>1</v>
      </c>
      <c r="V83" s="3">
        <v>1</v>
      </c>
      <c r="W83" s="3">
        <v>1</v>
      </c>
      <c r="X83" s="3">
        <v>1</v>
      </c>
      <c r="Y83" s="3">
        <v>1</v>
      </c>
      <c r="Z83" s="79">
        <v>2</v>
      </c>
      <c r="AA83" s="3">
        <v>1</v>
      </c>
      <c r="AB83" s="3">
        <v>1</v>
      </c>
      <c r="AC83" s="3">
        <v>1</v>
      </c>
      <c r="AD83" s="3">
        <v>1</v>
      </c>
      <c r="AE83" s="79">
        <v>1</v>
      </c>
      <c r="AF83" s="3">
        <v>1</v>
      </c>
      <c r="AG83" s="3">
        <v>1</v>
      </c>
      <c r="AH83" s="3">
        <v>1</v>
      </c>
      <c r="AI83" s="3">
        <v>1</v>
      </c>
      <c r="AJ83" s="3">
        <v>1</v>
      </c>
      <c r="AK83" s="3">
        <v>1</v>
      </c>
      <c r="AL83" s="3">
        <v>1</v>
      </c>
      <c r="AM83" s="3">
        <v>1</v>
      </c>
      <c r="AN83" s="3">
        <v>1</v>
      </c>
      <c r="AO83" s="3">
        <v>1</v>
      </c>
      <c r="AP83" s="3">
        <v>3</v>
      </c>
      <c r="AQ83" s="3">
        <v>1</v>
      </c>
      <c r="AR83" s="3">
        <v>6</v>
      </c>
      <c r="AS83" s="3">
        <v>1</v>
      </c>
      <c r="AT83" s="3">
        <v>1</v>
      </c>
      <c r="AU83" s="3">
        <v>1</v>
      </c>
      <c r="AV83" s="3">
        <v>1</v>
      </c>
      <c r="AW83" s="3">
        <v>1</v>
      </c>
      <c r="AX83" s="3">
        <v>1</v>
      </c>
      <c r="AY83" s="3">
        <v>2</v>
      </c>
      <c r="AZ83" s="3">
        <v>2</v>
      </c>
      <c r="BA83" s="3">
        <v>1</v>
      </c>
      <c r="BB83" s="3">
        <v>1</v>
      </c>
      <c r="BC83" s="3">
        <v>1</v>
      </c>
      <c r="BD83" s="3">
        <v>1</v>
      </c>
      <c r="BE83" s="3">
        <v>1</v>
      </c>
      <c r="BF83" s="3">
        <v>1</v>
      </c>
      <c r="BG83" s="3">
        <v>1</v>
      </c>
      <c r="BH83" s="3">
        <v>1</v>
      </c>
      <c r="BI83" s="3">
        <v>1</v>
      </c>
      <c r="BJ83" s="3">
        <v>1</v>
      </c>
      <c r="BK83" s="3">
        <v>1</v>
      </c>
      <c r="DU83" s="1">
        <v>0.4</v>
      </c>
      <c r="DV83" s="240">
        <v>12</v>
      </c>
      <c r="DW83" s="79">
        <v>5</v>
      </c>
      <c r="DX83" s="11">
        <v>7</v>
      </c>
      <c r="DY83" s="79">
        <v>5</v>
      </c>
      <c r="DZ83" s="11">
        <v>9</v>
      </c>
      <c r="EA83" s="79">
        <v>5</v>
      </c>
      <c r="EB83" s="11">
        <v>13</v>
      </c>
      <c r="EC83" s="79">
        <v>5</v>
      </c>
      <c r="ED83" s="11">
        <v>11</v>
      </c>
      <c r="EE83" s="79">
        <v>5</v>
      </c>
      <c r="EF83" s="240">
        <v>11</v>
      </c>
      <c r="EG83" s="79">
        <v>5</v>
      </c>
      <c r="EH83" s="11">
        <v>14</v>
      </c>
      <c r="EI83" s="79">
        <v>5</v>
      </c>
      <c r="EJ83" s="11">
        <v>10</v>
      </c>
      <c r="EK83" s="79">
        <v>5</v>
      </c>
      <c r="EL83" s="11">
        <v>14</v>
      </c>
      <c r="EM83" s="79">
        <v>5</v>
      </c>
      <c r="EN83" s="11">
        <v>9</v>
      </c>
      <c r="EO83" s="79">
        <v>5</v>
      </c>
      <c r="EP83" s="11">
        <v>9</v>
      </c>
      <c r="EQ83" s="79">
        <v>5</v>
      </c>
      <c r="ER83" s="11">
        <v>9</v>
      </c>
      <c r="ES83" s="79">
        <v>5</v>
      </c>
      <c r="ET83" s="11">
        <v>8</v>
      </c>
      <c r="EU83" s="79">
        <v>5</v>
      </c>
      <c r="EV83" s="11">
        <v>13</v>
      </c>
      <c r="EW83" s="79">
        <v>5</v>
      </c>
      <c r="EX83" s="11">
        <v>11</v>
      </c>
      <c r="EY83" s="79">
        <v>5</v>
      </c>
      <c r="EZ83" s="11">
        <v>13</v>
      </c>
      <c r="FA83" s="79">
        <v>5</v>
      </c>
      <c r="FB83" s="11">
        <v>13</v>
      </c>
      <c r="FC83" s="79">
        <v>5</v>
      </c>
      <c r="FD83" s="11">
        <v>8</v>
      </c>
      <c r="FE83" s="79">
        <v>5</v>
      </c>
      <c r="FF83" s="11">
        <v>10</v>
      </c>
      <c r="FG83" s="79">
        <v>5</v>
      </c>
      <c r="FH83" s="11">
        <v>14</v>
      </c>
      <c r="FI83" s="79">
        <v>5</v>
      </c>
      <c r="FJ83" s="11">
        <v>9</v>
      </c>
      <c r="FK83" s="79">
        <v>5</v>
      </c>
      <c r="FL83" s="11">
        <v>11</v>
      </c>
      <c r="FM83" s="79">
        <v>5</v>
      </c>
      <c r="FN83" s="11">
        <v>7</v>
      </c>
      <c r="FO83" s="79">
        <v>5</v>
      </c>
      <c r="FP83" s="11">
        <v>7</v>
      </c>
      <c r="FQ83" s="79">
        <v>5</v>
      </c>
      <c r="FR83" s="11">
        <v>12</v>
      </c>
      <c r="FS83" s="79">
        <v>5</v>
      </c>
      <c r="FT83" s="11">
        <v>14</v>
      </c>
      <c r="FU83" s="79">
        <v>5</v>
      </c>
      <c r="FV83" s="11">
        <v>13</v>
      </c>
      <c r="FW83" s="79">
        <v>5</v>
      </c>
      <c r="FX83" s="11">
        <v>8</v>
      </c>
      <c r="FY83" s="79">
        <v>5</v>
      </c>
      <c r="FZ83" s="11">
        <v>5</v>
      </c>
      <c r="GA83" s="79">
        <v>5</v>
      </c>
      <c r="GB83" s="11">
        <v>9</v>
      </c>
      <c r="GC83" s="79">
        <v>5</v>
      </c>
      <c r="GD83" s="240">
        <v>9</v>
      </c>
      <c r="GE83" s="79">
        <v>5</v>
      </c>
      <c r="GF83" s="11">
        <v>11</v>
      </c>
      <c r="GG83" s="79">
        <v>5</v>
      </c>
      <c r="GH83" s="11">
        <v>10</v>
      </c>
      <c r="GI83" s="79">
        <v>5</v>
      </c>
      <c r="GJ83" s="11">
        <v>12</v>
      </c>
      <c r="GK83" s="79">
        <v>5</v>
      </c>
      <c r="GL83" s="11">
        <v>11</v>
      </c>
      <c r="GM83" s="79">
        <v>5</v>
      </c>
      <c r="GN83" s="11">
        <v>13</v>
      </c>
      <c r="GO83" s="79">
        <v>5</v>
      </c>
      <c r="GP83" s="11">
        <v>13</v>
      </c>
      <c r="GQ83" s="79">
        <v>5</v>
      </c>
      <c r="GR83" s="11">
        <v>13</v>
      </c>
      <c r="GS83" s="79">
        <v>5</v>
      </c>
      <c r="GT83" s="11">
        <v>13</v>
      </c>
      <c r="GU83" s="79">
        <v>5</v>
      </c>
      <c r="GV83" s="11">
        <v>7</v>
      </c>
      <c r="GW83" s="79">
        <v>5</v>
      </c>
      <c r="GX83" s="11">
        <v>9</v>
      </c>
      <c r="GY83" s="79">
        <v>5</v>
      </c>
      <c r="GZ83" s="11">
        <v>8</v>
      </c>
      <c r="HA83" s="79">
        <v>5</v>
      </c>
      <c r="HB83" s="11">
        <v>9</v>
      </c>
      <c r="HC83" s="79">
        <v>5</v>
      </c>
      <c r="HD83" s="11">
        <v>7</v>
      </c>
      <c r="HE83" s="79">
        <v>5</v>
      </c>
      <c r="HF83" s="11">
        <v>11</v>
      </c>
      <c r="HG83" s="79">
        <v>5</v>
      </c>
      <c r="HH83" s="11">
        <v>7</v>
      </c>
      <c r="HI83" s="79">
        <v>5</v>
      </c>
      <c r="HJ83" s="11">
        <v>12</v>
      </c>
      <c r="HK83" s="79">
        <v>5</v>
      </c>
      <c r="HL83" s="240">
        <v>8</v>
      </c>
      <c r="HM83" s="79">
        <v>5</v>
      </c>
      <c r="HN83" s="11">
        <v>7</v>
      </c>
      <c r="HO83" s="79">
        <v>5</v>
      </c>
    </row>
    <row r="84" spans="1:224">
      <c r="A84" s="1" t="s">
        <v>774</v>
      </c>
      <c r="B84" s="3">
        <v>38</v>
      </c>
      <c r="C84" t="s">
        <v>72</v>
      </c>
      <c r="D84" s="3">
        <v>75</v>
      </c>
      <c r="E84" t="s">
        <v>19</v>
      </c>
      <c r="F84" s="3">
        <v>3</v>
      </c>
      <c r="G84" s="3"/>
      <c r="N84" s="73" t="s">
        <v>1080</v>
      </c>
      <c r="P84" s="96" t="s">
        <v>624</v>
      </c>
      <c r="T84" s="2" t="s">
        <v>282</v>
      </c>
      <c r="U84" s="3">
        <v>4</v>
      </c>
      <c r="V84" s="3">
        <v>7</v>
      </c>
      <c r="W84" s="3">
        <v>7</v>
      </c>
      <c r="X84" s="3">
        <v>6</v>
      </c>
      <c r="Y84" s="3">
        <v>3</v>
      </c>
      <c r="Z84" s="79">
        <v>7</v>
      </c>
      <c r="AA84" s="3">
        <v>9</v>
      </c>
      <c r="AB84" s="3">
        <v>5</v>
      </c>
      <c r="AC84" s="3">
        <v>3</v>
      </c>
      <c r="AD84" s="3">
        <v>2</v>
      </c>
      <c r="AE84" s="79">
        <v>9</v>
      </c>
      <c r="AF84" s="3">
        <v>4</v>
      </c>
      <c r="AG84" s="3">
        <v>3</v>
      </c>
      <c r="AH84" s="3">
        <v>7</v>
      </c>
      <c r="AI84" s="3">
        <v>7</v>
      </c>
      <c r="AJ84" s="3">
        <v>8</v>
      </c>
      <c r="AK84" s="3">
        <v>5</v>
      </c>
      <c r="AL84" s="3">
        <v>6</v>
      </c>
      <c r="AM84" s="3">
        <v>6</v>
      </c>
      <c r="AN84" s="3">
        <v>9</v>
      </c>
      <c r="AO84" s="3">
        <v>8</v>
      </c>
      <c r="AP84" s="3">
        <v>5</v>
      </c>
      <c r="AQ84" s="3">
        <v>8</v>
      </c>
      <c r="AR84" s="3">
        <v>7</v>
      </c>
      <c r="AS84" s="3">
        <v>6</v>
      </c>
      <c r="AT84" s="3">
        <v>4</v>
      </c>
      <c r="AU84" s="3">
        <v>5</v>
      </c>
      <c r="AV84" s="3">
        <v>2</v>
      </c>
      <c r="AW84" s="3">
        <v>6</v>
      </c>
      <c r="AX84" s="3">
        <v>3</v>
      </c>
      <c r="AY84" s="3">
        <v>4</v>
      </c>
      <c r="AZ84" s="3">
        <v>4</v>
      </c>
      <c r="BA84" s="3">
        <v>6</v>
      </c>
      <c r="BB84" s="3">
        <v>8</v>
      </c>
      <c r="BC84" s="3">
        <v>9</v>
      </c>
      <c r="BD84" s="3">
        <v>9</v>
      </c>
      <c r="BE84" s="3">
        <v>3</v>
      </c>
      <c r="BF84" s="3">
        <v>9</v>
      </c>
      <c r="BG84" s="3">
        <v>10</v>
      </c>
      <c r="BH84" s="3">
        <v>7</v>
      </c>
      <c r="BI84" s="3">
        <v>8</v>
      </c>
      <c r="BJ84" s="3">
        <v>8</v>
      </c>
      <c r="BK84" s="3">
        <v>8</v>
      </c>
      <c r="DU84" s="1">
        <v>0.5</v>
      </c>
      <c r="DV84" s="241">
        <v>12</v>
      </c>
      <c r="DW84" s="79">
        <v>6</v>
      </c>
      <c r="DX84" s="11">
        <v>8</v>
      </c>
      <c r="DY84" s="79">
        <v>6</v>
      </c>
      <c r="DZ84" s="11">
        <v>10.5</v>
      </c>
      <c r="EA84" s="79">
        <v>6</v>
      </c>
      <c r="EB84" s="11">
        <v>14</v>
      </c>
      <c r="EC84" s="79">
        <v>6</v>
      </c>
      <c r="ED84" s="11">
        <v>12</v>
      </c>
      <c r="EE84" s="79">
        <v>6</v>
      </c>
      <c r="EF84" s="241">
        <v>11</v>
      </c>
      <c r="EG84" s="79">
        <v>6</v>
      </c>
      <c r="EH84" s="11">
        <v>15</v>
      </c>
      <c r="EI84" s="79">
        <v>6</v>
      </c>
      <c r="EJ84" s="11">
        <v>11</v>
      </c>
      <c r="EK84" s="79">
        <v>6</v>
      </c>
      <c r="EL84" s="11">
        <v>16</v>
      </c>
      <c r="EM84" s="79">
        <v>6</v>
      </c>
      <c r="EN84" s="11">
        <v>10</v>
      </c>
      <c r="EO84" s="79">
        <v>6</v>
      </c>
      <c r="EP84" s="240">
        <v>11</v>
      </c>
      <c r="EQ84" s="79">
        <v>6</v>
      </c>
      <c r="ER84" s="11">
        <v>11</v>
      </c>
      <c r="ES84" s="79">
        <v>6</v>
      </c>
      <c r="ET84" s="11">
        <v>9</v>
      </c>
      <c r="EU84" s="79">
        <v>6</v>
      </c>
      <c r="EV84" s="11">
        <v>15</v>
      </c>
      <c r="EW84" s="79">
        <v>6</v>
      </c>
      <c r="EX84" s="11">
        <v>12</v>
      </c>
      <c r="EY84" s="79">
        <v>6</v>
      </c>
      <c r="EZ84" s="11">
        <v>14</v>
      </c>
      <c r="FA84" s="79">
        <v>6</v>
      </c>
      <c r="FB84" s="11">
        <v>14</v>
      </c>
      <c r="FC84" s="79">
        <v>6</v>
      </c>
      <c r="FD84" s="11">
        <v>9</v>
      </c>
      <c r="FE84" s="79">
        <v>6</v>
      </c>
      <c r="FF84" s="11">
        <v>11</v>
      </c>
      <c r="FG84" s="79">
        <v>6</v>
      </c>
      <c r="FH84" s="11">
        <v>16</v>
      </c>
      <c r="FI84" s="79">
        <v>6</v>
      </c>
      <c r="FJ84" s="11">
        <v>10</v>
      </c>
      <c r="FK84" s="79">
        <v>6</v>
      </c>
      <c r="FL84" s="11">
        <v>12</v>
      </c>
      <c r="FM84" s="79">
        <v>6</v>
      </c>
      <c r="FN84" s="11">
        <v>8</v>
      </c>
      <c r="FO84" s="79">
        <v>6</v>
      </c>
      <c r="FP84" s="11">
        <v>8</v>
      </c>
      <c r="FQ84" s="79">
        <v>6</v>
      </c>
      <c r="FR84" s="11">
        <v>14</v>
      </c>
      <c r="FS84" s="79">
        <v>6</v>
      </c>
      <c r="FT84" s="11">
        <v>15</v>
      </c>
      <c r="FU84" s="79">
        <v>6</v>
      </c>
      <c r="FV84" s="11">
        <v>14</v>
      </c>
      <c r="FW84" s="79">
        <v>6</v>
      </c>
      <c r="FX84" s="11">
        <v>10</v>
      </c>
      <c r="FY84" s="79">
        <v>6</v>
      </c>
      <c r="FZ84" s="11">
        <v>6.5</v>
      </c>
      <c r="GA84" s="79">
        <v>6</v>
      </c>
      <c r="GB84" s="11">
        <v>10</v>
      </c>
      <c r="GC84" s="79">
        <v>6</v>
      </c>
      <c r="GD84" s="241">
        <v>9</v>
      </c>
      <c r="GE84" s="79">
        <v>6</v>
      </c>
      <c r="GF84" s="11">
        <v>12</v>
      </c>
      <c r="GG84" s="79">
        <v>6</v>
      </c>
      <c r="GH84" s="11">
        <v>11</v>
      </c>
      <c r="GI84" s="79">
        <v>6</v>
      </c>
      <c r="GJ84" s="240">
        <v>14</v>
      </c>
      <c r="GK84" s="79">
        <v>6</v>
      </c>
      <c r="GL84" s="11">
        <v>12</v>
      </c>
      <c r="GM84" s="79">
        <v>6</v>
      </c>
      <c r="GN84" s="11">
        <v>14</v>
      </c>
      <c r="GO84" s="79">
        <v>6</v>
      </c>
      <c r="GP84" s="11">
        <v>14</v>
      </c>
      <c r="GQ84" s="79">
        <v>6</v>
      </c>
      <c r="GR84" s="11">
        <v>14</v>
      </c>
      <c r="GS84" s="79">
        <v>6</v>
      </c>
      <c r="GT84" s="11">
        <v>14</v>
      </c>
      <c r="GU84" s="79">
        <v>6</v>
      </c>
      <c r="GV84" s="11">
        <v>9</v>
      </c>
      <c r="GW84" s="79">
        <v>6</v>
      </c>
      <c r="GX84" s="11">
        <v>10</v>
      </c>
      <c r="GY84" s="79">
        <v>6</v>
      </c>
      <c r="GZ84" s="11">
        <v>9</v>
      </c>
      <c r="HA84" s="79">
        <v>6</v>
      </c>
      <c r="HB84" s="240">
        <v>11</v>
      </c>
      <c r="HC84" s="79">
        <v>6</v>
      </c>
      <c r="HD84" s="11">
        <v>9</v>
      </c>
      <c r="HE84" s="79">
        <v>6</v>
      </c>
      <c r="HF84" s="11">
        <v>12</v>
      </c>
      <c r="HG84" s="79">
        <v>6</v>
      </c>
      <c r="HH84" s="11">
        <v>9</v>
      </c>
      <c r="HI84" s="79">
        <v>6</v>
      </c>
      <c r="HJ84" s="240">
        <v>14</v>
      </c>
      <c r="HK84" s="79">
        <v>6</v>
      </c>
      <c r="HL84" s="241">
        <v>8</v>
      </c>
      <c r="HM84" s="79">
        <v>6</v>
      </c>
      <c r="HN84" s="11">
        <v>9</v>
      </c>
      <c r="HO84" s="79">
        <v>6</v>
      </c>
    </row>
    <row r="85" spans="1:224">
      <c r="A85" s="1" t="s">
        <v>775</v>
      </c>
      <c r="B85" s="3">
        <v>38</v>
      </c>
      <c r="C85" s="169" t="s">
        <v>326</v>
      </c>
      <c r="D85" s="3">
        <v>76</v>
      </c>
      <c r="E85" t="s">
        <v>19</v>
      </c>
      <c r="F85" s="3">
        <v>2</v>
      </c>
      <c r="G85" s="3"/>
      <c r="N85" s="73" t="s">
        <v>475</v>
      </c>
      <c r="P85" s="73" t="s">
        <v>391</v>
      </c>
      <c r="T85" s="2" t="s">
        <v>258</v>
      </c>
      <c r="U85" s="3">
        <v>1</v>
      </c>
      <c r="V85" s="3">
        <v>1</v>
      </c>
      <c r="W85" s="3">
        <v>1</v>
      </c>
      <c r="X85" s="3">
        <v>1</v>
      </c>
      <c r="Y85" s="3">
        <v>1</v>
      </c>
      <c r="Z85" s="79">
        <v>1</v>
      </c>
      <c r="AA85" s="3">
        <v>1</v>
      </c>
      <c r="AB85" s="3">
        <v>1</v>
      </c>
      <c r="AC85" s="3">
        <v>1</v>
      </c>
      <c r="AD85" s="3">
        <v>1</v>
      </c>
      <c r="AE85" s="79">
        <v>1</v>
      </c>
      <c r="AF85" s="3">
        <v>1</v>
      </c>
      <c r="AG85" s="3">
        <v>1</v>
      </c>
      <c r="AH85" s="3">
        <v>1</v>
      </c>
      <c r="AI85" s="3">
        <v>1</v>
      </c>
      <c r="AJ85" s="3">
        <v>1</v>
      </c>
      <c r="AK85" s="3">
        <v>1</v>
      </c>
      <c r="AL85" s="3">
        <v>1</v>
      </c>
      <c r="AM85" s="3">
        <v>1</v>
      </c>
      <c r="AN85" s="3">
        <v>2</v>
      </c>
      <c r="AO85" s="3">
        <v>2</v>
      </c>
      <c r="AP85" s="3">
        <v>2</v>
      </c>
      <c r="AQ85" s="3">
        <v>1</v>
      </c>
      <c r="AR85" s="3">
        <v>1</v>
      </c>
      <c r="AS85" s="3">
        <v>1</v>
      </c>
      <c r="AT85" s="3">
        <v>2</v>
      </c>
      <c r="AU85" s="3">
        <v>1</v>
      </c>
      <c r="AV85" s="3">
        <v>2</v>
      </c>
      <c r="AW85" s="3">
        <v>1</v>
      </c>
      <c r="AX85" s="3">
        <v>1</v>
      </c>
      <c r="AY85" s="3">
        <v>2</v>
      </c>
      <c r="AZ85" s="3">
        <v>2</v>
      </c>
      <c r="BA85" s="3">
        <v>1</v>
      </c>
      <c r="BB85" s="3">
        <v>1</v>
      </c>
      <c r="BC85" s="3">
        <v>1</v>
      </c>
      <c r="BD85" s="3">
        <v>1</v>
      </c>
      <c r="BE85" s="3">
        <v>1</v>
      </c>
      <c r="BF85" s="3">
        <v>1</v>
      </c>
      <c r="BG85" s="3">
        <v>2</v>
      </c>
      <c r="BH85" s="3">
        <v>2</v>
      </c>
      <c r="BI85" s="3">
        <v>1</v>
      </c>
      <c r="BJ85" s="3">
        <v>1</v>
      </c>
      <c r="BK85" s="3">
        <v>1</v>
      </c>
      <c r="DT85" s="1"/>
      <c r="DU85" s="1">
        <v>0.6</v>
      </c>
      <c r="DV85" s="11">
        <v>14.799999999999983</v>
      </c>
      <c r="DW85" s="79">
        <v>7</v>
      </c>
      <c r="DX85" s="11">
        <v>9</v>
      </c>
      <c r="DY85" s="79">
        <v>7</v>
      </c>
      <c r="DZ85" s="11">
        <v>12</v>
      </c>
      <c r="EA85" s="79">
        <v>7</v>
      </c>
      <c r="EB85" s="11">
        <v>16</v>
      </c>
      <c r="EC85" s="79">
        <v>7</v>
      </c>
      <c r="ED85" s="11">
        <v>13</v>
      </c>
      <c r="EE85" s="79">
        <v>7</v>
      </c>
      <c r="EF85" s="11">
        <v>13</v>
      </c>
      <c r="EG85" s="79">
        <v>7</v>
      </c>
      <c r="EH85" s="11">
        <v>16</v>
      </c>
      <c r="EI85" s="79">
        <v>7</v>
      </c>
      <c r="EJ85" s="11">
        <v>12</v>
      </c>
      <c r="EK85" s="79">
        <v>7</v>
      </c>
      <c r="EL85" s="11">
        <v>17</v>
      </c>
      <c r="EM85" s="79">
        <v>7</v>
      </c>
      <c r="EN85" s="240">
        <v>12</v>
      </c>
      <c r="EO85" s="79">
        <v>7</v>
      </c>
      <c r="EP85" s="241">
        <v>11</v>
      </c>
      <c r="EQ85" s="79">
        <v>7</v>
      </c>
      <c r="ER85" s="11">
        <v>12</v>
      </c>
      <c r="ES85" s="79">
        <v>7</v>
      </c>
      <c r="ET85" s="11">
        <v>10</v>
      </c>
      <c r="EU85" s="79">
        <v>7</v>
      </c>
      <c r="EV85" s="11">
        <v>17</v>
      </c>
      <c r="EW85" s="79">
        <v>7</v>
      </c>
      <c r="EX85" s="11">
        <v>14</v>
      </c>
      <c r="EY85" s="79">
        <v>7</v>
      </c>
      <c r="EZ85" s="11">
        <v>15</v>
      </c>
      <c r="FA85" s="79">
        <v>7</v>
      </c>
      <c r="FB85" s="11">
        <v>16</v>
      </c>
      <c r="FC85" s="79">
        <v>7</v>
      </c>
      <c r="FD85" s="11">
        <v>11</v>
      </c>
      <c r="FE85" s="79">
        <v>7</v>
      </c>
      <c r="FF85" s="11">
        <v>13</v>
      </c>
      <c r="FG85" s="79">
        <v>7</v>
      </c>
      <c r="FH85" s="240">
        <v>17</v>
      </c>
      <c r="FI85" s="79">
        <v>7</v>
      </c>
      <c r="FJ85" s="11">
        <v>11</v>
      </c>
      <c r="FK85" s="79">
        <v>7</v>
      </c>
      <c r="FL85" s="11">
        <v>13</v>
      </c>
      <c r="FM85" s="79">
        <v>7</v>
      </c>
      <c r="FN85" s="11">
        <v>9</v>
      </c>
      <c r="FO85" s="79">
        <v>7</v>
      </c>
      <c r="FP85" s="11">
        <v>9</v>
      </c>
      <c r="FQ85" s="79">
        <v>7</v>
      </c>
      <c r="FR85" s="11">
        <v>15</v>
      </c>
      <c r="FS85" s="79">
        <v>7</v>
      </c>
      <c r="FT85" s="11">
        <v>16</v>
      </c>
      <c r="FU85" s="79">
        <v>7</v>
      </c>
      <c r="FV85" s="11">
        <v>15</v>
      </c>
      <c r="FW85" s="79">
        <v>7</v>
      </c>
      <c r="FX85" s="11">
        <v>12</v>
      </c>
      <c r="FY85" s="79">
        <v>7</v>
      </c>
      <c r="FZ85" s="11">
        <v>8</v>
      </c>
      <c r="GA85" s="79">
        <v>7</v>
      </c>
      <c r="GB85" s="11">
        <v>11</v>
      </c>
      <c r="GC85" s="79">
        <v>7</v>
      </c>
      <c r="GD85" s="11">
        <v>11</v>
      </c>
      <c r="GE85" s="79">
        <v>7</v>
      </c>
      <c r="GF85" s="11">
        <v>13</v>
      </c>
      <c r="GG85" s="79">
        <v>7</v>
      </c>
      <c r="GH85" s="11">
        <v>12</v>
      </c>
      <c r="GI85" s="79">
        <v>7</v>
      </c>
      <c r="GJ85" s="241">
        <v>14</v>
      </c>
      <c r="GK85" s="79">
        <v>7</v>
      </c>
      <c r="GL85" s="11">
        <v>13</v>
      </c>
      <c r="GM85" s="79">
        <v>7</v>
      </c>
      <c r="GN85" s="11">
        <v>15</v>
      </c>
      <c r="GO85" s="79">
        <v>7</v>
      </c>
      <c r="GP85" s="11">
        <v>16</v>
      </c>
      <c r="GQ85" s="79">
        <v>7</v>
      </c>
      <c r="GR85" s="11">
        <v>16</v>
      </c>
      <c r="GS85" s="79">
        <v>7</v>
      </c>
      <c r="GT85" s="240">
        <v>16</v>
      </c>
      <c r="GU85" s="79">
        <v>7</v>
      </c>
      <c r="GV85" s="11">
        <v>10</v>
      </c>
      <c r="GW85" s="79">
        <v>7</v>
      </c>
      <c r="GX85" s="11">
        <v>11</v>
      </c>
      <c r="GY85" s="79">
        <v>7</v>
      </c>
      <c r="GZ85" s="11">
        <v>10</v>
      </c>
      <c r="HA85" s="79">
        <v>7</v>
      </c>
      <c r="HB85" s="241">
        <v>11</v>
      </c>
      <c r="HC85" s="79">
        <v>7</v>
      </c>
      <c r="HD85" s="11">
        <v>10</v>
      </c>
      <c r="HE85" s="79">
        <v>7</v>
      </c>
      <c r="HF85" s="11">
        <v>14</v>
      </c>
      <c r="HG85" s="79">
        <v>7</v>
      </c>
      <c r="HH85" s="11">
        <v>10</v>
      </c>
      <c r="HI85" s="79">
        <v>7</v>
      </c>
      <c r="HJ85" s="241">
        <v>14</v>
      </c>
      <c r="HK85" s="79">
        <v>7</v>
      </c>
      <c r="HL85" s="11">
        <v>10</v>
      </c>
      <c r="HM85" s="79">
        <v>7</v>
      </c>
      <c r="HN85" s="11">
        <v>10</v>
      </c>
      <c r="HO85" s="79">
        <v>7</v>
      </c>
      <c r="HP85" s="1"/>
    </row>
    <row r="86" spans="1:224">
      <c r="A86" s="1" t="s">
        <v>776</v>
      </c>
      <c r="B86" s="3">
        <v>39</v>
      </c>
      <c r="C86" t="s">
        <v>341</v>
      </c>
      <c r="D86" s="3">
        <v>77</v>
      </c>
      <c r="E86" t="s">
        <v>19</v>
      </c>
      <c r="F86" s="3">
        <v>2</v>
      </c>
      <c r="G86" s="3"/>
      <c r="N86" s="73" t="s">
        <v>393</v>
      </c>
      <c r="P86" s="73" t="s">
        <v>461</v>
      </c>
      <c r="T86" s="7" t="s">
        <v>568</v>
      </c>
      <c r="U86" s="3">
        <v>3</v>
      </c>
      <c r="V86" s="3">
        <v>3</v>
      </c>
      <c r="W86" s="3">
        <v>1</v>
      </c>
      <c r="X86" s="3">
        <v>2</v>
      </c>
      <c r="Y86" s="3">
        <v>2</v>
      </c>
      <c r="Z86" s="79">
        <v>3</v>
      </c>
      <c r="AA86" s="3">
        <v>2</v>
      </c>
      <c r="AB86" s="3">
        <v>4</v>
      </c>
      <c r="AC86" s="3">
        <v>2</v>
      </c>
      <c r="AD86" s="3">
        <v>3</v>
      </c>
      <c r="AE86" s="79">
        <v>4</v>
      </c>
      <c r="AF86" s="3">
        <v>3</v>
      </c>
      <c r="AG86" s="3">
        <v>3</v>
      </c>
      <c r="AH86" s="3">
        <v>5</v>
      </c>
      <c r="AI86" s="3">
        <v>2</v>
      </c>
      <c r="AJ86" s="3">
        <v>5</v>
      </c>
      <c r="AK86" s="3">
        <v>3</v>
      </c>
      <c r="AL86" s="3">
        <v>3</v>
      </c>
      <c r="AM86" s="3">
        <v>4</v>
      </c>
      <c r="AN86" s="3">
        <v>2</v>
      </c>
      <c r="AO86" s="3">
        <v>2</v>
      </c>
      <c r="AP86" s="3">
        <v>7</v>
      </c>
      <c r="AQ86" s="3">
        <v>1</v>
      </c>
      <c r="AR86" s="3">
        <v>4</v>
      </c>
      <c r="AS86" s="3">
        <v>3</v>
      </c>
      <c r="AT86" s="3">
        <v>6</v>
      </c>
      <c r="AU86" s="3">
        <v>5</v>
      </c>
      <c r="AV86" s="3">
        <v>3</v>
      </c>
      <c r="AW86" s="3">
        <v>5</v>
      </c>
      <c r="AX86" s="3">
        <v>4</v>
      </c>
      <c r="AY86" s="3">
        <v>5</v>
      </c>
      <c r="AZ86" s="3">
        <v>5</v>
      </c>
      <c r="BA86" s="3">
        <v>4</v>
      </c>
      <c r="BB86" s="3">
        <v>6</v>
      </c>
      <c r="BC86" s="3">
        <v>4</v>
      </c>
      <c r="BD86" s="3">
        <v>2</v>
      </c>
      <c r="BE86" s="3">
        <v>2</v>
      </c>
      <c r="BF86" s="3">
        <v>2</v>
      </c>
      <c r="BG86" s="3">
        <v>5</v>
      </c>
      <c r="BH86" s="3">
        <v>6</v>
      </c>
      <c r="BI86" s="3">
        <v>4</v>
      </c>
      <c r="BJ86" s="3">
        <v>4</v>
      </c>
      <c r="BK86" s="3">
        <v>2</v>
      </c>
      <c r="DU86" s="1">
        <v>0.7</v>
      </c>
      <c r="DV86" s="11">
        <v>16</v>
      </c>
      <c r="DW86" s="79">
        <v>8</v>
      </c>
      <c r="DX86" s="11">
        <v>11</v>
      </c>
      <c r="DY86" s="79">
        <v>8</v>
      </c>
      <c r="DZ86" s="11">
        <v>14</v>
      </c>
      <c r="EA86" s="79">
        <v>8</v>
      </c>
      <c r="EB86" s="11">
        <v>17</v>
      </c>
      <c r="EC86" s="79">
        <v>8</v>
      </c>
      <c r="ED86" s="11">
        <v>14</v>
      </c>
      <c r="EE86" s="79">
        <v>8</v>
      </c>
      <c r="EF86" s="11">
        <v>14</v>
      </c>
      <c r="EG86" s="79">
        <v>8</v>
      </c>
      <c r="EH86" s="11">
        <v>17</v>
      </c>
      <c r="EI86" s="79">
        <v>8</v>
      </c>
      <c r="EJ86" s="11">
        <v>13</v>
      </c>
      <c r="EK86" s="79">
        <v>8</v>
      </c>
      <c r="EL86" s="11">
        <v>18</v>
      </c>
      <c r="EM86" s="79">
        <v>8</v>
      </c>
      <c r="EN86" s="241">
        <v>12</v>
      </c>
      <c r="EO86" s="79">
        <v>8</v>
      </c>
      <c r="EP86" s="11">
        <v>13</v>
      </c>
      <c r="EQ86" s="79">
        <v>8</v>
      </c>
      <c r="ER86" s="11">
        <v>14</v>
      </c>
      <c r="ES86" s="79">
        <v>8</v>
      </c>
      <c r="ET86" s="11">
        <v>12</v>
      </c>
      <c r="EU86" s="79">
        <v>8</v>
      </c>
      <c r="EV86" s="11">
        <v>18</v>
      </c>
      <c r="EW86" s="79">
        <v>8</v>
      </c>
      <c r="EX86" s="11">
        <v>15</v>
      </c>
      <c r="EY86" s="79">
        <v>8</v>
      </c>
      <c r="EZ86" s="11">
        <v>16</v>
      </c>
      <c r="FA86" s="79">
        <v>8</v>
      </c>
      <c r="FB86" s="11">
        <v>17</v>
      </c>
      <c r="FC86" s="79">
        <v>8</v>
      </c>
      <c r="FD86" s="11">
        <v>12</v>
      </c>
      <c r="FE86" s="79">
        <v>8</v>
      </c>
      <c r="FF86" s="11">
        <v>14</v>
      </c>
      <c r="FG86" s="79">
        <v>8</v>
      </c>
      <c r="FH86" s="241">
        <v>17</v>
      </c>
      <c r="FI86" s="79">
        <v>8</v>
      </c>
      <c r="FJ86" s="11">
        <v>12</v>
      </c>
      <c r="FK86" s="79">
        <v>8</v>
      </c>
      <c r="FL86" s="11">
        <v>15</v>
      </c>
      <c r="FM86" s="79">
        <v>8</v>
      </c>
      <c r="FN86" s="11">
        <v>11</v>
      </c>
      <c r="FO86" s="79">
        <v>8</v>
      </c>
      <c r="FP86" s="11">
        <v>11</v>
      </c>
      <c r="FQ86" s="79">
        <v>8</v>
      </c>
      <c r="FR86" s="11">
        <v>16</v>
      </c>
      <c r="FS86" s="79">
        <v>8</v>
      </c>
      <c r="FT86" s="11">
        <v>18</v>
      </c>
      <c r="FU86" s="79">
        <v>8</v>
      </c>
      <c r="FV86" s="11">
        <v>17</v>
      </c>
      <c r="FW86" s="79">
        <v>8</v>
      </c>
      <c r="FX86" s="11">
        <v>14</v>
      </c>
      <c r="FY86" s="79">
        <v>8</v>
      </c>
      <c r="FZ86" s="11">
        <v>10</v>
      </c>
      <c r="GA86" s="79">
        <v>8</v>
      </c>
      <c r="GB86" s="11">
        <v>13</v>
      </c>
      <c r="GC86" s="79">
        <v>8</v>
      </c>
      <c r="GD86" s="11">
        <v>12</v>
      </c>
      <c r="GE86" s="79">
        <v>8</v>
      </c>
      <c r="GF86" s="11">
        <v>14</v>
      </c>
      <c r="GG86" s="79">
        <v>8</v>
      </c>
      <c r="GH86" s="11">
        <v>13</v>
      </c>
      <c r="GI86" s="79">
        <v>8</v>
      </c>
      <c r="GJ86" s="11">
        <v>16</v>
      </c>
      <c r="GK86" s="79">
        <v>8</v>
      </c>
      <c r="GL86" s="11">
        <v>14</v>
      </c>
      <c r="GM86" s="79">
        <v>8</v>
      </c>
      <c r="GN86" s="11">
        <v>16</v>
      </c>
      <c r="GO86" s="79">
        <v>8</v>
      </c>
      <c r="GP86" s="11">
        <v>17</v>
      </c>
      <c r="GQ86" s="79">
        <v>8</v>
      </c>
      <c r="GR86" s="11">
        <v>17</v>
      </c>
      <c r="GS86" s="79">
        <v>8</v>
      </c>
      <c r="GT86" s="241">
        <v>16</v>
      </c>
      <c r="GU86" s="79">
        <v>8</v>
      </c>
      <c r="GV86" s="11">
        <v>12</v>
      </c>
      <c r="GW86" s="79">
        <v>8</v>
      </c>
      <c r="GX86" s="11">
        <v>13</v>
      </c>
      <c r="GY86" s="79">
        <v>8</v>
      </c>
      <c r="GZ86" s="11">
        <v>12</v>
      </c>
      <c r="HA86" s="79">
        <v>8</v>
      </c>
      <c r="HB86" s="11">
        <v>12.099999999999966</v>
      </c>
      <c r="HC86" s="79">
        <v>8</v>
      </c>
      <c r="HD86" s="11">
        <v>12</v>
      </c>
      <c r="HE86" s="79">
        <v>8</v>
      </c>
      <c r="HF86" s="11">
        <v>15</v>
      </c>
      <c r="HG86" s="79">
        <v>8</v>
      </c>
      <c r="HH86" s="11">
        <v>11</v>
      </c>
      <c r="HI86" s="79">
        <v>8</v>
      </c>
      <c r="HJ86" s="11">
        <v>16</v>
      </c>
      <c r="HK86" s="79">
        <v>8</v>
      </c>
      <c r="HL86" s="11">
        <v>11</v>
      </c>
      <c r="HM86" s="79">
        <v>8</v>
      </c>
      <c r="HN86" s="11">
        <v>12</v>
      </c>
      <c r="HO86" s="79">
        <v>8</v>
      </c>
    </row>
    <row r="87" spans="1:224">
      <c r="A87" s="1" t="s">
        <v>777</v>
      </c>
      <c r="B87" s="3">
        <v>39</v>
      </c>
      <c r="C87" t="s">
        <v>170</v>
      </c>
      <c r="D87" s="3">
        <v>78</v>
      </c>
      <c r="E87" t="s">
        <v>19</v>
      </c>
      <c r="F87" s="3">
        <v>3</v>
      </c>
      <c r="G87" s="3"/>
      <c r="N87" s="73" t="s">
        <v>594</v>
      </c>
      <c r="P87" s="73" t="s">
        <v>469</v>
      </c>
      <c r="T87" s="7" t="s">
        <v>54</v>
      </c>
      <c r="U87" s="3">
        <v>1</v>
      </c>
      <c r="V87" s="3">
        <v>1</v>
      </c>
      <c r="W87" s="3">
        <v>2</v>
      </c>
      <c r="X87" s="3">
        <v>2</v>
      </c>
      <c r="Y87" s="3">
        <v>1</v>
      </c>
      <c r="Z87" s="79">
        <v>1</v>
      </c>
      <c r="AA87" s="3">
        <v>1</v>
      </c>
      <c r="AB87" s="3">
        <v>1</v>
      </c>
      <c r="AC87" s="3">
        <v>2</v>
      </c>
      <c r="AD87" s="3">
        <v>1</v>
      </c>
      <c r="AE87" s="79">
        <v>1</v>
      </c>
      <c r="AF87" s="3">
        <v>2</v>
      </c>
      <c r="AG87" s="3">
        <v>3</v>
      </c>
      <c r="AH87" s="3">
        <v>2</v>
      </c>
      <c r="AI87" s="3">
        <v>1</v>
      </c>
      <c r="AJ87" s="3">
        <v>1</v>
      </c>
      <c r="AK87" s="3">
        <v>1</v>
      </c>
      <c r="AL87" s="3">
        <v>4</v>
      </c>
      <c r="AM87" s="3">
        <v>1</v>
      </c>
      <c r="AN87" s="3">
        <v>2</v>
      </c>
      <c r="AO87" s="3">
        <v>3</v>
      </c>
      <c r="AP87" s="3">
        <v>1</v>
      </c>
      <c r="AQ87" s="3">
        <v>2</v>
      </c>
      <c r="AR87" s="3">
        <v>1</v>
      </c>
      <c r="AS87" s="3">
        <v>2</v>
      </c>
      <c r="AT87" s="3">
        <v>2</v>
      </c>
      <c r="AU87" s="3">
        <v>2</v>
      </c>
      <c r="AV87" s="3">
        <v>2</v>
      </c>
      <c r="AW87" s="3">
        <v>1</v>
      </c>
      <c r="AX87" s="3">
        <v>1</v>
      </c>
      <c r="AY87" s="3">
        <v>1</v>
      </c>
      <c r="AZ87" s="3">
        <v>1</v>
      </c>
      <c r="BA87" s="3">
        <v>1</v>
      </c>
      <c r="BB87" s="3">
        <v>4</v>
      </c>
      <c r="BC87" s="3">
        <v>2</v>
      </c>
      <c r="BD87" s="3">
        <v>2</v>
      </c>
      <c r="BE87" s="3">
        <v>1</v>
      </c>
      <c r="BF87" s="3">
        <v>2</v>
      </c>
      <c r="BG87" s="3">
        <v>1</v>
      </c>
      <c r="BH87" s="3">
        <v>1</v>
      </c>
      <c r="BI87" s="3">
        <v>1</v>
      </c>
      <c r="BJ87" s="3">
        <v>1</v>
      </c>
      <c r="BK87" s="3">
        <v>1</v>
      </c>
      <c r="DU87" s="1">
        <v>0.8</v>
      </c>
      <c r="DV87" s="11">
        <v>16.400000000000034</v>
      </c>
      <c r="DW87" s="79">
        <v>9</v>
      </c>
      <c r="DX87" s="11">
        <v>12</v>
      </c>
      <c r="DY87" s="79">
        <v>9</v>
      </c>
      <c r="DZ87" s="11">
        <v>15</v>
      </c>
      <c r="EA87" s="79">
        <v>9</v>
      </c>
      <c r="EB87" s="11">
        <v>18</v>
      </c>
      <c r="EC87" s="79">
        <v>9</v>
      </c>
      <c r="ED87" s="11">
        <v>16</v>
      </c>
      <c r="EE87" s="79">
        <v>9</v>
      </c>
      <c r="EF87" s="11">
        <v>15</v>
      </c>
      <c r="EG87" s="79">
        <v>9</v>
      </c>
      <c r="EH87" s="11">
        <v>18</v>
      </c>
      <c r="EI87" s="79">
        <v>9</v>
      </c>
      <c r="EJ87" s="11">
        <v>15</v>
      </c>
      <c r="EK87" s="79">
        <v>9</v>
      </c>
      <c r="EL87" s="11">
        <v>19</v>
      </c>
      <c r="EM87" s="79">
        <v>9</v>
      </c>
      <c r="EN87" s="11">
        <v>14</v>
      </c>
      <c r="EO87" s="79">
        <v>9</v>
      </c>
      <c r="EP87" s="11">
        <v>14</v>
      </c>
      <c r="EQ87" s="79">
        <v>9</v>
      </c>
      <c r="ER87" s="11">
        <v>16</v>
      </c>
      <c r="ES87" s="79">
        <v>9</v>
      </c>
      <c r="ET87" s="11">
        <v>14</v>
      </c>
      <c r="EU87" s="79">
        <v>9</v>
      </c>
      <c r="EV87" s="11">
        <v>20</v>
      </c>
      <c r="EW87" s="79">
        <v>9</v>
      </c>
      <c r="EX87" s="11">
        <v>16</v>
      </c>
      <c r="EY87" s="79">
        <v>9</v>
      </c>
      <c r="EZ87" s="11">
        <v>17</v>
      </c>
      <c r="FA87" s="79">
        <v>9</v>
      </c>
      <c r="FB87" s="11">
        <v>18</v>
      </c>
      <c r="FC87" s="79">
        <v>9</v>
      </c>
      <c r="FD87" s="11">
        <v>14</v>
      </c>
      <c r="FE87" s="79">
        <v>9</v>
      </c>
      <c r="FF87" s="11">
        <v>15</v>
      </c>
      <c r="FG87" s="79">
        <v>9</v>
      </c>
      <c r="FH87" s="11">
        <v>19</v>
      </c>
      <c r="FI87" s="79">
        <v>9</v>
      </c>
      <c r="FJ87" s="11">
        <v>15</v>
      </c>
      <c r="FK87" s="79">
        <v>9</v>
      </c>
      <c r="FL87" s="11">
        <v>16</v>
      </c>
      <c r="FM87" s="79">
        <v>9</v>
      </c>
      <c r="FN87" s="11">
        <v>13</v>
      </c>
      <c r="FO87" s="79">
        <v>9</v>
      </c>
      <c r="FP87" s="11">
        <v>13</v>
      </c>
      <c r="FQ87" s="79">
        <v>9</v>
      </c>
      <c r="FR87" s="240">
        <v>18</v>
      </c>
      <c r="FS87" s="79">
        <v>9</v>
      </c>
      <c r="FT87" s="11">
        <v>19</v>
      </c>
      <c r="FU87" s="79">
        <v>9</v>
      </c>
      <c r="FV87" s="11">
        <v>18</v>
      </c>
      <c r="FW87" s="79">
        <v>9</v>
      </c>
      <c r="FX87" s="11">
        <v>16</v>
      </c>
      <c r="FY87" s="79">
        <v>9</v>
      </c>
      <c r="FZ87" s="11">
        <v>11</v>
      </c>
      <c r="GA87" s="79">
        <v>9</v>
      </c>
      <c r="GB87" s="11">
        <v>14</v>
      </c>
      <c r="GC87" s="79">
        <v>9</v>
      </c>
      <c r="GD87" s="11">
        <v>14</v>
      </c>
      <c r="GE87" s="79">
        <v>9</v>
      </c>
      <c r="GF87" s="11">
        <v>16</v>
      </c>
      <c r="GG87" s="79">
        <v>9</v>
      </c>
      <c r="GH87" s="11">
        <v>14</v>
      </c>
      <c r="GI87" s="79">
        <v>9</v>
      </c>
      <c r="GJ87" s="11">
        <v>17.400000000000034</v>
      </c>
      <c r="GK87" s="79">
        <v>9</v>
      </c>
      <c r="GL87" s="240">
        <v>16</v>
      </c>
      <c r="GM87" s="79">
        <v>9</v>
      </c>
      <c r="GN87" s="11">
        <v>17</v>
      </c>
      <c r="GO87" s="79">
        <v>9</v>
      </c>
      <c r="GP87" s="11">
        <v>18</v>
      </c>
      <c r="GQ87" s="79">
        <v>9</v>
      </c>
      <c r="GR87" s="11">
        <v>18</v>
      </c>
      <c r="GS87" s="79">
        <v>9</v>
      </c>
      <c r="GT87" s="11">
        <v>18</v>
      </c>
      <c r="GU87" s="79">
        <v>9</v>
      </c>
      <c r="GV87" s="11">
        <v>14</v>
      </c>
      <c r="GW87" s="79">
        <v>9</v>
      </c>
      <c r="GX87" s="11">
        <v>15</v>
      </c>
      <c r="GY87" s="79">
        <v>9</v>
      </c>
      <c r="GZ87" s="11">
        <v>14</v>
      </c>
      <c r="HA87" s="79">
        <v>9</v>
      </c>
      <c r="HB87" s="11">
        <v>14</v>
      </c>
      <c r="HC87" s="79">
        <v>9</v>
      </c>
      <c r="HD87" s="11">
        <v>14</v>
      </c>
      <c r="HE87" s="79">
        <v>9</v>
      </c>
      <c r="HF87" s="11">
        <v>16</v>
      </c>
      <c r="HG87" s="79">
        <v>9</v>
      </c>
      <c r="HH87" s="11">
        <v>13</v>
      </c>
      <c r="HI87" s="79">
        <v>9</v>
      </c>
      <c r="HJ87" s="11">
        <v>17</v>
      </c>
      <c r="HK87" s="79">
        <v>9</v>
      </c>
      <c r="HL87" s="11">
        <v>12.400000000000034</v>
      </c>
      <c r="HM87" s="79">
        <v>9</v>
      </c>
      <c r="HN87" s="11">
        <v>14</v>
      </c>
      <c r="HO87" s="79">
        <v>9</v>
      </c>
    </row>
    <row r="88" spans="1:224">
      <c r="A88" s="1" t="s">
        <v>778</v>
      </c>
      <c r="B88" s="3">
        <v>40</v>
      </c>
      <c r="C88" t="s">
        <v>59</v>
      </c>
      <c r="D88" s="3">
        <v>79</v>
      </c>
      <c r="E88" t="s">
        <v>19</v>
      </c>
      <c r="F88" s="3">
        <v>2</v>
      </c>
      <c r="G88" s="3"/>
      <c r="N88" s="73" t="s">
        <v>571</v>
      </c>
      <c r="P88" s="73" t="s">
        <v>1080</v>
      </c>
      <c r="T88" s="7" t="s">
        <v>401</v>
      </c>
      <c r="U88" s="3">
        <v>4</v>
      </c>
      <c r="V88" s="3">
        <v>3</v>
      </c>
      <c r="W88" s="3">
        <v>5</v>
      </c>
      <c r="X88" s="3">
        <v>3</v>
      </c>
      <c r="Y88" s="3">
        <v>4</v>
      </c>
      <c r="Z88" s="79">
        <v>5</v>
      </c>
      <c r="AA88" s="3">
        <v>7</v>
      </c>
      <c r="AB88" s="3">
        <v>5</v>
      </c>
      <c r="AC88" s="3">
        <v>4</v>
      </c>
      <c r="AD88" s="3">
        <v>3</v>
      </c>
      <c r="AE88" s="79">
        <v>3</v>
      </c>
      <c r="AF88" s="3">
        <v>5</v>
      </c>
      <c r="AG88" s="3">
        <v>6</v>
      </c>
      <c r="AH88" s="3">
        <v>8</v>
      </c>
      <c r="AI88" s="3">
        <v>2</v>
      </c>
      <c r="AJ88" s="3">
        <v>5</v>
      </c>
      <c r="AK88" s="3">
        <v>4</v>
      </c>
      <c r="AL88" s="3">
        <v>5</v>
      </c>
      <c r="AM88" s="3">
        <v>2</v>
      </c>
      <c r="AN88" s="3">
        <v>7</v>
      </c>
      <c r="AO88" s="3">
        <v>5</v>
      </c>
      <c r="AP88" s="3">
        <v>8</v>
      </c>
      <c r="AQ88" s="3">
        <v>3</v>
      </c>
      <c r="AR88" s="3">
        <v>1</v>
      </c>
      <c r="AS88" s="3">
        <v>4</v>
      </c>
      <c r="AT88" s="3">
        <v>8</v>
      </c>
      <c r="AU88" s="3">
        <v>9</v>
      </c>
      <c r="AV88" s="3">
        <v>6</v>
      </c>
      <c r="AW88" s="3">
        <v>2</v>
      </c>
      <c r="AX88" s="3">
        <v>5</v>
      </c>
      <c r="AY88" s="3">
        <v>3</v>
      </c>
      <c r="AZ88" s="3">
        <v>3</v>
      </c>
      <c r="BA88" s="3">
        <v>4</v>
      </c>
      <c r="BB88" s="3">
        <v>6</v>
      </c>
      <c r="BC88" s="3">
        <v>4</v>
      </c>
      <c r="BD88" s="3">
        <v>3</v>
      </c>
      <c r="BE88" s="3">
        <v>3</v>
      </c>
      <c r="BF88" s="3">
        <v>4</v>
      </c>
      <c r="BG88" s="3">
        <v>2</v>
      </c>
      <c r="BH88" s="3">
        <v>6</v>
      </c>
      <c r="BI88" s="3">
        <v>5</v>
      </c>
      <c r="BJ88" s="3">
        <v>4</v>
      </c>
      <c r="BK88" s="3">
        <v>3</v>
      </c>
      <c r="DU88" s="1">
        <v>0.9</v>
      </c>
      <c r="DV88" s="11">
        <v>19</v>
      </c>
      <c r="DW88" s="79">
        <v>10</v>
      </c>
      <c r="DX88" s="11">
        <v>15</v>
      </c>
      <c r="DY88" s="79">
        <v>10</v>
      </c>
      <c r="DZ88" s="11">
        <v>17.699999999999989</v>
      </c>
      <c r="EA88" s="79">
        <v>10</v>
      </c>
      <c r="EB88" s="11">
        <v>21</v>
      </c>
      <c r="EC88" s="79">
        <v>10</v>
      </c>
      <c r="ED88" s="11">
        <v>18</v>
      </c>
      <c r="EE88" s="79">
        <v>10</v>
      </c>
      <c r="EF88" s="11">
        <v>17</v>
      </c>
      <c r="EG88" s="79">
        <v>10</v>
      </c>
      <c r="EH88" s="11">
        <v>19</v>
      </c>
      <c r="EI88" s="79">
        <v>10</v>
      </c>
      <c r="EJ88" s="11">
        <v>16</v>
      </c>
      <c r="EK88" s="79">
        <v>10</v>
      </c>
      <c r="EL88" s="11">
        <v>21</v>
      </c>
      <c r="EM88" s="79">
        <v>10</v>
      </c>
      <c r="EN88" s="11">
        <v>17</v>
      </c>
      <c r="EO88" s="79">
        <v>10</v>
      </c>
      <c r="EP88" s="11">
        <v>16</v>
      </c>
      <c r="EQ88" s="79">
        <v>10</v>
      </c>
      <c r="ER88" s="11">
        <v>18.699999999999989</v>
      </c>
      <c r="ES88" s="79">
        <v>10</v>
      </c>
      <c r="ET88" s="11">
        <v>16</v>
      </c>
      <c r="EU88" s="79">
        <v>10</v>
      </c>
      <c r="EV88" s="11">
        <v>21.699999999999989</v>
      </c>
      <c r="EW88" s="79">
        <v>10</v>
      </c>
      <c r="EX88" s="11">
        <v>18</v>
      </c>
      <c r="EY88" s="79">
        <v>10</v>
      </c>
      <c r="EZ88" s="11">
        <v>19</v>
      </c>
      <c r="FA88" s="79">
        <v>10</v>
      </c>
      <c r="FB88" s="11">
        <v>20</v>
      </c>
      <c r="FC88" s="79">
        <v>10</v>
      </c>
      <c r="FD88" s="11">
        <v>16</v>
      </c>
      <c r="FE88" s="79">
        <v>10</v>
      </c>
      <c r="FF88" s="11">
        <v>18</v>
      </c>
      <c r="FG88" s="79">
        <v>10</v>
      </c>
      <c r="FH88" s="11">
        <v>21</v>
      </c>
      <c r="FI88" s="79">
        <v>10</v>
      </c>
      <c r="FJ88" s="11">
        <v>17</v>
      </c>
      <c r="FK88" s="79">
        <v>10</v>
      </c>
      <c r="FL88" s="11">
        <v>18</v>
      </c>
      <c r="FM88" s="79">
        <v>10</v>
      </c>
      <c r="FN88" s="11">
        <v>14</v>
      </c>
      <c r="FO88" s="79">
        <v>10</v>
      </c>
      <c r="FP88" s="11">
        <v>15</v>
      </c>
      <c r="FQ88" s="79">
        <v>10</v>
      </c>
      <c r="FR88" s="241">
        <v>18</v>
      </c>
      <c r="FS88" s="79">
        <v>10</v>
      </c>
      <c r="FT88" s="11">
        <v>21</v>
      </c>
      <c r="FU88" s="79">
        <v>10</v>
      </c>
      <c r="FV88" s="11">
        <v>20</v>
      </c>
      <c r="FW88" s="79">
        <v>10</v>
      </c>
      <c r="FX88" s="11">
        <v>18</v>
      </c>
      <c r="FY88" s="79">
        <v>10</v>
      </c>
      <c r="FZ88" s="11">
        <v>14</v>
      </c>
      <c r="GA88" s="79">
        <v>10</v>
      </c>
      <c r="GB88" s="11">
        <v>16</v>
      </c>
      <c r="GC88" s="79">
        <v>10</v>
      </c>
      <c r="GD88" s="11">
        <v>15</v>
      </c>
      <c r="GE88" s="79">
        <v>10</v>
      </c>
      <c r="GF88" s="11">
        <v>17.699999999999989</v>
      </c>
      <c r="GG88" s="79">
        <v>10</v>
      </c>
      <c r="GH88" s="11">
        <v>16</v>
      </c>
      <c r="GI88" s="79">
        <v>10</v>
      </c>
      <c r="GJ88" s="11">
        <v>19</v>
      </c>
      <c r="GK88" s="79">
        <v>10</v>
      </c>
      <c r="GL88" s="241">
        <v>16</v>
      </c>
      <c r="GM88" s="79">
        <v>10</v>
      </c>
      <c r="GN88" s="11">
        <v>19</v>
      </c>
      <c r="GO88" s="79">
        <v>10</v>
      </c>
      <c r="GP88" s="11">
        <v>20</v>
      </c>
      <c r="GQ88" s="79">
        <v>10</v>
      </c>
      <c r="GR88" s="11">
        <v>20</v>
      </c>
      <c r="GS88" s="79">
        <v>10</v>
      </c>
      <c r="GT88" s="11">
        <v>20</v>
      </c>
      <c r="GU88" s="79">
        <v>10</v>
      </c>
      <c r="GV88" s="11">
        <v>16</v>
      </c>
      <c r="GW88" s="79">
        <v>10</v>
      </c>
      <c r="GX88" s="11">
        <v>17</v>
      </c>
      <c r="GY88" s="79">
        <v>10</v>
      </c>
      <c r="GZ88" s="11">
        <v>16</v>
      </c>
      <c r="HA88" s="79">
        <v>10</v>
      </c>
      <c r="HB88" s="11">
        <v>16</v>
      </c>
      <c r="HC88" s="79">
        <v>10</v>
      </c>
      <c r="HD88" s="11">
        <v>16</v>
      </c>
      <c r="HE88" s="79">
        <v>10</v>
      </c>
      <c r="HF88" s="11">
        <v>18</v>
      </c>
      <c r="HG88" s="79">
        <v>10</v>
      </c>
      <c r="HH88" s="11">
        <v>15</v>
      </c>
      <c r="HI88" s="79">
        <v>10</v>
      </c>
      <c r="HJ88" s="11">
        <v>18</v>
      </c>
      <c r="HK88" s="79">
        <v>10</v>
      </c>
      <c r="HL88" s="11">
        <v>15</v>
      </c>
      <c r="HM88" s="79">
        <v>10</v>
      </c>
      <c r="HN88" s="11">
        <v>16</v>
      </c>
      <c r="HO88" s="79">
        <v>10</v>
      </c>
    </row>
    <row r="89" spans="1:224">
      <c r="A89" s="1" t="s">
        <v>779</v>
      </c>
      <c r="B89" s="3">
        <v>40</v>
      </c>
      <c r="C89" t="s">
        <v>346</v>
      </c>
      <c r="D89" s="3">
        <v>80</v>
      </c>
      <c r="E89" t="s">
        <v>19</v>
      </c>
      <c r="F89" s="3">
        <v>2</v>
      </c>
      <c r="G89" s="3"/>
      <c r="N89" t="s">
        <v>394</v>
      </c>
      <c r="P89" s="73" t="s">
        <v>42</v>
      </c>
      <c r="T89" s="9" t="s">
        <v>192</v>
      </c>
      <c r="U89" s="3">
        <v>1</v>
      </c>
      <c r="V89" s="3">
        <v>1</v>
      </c>
      <c r="W89" s="3">
        <v>1</v>
      </c>
      <c r="X89" s="3">
        <v>1</v>
      </c>
      <c r="Y89" s="3">
        <v>1</v>
      </c>
      <c r="Z89" s="79">
        <v>1</v>
      </c>
      <c r="AA89" s="3">
        <v>3</v>
      </c>
      <c r="AB89" s="3">
        <v>1</v>
      </c>
      <c r="AC89" s="3">
        <v>1</v>
      </c>
      <c r="AD89" s="3">
        <v>2</v>
      </c>
      <c r="AE89" s="79">
        <v>1</v>
      </c>
      <c r="AF89" s="3">
        <v>1</v>
      </c>
      <c r="AG89" s="3">
        <v>1</v>
      </c>
      <c r="AH89" s="3">
        <v>1</v>
      </c>
      <c r="AI89" s="3">
        <v>1</v>
      </c>
      <c r="AJ89" s="3">
        <v>1</v>
      </c>
      <c r="AK89" s="3">
        <v>1</v>
      </c>
      <c r="AL89" s="3">
        <v>1</v>
      </c>
      <c r="AM89" s="3">
        <v>1</v>
      </c>
      <c r="AN89" s="3">
        <v>1</v>
      </c>
      <c r="AO89" s="3">
        <v>1</v>
      </c>
      <c r="AP89" s="3">
        <v>8</v>
      </c>
      <c r="AQ89" s="3">
        <v>3</v>
      </c>
      <c r="AR89" s="3">
        <v>1</v>
      </c>
      <c r="AS89" s="3">
        <v>1</v>
      </c>
      <c r="AT89" s="3">
        <v>1</v>
      </c>
      <c r="AU89" s="3">
        <v>2</v>
      </c>
      <c r="AV89" s="3">
        <v>1</v>
      </c>
      <c r="AW89" s="3">
        <v>1</v>
      </c>
      <c r="AX89" s="3">
        <v>2</v>
      </c>
      <c r="AY89" s="3">
        <v>1</v>
      </c>
      <c r="AZ89" s="3">
        <v>1</v>
      </c>
      <c r="BA89" s="3">
        <v>1</v>
      </c>
      <c r="BB89" s="3">
        <v>2</v>
      </c>
      <c r="BC89" s="3">
        <v>1</v>
      </c>
      <c r="BD89" s="3">
        <v>2</v>
      </c>
      <c r="BE89" s="3">
        <v>1</v>
      </c>
      <c r="BF89" s="3">
        <v>1</v>
      </c>
      <c r="BG89" s="3">
        <v>2</v>
      </c>
      <c r="BH89" s="3">
        <v>1</v>
      </c>
      <c r="BI89" s="3">
        <v>1</v>
      </c>
      <c r="BJ89" s="3">
        <v>2</v>
      </c>
      <c r="BK89" s="3">
        <v>1</v>
      </c>
    </row>
    <row r="90" spans="1:224">
      <c r="A90" s="1" t="s">
        <v>780</v>
      </c>
      <c r="B90" s="3">
        <v>41</v>
      </c>
      <c r="C90" t="s">
        <v>44</v>
      </c>
      <c r="D90" s="3">
        <v>81</v>
      </c>
      <c r="E90" t="s">
        <v>19</v>
      </c>
      <c r="F90" s="3">
        <v>4</v>
      </c>
      <c r="G90" s="3"/>
      <c r="N90" s="12" t="s">
        <v>465</v>
      </c>
      <c r="P90" s="73" t="s">
        <v>462</v>
      </c>
      <c r="T90" s="9" t="s">
        <v>400</v>
      </c>
      <c r="U90" s="3">
        <v>7</v>
      </c>
      <c r="V90" s="3">
        <v>4</v>
      </c>
      <c r="W90" s="3">
        <v>4</v>
      </c>
      <c r="X90" s="3">
        <v>4</v>
      </c>
      <c r="Y90" s="3">
        <v>7</v>
      </c>
      <c r="Z90" s="79">
        <v>2</v>
      </c>
      <c r="AA90" s="3">
        <v>7</v>
      </c>
      <c r="AB90" s="3">
        <v>4</v>
      </c>
      <c r="AC90" s="3">
        <v>5</v>
      </c>
      <c r="AD90" s="3">
        <v>8</v>
      </c>
      <c r="AE90" s="79">
        <v>3</v>
      </c>
      <c r="AF90" s="3">
        <v>7</v>
      </c>
      <c r="AG90" s="3">
        <v>4</v>
      </c>
      <c r="AH90" s="3">
        <v>8</v>
      </c>
      <c r="AI90" s="3">
        <v>9</v>
      </c>
      <c r="AJ90" s="3">
        <v>6</v>
      </c>
      <c r="AK90" s="3">
        <v>7</v>
      </c>
      <c r="AL90" s="3">
        <v>8</v>
      </c>
      <c r="AM90" s="3">
        <v>3</v>
      </c>
      <c r="AN90" s="3">
        <v>7</v>
      </c>
      <c r="AO90" s="3">
        <v>3</v>
      </c>
      <c r="AP90" s="3">
        <v>7</v>
      </c>
      <c r="AQ90" s="3">
        <v>6</v>
      </c>
      <c r="AR90" s="3">
        <v>3</v>
      </c>
      <c r="AS90" s="3">
        <v>5</v>
      </c>
      <c r="AT90" s="3">
        <v>8</v>
      </c>
      <c r="AU90" s="3">
        <v>5</v>
      </c>
      <c r="AV90" s="3">
        <v>5</v>
      </c>
      <c r="AW90" s="3">
        <v>9</v>
      </c>
      <c r="AX90" s="3">
        <v>6</v>
      </c>
      <c r="AY90" s="3">
        <v>1</v>
      </c>
      <c r="AZ90" s="3">
        <v>1</v>
      </c>
      <c r="BA90" s="3">
        <v>3</v>
      </c>
      <c r="BB90" s="3">
        <v>7</v>
      </c>
      <c r="BC90" s="3">
        <v>9</v>
      </c>
      <c r="BD90" s="3">
        <v>3</v>
      </c>
      <c r="BE90" s="3">
        <v>6</v>
      </c>
      <c r="BF90" s="3">
        <v>5</v>
      </c>
      <c r="BG90" s="3">
        <v>5</v>
      </c>
      <c r="BH90" s="3">
        <v>7</v>
      </c>
      <c r="BI90" s="3">
        <v>6</v>
      </c>
      <c r="BJ90" s="3">
        <v>5</v>
      </c>
      <c r="BK90" s="3">
        <v>3</v>
      </c>
      <c r="DV90" s="119"/>
      <c r="DW90" s="2"/>
      <c r="DX90" s="119"/>
      <c r="DY90" s="2"/>
      <c r="DZ90" s="119"/>
      <c r="EA90" s="2"/>
      <c r="EB90" s="119"/>
      <c r="EC90" s="2"/>
      <c r="ED90" s="119"/>
      <c r="EE90" s="2"/>
      <c r="EF90" s="119"/>
      <c r="EG90" s="2"/>
      <c r="EH90" s="119"/>
      <c r="EI90" s="2"/>
      <c r="EJ90" s="119"/>
      <c r="EK90" s="2"/>
      <c r="EL90" s="119"/>
      <c r="EM90" s="2"/>
      <c r="EN90" s="119"/>
      <c r="EO90" s="2"/>
      <c r="EP90" s="119"/>
      <c r="EQ90" s="2"/>
      <c r="ER90" s="119"/>
      <c r="ES90" s="2"/>
      <c r="ET90" s="119"/>
      <c r="EU90" s="2"/>
      <c r="EV90" s="119"/>
      <c r="EW90" s="2"/>
      <c r="EX90" s="119"/>
      <c r="EY90" s="2"/>
      <c r="EZ90" s="119"/>
      <c r="FA90" s="119"/>
      <c r="FB90" s="119"/>
      <c r="FC90" s="2"/>
      <c r="FD90" s="119"/>
      <c r="FE90" s="2"/>
      <c r="FF90" s="119"/>
      <c r="FG90" s="2"/>
      <c r="FH90" s="119"/>
      <c r="FI90" s="119"/>
      <c r="FJ90" s="119"/>
      <c r="FK90" s="2"/>
      <c r="FL90" s="119"/>
      <c r="FM90" s="2"/>
      <c r="FN90" s="119"/>
      <c r="FO90" s="2"/>
      <c r="FP90" s="119"/>
      <c r="FQ90" s="2"/>
      <c r="FR90" s="119"/>
      <c r="FS90" s="2"/>
      <c r="FT90" s="119"/>
      <c r="FU90" s="2"/>
      <c r="FV90" s="119"/>
      <c r="FW90" s="2"/>
      <c r="FX90" s="119"/>
      <c r="FY90" s="2"/>
      <c r="FZ90" s="119"/>
      <c r="GA90" s="2"/>
      <c r="GB90" s="119"/>
      <c r="GC90" s="2"/>
      <c r="GD90" s="119"/>
      <c r="GE90" s="2"/>
      <c r="GF90" s="119"/>
      <c r="GG90" s="2"/>
      <c r="GH90" s="119"/>
    </row>
    <row r="91" spans="1:224" ht="43.2">
      <c r="A91" s="1" t="s">
        <v>781</v>
      </c>
      <c r="B91" s="3">
        <v>41</v>
      </c>
      <c r="C91" t="s">
        <v>164</v>
      </c>
      <c r="D91" s="3">
        <v>82</v>
      </c>
      <c r="E91" t="s">
        <v>19</v>
      </c>
      <c r="F91" s="3">
        <v>5</v>
      </c>
      <c r="G91" s="3"/>
      <c r="P91" s="73" t="s">
        <v>14</v>
      </c>
      <c r="T91" s="9" t="s">
        <v>289</v>
      </c>
      <c r="U91" s="3">
        <v>1</v>
      </c>
      <c r="V91" s="3">
        <v>1</v>
      </c>
      <c r="W91" s="3">
        <v>2</v>
      </c>
      <c r="X91" s="3">
        <v>1</v>
      </c>
      <c r="Y91" s="3">
        <v>1</v>
      </c>
      <c r="Z91" s="79">
        <v>2</v>
      </c>
      <c r="AA91" s="3">
        <v>2</v>
      </c>
      <c r="AB91" s="3">
        <v>1</v>
      </c>
      <c r="AC91" s="3">
        <v>1</v>
      </c>
      <c r="AD91" s="3">
        <v>3</v>
      </c>
      <c r="AE91" s="79">
        <v>1</v>
      </c>
      <c r="AF91" s="3">
        <v>1</v>
      </c>
      <c r="AG91" s="3">
        <v>1</v>
      </c>
      <c r="AH91" s="3">
        <v>2</v>
      </c>
      <c r="AI91" s="3">
        <v>4</v>
      </c>
      <c r="AJ91" s="3">
        <v>1</v>
      </c>
      <c r="AK91" s="3">
        <v>2</v>
      </c>
      <c r="AL91" s="3">
        <v>1</v>
      </c>
      <c r="AM91" s="3">
        <v>2</v>
      </c>
      <c r="AN91" s="3">
        <v>2</v>
      </c>
      <c r="AO91" s="3">
        <v>1</v>
      </c>
      <c r="AP91" s="3">
        <v>1</v>
      </c>
      <c r="AQ91" s="3">
        <v>3</v>
      </c>
      <c r="AR91" s="3">
        <v>2</v>
      </c>
      <c r="AS91" s="3">
        <v>1</v>
      </c>
      <c r="AT91" s="3">
        <v>1</v>
      </c>
      <c r="AU91" s="3">
        <v>1</v>
      </c>
      <c r="AV91" s="3">
        <v>1</v>
      </c>
      <c r="AW91" s="3">
        <v>1</v>
      </c>
      <c r="AX91" s="3">
        <v>1</v>
      </c>
      <c r="AY91" s="3">
        <v>1</v>
      </c>
      <c r="AZ91" s="3">
        <v>1</v>
      </c>
      <c r="BA91" s="3">
        <v>1</v>
      </c>
      <c r="BB91" s="3">
        <v>1</v>
      </c>
      <c r="BC91" s="3">
        <v>1</v>
      </c>
      <c r="BD91" s="3">
        <v>1</v>
      </c>
      <c r="BE91" s="3">
        <v>1</v>
      </c>
      <c r="BF91" s="3">
        <v>2</v>
      </c>
      <c r="BG91" s="3">
        <v>1</v>
      </c>
      <c r="BH91" s="3">
        <v>1</v>
      </c>
      <c r="BI91" s="3">
        <v>1</v>
      </c>
      <c r="BJ91" s="3">
        <v>1</v>
      </c>
      <c r="BK91" s="3">
        <v>1</v>
      </c>
      <c r="DT91" s="1"/>
      <c r="DU91" s="1"/>
      <c r="DV91" s="119" t="s">
        <v>106</v>
      </c>
      <c r="DW91" s="119"/>
      <c r="DX91" s="119" t="s">
        <v>393</v>
      </c>
      <c r="DY91" s="119"/>
      <c r="DZ91" s="119" t="s">
        <v>547</v>
      </c>
      <c r="EA91" s="119"/>
      <c r="EB91" s="119" t="s">
        <v>680</v>
      </c>
      <c r="EC91" s="119"/>
      <c r="ED91" s="119" t="s">
        <v>392</v>
      </c>
      <c r="EE91" s="119"/>
      <c r="EF91" s="119" t="s">
        <v>475</v>
      </c>
      <c r="EG91" s="119"/>
      <c r="EH91" s="119" t="s">
        <v>621</v>
      </c>
      <c r="EI91" s="119"/>
      <c r="EJ91" s="119" t="s">
        <v>63</v>
      </c>
      <c r="EK91" s="119"/>
      <c r="EL91" s="119" t="s">
        <v>578</v>
      </c>
      <c r="EM91" s="119"/>
      <c r="EN91" s="119" t="s">
        <v>570</v>
      </c>
      <c r="EO91" s="119"/>
      <c r="EP91" s="119" t="s">
        <v>469</v>
      </c>
      <c r="EQ91" s="119"/>
      <c r="ER91" s="119" t="s">
        <v>531</v>
      </c>
      <c r="ES91" s="119"/>
      <c r="ET91" s="119" t="s">
        <v>620</v>
      </c>
      <c r="EU91" s="119"/>
      <c r="EV91" s="119" t="s">
        <v>465</v>
      </c>
      <c r="EW91" s="119"/>
      <c r="EX91" s="119" t="s">
        <v>143</v>
      </c>
      <c r="EY91" s="119"/>
      <c r="EZ91" s="119" t="s">
        <v>391</v>
      </c>
      <c r="FA91" s="119"/>
      <c r="FB91" s="119" t="s">
        <v>446</v>
      </c>
      <c r="FC91" s="119"/>
      <c r="FD91" s="119" t="s">
        <v>1070</v>
      </c>
      <c r="FE91" s="119"/>
      <c r="FF91" s="119" t="s">
        <v>394</v>
      </c>
      <c r="FG91" s="119"/>
      <c r="FH91" s="119" t="s">
        <v>466</v>
      </c>
      <c r="FI91" s="119"/>
      <c r="FJ91" s="119" t="s">
        <v>474</v>
      </c>
      <c r="FK91" s="119"/>
      <c r="FL91" s="119" t="s">
        <v>682</v>
      </c>
      <c r="FM91" s="119"/>
      <c r="FN91" s="119" t="s">
        <v>536</v>
      </c>
      <c r="FO91" s="119"/>
      <c r="FP91" s="119" t="s">
        <v>571</v>
      </c>
      <c r="FQ91" s="119"/>
      <c r="FR91" s="119" t="s">
        <v>549</v>
      </c>
      <c r="FS91" s="119"/>
      <c r="FT91" s="119" t="s">
        <v>390</v>
      </c>
      <c r="FU91" s="119"/>
      <c r="FV91" s="119" t="s">
        <v>515</v>
      </c>
      <c r="FW91" s="119"/>
      <c r="FX91" s="119" t="s">
        <v>467</v>
      </c>
      <c r="FY91" s="119"/>
      <c r="FZ91" s="119" t="s">
        <v>17</v>
      </c>
      <c r="GA91" s="119"/>
      <c r="GB91" s="119" t="s">
        <v>473</v>
      </c>
      <c r="GC91" s="119"/>
      <c r="GD91" s="119" t="s">
        <v>24</v>
      </c>
      <c r="GE91" s="119"/>
      <c r="GF91" s="119" t="s">
        <v>442</v>
      </c>
      <c r="GG91" s="119"/>
      <c r="GH91" s="119" t="s">
        <v>30</v>
      </c>
      <c r="GI91" s="1"/>
      <c r="GJ91" s="245" t="s">
        <v>14</v>
      </c>
      <c r="GK91" s="246"/>
      <c r="GL91" s="245" t="s">
        <v>452</v>
      </c>
      <c r="GM91" s="246"/>
      <c r="GN91" s="252" t="s">
        <v>1125</v>
      </c>
      <c r="GO91" s="253" t="s">
        <v>1126</v>
      </c>
      <c r="GP91" s="1"/>
      <c r="GQ91" s="1"/>
      <c r="GR91" s="1"/>
      <c r="GS91" s="1"/>
      <c r="GT91" s="1"/>
      <c r="GU91" s="1"/>
      <c r="GV91" s="1"/>
      <c r="GW91" s="1"/>
      <c r="GX91" s="1"/>
      <c r="GY91" s="1"/>
      <c r="GZ91" s="1"/>
      <c r="HA91" s="1"/>
      <c r="HB91" s="1"/>
      <c r="HC91" s="1"/>
      <c r="HD91" s="1"/>
      <c r="HE91" s="1"/>
      <c r="HF91" s="1"/>
      <c r="HG91" s="1"/>
      <c r="HH91" s="1"/>
      <c r="HI91" s="1"/>
      <c r="HJ91" s="1"/>
      <c r="HK91" s="1"/>
      <c r="HL91" s="1"/>
      <c r="HM91" s="1"/>
      <c r="HP91" s="1"/>
    </row>
    <row r="92" spans="1:224">
      <c r="A92" s="1" t="s">
        <v>782</v>
      </c>
      <c r="B92" s="3">
        <v>42</v>
      </c>
      <c r="C92" t="s">
        <v>200</v>
      </c>
      <c r="D92" s="3">
        <v>83</v>
      </c>
      <c r="E92" t="s">
        <v>19</v>
      </c>
      <c r="F92" s="3">
        <v>3</v>
      </c>
      <c r="G92" s="3"/>
      <c r="P92" s="73" t="s">
        <v>24</v>
      </c>
      <c r="T92" s="9" t="s">
        <v>459</v>
      </c>
      <c r="U92" s="3" t="s">
        <v>459</v>
      </c>
      <c r="V92" s="3" t="s">
        <v>459</v>
      </c>
      <c r="W92" s="3" t="s">
        <v>459</v>
      </c>
      <c r="X92" s="3" t="s">
        <v>459</v>
      </c>
      <c r="Y92" s="3" t="s">
        <v>459</v>
      </c>
      <c r="Z92" s="79" t="s">
        <v>459</v>
      </c>
      <c r="AA92" s="3" t="s">
        <v>459</v>
      </c>
      <c r="AB92" s="3" t="s">
        <v>459</v>
      </c>
      <c r="AC92" s="3" t="s">
        <v>459</v>
      </c>
      <c r="AD92" s="3" t="s">
        <v>459</v>
      </c>
      <c r="AE92" s="79" t="s">
        <v>459</v>
      </c>
      <c r="AF92" s="3" t="s">
        <v>459</v>
      </c>
      <c r="AG92" s="3" t="s">
        <v>459</v>
      </c>
      <c r="AH92" s="3" t="s">
        <v>459</v>
      </c>
      <c r="AI92" s="3" t="s">
        <v>459</v>
      </c>
      <c r="AJ92" s="3" t="s">
        <v>459</v>
      </c>
      <c r="AK92" s="3" t="s">
        <v>459</v>
      </c>
      <c r="AL92" s="3" t="s">
        <v>459</v>
      </c>
      <c r="AM92" s="3" t="s">
        <v>459</v>
      </c>
      <c r="AN92" s="3" t="s">
        <v>459</v>
      </c>
      <c r="AO92" s="3" t="s">
        <v>459</v>
      </c>
      <c r="AP92" s="3" t="s">
        <v>459</v>
      </c>
      <c r="AQ92" s="3" t="s">
        <v>459</v>
      </c>
      <c r="AR92" s="3" t="s">
        <v>459</v>
      </c>
      <c r="AS92" s="3" t="s">
        <v>459</v>
      </c>
      <c r="AT92" s="3" t="s">
        <v>459</v>
      </c>
      <c r="AU92" s="3" t="s">
        <v>459</v>
      </c>
      <c r="AV92" s="3" t="s">
        <v>459</v>
      </c>
      <c r="AW92" s="3" t="s">
        <v>459</v>
      </c>
      <c r="AX92" s="3" t="s">
        <v>459</v>
      </c>
      <c r="AY92" s="3" t="s">
        <v>459</v>
      </c>
      <c r="AZ92" s="3" t="s">
        <v>459</v>
      </c>
      <c r="BA92" s="3" t="s">
        <v>459</v>
      </c>
      <c r="BB92" s="3" t="s">
        <v>459</v>
      </c>
      <c r="BC92" s="3" t="s">
        <v>459</v>
      </c>
      <c r="BD92" s="3" t="s">
        <v>459</v>
      </c>
      <c r="BE92" s="3" t="s">
        <v>459</v>
      </c>
      <c r="BF92" s="3" t="s">
        <v>459</v>
      </c>
      <c r="BG92" s="3" t="s">
        <v>459</v>
      </c>
      <c r="BH92" s="3" t="s">
        <v>459</v>
      </c>
      <c r="BI92" s="3" t="s">
        <v>459</v>
      </c>
      <c r="BJ92" s="3" t="s">
        <v>459</v>
      </c>
      <c r="BK92" s="3" t="s">
        <v>459</v>
      </c>
      <c r="DU92" s="1">
        <v>0</v>
      </c>
      <c r="DV92" s="121">
        <v>0</v>
      </c>
      <c r="DW92" s="79">
        <v>1</v>
      </c>
      <c r="DX92" s="3">
        <v>0</v>
      </c>
      <c r="DY92" s="79">
        <v>1</v>
      </c>
      <c r="DZ92" s="3">
        <v>0</v>
      </c>
      <c r="EA92" s="79">
        <v>1</v>
      </c>
      <c r="EB92" s="3">
        <v>0</v>
      </c>
      <c r="EC92" s="79">
        <v>1</v>
      </c>
      <c r="ED92" s="3">
        <v>0</v>
      </c>
      <c r="EE92" s="79">
        <v>1</v>
      </c>
      <c r="EF92" s="3">
        <v>0</v>
      </c>
      <c r="EG92" s="79">
        <v>1</v>
      </c>
      <c r="EH92" s="3">
        <v>0</v>
      </c>
      <c r="EI92" s="79">
        <v>1</v>
      </c>
      <c r="EJ92" s="3">
        <v>0</v>
      </c>
      <c r="EK92" s="79">
        <v>1</v>
      </c>
      <c r="EL92" s="3">
        <v>0</v>
      </c>
      <c r="EM92" s="79">
        <v>1</v>
      </c>
      <c r="EN92" s="3">
        <v>0</v>
      </c>
      <c r="EO92" s="79">
        <v>1</v>
      </c>
      <c r="EP92" s="3">
        <v>0</v>
      </c>
      <c r="EQ92" s="79">
        <v>1</v>
      </c>
      <c r="ER92" s="3">
        <v>0</v>
      </c>
      <c r="ES92" s="79">
        <v>1</v>
      </c>
      <c r="ET92" s="3">
        <v>0</v>
      </c>
      <c r="EU92" s="79">
        <v>1</v>
      </c>
      <c r="EV92" s="3">
        <v>0</v>
      </c>
      <c r="EW92" s="79">
        <v>1</v>
      </c>
      <c r="EX92" s="3">
        <v>0</v>
      </c>
      <c r="EY92" s="79">
        <v>1</v>
      </c>
      <c r="EZ92" s="3">
        <v>0</v>
      </c>
      <c r="FA92" s="79">
        <v>1</v>
      </c>
      <c r="FB92" s="3">
        <v>0</v>
      </c>
      <c r="FC92" s="79">
        <v>1</v>
      </c>
      <c r="FD92" s="3">
        <v>0</v>
      </c>
      <c r="FE92" s="79">
        <v>1</v>
      </c>
      <c r="FF92" s="3">
        <v>0</v>
      </c>
      <c r="FG92" s="79">
        <v>1</v>
      </c>
      <c r="FH92" s="3">
        <v>0</v>
      </c>
      <c r="FI92" s="79">
        <v>1</v>
      </c>
      <c r="FJ92" s="3">
        <v>0</v>
      </c>
      <c r="FK92" s="79">
        <v>1</v>
      </c>
      <c r="FL92" s="3">
        <v>0</v>
      </c>
      <c r="FM92" s="79">
        <v>1</v>
      </c>
      <c r="FN92" s="3">
        <v>0</v>
      </c>
      <c r="FO92" s="79">
        <v>1</v>
      </c>
      <c r="FP92" s="3">
        <v>0</v>
      </c>
      <c r="FQ92" s="79">
        <v>1</v>
      </c>
      <c r="FR92" s="3">
        <v>0</v>
      </c>
      <c r="FS92" s="79">
        <v>1</v>
      </c>
      <c r="FT92" s="3">
        <v>0</v>
      </c>
      <c r="FU92" s="79">
        <v>1</v>
      </c>
      <c r="FV92" s="3">
        <v>0</v>
      </c>
      <c r="FW92" s="79">
        <v>1</v>
      </c>
      <c r="FX92" s="3">
        <v>0</v>
      </c>
      <c r="FY92" s="79">
        <v>1</v>
      </c>
      <c r="FZ92" s="3">
        <v>0</v>
      </c>
      <c r="GA92" s="79">
        <v>1</v>
      </c>
      <c r="GB92" s="3">
        <v>0</v>
      </c>
      <c r="GC92" s="79">
        <v>1</v>
      </c>
      <c r="GD92" s="3">
        <v>0</v>
      </c>
      <c r="GE92" s="79">
        <v>1</v>
      </c>
      <c r="GF92" s="3">
        <v>0</v>
      </c>
      <c r="GG92" s="79">
        <v>1</v>
      </c>
      <c r="GH92" s="3">
        <v>0</v>
      </c>
      <c r="GI92" s="79">
        <v>1</v>
      </c>
      <c r="GJ92" s="243">
        <v>0</v>
      </c>
      <c r="GK92" s="242">
        <v>1</v>
      </c>
      <c r="GL92" s="243">
        <v>0</v>
      </c>
      <c r="GM92" s="242">
        <v>1</v>
      </c>
      <c r="GN92" s="248"/>
      <c r="GO92" s="249"/>
    </row>
    <row r="93" spans="1:224">
      <c r="A93" s="1" t="s">
        <v>783</v>
      </c>
      <c r="B93" s="3">
        <v>42</v>
      </c>
      <c r="C93" t="s">
        <v>331</v>
      </c>
      <c r="D93" s="3">
        <v>84</v>
      </c>
      <c r="E93" t="s">
        <v>19</v>
      </c>
      <c r="F93" s="3">
        <v>2</v>
      </c>
      <c r="G93" s="3"/>
      <c r="P93" s="73" t="s">
        <v>17</v>
      </c>
      <c r="T93" s="7" t="s">
        <v>453</v>
      </c>
      <c r="U93" s="3">
        <v>1</v>
      </c>
      <c r="V93" s="3">
        <v>1</v>
      </c>
      <c r="W93" s="3">
        <v>1</v>
      </c>
      <c r="X93" s="3">
        <v>1</v>
      </c>
      <c r="Y93" s="3">
        <v>1</v>
      </c>
      <c r="Z93" s="79">
        <v>2</v>
      </c>
      <c r="AA93" s="3">
        <v>1</v>
      </c>
      <c r="AB93" s="3">
        <v>1</v>
      </c>
      <c r="AC93" s="3">
        <v>1</v>
      </c>
      <c r="AD93" s="3">
        <v>1</v>
      </c>
      <c r="AE93" s="79">
        <v>1</v>
      </c>
      <c r="AF93" s="3">
        <v>1</v>
      </c>
      <c r="AG93" s="3">
        <v>1</v>
      </c>
      <c r="AH93" s="3">
        <v>1</v>
      </c>
      <c r="AI93" s="3">
        <v>1</v>
      </c>
      <c r="AJ93" s="3">
        <v>1</v>
      </c>
      <c r="AK93" s="3">
        <v>1</v>
      </c>
      <c r="AL93" s="3">
        <v>1</v>
      </c>
      <c r="AM93" s="3">
        <v>1</v>
      </c>
      <c r="AN93" s="3">
        <v>1</v>
      </c>
      <c r="AO93" s="3">
        <v>1</v>
      </c>
      <c r="AP93" s="3">
        <v>3</v>
      </c>
      <c r="AQ93" s="3">
        <v>1</v>
      </c>
      <c r="AR93" s="3">
        <v>6</v>
      </c>
      <c r="AS93" s="3">
        <v>1</v>
      </c>
      <c r="AT93" s="3">
        <v>1</v>
      </c>
      <c r="AU93" s="3">
        <v>1</v>
      </c>
      <c r="AV93" s="3">
        <v>1</v>
      </c>
      <c r="AW93" s="3">
        <v>1</v>
      </c>
      <c r="AX93" s="3">
        <v>1</v>
      </c>
      <c r="AY93" s="3">
        <v>2</v>
      </c>
      <c r="AZ93" s="3">
        <v>2</v>
      </c>
      <c r="BA93" s="3">
        <v>1</v>
      </c>
      <c r="BB93" s="3">
        <v>1</v>
      </c>
      <c r="BC93" s="3">
        <v>1</v>
      </c>
      <c r="BD93" s="3">
        <v>1</v>
      </c>
      <c r="BE93" s="3">
        <v>1</v>
      </c>
      <c r="BF93" s="3">
        <v>1</v>
      </c>
      <c r="BG93" s="3">
        <v>1</v>
      </c>
      <c r="BH93" s="3">
        <v>1</v>
      </c>
      <c r="BI93" s="3">
        <v>1</v>
      </c>
      <c r="BJ93" s="3">
        <v>1</v>
      </c>
      <c r="BK93" s="3">
        <v>1</v>
      </c>
      <c r="DU93" s="1">
        <v>0.1</v>
      </c>
      <c r="DV93" s="11">
        <v>9.3333333333333339</v>
      </c>
      <c r="DW93" s="79">
        <v>2</v>
      </c>
      <c r="DX93" s="11">
        <v>7.666666666666667</v>
      </c>
      <c r="DY93" s="79">
        <v>2</v>
      </c>
      <c r="DZ93" s="11">
        <v>10</v>
      </c>
      <c r="EA93" s="79">
        <v>2</v>
      </c>
      <c r="EB93" s="11">
        <v>9.3333333333333339</v>
      </c>
      <c r="EC93" s="79">
        <v>2</v>
      </c>
      <c r="ED93" s="11">
        <v>8.6666666666666661</v>
      </c>
      <c r="EE93" s="79">
        <v>2</v>
      </c>
      <c r="EF93" s="11">
        <v>6.333333333333333</v>
      </c>
      <c r="EG93" s="79">
        <v>2</v>
      </c>
      <c r="EH93" s="11">
        <v>9</v>
      </c>
      <c r="EI93" s="79">
        <v>2</v>
      </c>
      <c r="EJ93" s="11">
        <v>8.3333333333333339</v>
      </c>
      <c r="EK93" s="79">
        <v>2</v>
      </c>
      <c r="EL93" s="11">
        <v>5.666666666666667</v>
      </c>
      <c r="EM93" s="79">
        <v>2</v>
      </c>
      <c r="EN93" s="11">
        <v>7</v>
      </c>
      <c r="EO93" s="79">
        <v>2</v>
      </c>
      <c r="EP93" s="11">
        <v>8.3333333333333339</v>
      </c>
      <c r="EQ93" s="79">
        <v>2</v>
      </c>
      <c r="ER93" s="11">
        <v>6.666666666666667</v>
      </c>
      <c r="ES93" s="79">
        <v>2</v>
      </c>
      <c r="ET93" s="11">
        <v>9.3333333333333339</v>
      </c>
      <c r="EU93" s="79">
        <v>2</v>
      </c>
      <c r="EV93" s="11">
        <v>6.666666666666667</v>
      </c>
      <c r="EW93" s="79">
        <v>2</v>
      </c>
      <c r="EX93" s="11">
        <v>7.333333333333333</v>
      </c>
      <c r="EY93" s="79">
        <v>2</v>
      </c>
      <c r="EZ93" s="11">
        <v>8.3333333333333339</v>
      </c>
      <c r="FA93" s="79">
        <v>2</v>
      </c>
      <c r="FB93" s="11">
        <v>9</v>
      </c>
      <c r="FC93" s="79">
        <v>2</v>
      </c>
      <c r="FD93" s="11">
        <v>9.25</v>
      </c>
      <c r="FE93" s="79">
        <v>2</v>
      </c>
      <c r="FF93" s="11">
        <v>8.25</v>
      </c>
      <c r="FG93" s="79">
        <v>2</v>
      </c>
      <c r="FH93" s="11">
        <v>6</v>
      </c>
      <c r="FI93" s="79">
        <v>2</v>
      </c>
      <c r="FJ93" s="11">
        <v>10.333333333333334</v>
      </c>
      <c r="FK93" s="79">
        <v>2</v>
      </c>
      <c r="FL93" s="11">
        <v>10</v>
      </c>
      <c r="FM93" s="79">
        <v>2</v>
      </c>
      <c r="FN93" s="11">
        <v>6.4333333333333345</v>
      </c>
      <c r="FO93" s="79">
        <v>2</v>
      </c>
      <c r="FP93" s="11">
        <v>5</v>
      </c>
      <c r="FQ93" s="79">
        <v>2</v>
      </c>
      <c r="FR93" s="11">
        <v>5.333333333333333</v>
      </c>
      <c r="FS93" s="79">
        <v>2</v>
      </c>
      <c r="FT93" s="11">
        <v>8.3333333333333339</v>
      </c>
      <c r="FU93" s="79">
        <v>2</v>
      </c>
      <c r="FV93" s="11">
        <v>9.3333333333333339</v>
      </c>
      <c r="FW93" s="79">
        <v>2</v>
      </c>
      <c r="FX93" s="11">
        <v>6</v>
      </c>
      <c r="FY93" s="79">
        <v>2</v>
      </c>
      <c r="FZ93" s="11">
        <v>8.3333333333333339</v>
      </c>
      <c r="GA93" s="79">
        <v>2</v>
      </c>
      <c r="GB93" s="11">
        <v>6</v>
      </c>
      <c r="GC93" s="79">
        <v>2</v>
      </c>
      <c r="GD93" s="11">
        <v>8.6666666666666661</v>
      </c>
      <c r="GE93" s="79">
        <v>2</v>
      </c>
      <c r="GF93" s="11">
        <v>10.333333333333334</v>
      </c>
      <c r="GG93" s="79">
        <v>2</v>
      </c>
      <c r="GH93" s="11">
        <v>10.333333333333334</v>
      </c>
      <c r="GI93" s="79">
        <v>2</v>
      </c>
      <c r="GJ93" s="243">
        <v>7</v>
      </c>
      <c r="GK93" s="242">
        <v>2</v>
      </c>
      <c r="GL93" s="243">
        <v>5.1500000000000021</v>
      </c>
      <c r="GM93" s="242">
        <v>2</v>
      </c>
      <c r="GN93" s="248"/>
      <c r="GO93" s="249"/>
    </row>
    <row r="94" spans="1:224">
      <c r="A94" s="1" t="s">
        <v>784</v>
      </c>
      <c r="B94" s="3">
        <v>43</v>
      </c>
      <c r="C94" t="s">
        <v>177</v>
      </c>
      <c r="D94" s="3">
        <v>85</v>
      </c>
      <c r="E94" t="s">
        <v>19</v>
      </c>
      <c r="F94" s="3">
        <v>4</v>
      </c>
      <c r="G94" s="3"/>
      <c r="P94" s="73" t="s">
        <v>578</v>
      </c>
      <c r="T94" s="7" t="s">
        <v>282</v>
      </c>
      <c r="U94" s="3">
        <v>4</v>
      </c>
      <c r="V94" s="3">
        <v>7</v>
      </c>
      <c r="W94" s="3">
        <v>7</v>
      </c>
      <c r="X94" s="3">
        <v>6</v>
      </c>
      <c r="Y94" s="3">
        <v>3</v>
      </c>
      <c r="Z94" s="79">
        <v>7</v>
      </c>
      <c r="AA94" s="3">
        <v>9</v>
      </c>
      <c r="AB94" s="3">
        <v>5</v>
      </c>
      <c r="AC94" s="3">
        <v>3</v>
      </c>
      <c r="AD94" s="3">
        <v>2</v>
      </c>
      <c r="AE94" s="79">
        <v>9</v>
      </c>
      <c r="AF94" s="3">
        <v>4</v>
      </c>
      <c r="AG94" s="3">
        <v>3</v>
      </c>
      <c r="AH94" s="3">
        <v>7</v>
      </c>
      <c r="AI94" s="3">
        <v>7</v>
      </c>
      <c r="AJ94" s="3">
        <v>8</v>
      </c>
      <c r="AK94" s="3">
        <v>5</v>
      </c>
      <c r="AL94" s="3">
        <v>6</v>
      </c>
      <c r="AM94" s="3">
        <v>6</v>
      </c>
      <c r="AN94" s="3">
        <v>9</v>
      </c>
      <c r="AO94" s="3">
        <v>8</v>
      </c>
      <c r="AP94" s="3">
        <v>5</v>
      </c>
      <c r="AQ94" s="3">
        <v>8</v>
      </c>
      <c r="AR94" s="3">
        <v>7</v>
      </c>
      <c r="AS94" s="3">
        <v>6</v>
      </c>
      <c r="AT94" s="3">
        <v>4</v>
      </c>
      <c r="AU94" s="3">
        <v>5</v>
      </c>
      <c r="AV94" s="3">
        <v>2</v>
      </c>
      <c r="AW94" s="3">
        <v>6</v>
      </c>
      <c r="AX94" s="3">
        <v>3</v>
      </c>
      <c r="AY94" s="3">
        <v>4</v>
      </c>
      <c r="AZ94" s="3">
        <v>4</v>
      </c>
      <c r="BA94" s="3">
        <v>6</v>
      </c>
      <c r="BB94" s="3">
        <v>8</v>
      </c>
      <c r="BC94" s="3">
        <v>9</v>
      </c>
      <c r="BD94" s="3">
        <v>9</v>
      </c>
      <c r="BE94" s="3">
        <v>3</v>
      </c>
      <c r="BF94" s="3">
        <v>9</v>
      </c>
      <c r="BG94" s="3">
        <v>10</v>
      </c>
      <c r="BH94" s="3">
        <v>7</v>
      </c>
      <c r="BI94" s="3">
        <v>8</v>
      </c>
      <c r="BJ94" s="3">
        <v>8</v>
      </c>
      <c r="BK94" s="3">
        <v>8</v>
      </c>
      <c r="DU94" s="1">
        <v>0.2</v>
      </c>
      <c r="DV94" s="11">
        <v>10.333333333333334</v>
      </c>
      <c r="DW94" s="79">
        <v>3</v>
      </c>
      <c r="DX94" s="11">
        <v>8.6666666666666661</v>
      </c>
      <c r="DY94" s="79">
        <v>3</v>
      </c>
      <c r="DZ94" s="11">
        <v>11</v>
      </c>
      <c r="EA94" s="79">
        <v>3</v>
      </c>
      <c r="EB94" s="11">
        <v>10.333333333333334</v>
      </c>
      <c r="EC94" s="79">
        <v>3</v>
      </c>
      <c r="ED94" s="11">
        <v>9.5333333333333368</v>
      </c>
      <c r="EE94" s="79">
        <v>3</v>
      </c>
      <c r="EF94" s="11">
        <v>7.666666666666667</v>
      </c>
      <c r="EG94" s="79">
        <v>3</v>
      </c>
      <c r="EH94" s="11">
        <v>10</v>
      </c>
      <c r="EI94" s="79">
        <v>3</v>
      </c>
      <c r="EJ94" s="11">
        <v>10</v>
      </c>
      <c r="EK94" s="79">
        <v>3</v>
      </c>
      <c r="EL94" s="11">
        <v>7</v>
      </c>
      <c r="EM94" s="79">
        <v>3</v>
      </c>
      <c r="EN94" s="11">
        <v>8.3333333333333339</v>
      </c>
      <c r="EO94" s="79">
        <v>3</v>
      </c>
      <c r="EP94" s="11">
        <v>9.3333333333333339</v>
      </c>
      <c r="EQ94" s="79">
        <v>3</v>
      </c>
      <c r="ER94" s="11">
        <v>8</v>
      </c>
      <c r="ES94" s="79">
        <v>3</v>
      </c>
      <c r="ET94" s="11">
        <v>10.666666666666666</v>
      </c>
      <c r="EU94" s="79">
        <v>3</v>
      </c>
      <c r="EV94" s="11">
        <v>8</v>
      </c>
      <c r="EW94" s="79">
        <v>3</v>
      </c>
      <c r="EX94" s="11">
        <v>8.3333333333333339</v>
      </c>
      <c r="EY94" s="79">
        <v>3</v>
      </c>
      <c r="EZ94" s="11">
        <v>9.3333333333333339</v>
      </c>
      <c r="FA94" s="79">
        <v>3</v>
      </c>
      <c r="FB94" s="11">
        <v>10</v>
      </c>
      <c r="FC94" s="79">
        <v>3</v>
      </c>
      <c r="FD94" s="11">
        <v>10.25</v>
      </c>
      <c r="FE94" s="79">
        <v>3</v>
      </c>
      <c r="FF94" s="11">
        <v>9.25</v>
      </c>
      <c r="FG94" s="79">
        <v>3</v>
      </c>
      <c r="FH94" s="11">
        <v>7</v>
      </c>
      <c r="FI94" s="79">
        <v>3</v>
      </c>
      <c r="FJ94" s="11">
        <v>11.666666666666666</v>
      </c>
      <c r="FK94" s="79">
        <v>3</v>
      </c>
      <c r="FL94" s="11">
        <v>11.333333333333334</v>
      </c>
      <c r="FM94" s="79">
        <v>3</v>
      </c>
      <c r="FN94" s="11">
        <v>7.666666666666667</v>
      </c>
      <c r="FO94" s="79">
        <v>3</v>
      </c>
      <c r="FP94" s="11">
        <v>6.333333333333333</v>
      </c>
      <c r="FQ94" s="79">
        <v>3</v>
      </c>
      <c r="FR94" s="11">
        <v>6.666666666666667</v>
      </c>
      <c r="FS94" s="79">
        <v>3</v>
      </c>
      <c r="FT94" s="11">
        <v>10</v>
      </c>
      <c r="FU94" s="79">
        <v>3</v>
      </c>
      <c r="FV94" s="11">
        <v>10.666666666666666</v>
      </c>
      <c r="FW94" s="79">
        <v>3</v>
      </c>
      <c r="FX94" s="11">
        <v>7</v>
      </c>
      <c r="FY94" s="79">
        <v>3</v>
      </c>
      <c r="FZ94" s="11">
        <v>9.8666666666666689</v>
      </c>
      <c r="GA94" s="79">
        <v>3</v>
      </c>
      <c r="GB94" s="11">
        <v>7.333333333333333</v>
      </c>
      <c r="GC94" s="79">
        <v>3</v>
      </c>
      <c r="GD94" s="11">
        <v>9.6666666666666661</v>
      </c>
      <c r="GE94" s="79">
        <v>3</v>
      </c>
      <c r="GF94" s="11">
        <v>11.333333333333334</v>
      </c>
      <c r="GG94" s="79">
        <v>3</v>
      </c>
      <c r="GH94" s="11">
        <v>11.666666666666666</v>
      </c>
      <c r="GI94" s="79">
        <v>3</v>
      </c>
      <c r="GJ94" s="243">
        <v>8</v>
      </c>
      <c r="GK94" s="242">
        <v>3</v>
      </c>
      <c r="GL94" s="243">
        <v>6.5</v>
      </c>
      <c r="GM94" s="242">
        <v>3</v>
      </c>
      <c r="GN94" s="248"/>
      <c r="GO94" s="249"/>
    </row>
    <row r="95" spans="1:224">
      <c r="A95" s="1" t="s">
        <v>785</v>
      </c>
      <c r="B95" s="3">
        <v>43</v>
      </c>
      <c r="C95" t="s">
        <v>223</v>
      </c>
      <c r="D95" s="3">
        <v>86</v>
      </c>
      <c r="E95" t="s">
        <v>19</v>
      </c>
      <c r="F95" s="3">
        <v>5</v>
      </c>
      <c r="G95" s="3"/>
      <c r="P95" t="s">
        <v>452</v>
      </c>
      <c r="T95" s="2" t="s">
        <v>459</v>
      </c>
      <c r="U95" s="3" t="s">
        <v>459</v>
      </c>
      <c r="V95" s="3" t="s">
        <v>459</v>
      </c>
      <c r="W95" s="3" t="s">
        <v>459</v>
      </c>
      <c r="X95" s="3" t="s">
        <v>459</v>
      </c>
      <c r="Y95" s="3" t="s">
        <v>459</v>
      </c>
      <c r="Z95" s="79" t="s">
        <v>459</v>
      </c>
      <c r="AA95" s="3" t="s">
        <v>459</v>
      </c>
      <c r="AB95" s="3" t="s">
        <v>459</v>
      </c>
      <c r="AC95" s="3" t="s">
        <v>459</v>
      </c>
      <c r="AD95" s="3" t="s">
        <v>459</v>
      </c>
      <c r="AE95" s="79" t="s">
        <v>459</v>
      </c>
      <c r="AF95" s="3" t="s">
        <v>459</v>
      </c>
      <c r="AG95" s="3" t="s">
        <v>459</v>
      </c>
      <c r="AH95" s="3" t="s">
        <v>459</v>
      </c>
      <c r="AI95" s="3" t="s">
        <v>459</v>
      </c>
      <c r="AJ95" s="3" t="s">
        <v>459</v>
      </c>
      <c r="AK95" s="3" t="s">
        <v>459</v>
      </c>
      <c r="AL95" s="3" t="s">
        <v>459</v>
      </c>
      <c r="AM95" s="3" t="s">
        <v>459</v>
      </c>
      <c r="AN95" s="3" t="s">
        <v>459</v>
      </c>
      <c r="AO95" s="3" t="s">
        <v>459</v>
      </c>
      <c r="AP95" s="3" t="s">
        <v>459</v>
      </c>
      <c r="AQ95" s="3" t="s">
        <v>459</v>
      </c>
      <c r="AR95" s="3" t="s">
        <v>459</v>
      </c>
      <c r="AS95" s="3" t="s">
        <v>459</v>
      </c>
      <c r="AT95" s="3" t="s">
        <v>459</v>
      </c>
      <c r="AU95" s="3" t="s">
        <v>459</v>
      </c>
      <c r="AV95" s="3" t="s">
        <v>459</v>
      </c>
      <c r="AW95" s="3" t="s">
        <v>459</v>
      </c>
      <c r="AX95" s="3" t="s">
        <v>459</v>
      </c>
      <c r="AY95" s="3" t="s">
        <v>459</v>
      </c>
      <c r="AZ95" s="3" t="s">
        <v>459</v>
      </c>
      <c r="BA95" s="3" t="s">
        <v>459</v>
      </c>
      <c r="BB95" s="3" t="s">
        <v>459</v>
      </c>
      <c r="BC95" s="3" t="s">
        <v>459</v>
      </c>
      <c r="BD95" s="3" t="s">
        <v>459</v>
      </c>
      <c r="BE95" s="3" t="s">
        <v>459</v>
      </c>
      <c r="BF95" s="3" t="s">
        <v>459</v>
      </c>
      <c r="BG95" s="3" t="s">
        <v>459</v>
      </c>
      <c r="BH95" s="3" t="s">
        <v>459</v>
      </c>
      <c r="BI95" s="3" t="s">
        <v>459</v>
      </c>
      <c r="BJ95" s="3" t="s">
        <v>459</v>
      </c>
      <c r="BK95" s="3" t="s">
        <v>459</v>
      </c>
      <c r="DU95" s="1">
        <v>0.3</v>
      </c>
      <c r="DV95" s="11">
        <v>11.333333333333334</v>
      </c>
      <c r="DW95" s="79">
        <v>4</v>
      </c>
      <c r="DX95" s="11">
        <v>9.3333333333333339</v>
      </c>
      <c r="DY95" s="79">
        <v>4</v>
      </c>
      <c r="DZ95" s="11">
        <v>11.666666666666666</v>
      </c>
      <c r="EA95" s="79">
        <v>4</v>
      </c>
      <c r="EB95" s="11">
        <v>11</v>
      </c>
      <c r="EC95" s="79">
        <v>4</v>
      </c>
      <c r="ED95" s="11">
        <v>10.333333333333334</v>
      </c>
      <c r="EE95" s="79">
        <v>4</v>
      </c>
      <c r="EF95" s="11">
        <v>8.3333333333333339</v>
      </c>
      <c r="EG95" s="79">
        <v>4</v>
      </c>
      <c r="EH95" s="11">
        <v>11</v>
      </c>
      <c r="EI95" s="79">
        <v>4</v>
      </c>
      <c r="EJ95" s="11">
        <v>11</v>
      </c>
      <c r="EK95" s="79">
        <v>4</v>
      </c>
      <c r="EL95" s="11">
        <v>8</v>
      </c>
      <c r="EM95" s="79">
        <v>4</v>
      </c>
      <c r="EN95" s="11">
        <v>9.3333333333333339</v>
      </c>
      <c r="EO95" s="79">
        <v>4</v>
      </c>
      <c r="EP95" s="11">
        <v>10</v>
      </c>
      <c r="EQ95" s="79">
        <v>4</v>
      </c>
      <c r="ER95" s="11">
        <v>8.6666666666666661</v>
      </c>
      <c r="ES95" s="79">
        <v>4</v>
      </c>
      <c r="ET95" s="11">
        <v>11.666666666666666</v>
      </c>
      <c r="EU95" s="79">
        <v>4</v>
      </c>
      <c r="EV95" s="11">
        <v>9</v>
      </c>
      <c r="EW95" s="79">
        <v>4</v>
      </c>
      <c r="EX95" s="11">
        <v>9.3333333333333339</v>
      </c>
      <c r="EY95" s="79">
        <v>4</v>
      </c>
      <c r="EZ95" s="11">
        <v>10.333333333333334</v>
      </c>
      <c r="FA95" s="79">
        <v>4</v>
      </c>
      <c r="FB95" s="11">
        <v>10.75</v>
      </c>
      <c r="FC95" s="79">
        <v>4</v>
      </c>
      <c r="FD95" s="11">
        <v>11</v>
      </c>
      <c r="FE95" s="79">
        <v>4</v>
      </c>
      <c r="FF95" s="11">
        <v>10</v>
      </c>
      <c r="FG95" s="79">
        <v>4</v>
      </c>
      <c r="FH95" s="11">
        <v>7.666666666666667</v>
      </c>
      <c r="FI95" s="79">
        <v>4</v>
      </c>
      <c r="FJ95" s="11">
        <v>12.666666666666666</v>
      </c>
      <c r="FK95" s="79">
        <v>4</v>
      </c>
      <c r="FL95" s="11">
        <v>12</v>
      </c>
      <c r="FM95" s="79">
        <v>4</v>
      </c>
      <c r="FN95" s="11">
        <v>8.3333333333333339</v>
      </c>
      <c r="FO95" s="79">
        <v>4</v>
      </c>
      <c r="FP95" s="11">
        <v>7.333333333333333</v>
      </c>
      <c r="FQ95" s="79">
        <v>4</v>
      </c>
      <c r="FR95" s="11">
        <v>7.666666666666667</v>
      </c>
      <c r="FS95" s="79">
        <v>4</v>
      </c>
      <c r="FT95" s="11">
        <v>10.666666666666666</v>
      </c>
      <c r="FU95" s="79">
        <v>4</v>
      </c>
      <c r="FV95" s="11">
        <v>11.666666666666666</v>
      </c>
      <c r="FW95" s="79">
        <v>4</v>
      </c>
      <c r="FX95" s="11">
        <v>7.666666666666667</v>
      </c>
      <c r="FY95" s="79">
        <v>4</v>
      </c>
      <c r="FZ95" s="11">
        <v>10.666666666666666</v>
      </c>
      <c r="GA95" s="79">
        <v>4</v>
      </c>
      <c r="GB95" s="11">
        <v>8.3333333333333339</v>
      </c>
      <c r="GC95" s="79">
        <v>4</v>
      </c>
      <c r="GD95" s="11">
        <v>10.633333333333329</v>
      </c>
      <c r="GE95" s="79">
        <v>4</v>
      </c>
      <c r="GF95" s="11">
        <v>12</v>
      </c>
      <c r="GG95" s="79">
        <v>4</v>
      </c>
      <c r="GH95" s="11">
        <v>12.666666666666666</v>
      </c>
      <c r="GI95" s="79">
        <v>4</v>
      </c>
      <c r="GJ95" s="243">
        <v>8.6666666666666661</v>
      </c>
      <c r="GK95" s="242">
        <v>4</v>
      </c>
      <c r="GL95" s="243">
        <v>7.5</v>
      </c>
      <c r="GM95" s="242">
        <v>4</v>
      </c>
      <c r="GN95" s="248"/>
      <c r="GO95" s="249"/>
    </row>
    <row r="96" spans="1:224">
      <c r="A96" s="1" t="s">
        <v>786</v>
      </c>
      <c r="B96" s="3">
        <v>44</v>
      </c>
      <c r="C96" t="s">
        <v>299</v>
      </c>
      <c r="D96" s="3">
        <v>87</v>
      </c>
      <c r="E96" t="s">
        <v>19</v>
      </c>
      <c r="F96" s="3">
        <v>5</v>
      </c>
      <c r="G96" s="3"/>
      <c r="M96" s="73" t="s">
        <v>621</v>
      </c>
      <c r="P96" s="73" t="s">
        <v>621</v>
      </c>
      <c r="T96" s="98" t="s">
        <v>446</v>
      </c>
      <c r="U96" s="3">
        <v>5</v>
      </c>
      <c r="V96" s="3">
        <v>4</v>
      </c>
      <c r="W96" s="3">
        <v>4</v>
      </c>
      <c r="X96" s="3">
        <v>4</v>
      </c>
      <c r="Y96" s="3">
        <v>5</v>
      </c>
      <c r="Z96" s="79">
        <v>3</v>
      </c>
      <c r="AA96" s="3">
        <v>6</v>
      </c>
      <c r="AB96" s="3">
        <v>4</v>
      </c>
      <c r="AC96" s="3">
        <v>4</v>
      </c>
      <c r="AD96" s="3">
        <v>6</v>
      </c>
      <c r="AE96" s="79">
        <v>4</v>
      </c>
      <c r="AF96" s="3">
        <v>6</v>
      </c>
      <c r="AG96" s="3">
        <v>5</v>
      </c>
      <c r="AH96" s="3">
        <v>8</v>
      </c>
      <c r="AI96" s="3">
        <v>7</v>
      </c>
      <c r="AJ96" s="3">
        <v>5</v>
      </c>
      <c r="AK96" s="3">
        <v>5</v>
      </c>
      <c r="AL96" s="3">
        <v>4</v>
      </c>
      <c r="AM96" s="3">
        <v>5</v>
      </c>
      <c r="AN96" s="3">
        <v>8</v>
      </c>
      <c r="AO96" s="3">
        <v>3</v>
      </c>
      <c r="AP96" s="3">
        <v>6</v>
      </c>
      <c r="AQ96" s="3">
        <v>6</v>
      </c>
      <c r="AR96" s="3">
        <v>2</v>
      </c>
      <c r="AS96" s="3">
        <v>4</v>
      </c>
      <c r="AT96" s="3">
        <v>6</v>
      </c>
      <c r="AU96" s="3">
        <v>6</v>
      </c>
      <c r="AV96" s="3">
        <v>4</v>
      </c>
      <c r="AW96" s="3">
        <v>4</v>
      </c>
      <c r="AX96" s="3">
        <v>5</v>
      </c>
      <c r="AY96" s="3">
        <v>3</v>
      </c>
      <c r="AZ96" s="3">
        <v>3</v>
      </c>
      <c r="BA96" s="3">
        <v>3</v>
      </c>
      <c r="BB96" s="3">
        <v>5</v>
      </c>
      <c r="BC96" s="3">
        <v>5</v>
      </c>
      <c r="BD96" s="3">
        <v>4</v>
      </c>
      <c r="BE96" s="3">
        <v>4</v>
      </c>
      <c r="BF96" s="3">
        <v>3</v>
      </c>
      <c r="BG96" s="3">
        <v>3</v>
      </c>
      <c r="BH96" s="3">
        <v>4</v>
      </c>
      <c r="BI96" s="3">
        <v>6</v>
      </c>
      <c r="BJ96" s="3">
        <v>4</v>
      </c>
      <c r="BK96" s="3">
        <v>4</v>
      </c>
      <c r="DU96" s="1">
        <v>0.4</v>
      </c>
      <c r="DV96" s="11">
        <v>12.333333333333334</v>
      </c>
      <c r="DW96" s="79">
        <v>5</v>
      </c>
      <c r="DX96" s="11">
        <v>10.333333333333334</v>
      </c>
      <c r="DY96" s="79">
        <v>5</v>
      </c>
      <c r="DZ96" s="11">
        <v>12.333333333333334</v>
      </c>
      <c r="EA96" s="79">
        <v>5</v>
      </c>
      <c r="EB96" s="11">
        <v>12</v>
      </c>
      <c r="EC96" s="79">
        <v>5</v>
      </c>
      <c r="ED96" s="11">
        <v>11</v>
      </c>
      <c r="EE96" s="79">
        <v>5</v>
      </c>
      <c r="EF96" s="11">
        <v>9</v>
      </c>
      <c r="EG96" s="79">
        <v>5</v>
      </c>
      <c r="EH96" s="11">
        <v>11.666666666666666</v>
      </c>
      <c r="EI96" s="79">
        <v>5</v>
      </c>
      <c r="EJ96" s="11">
        <v>11.666666666666666</v>
      </c>
      <c r="EK96" s="79">
        <v>5</v>
      </c>
      <c r="EL96" s="11">
        <v>8.6666666666666661</v>
      </c>
      <c r="EM96" s="79">
        <v>5</v>
      </c>
      <c r="EN96" s="11">
        <v>10</v>
      </c>
      <c r="EO96" s="79">
        <v>5</v>
      </c>
      <c r="EP96" s="11">
        <v>10.666666666666666</v>
      </c>
      <c r="EQ96" s="79">
        <v>5</v>
      </c>
      <c r="ER96" s="11">
        <v>9.6666666666666661</v>
      </c>
      <c r="ES96" s="79">
        <v>5</v>
      </c>
      <c r="ET96" s="11">
        <v>12.333333333333334</v>
      </c>
      <c r="EU96" s="79">
        <v>5</v>
      </c>
      <c r="EV96" s="11">
        <v>10</v>
      </c>
      <c r="EW96" s="79">
        <v>5</v>
      </c>
      <c r="EX96" s="11">
        <v>10</v>
      </c>
      <c r="EY96" s="79">
        <v>5</v>
      </c>
      <c r="EZ96" s="11">
        <v>11</v>
      </c>
      <c r="FA96" s="79">
        <v>5</v>
      </c>
      <c r="FB96" s="11">
        <v>11.5</v>
      </c>
      <c r="FC96" s="79">
        <v>5</v>
      </c>
      <c r="FD96" s="11">
        <v>11.75</v>
      </c>
      <c r="FE96" s="79">
        <v>5</v>
      </c>
      <c r="FF96" s="11">
        <v>10.5</v>
      </c>
      <c r="FG96" s="79">
        <v>5</v>
      </c>
      <c r="FH96" s="11">
        <v>8.6666666666666661</v>
      </c>
      <c r="FI96" s="79">
        <v>5</v>
      </c>
      <c r="FJ96" s="11">
        <v>13.666666666666666</v>
      </c>
      <c r="FK96" s="79">
        <v>5</v>
      </c>
      <c r="FL96" s="11">
        <v>13</v>
      </c>
      <c r="FM96" s="79">
        <v>5</v>
      </c>
      <c r="FN96" s="11">
        <v>9.3333333333333339</v>
      </c>
      <c r="FO96" s="79">
        <v>5</v>
      </c>
      <c r="FP96" s="11">
        <v>8</v>
      </c>
      <c r="FQ96" s="79">
        <v>5</v>
      </c>
      <c r="FR96" s="11">
        <v>8.6666666666666661</v>
      </c>
      <c r="FS96" s="79">
        <v>5</v>
      </c>
      <c r="FT96" s="11">
        <v>11.333333333333334</v>
      </c>
      <c r="FU96" s="79">
        <v>5</v>
      </c>
      <c r="FV96" s="11">
        <v>12.333333333333334</v>
      </c>
      <c r="FW96" s="79">
        <v>5</v>
      </c>
      <c r="FX96" s="11">
        <v>8.3333333333333339</v>
      </c>
      <c r="FY96" s="79">
        <v>5</v>
      </c>
      <c r="FZ96" s="11">
        <v>11.333333333333334</v>
      </c>
      <c r="GA96" s="79">
        <v>5</v>
      </c>
      <c r="GB96" s="11">
        <v>9</v>
      </c>
      <c r="GC96" s="79">
        <v>5</v>
      </c>
      <c r="GD96" s="11">
        <v>11.333333333333334</v>
      </c>
      <c r="GE96" s="79">
        <v>5</v>
      </c>
      <c r="GF96" s="11">
        <v>13</v>
      </c>
      <c r="GG96" s="79">
        <v>5</v>
      </c>
      <c r="GH96" s="11">
        <v>13.333333333333334</v>
      </c>
      <c r="GI96" s="79">
        <v>5</v>
      </c>
      <c r="GJ96" s="243">
        <v>9.6666666666666661</v>
      </c>
      <c r="GK96" s="242">
        <v>5</v>
      </c>
      <c r="GL96" s="243">
        <v>8.5</v>
      </c>
      <c r="GM96" s="242">
        <v>5</v>
      </c>
      <c r="GN96" s="248"/>
      <c r="GO96" s="249"/>
    </row>
    <row r="97" spans="1:224">
      <c r="A97" s="1" t="s">
        <v>787</v>
      </c>
      <c r="B97" s="3">
        <v>44</v>
      </c>
      <c r="C97" s="169" t="s">
        <v>323</v>
      </c>
      <c r="D97" s="3">
        <v>88</v>
      </c>
      <c r="E97" t="s">
        <v>19</v>
      </c>
      <c r="F97" s="3">
        <v>5</v>
      </c>
      <c r="G97" s="3"/>
      <c r="P97" s="12" t="s">
        <v>63</v>
      </c>
      <c r="T97" s="98" t="s">
        <v>625</v>
      </c>
      <c r="U97" s="3">
        <v>8</v>
      </c>
      <c r="V97" s="3">
        <v>7</v>
      </c>
      <c r="W97" s="3">
        <v>8</v>
      </c>
      <c r="X97" s="3">
        <v>7</v>
      </c>
      <c r="Y97" s="3">
        <v>8</v>
      </c>
      <c r="Z97" s="79">
        <v>6</v>
      </c>
      <c r="AA97" s="3">
        <v>9</v>
      </c>
      <c r="AB97" s="3">
        <v>8</v>
      </c>
      <c r="AC97" s="3">
        <v>7</v>
      </c>
      <c r="AD97" s="3">
        <v>7</v>
      </c>
      <c r="AE97" s="79">
        <v>7</v>
      </c>
      <c r="AF97" s="3">
        <v>9</v>
      </c>
      <c r="AG97" s="3">
        <v>8</v>
      </c>
      <c r="AH97" s="3">
        <v>9</v>
      </c>
      <c r="AI97" s="3">
        <v>6</v>
      </c>
      <c r="AJ97" s="3">
        <v>8</v>
      </c>
      <c r="AK97" s="3">
        <v>7</v>
      </c>
      <c r="AL97" s="3">
        <v>7</v>
      </c>
      <c r="AM97" s="3">
        <v>7</v>
      </c>
      <c r="AN97" s="3">
        <v>8</v>
      </c>
      <c r="AO97" s="3">
        <v>7</v>
      </c>
      <c r="AP97" s="3">
        <v>6</v>
      </c>
      <c r="AQ97" s="3">
        <v>8</v>
      </c>
      <c r="AR97" s="3">
        <v>5</v>
      </c>
      <c r="AS97" s="3">
        <v>7</v>
      </c>
      <c r="AT97" s="3">
        <v>8</v>
      </c>
      <c r="AU97" s="3">
        <v>8</v>
      </c>
      <c r="AV97" s="3">
        <v>8</v>
      </c>
      <c r="AW97" s="3">
        <v>7</v>
      </c>
      <c r="AX97" s="3">
        <v>8</v>
      </c>
      <c r="AY97" s="3">
        <v>7</v>
      </c>
      <c r="AZ97" s="3">
        <v>7</v>
      </c>
      <c r="BA97" s="3">
        <v>8</v>
      </c>
      <c r="BB97" s="3">
        <v>9</v>
      </c>
      <c r="BC97" s="3">
        <v>7</v>
      </c>
      <c r="BD97" s="3">
        <v>8</v>
      </c>
      <c r="BE97" s="3">
        <v>8</v>
      </c>
      <c r="BF97" s="3">
        <v>8</v>
      </c>
      <c r="BG97" s="3">
        <v>7</v>
      </c>
      <c r="BH97" s="3">
        <v>8</v>
      </c>
      <c r="BI97" s="3">
        <v>8</v>
      </c>
      <c r="BJ97" s="3">
        <v>8</v>
      </c>
      <c r="BK97" s="3">
        <v>6</v>
      </c>
      <c r="DU97" s="1">
        <v>0.5</v>
      </c>
      <c r="DV97" s="11">
        <v>13</v>
      </c>
      <c r="DW97" s="79">
        <v>6</v>
      </c>
      <c r="DX97" s="11">
        <v>11</v>
      </c>
      <c r="DY97" s="79">
        <v>6</v>
      </c>
      <c r="DZ97" s="11">
        <v>13</v>
      </c>
      <c r="EA97" s="79">
        <v>6</v>
      </c>
      <c r="EB97" s="11">
        <v>12.666666666666666</v>
      </c>
      <c r="EC97" s="79">
        <v>6</v>
      </c>
      <c r="ED97" s="11">
        <v>11.666666666666666</v>
      </c>
      <c r="EE97" s="79">
        <v>6</v>
      </c>
      <c r="EF97" s="11">
        <v>9.6666666666666661</v>
      </c>
      <c r="EG97" s="79">
        <v>6</v>
      </c>
      <c r="EH97" s="11">
        <v>12.666666666666666</v>
      </c>
      <c r="EI97" s="79">
        <v>6</v>
      </c>
      <c r="EJ97" s="11">
        <v>12.333333333333334</v>
      </c>
      <c r="EK97" s="79">
        <v>6</v>
      </c>
      <c r="EL97" s="11">
        <v>9.3333333333333339</v>
      </c>
      <c r="EM97" s="79">
        <v>6</v>
      </c>
      <c r="EN97" s="11">
        <v>10.666666666666666</v>
      </c>
      <c r="EO97" s="79">
        <v>6</v>
      </c>
      <c r="EP97" s="11">
        <v>11.333333333333334</v>
      </c>
      <c r="EQ97" s="79">
        <v>6</v>
      </c>
      <c r="ER97" s="11">
        <v>10.333333333333334</v>
      </c>
      <c r="ES97" s="79">
        <v>6</v>
      </c>
      <c r="ET97" s="11">
        <v>13</v>
      </c>
      <c r="EU97" s="79">
        <v>6</v>
      </c>
      <c r="EV97" s="11">
        <v>10.666666666666666</v>
      </c>
      <c r="EW97" s="79">
        <v>6</v>
      </c>
      <c r="EX97" s="11">
        <v>10.666666666666666</v>
      </c>
      <c r="EY97" s="79">
        <v>6</v>
      </c>
      <c r="EZ97" s="11">
        <v>11.666666666666666</v>
      </c>
      <c r="FA97" s="79">
        <v>6</v>
      </c>
      <c r="FB97" s="11">
        <v>12.25</v>
      </c>
      <c r="FC97" s="79">
        <v>6</v>
      </c>
      <c r="FD97" s="11">
        <v>12.5</v>
      </c>
      <c r="FE97" s="79">
        <v>6</v>
      </c>
      <c r="FF97" s="11">
        <v>11.25</v>
      </c>
      <c r="FG97" s="79">
        <v>6</v>
      </c>
      <c r="FH97" s="11">
        <v>9</v>
      </c>
      <c r="FI97" s="79">
        <v>6</v>
      </c>
      <c r="FJ97" s="11">
        <v>14.333333333333334</v>
      </c>
      <c r="FK97" s="79">
        <v>6</v>
      </c>
      <c r="FL97" s="11">
        <v>13.666666666666666</v>
      </c>
      <c r="FM97" s="79">
        <v>6</v>
      </c>
      <c r="FN97" s="11">
        <v>10.333333333333334</v>
      </c>
      <c r="FO97" s="79">
        <v>6</v>
      </c>
      <c r="FP97" s="11">
        <v>9</v>
      </c>
      <c r="FQ97" s="79">
        <v>6</v>
      </c>
      <c r="FR97" s="11">
        <v>9.6666666666666661</v>
      </c>
      <c r="FS97" s="79">
        <v>6</v>
      </c>
      <c r="FT97" s="11">
        <v>12</v>
      </c>
      <c r="FU97" s="79">
        <v>6</v>
      </c>
      <c r="FV97" s="11">
        <v>13</v>
      </c>
      <c r="FW97" s="79">
        <v>6</v>
      </c>
      <c r="FX97" s="11">
        <v>9.3333333333333339</v>
      </c>
      <c r="FY97" s="79">
        <v>6</v>
      </c>
      <c r="FZ97" s="11">
        <v>12.333333333333334</v>
      </c>
      <c r="GA97" s="79">
        <v>6</v>
      </c>
      <c r="GB97" s="11">
        <v>10</v>
      </c>
      <c r="GC97" s="79">
        <v>6</v>
      </c>
      <c r="GD97" s="11">
        <v>12</v>
      </c>
      <c r="GE97" s="79">
        <v>6</v>
      </c>
      <c r="GF97" s="11">
        <v>13.666666666666666</v>
      </c>
      <c r="GG97" s="79">
        <v>6</v>
      </c>
      <c r="GH97" s="11">
        <v>14</v>
      </c>
      <c r="GI97" s="79">
        <v>6</v>
      </c>
      <c r="GJ97" s="243">
        <v>10.333333333333334</v>
      </c>
      <c r="GK97" s="242">
        <v>6</v>
      </c>
      <c r="GL97" s="243">
        <v>9.5</v>
      </c>
      <c r="GM97" s="242">
        <v>6</v>
      </c>
      <c r="GN97" s="248"/>
      <c r="GO97" s="249"/>
    </row>
    <row r="98" spans="1:224">
      <c r="A98" s="1" t="s">
        <v>788</v>
      </c>
      <c r="B98" s="3">
        <v>45</v>
      </c>
      <c r="C98" t="s">
        <v>189</v>
      </c>
      <c r="D98" s="3">
        <v>89</v>
      </c>
      <c r="E98" t="s">
        <v>19</v>
      </c>
      <c r="F98" s="3">
        <v>4</v>
      </c>
      <c r="G98" s="3"/>
      <c r="P98" s="73" t="s">
        <v>392</v>
      </c>
      <c r="T98" s="98" t="s">
        <v>394</v>
      </c>
      <c r="U98" s="3">
        <v>8</v>
      </c>
      <c r="V98" s="3">
        <v>8</v>
      </c>
      <c r="W98" s="3">
        <v>7</v>
      </c>
      <c r="X98" s="3">
        <v>8</v>
      </c>
      <c r="Y98" s="3">
        <v>8</v>
      </c>
      <c r="Z98" s="79">
        <v>7</v>
      </c>
      <c r="AA98" s="3">
        <v>7</v>
      </c>
      <c r="AB98" s="3">
        <v>7</v>
      </c>
      <c r="AC98" s="3">
        <v>7</v>
      </c>
      <c r="AD98" s="3">
        <v>8</v>
      </c>
      <c r="AE98" s="79">
        <v>8</v>
      </c>
      <c r="AF98" s="3">
        <v>7</v>
      </c>
      <c r="AG98" s="3">
        <v>8</v>
      </c>
      <c r="AH98" s="3">
        <v>8</v>
      </c>
      <c r="AI98" s="3">
        <v>9</v>
      </c>
      <c r="AJ98" s="3">
        <v>8</v>
      </c>
      <c r="AK98" s="3">
        <v>8</v>
      </c>
      <c r="AL98" s="3">
        <v>6</v>
      </c>
      <c r="AM98" s="3">
        <v>8</v>
      </c>
      <c r="AN98" s="3">
        <v>8</v>
      </c>
      <c r="AO98" s="3">
        <v>6</v>
      </c>
      <c r="AP98" s="3">
        <v>6</v>
      </c>
      <c r="AQ98" s="3">
        <v>7</v>
      </c>
      <c r="AR98" s="3">
        <v>9</v>
      </c>
      <c r="AS98" s="3">
        <v>7</v>
      </c>
      <c r="AT98" s="3">
        <v>9</v>
      </c>
      <c r="AU98" s="3">
        <v>8</v>
      </c>
      <c r="AV98" s="3">
        <v>7</v>
      </c>
      <c r="AW98" s="3">
        <v>7</v>
      </c>
      <c r="AX98" s="3">
        <v>7</v>
      </c>
      <c r="AY98" s="3">
        <v>7</v>
      </c>
      <c r="AZ98" s="3">
        <v>7</v>
      </c>
      <c r="BA98" s="3">
        <v>7</v>
      </c>
      <c r="BB98" s="3">
        <v>5</v>
      </c>
      <c r="BC98" s="3">
        <v>6</v>
      </c>
      <c r="BD98" s="3">
        <v>6</v>
      </c>
      <c r="BE98" s="3">
        <v>8</v>
      </c>
      <c r="BF98" s="3">
        <v>7</v>
      </c>
      <c r="BG98" s="3">
        <v>8</v>
      </c>
      <c r="BH98" s="3">
        <v>6</v>
      </c>
      <c r="BI98" s="3">
        <v>8</v>
      </c>
      <c r="BJ98" s="3">
        <v>7</v>
      </c>
      <c r="BK98" s="3">
        <v>8</v>
      </c>
      <c r="DU98" s="1">
        <v>0.6</v>
      </c>
      <c r="DV98" s="11">
        <v>13.666666666666666</v>
      </c>
      <c r="DW98" s="79">
        <v>7</v>
      </c>
      <c r="DX98" s="11">
        <v>11.666666666666666</v>
      </c>
      <c r="DY98" s="79">
        <v>7</v>
      </c>
      <c r="DZ98" s="11">
        <v>13.666666666666666</v>
      </c>
      <c r="EA98" s="79">
        <v>7</v>
      </c>
      <c r="EB98" s="11">
        <v>13.333333333333334</v>
      </c>
      <c r="EC98" s="79">
        <v>7</v>
      </c>
      <c r="ED98" s="11">
        <v>12.599999999999994</v>
      </c>
      <c r="EE98" s="79">
        <v>7</v>
      </c>
      <c r="EF98" s="11">
        <v>10.333333333333334</v>
      </c>
      <c r="EG98" s="79">
        <v>7</v>
      </c>
      <c r="EH98" s="11">
        <v>13.333333333333334</v>
      </c>
      <c r="EI98" s="79">
        <v>7</v>
      </c>
      <c r="EJ98" s="11">
        <v>13</v>
      </c>
      <c r="EK98" s="79">
        <v>7</v>
      </c>
      <c r="EL98" s="11">
        <v>10.333333333333334</v>
      </c>
      <c r="EM98" s="79">
        <v>7</v>
      </c>
      <c r="EN98" s="11">
        <v>11.333333333333334</v>
      </c>
      <c r="EO98" s="79">
        <v>7</v>
      </c>
      <c r="EP98" s="11">
        <v>11.666666666666666</v>
      </c>
      <c r="EQ98" s="79">
        <v>7</v>
      </c>
      <c r="ER98" s="11">
        <v>11.333333333333334</v>
      </c>
      <c r="ES98" s="79">
        <v>7</v>
      </c>
      <c r="ET98" s="11">
        <v>13.666666666666666</v>
      </c>
      <c r="EU98" s="79">
        <v>7</v>
      </c>
      <c r="EV98" s="11">
        <v>11.333333333333334</v>
      </c>
      <c r="EW98" s="79">
        <v>7</v>
      </c>
      <c r="EX98" s="11">
        <v>11.333333333333334</v>
      </c>
      <c r="EY98" s="79">
        <v>7</v>
      </c>
      <c r="EZ98" s="11">
        <v>12.933333333333328</v>
      </c>
      <c r="FA98" s="79">
        <v>7</v>
      </c>
      <c r="FB98" s="11">
        <v>12.75</v>
      </c>
      <c r="FC98" s="79">
        <v>7</v>
      </c>
      <c r="FD98" s="11">
        <v>13.449999999999996</v>
      </c>
      <c r="FE98" s="79">
        <v>7</v>
      </c>
      <c r="FF98" s="11">
        <v>11.75</v>
      </c>
      <c r="FG98" s="79">
        <v>7</v>
      </c>
      <c r="FH98" s="11">
        <v>10</v>
      </c>
      <c r="FI98" s="79">
        <v>7</v>
      </c>
      <c r="FJ98" s="11">
        <v>15</v>
      </c>
      <c r="FK98" s="79">
        <v>7</v>
      </c>
      <c r="FL98" s="11">
        <v>14.333333333333334</v>
      </c>
      <c r="FM98" s="79">
        <v>7</v>
      </c>
      <c r="FN98" s="11">
        <v>10.666666666666666</v>
      </c>
      <c r="FO98" s="79">
        <v>7</v>
      </c>
      <c r="FP98" s="11">
        <v>10</v>
      </c>
      <c r="FQ98" s="79">
        <v>7</v>
      </c>
      <c r="FR98" s="11">
        <v>10.666666666666666</v>
      </c>
      <c r="FS98" s="79">
        <v>7</v>
      </c>
      <c r="FT98" s="11">
        <v>12.666666666666666</v>
      </c>
      <c r="FU98" s="79">
        <v>7</v>
      </c>
      <c r="FV98" s="11">
        <v>13.333333333333334</v>
      </c>
      <c r="FW98" s="79">
        <v>7</v>
      </c>
      <c r="FX98" s="11">
        <v>10</v>
      </c>
      <c r="FY98" s="79">
        <v>7</v>
      </c>
      <c r="FZ98" s="11">
        <v>13.333333333333334</v>
      </c>
      <c r="GA98" s="79">
        <v>7</v>
      </c>
      <c r="GB98" s="11">
        <v>10.666666666666666</v>
      </c>
      <c r="GC98" s="79">
        <v>7</v>
      </c>
      <c r="GD98" s="11">
        <v>12.666666666666666</v>
      </c>
      <c r="GE98" s="79">
        <v>7</v>
      </c>
      <c r="GF98" s="11">
        <v>14.333333333333334</v>
      </c>
      <c r="GG98" s="79">
        <v>7</v>
      </c>
      <c r="GH98" s="11">
        <v>15</v>
      </c>
      <c r="GI98" s="79">
        <v>7</v>
      </c>
      <c r="GJ98" s="243">
        <v>11</v>
      </c>
      <c r="GK98" s="242">
        <v>7</v>
      </c>
      <c r="GL98" s="243">
        <v>10.899999999999991</v>
      </c>
      <c r="GM98" s="242">
        <v>7</v>
      </c>
      <c r="GN98" s="248"/>
      <c r="GO98" s="249"/>
    </row>
    <row r="99" spans="1:224">
      <c r="A99" s="1" t="s">
        <v>789</v>
      </c>
      <c r="B99" s="3">
        <v>45</v>
      </c>
      <c r="C99" t="s">
        <v>126</v>
      </c>
      <c r="D99" s="3">
        <v>90</v>
      </c>
      <c r="E99" t="s">
        <v>19</v>
      </c>
      <c r="F99" s="3">
        <v>5</v>
      </c>
      <c r="G99" s="3"/>
      <c r="P99" s="73" t="s">
        <v>475</v>
      </c>
      <c r="T99" s="98" t="s">
        <v>466</v>
      </c>
      <c r="U99" s="3">
        <v>8</v>
      </c>
      <c r="V99" s="3">
        <v>8</v>
      </c>
      <c r="W99" s="3">
        <v>8</v>
      </c>
      <c r="X99" s="3">
        <v>9</v>
      </c>
      <c r="Y99" s="3">
        <v>8</v>
      </c>
      <c r="Z99" s="79">
        <v>8</v>
      </c>
      <c r="AA99" s="3">
        <v>8</v>
      </c>
      <c r="AB99" s="3">
        <v>8</v>
      </c>
      <c r="AC99" s="3">
        <v>8</v>
      </c>
      <c r="AD99" s="3">
        <v>8</v>
      </c>
      <c r="AE99" s="79">
        <v>8</v>
      </c>
      <c r="AF99" s="3">
        <v>8</v>
      </c>
      <c r="AG99" s="3">
        <v>7</v>
      </c>
      <c r="AH99" s="3">
        <v>7</v>
      </c>
      <c r="AI99" s="3">
        <v>8</v>
      </c>
      <c r="AJ99" s="3">
        <v>8</v>
      </c>
      <c r="AK99" s="3">
        <v>9</v>
      </c>
      <c r="AL99" s="3">
        <v>9</v>
      </c>
      <c r="AM99" s="3">
        <v>8</v>
      </c>
      <c r="AN99" s="3">
        <v>6</v>
      </c>
      <c r="AO99" s="3">
        <v>7</v>
      </c>
      <c r="AP99" s="3">
        <v>4</v>
      </c>
      <c r="AQ99" s="3">
        <v>8</v>
      </c>
      <c r="AR99" s="3">
        <v>8</v>
      </c>
      <c r="AS99" s="3">
        <v>8</v>
      </c>
      <c r="AT99" s="3">
        <v>7</v>
      </c>
      <c r="AU99" s="3">
        <v>8</v>
      </c>
      <c r="AV99" s="3">
        <v>6</v>
      </c>
      <c r="AW99" s="3">
        <v>8</v>
      </c>
      <c r="AX99" s="3">
        <v>8</v>
      </c>
      <c r="AY99" s="3">
        <v>8</v>
      </c>
      <c r="AZ99" s="3">
        <v>8</v>
      </c>
      <c r="BA99" s="3">
        <v>7</v>
      </c>
      <c r="BB99" s="3">
        <v>7</v>
      </c>
      <c r="BC99" s="3">
        <v>8</v>
      </c>
      <c r="BD99" s="3">
        <v>8</v>
      </c>
      <c r="BE99" s="3">
        <v>8</v>
      </c>
      <c r="BF99" s="3">
        <v>8</v>
      </c>
      <c r="BG99" s="3">
        <v>7</v>
      </c>
      <c r="BH99" s="3">
        <v>9</v>
      </c>
      <c r="BI99" s="3">
        <v>8</v>
      </c>
      <c r="BJ99" s="3">
        <v>9</v>
      </c>
      <c r="BK99" s="3">
        <v>7</v>
      </c>
      <c r="DU99" s="1">
        <v>0.7</v>
      </c>
      <c r="DV99" s="11">
        <v>14.666666666666666</v>
      </c>
      <c r="DW99" s="79">
        <v>8</v>
      </c>
      <c r="DX99" s="11">
        <v>12.033333333333323</v>
      </c>
      <c r="DY99" s="79">
        <v>8</v>
      </c>
      <c r="DZ99" s="11">
        <v>14.333333333333334</v>
      </c>
      <c r="EA99" s="79">
        <v>8</v>
      </c>
      <c r="EB99" s="11">
        <v>14</v>
      </c>
      <c r="EC99" s="79">
        <v>8</v>
      </c>
      <c r="ED99" s="11">
        <v>13</v>
      </c>
      <c r="EE99" s="79">
        <v>8</v>
      </c>
      <c r="EF99" s="11">
        <v>11</v>
      </c>
      <c r="EG99" s="79">
        <v>8</v>
      </c>
      <c r="EH99" s="11">
        <v>14</v>
      </c>
      <c r="EI99" s="79">
        <v>8</v>
      </c>
      <c r="EJ99" s="11">
        <v>13.666666666666666</v>
      </c>
      <c r="EK99" s="79">
        <v>8</v>
      </c>
      <c r="EL99" s="11">
        <v>11</v>
      </c>
      <c r="EM99" s="79">
        <v>8</v>
      </c>
      <c r="EN99" s="11">
        <v>12</v>
      </c>
      <c r="EO99" s="79">
        <v>8</v>
      </c>
      <c r="EP99" s="11">
        <v>12.333333333333334</v>
      </c>
      <c r="EQ99" s="79">
        <v>8</v>
      </c>
      <c r="ER99" s="11">
        <v>12</v>
      </c>
      <c r="ES99" s="79">
        <v>8</v>
      </c>
      <c r="ET99" s="11">
        <v>14.333333333333334</v>
      </c>
      <c r="EU99" s="79">
        <v>8</v>
      </c>
      <c r="EV99" s="11">
        <v>12.333333333333334</v>
      </c>
      <c r="EW99" s="79">
        <v>8</v>
      </c>
      <c r="EX99" s="11">
        <v>12.333333333333334</v>
      </c>
      <c r="EY99" s="79">
        <v>8</v>
      </c>
      <c r="EZ99" s="11">
        <v>13.666666666666666</v>
      </c>
      <c r="FA99" s="79">
        <v>8</v>
      </c>
      <c r="FB99" s="11">
        <v>13.5</v>
      </c>
      <c r="FC99" s="79">
        <v>8</v>
      </c>
      <c r="FD99" s="11">
        <v>14</v>
      </c>
      <c r="FE99" s="79">
        <v>8</v>
      </c>
      <c r="FF99" s="11">
        <v>12.5</v>
      </c>
      <c r="FG99" s="79">
        <v>8</v>
      </c>
      <c r="FH99" s="11">
        <v>10.666666666666666</v>
      </c>
      <c r="FI99" s="79">
        <v>8</v>
      </c>
      <c r="FJ99" s="11">
        <v>15.666666666666666</v>
      </c>
      <c r="FK99" s="79">
        <v>8</v>
      </c>
      <c r="FL99" s="11">
        <v>15</v>
      </c>
      <c r="FM99" s="79">
        <v>8</v>
      </c>
      <c r="FN99" s="11">
        <v>11.666666666666666</v>
      </c>
      <c r="FO99" s="79">
        <v>8</v>
      </c>
      <c r="FP99" s="11">
        <v>11</v>
      </c>
      <c r="FQ99" s="79">
        <v>8</v>
      </c>
      <c r="FR99" s="11">
        <v>11.333333333333334</v>
      </c>
      <c r="FS99" s="79">
        <v>8</v>
      </c>
      <c r="FT99" s="11">
        <v>13.666666666666666</v>
      </c>
      <c r="FU99" s="79">
        <v>8</v>
      </c>
      <c r="FV99" s="11">
        <v>14.333333333333334</v>
      </c>
      <c r="FW99" s="79">
        <v>8</v>
      </c>
      <c r="FX99" s="11">
        <v>10.666666666666666</v>
      </c>
      <c r="FY99" s="79">
        <v>8</v>
      </c>
      <c r="FZ99" s="11">
        <v>14</v>
      </c>
      <c r="GA99" s="79">
        <v>8</v>
      </c>
      <c r="GB99" s="11">
        <v>11.666666666666666</v>
      </c>
      <c r="GC99" s="79">
        <v>8</v>
      </c>
      <c r="GD99" s="11">
        <v>13.666666666666666</v>
      </c>
      <c r="GE99" s="79">
        <v>8</v>
      </c>
      <c r="GF99" s="11">
        <v>15</v>
      </c>
      <c r="GG99" s="79">
        <v>8</v>
      </c>
      <c r="GH99" s="11">
        <v>15.666666666666666</v>
      </c>
      <c r="GI99" s="79">
        <v>8</v>
      </c>
      <c r="GJ99" s="243">
        <v>11.666666666666666</v>
      </c>
      <c r="GK99" s="242">
        <v>8</v>
      </c>
      <c r="GL99" s="243">
        <v>12</v>
      </c>
      <c r="GM99" s="242">
        <v>8</v>
      </c>
      <c r="GN99" s="248"/>
      <c r="GO99" s="249"/>
    </row>
    <row r="100" spans="1:224">
      <c r="A100" s="1" t="s">
        <v>790</v>
      </c>
      <c r="B100" s="3">
        <v>46</v>
      </c>
      <c r="C100" t="s">
        <v>352</v>
      </c>
      <c r="D100" s="3">
        <v>91</v>
      </c>
      <c r="E100" t="s">
        <v>19</v>
      </c>
      <c r="F100" s="3">
        <v>5</v>
      </c>
      <c r="G100" s="3"/>
      <c r="P100" s="73" t="s">
        <v>393</v>
      </c>
      <c r="T100" s="98" t="s">
        <v>459</v>
      </c>
      <c r="U100" s="3" t="s">
        <v>459</v>
      </c>
      <c r="V100" s="3" t="s">
        <v>459</v>
      </c>
      <c r="W100" s="3" t="s">
        <v>459</v>
      </c>
      <c r="X100" s="3" t="s">
        <v>459</v>
      </c>
      <c r="Y100" s="3" t="s">
        <v>459</v>
      </c>
      <c r="Z100" s="79" t="s">
        <v>459</v>
      </c>
      <c r="AA100" s="3" t="s">
        <v>459</v>
      </c>
      <c r="AB100" s="3" t="s">
        <v>459</v>
      </c>
      <c r="AC100" s="3" t="s">
        <v>459</v>
      </c>
      <c r="AD100" s="3" t="s">
        <v>459</v>
      </c>
      <c r="AE100" s="79" t="s">
        <v>459</v>
      </c>
      <c r="AF100" s="3" t="s">
        <v>459</v>
      </c>
      <c r="AG100" s="3" t="s">
        <v>459</v>
      </c>
      <c r="AH100" s="3" t="s">
        <v>459</v>
      </c>
      <c r="AI100" s="3" t="s">
        <v>459</v>
      </c>
      <c r="AJ100" s="3" t="s">
        <v>459</v>
      </c>
      <c r="AK100" s="3" t="s">
        <v>459</v>
      </c>
      <c r="AL100" s="3" t="s">
        <v>459</v>
      </c>
      <c r="AM100" s="3" t="s">
        <v>459</v>
      </c>
      <c r="AN100" s="3" t="s">
        <v>459</v>
      </c>
      <c r="AO100" s="3" t="s">
        <v>459</v>
      </c>
      <c r="AP100" s="3" t="s">
        <v>459</v>
      </c>
      <c r="AQ100" s="3" t="s">
        <v>459</v>
      </c>
      <c r="AR100" s="3" t="s">
        <v>459</v>
      </c>
      <c r="AS100" s="3" t="s">
        <v>459</v>
      </c>
      <c r="AT100" s="3" t="s">
        <v>459</v>
      </c>
      <c r="AU100" s="3" t="s">
        <v>459</v>
      </c>
      <c r="AV100" s="3" t="s">
        <v>459</v>
      </c>
      <c r="AW100" s="3" t="s">
        <v>459</v>
      </c>
      <c r="AX100" s="3" t="s">
        <v>459</v>
      </c>
      <c r="AY100" s="3" t="s">
        <v>459</v>
      </c>
      <c r="AZ100" s="3" t="s">
        <v>459</v>
      </c>
      <c r="BA100" s="3" t="s">
        <v>459</v>
      </c>
      <c r="BB100" s="3" t="s">
        <v>459</v>
      </c>
      <c r="BC100" s="3" t="s">
        <v>459</v>
      </c>
      <c r="BD100" s="3" t="s">
        <v>459</v>
      </c>
      <c r="BE100" s="3" t="s">
        <v>459</v>
      </c>
      <c r="BF100" s="3" t="s">
        <v>459</v>
      </c>
      <c r="BG100" s="3" t="s">
        <v>459</v>
      </c>
      <c r="BH100" s="3" t="s">
        <v>459</v>
      </c>
      <c r="BI100" s="3" t="s">
        <v>459</v>
      </c>
      <c r="BJ100" s="3" t="s">
        <v>459</v>
      </c>
      <c r="BK100" s="3" t="s">
        <v>459</v>
      </c>
      <c r="DU100" s="1">
        <v>0.8</v>
      </c>
      <c r="DV100" s="11">
        <v>15.333333333333334</v>
      </c>
      <c r="DW100" s="79">
        <v>9</v>
      </c>
      <c r="DX100" s="11">
        <v>13</v>
      </c>
      <c r="DY100" s="79">
        <v>9</v>
      </c>
      <c r="DZ100" s="11">
        <v>15.333333333333334</v>
      </c>
      <c r="EA100" s="79">
        <v>9</v>
      </c>
      <c r="EB100" s="11">
        <v>14.666666666666666</v>
      </c>
      <c r="EC100" s="79">
        <v>9</v>
      </c>
      <c r="ED100" s="11">
        <v>14</v>
      </c>
      <c r="EE100" s="79">
        <v>9</v>
      </c>
      <c r="EF100" s="11">
        <v>12</v>
      </c>
      <c r="EG100" s="79">
        <v>9</v>
      </c>
      <c r="EH100" s="11">
        <v>14.666666666666666</v>
      </c>
      <c r="EI100" s="79">
        <v>9</v>
      </c>
      <c r="EJ100" s="11">
        <v>14.666666666666666</v>
      </c>
      <c r="EK100" s="79">
        <v>9</v>
      </c>
      <c r="EL100" s="11">
        <v>12</v>
      </c>
      <c r="EM100" s="79">
        <v>9</v>
      </c>
      <c r="EN100" s="11">
        <v>13</v>
      </c>
      <c r="EO100" s="79">
        <v>9</v>
      </c>
      <c r="EP100" s="11">
        <v>13.333333333333334</v>
      </c>
      <c r="EQ100" s="79">
        <v>9</v>
      </c>
      <c r="ER100" s="11">
        <v>13.333333333333334</v>
      </c>
      <c r="ES100" s="79">
        <v>9</v>
      </c>
      <c r="ET100" s="11">
        <v>15</v>
      </c>
      <c r="EU100" s="79">
        <v>9</v>
      </c>
      <c r="EV100" s="11">
        <v>13.133333333333345</v>
      </c>
      <c r="EW100" s="79">
        <v>9</v>
      </c>
      <c r="EX100" s="11">
        <v>13.133333333333345</v>
      </c>
      <c r="EY100" s="79">
        <v>9</v>
      </c>
      <c r="EZ100" s="11">
        <v>14.333333333333334</v>
      </c>
      <c r="FA100" s="79">
        <v>9</v>
      </c>
      <c r="FB100" s="11">
        <v>14.25</v>
      </c>
      <c r="FC100" s="79">
        <v>9</v>
      </c>
      <c r="FD100" s="11">
        <v>15</v>
      </c>
      <c r="FE100" s="79">
        <v>9</v>
      </c>
      <c r="FF100" s="11">
        <v>13.5</v>
      </c>
      <c r="FG100" s="79">
        <v>9</v>
      </c>
      <c r="FH100" s="11">
        <v>11.666666666666666</v>
      </c>
      <c r="FI100" s="79">
        <v>9</v>
      </c>
      <c r="FJ100" s="11">
        <v>16.333333333333332</v>
      </c>
      <c r="FK100" s="79">
        <v>9</v>
      </c>
      <c r="FL100" s="11">
        <v>16</v>
      </c>
      <c r="FM100" s="79">
        <v>9</v>
      </c>
      <c r="FN100" s="11">
        <v>12.666666666666666</v>
      </c>
      <c r="FO100" s="79">
        <v>9</v>
      </c>
      <c r="FP100" s="11">
        <v>12</v>
      </c>
      <c r="FQ100" s="79">
        <v>9</v>
      </c>
      <c r="FR100" s="11">
        <v>12.800000000000011</v>
      </c>
      <c r="FS100" s="79">
        <v>9</v>
      </c>
      <c r="FT100" s="11">
        <v>14.333333333333334</v>
      </c>
      <c r="FU100" s="79">
        <v>9</v>
      </c>
      <c r="FV100" s="11">
        <v>15</v>
      </c>
      <c r="FW100" s="79">
        <v>9</v>
      </c>
      <c r="FX100" s="11">
        <v>11.666666666666666</v>
      </c>
      <c r="FY100" s="79">
        <v>9</v>
      </c>
      <c r="FZ100" s="11">
        <v>15</v>
      </c>
      <c r="GA100" s="79">
        <v>9</v>
      </c>
      <c r="GB100" s="11">
        <v>12.666666666666666</v>
      </c>
      <c r="GC100" s="79">
        <v>9</v>
      </c>
      <c r="GD100" s="11">
        <v>14.333333333333334</v>
      </c>
      <c r="GE100" s="79">
        <v>9</v>
      </c>
      <c r="GF100" s="11">
        <v>15.666666666666666</v>
      </c>
      <c r="GG100" s="79">
        <v>9</v>
      </c>
      <c r="GH100" s="11">
        <v>16.333333333333332</v>
      </c>
      <c r="GI100" s="79">
        <v>9</v>
      </c>
      <c r="GJ100" s="243">
        <v>12.333333333333334</v>
      </c>
      <c r="GK100" s="242">
        <v>9</v>
      </c>
      <c r="GL100" s="243">
        <v>13</v>
      </c>
      <c r="GM100" s="242">
        <v>9</v>
      </c>
      <c r="GN100" s="248"/>
      <c r="GO100" s="249"/>
    </row>
    <row r="101" spans="1:224">
      <c r="A101" s="1" t="s">
        <v>791</v>
      </c>
      <c r="B101" s="3">
        <v>46</v>
      </c>
      <c r="C101" t="s">
        <v>232</v>
      </c>
      <c r="D101" s="3">
        <v>92</v>
      </c>
      <c r="E101" t="s">
        <v>19</v>
      </c>
      <c r="F101" s="3">
        <v>5</v>
      </c>
      <c r="G101" s="3"/>
      <c r="P101" t="s">
        <v>472</v>
      </c>
      <c r="T101" s="73" t="s">
        <v>143</v>
      </c>
      <c r="U101" s="3">
        <v>8</v>
      </c>
      <c r="V101" s="3">
        <v>8</v>
      </c>
      <c r="W101" s="3">
        <v>9</v>
      </c>
      <c r="X101" s="3">
        <v>8</v>
      </c>
      <c r="Y101" s="3">
        <v>9</v>
      </c>
      <c r="Z101" s="79">
        <v>9</v>
      </c>
      <c r="AA101" s="3">
        <v>10</v>
      </c>
      <c r="AB101" s="3">
        <v>7</v>
      </c>
      <c r="AC101" s="3">
        <v>8</v>
      </c>
      <c r="AD101" s="3">
        <v>9</v>
      </c>
      <c r="AE101" s="79">
        <v>7</v>
      </c>
      <c r="AF101" s="3">
        <v>8</v>
      </c>
      <c r="AG101" s="3">
        <v>8</v>
      </c>
      <c r="AH101" s="3">
        <v>8</v>
      </c>
      <c r="AI101" s="3">
        <v>8</v>
      </c>
      <c r="AJ101" s="3">
        <v>7</v>
      </c>
      <c r="AK101" s="3">
        <v>9</v>
      </c>
      <c r="AL101" s="3">
        <v>8</v>
      </c>
      <c r="AM101" s="3">
        <v>8</v>
      </c>
      <c r="AN101" s="3">
        <v>9</v>
      </c>
      <c r="AO101" s="3">
        <v>8</v>
      </c>
      <c r="AP101" s="3">
        <v>7</v>
      </c>
      <c r="AQ101" s="3">
        <v>7</v>
      </c>
      <c r="AR101" s="3">
        <v>8</v>
      </c>
      <c r="AS101" s="3">
        <v>8</v>
      </c>
      <c r="AT101" s="3">
        <v>8</v>
      </c>
      <c r="AU101" s="3">
        <v>6</v>
      </c>
      <c r="AV101" s="3">
        <v>7</v>
      </c>
      <c r="AW101" s="3">
        <v>8</v>
      </c>
      <c r="AX101" s="3">
        <v>8</v>
      </c>
      <c r="AY101" s="3">
        <v>8</v>
      </c>
      <c r="AZ101" s="3">
        <v>8</v>
      </c>
      <c r="BA101" s="3">
        <v>8</v>
      </c>
      <c r="BB101" s="3">
        <v>7</v>
      </c>
      <c r="BC101" s="3">
        <v>8</v>
      </c>
      <c r="BD101" s="3">
        <v>7</v>
      </c>
      <c r="BE101" s="3">
        <v>8</v>
      </c>
      <c r="BF101" s="3">
        <v>9</v>
      </c>
      <c r="BG101" s="3">
        <v>8</v>
      </c>
      <c r="BH101" s="3">
        <v>7</v>
      </c>
      <c r="BI101" s="3">
        <v>7</v>
      </c>
      <c r="BJ101" s="3">
        <v>7</v>
      </c>
      <c r="BK101" s="3">
        <v>8</v>
      </c>
      <c r="DU101" s="1">
        <v>0.9</v>
      </c>
      <c r="DV101" s="11">
        <v>16.666666666666668</v>
      </c>
      <c r="DW101" s="79">
        <v>10</v>
      </c>
      <c r="DX101" s="11">
        <v>14.333333333333334</v>
      </c>
      <c r="DY101" s="79">
        <v>10</v>
      </c>
      <c r="DZ101" s="11">
        <v>16.333333333333332</v>
      </c>
      <c r="EA101" s="79">
        <v>10</v>
      </c>
      <c r="EB101" s="11">
        <v>15.666666666666666</v>
      </c>
      <c r="EC101" s="79">
        <v>10</v>
      </c>
      <c r="ED101" s="11">
        <v>15.333333333333334</v>
      </c>
      <c r="EE101" s="79">
        <v>10</v>
      </c>
      <c r="EF101" s="11">
        <v>13</v>
      </c>
      <c r="EG101" s="79">
        <v>10</v>
      </c>
      <c r="EH101" s="11">
        <v>16</v>
      </c>
      <c r="EI101" s="79">
        <v>10</v>
      </c>
      <c r="EJ101" s="11">
        <v>16</v>
      </c>
      <c r="EK101" s="79">
        <v>10</v>
      </c>
      <c r="EL101" s="11">
        <v>13.333333333333334</v>
      </c>
      <c r="EM101" s="79">
        <v>10</v>
      </c>
      <c r="EN101" s="11">
        <v>14</v>
      </c>
      <c r="EO101" s="79">
        <v>10</v>
      </c>
      <c r="EP101" s="11">
        <v>14.666666666666666</v>
      </c>
      <c r="EQ101" s="79">
        <v>10</v>
      </c>
      <c r="ER101" s="11">
        <v>14.233333333333331</v>
      </c>
      <c r="ES101" s="79">
        <v>10</v>
      </c>
      <c r="ET101" s="11">
        <v>16.333333333333332</v>
      </c>
      <c r="EU101" s="79">
        <v>10</v>
      </c>
      <c r="EV101" s="11">
        <v>14.333333333333334</v>
      </c>
      <c r="EW101" s="79">
        <v>10</v>
      </c>
      <c r="EX101" s="11">
        <v>14</v>
      </c>
      <c r="EY101" s="79">
        <v>10</v>
      </c>
      <c r="EZ101" s="11">
        <v>15.666666666666666</v>
      </c>
      <c r="FA101" s="79">
        <v>10</v>
      </c>
      <c r="FB101" s="11">
        <v>15.25</v>
      </c>
      <c r="FC101" s="79">
        <v>10</v>
      </c>
      <c r="FD101" s="11">
        <v>16</v>
      </c>
      <c r="FE101" s="79">
        <v>10</v>
      </c>
      <c r="FF101" s="11">
        <v>14.75</v>
      </c>
      <c r="FG101" s="79">
        <v>10</v>
      </c>
      <c r="FH101" s="11">
        <v>12.666666666666666</v>
      </c>
      <c r="FI101" s="79">
        <v>10</v>
      </c>
      <c r="FJ101" s="11">
        <v>17.333333333333332</v>
      </c>
      <c r="FK101" s="79">
        <v>10</v>
      </c>
      <c r="FL101" s="11">
        <v>17</v>
      </c>
      <c r="FM101" s="79">
        <v>10</v>
      </c>
      <c r="FN101" s="11">
        <v>14</v>
      </c>
      <c r="FO101" s="79">
        <v>10</v>
      </c>
      <c r="FP101" s="11">
        <v>13.666666666666666</v>
      </c>
      <c r="FQ101" s="79">
        <v>10</v>
      </c>
      <c r="FR101" s="11">
        <v>14</v>
      </c>
      <c r="FS101" s="79">
        <v>10</v>
      </c>
      <c r="FT101" s="11">
        <v>15.666666666666666</v>
      </c>
      <c r="FU101" s="79">
        <v>10</v>
      </c>
      <c r="FV101" s="11">
        <v>16</v>
      </c>
      <c r="FW101" s="79">
        <v>10</v>
      </c>
      <c r="FX101" s="11">
        <v>13</v>
      </c>
      <c r="FY101" s="79">
        <v>10</v>
      </c>
      <c r="FZ101" s="11">
        <v>16.333333333333332</v>
      </c>
      <c r="GA101" s="79">
        <v>10</v>
      </c>
      <c r="GB101" s="11">
        <v>13.666666666666666</v>
      </c>
      <c r="GC101" s="79">
        <v>10</v>
      </c>
      <c r="GD101" s="11">
        <v>15.666666666666666</v>
      </c>
      <c r="GE101" s="79">
        <v>10</v>
      </c>
      <c r="GF101" s="11">
        <v>16.666666666666668</v>
      </c>
      <c r="GG101" s="79">
        <v>10</v>
      </c>
      <c r="GH101" s="11">
        <v>17.666666666666668</v>
      </c>
      <c r="GI101" s="79">
        <v>10</v>
      </c>
      <c r="GJ101" s="244">
        <v>13.666666666666666</v>
      </c>
      <c r="GK101" s="247">
        <v>18.166666666666664</v>
      </c>
      <c r="GL101" s="244">
        <v>14.5</v>
      </c>
      <c r="GM101" s="247">
        <v>18.166666666666664</v>
      </c>
      <c r="GN101" s="250"/>
      <c r="GO101" s="251"/>
    </row>
    <row r="102" spans="1:224">
      <c r="A102" s="1" t="s">
        <v>792</v>
      </c>
      <c r="B102" s="3">
        <v>47</v>
      </c>
      <c r="C102" t="s">
        <v>173</v>
      </c>
      <c r="D102" s="3">
        <v>93</v>
      </c>
      <c r="E102" t="s">
        <v>19</v>
      </c>
      <c r="F102" s="3">
        <v>2</v>
      </c>
      <c r="G102" s="3"/>
      <c r="M102" s="2" t="s">
        <v>515</v>
      </c>
      <c r="P102" s="2" t="s">
        <v>515</v>
      </c>
      <c r="T102" s="96" t="s">
        <v>624</v>
      </c>
      <c r="U102" s="3">
        <v>7</v>
      </c>
      <c r="V102" s="3">
        <v>6</v>
      </c>
      <c r="W102" s="3">
        <v>5</v>
      </c>
      <c r="X102" s="3">
        <v>4</v>
      </c>
      <c r="Y102" s="3">
        <v>7</v>
      </c>
      <c r="Z102" s="79">
        <v>5</v>
      </c>
      <c r="AA102" s="3">
        <v>5</v>
      </c>
      <c r="AB102" s="3">
        <v>6</v>
      </c>
      <c r="AC102" s="3">
        <v>6</v>
      </c>
      <c r="AD102" s="3">
        <v>6</v>
      </c>
      <c r="AE102" s="79">
        <v>5</v>
      </c>
      <c r="AF102" s="3">
        <v>7</v>
      </c>
      <c r="AG102" s="3">
        <v>6</v>
      </c>
      <c r="AH102" s="3">
        <v>7</v>
      </c>
      <c r="AI102" s="3">
        <v>6</v>
      </c>
      <c r="AJ102" s="3">
        <v>6</v>
      </c>
      <c r="AK102" s="3">
        <v>6</v>
      </c>
      <c r="AL102" s="3">
        <v>8</v>
      </c>
      <c r="AM102" s="3">
        <v>6</v>
      </c>
      <c r="AN102" s="3">
        <v>4</v>
      </c>
      <c r="AO102" s="3">
        <v>4</v>
      </c>
      <c r="AP102" s="3">
        <v>3</v>
      </c>
      <c r="AQ102" s="3">
        <v>4</v>
      </c>
      <c r="AR102" s="3">
        <v>3</v>
      </c>
      <c r="AS102" s="3">
        <v>5</v>
      </c>
      <c r="AT102" s="3">
        <v>9</v>
      </c>
      <c r="AU102" s="3">
        <v>6</v>
      </c>
      <c r="AV102" s="3">
        <v>4</v>
      </c>
      <c r="AW102" s="3">
        <v>7</v>
      </c>
      <c r="AX102" s="3">
        <v>8</v>
      </c>
      <c r="AY102" s="3">
        <v>2</v>
      </c>
      <c r="AZ102" s="3">
        <v>2</v>
      </c>
      <c r="BA102" s="3">
        <v>4</v>
      </c>
      <c r="BB102" s="3">
        <v>7</v>
      </c>
      <c r="BC102" s="3">
        <v>7</v>
      </c>
      <c r="BD102" s="3">
        <v>5</v>
      </c>
      <c r="BE102" s="3">
        <v>7</v>
      </c>
      <c r="BF102" s="3">
        <v>5</v>
      </c>
      <c r="BG102" s="3">
        <v>6</v>
      </c>
      <c r="BH102" s="3">
        <v>5</v>
      </c>
      <c r="BI102" s="3">
        <v>6</v>
      </c>
      <c r="BJ102" s="3">
        <v>5</v>
      </c>
      <c r="BK102" s="3">
        <v>5</v>
      </c>
    </row>
    <row r="103" spans="1:224">
      <c r="A103" s="1" t="s">
        <v>793</v>
      </c>
      <c r="B103" s="3">
        <v>47</v>
      </c>
      <c r="C103" t="s">
        <v>304</v>
      </c>
      <c r="D103" s="3">
        <v>94</v>
      </c>
      <c r="E103" t="s">
        <v>19</v>
      </c>
      <c r="F103" s="3">
        <v>2</v>
      </c>
      <c r="G103" s="3"/>
      <c r="P103" s="73" t="s">
        <v>594</v>
      </c>
      <c r="T103" s="73" t="s">
        <v>1080</v>
      </c>
      <c r="U103" s="3">
        <v>5</v>
      </c>
      <c r="V103" s="3">
        <v>5</v>
      </c>
      <c r="W103" s="3">
        <v>4</v>
      </c>
      <c r="X103" s="3">
        <v>4</v>
      </c>
      <c r="Y103" s="3">
        <v>4</v>
      </c>
      <c r="Z103" s="79">
        <v>5</v>
      </c>
      <c r="AA103" s="3">
        <v>3</v>
      </c>
      <c r="AB103" s="3">
        <v>4</v>
      </c>
      <c r="AC103" s="3">
        <v>7</v>
      </c>
      <c r="AD103" s="3">
        <v>5</v>
      </c>
      <c r="AE103" s="79">
        <v>4</v>
      </c>
      <c r="AF103" s="3">
        <v>5</v>
      </c>
      <c r="AG103" s="3">
        <v>6</v>
      </c>
      <c r="AH103" s="3">
        <v>4</v>
      </c>
      <c r="AI103" s="3">
        <v>3</v>
      </c>
      <c r="AJ103" s="3">
        <v>5</v>
      </c>
      <c r="AK103" s="3">
        <v>6</v>
      </c>
      <c r="AL103" s="3">
        <v>5</v>
      </c>
      <c r="AM103" s="3">
        <v>6</v>
      </c>
      <c r="AN103" s="3">
        <v>4</v>
      </c>
      <c r="AO103" s="3">
        <v>6</v>
      </c>
      <c r="AP103" s="3">
        <v>7</v>
      </c>
      <c r="AQ103" s="3">
        <v>5</v>
      </c>
      <c r="AR103" s="3">
        <v>4</v>
      </c>
      <c r="AS103" s="3">
        <v>4</v>
      </c>
      <c r="AT103" s="3">
        <v>3</v>
      </c>
      <c r="AU103" s="3">
        <v>7</v>
      </c>
      <c r="AV103" s="3">
        <v>7</v>
      </c>
      <c r="AW103" s="3">
        <v>5</v>
      </c>
      <c r="AX103" s="3">
        <v>4</v>
      </c>
      <c r="AY103" s="3">
        <v>7</v>
      </c>
      <c r="AZ103" s="3">
        <v>7</v>
      </c>
      <c r="BA103" s="3">
        <v>6</v>
      </c>
      <c r="BB103" s="3">
        <v>6</v>
      </c>
      <c r="BC103" s="3">
        <v>5</v>
      </c>
      <c r="BD103" s="3">
        <v>5</v>
      </c>
      <c r="BE103" s="3">
        <v>4</v>
      </c>
      <c r="BF103" s="3">
        <v>4</v>
      </c>
      <c r="BG103" s="3">
        <v>4</v>
      </c>
      <c r="BH103" s="3">
        <v>6</v>
      </c>
      <c r="BI103" s="3">
        <v>6</v>
      </c>
      <c r="BJ103" s="3">
        <v>5</v>
      </c>
      <c r="BK103" s="3">
        <v>5</v>
      </c>
      <c r="DT103" s="1"/>
      <c r="DU103" s="1"/>
      <c r="DV103" s="119" t="s">
        <v>540</v>
      </c>
      <c r="DW103" s="1"/>
      <c r="DX103" s="1" t="s">
        <v>523</v>
      </c>
      <c r="DY103" s="1"/>
      <c r="DZ103" s="119" t="s">
        <v>538</v>
      </c>
      <c r="EA103" s="1"/>
      <c r="EB103" s="1" t="s">
        <v>550</v>
      </c>
      <c r="EC103" s="1"/>
      <c r="ED103" s="119" t="s">
        <v>1067</v>
      </c>
      <c r="EE103" s="1"/>
      <c r="EF103" s="1" t="s">
        <v>545</v>
      </c>
      <c r="EG103" s="1"/>
      <c r="EH103" s="119" t="s">
        <v>524</v>
      </c>
      <c r="EI103" s="1"/>
      <c r="EJ103" s="1" t="s">
        <v>526</v>
      </c>
      <c r="EK103" s="1"/>
      <c r="EL103" s="1" t="s">
        <v>530</v>
      </c>
      <c r="EM103" s="1"/>
      <c r="EN103" s="1" t="s">
        <v>537</v>
      </c>
      <c r="EO103" s="1"/>
      <c r="EP103" s="1"/>
      <c r="EQ103" s="1"/>
      <c r="ER103" s="1"/>
      <c r="ES103" s="1"/>
      <c r="ET103" s="1"/>
      <c r="EU103" s="1"/>
      <c r="EV103" s="1"/>
      <c r="EW103" s="1"/>
      <c r="EX103" s="1"/>
      <c r="EY103" s="1"/>
      <c r="EZ103" s="1"/>
      <c r="FA103" s="1"/>
      <c r="FB103" s="1"/>
      <c r="FC103" s="1"/>
      <c r="FD103" s="1"/>
      <c r="FE103" s="1"/>
      <c r="FF103" s="1"/>
      <c r="FG103" s="1"/>
      <c r="FH103" s="1"/>
      <c r="FI103" s="1"/>
      <c r="FJ103" s="1"/>
      <c r="FK103" s="1"/>
      <c r="FL103" s="1"/>
      <c r="FM103" s="1"/>
      <c r="FN103" s="1"/>
      <c r="FO103" s="1"/>
      <c r="FP103" s="1"/>
      <c r="FQ103" s="1"/>
      <c r="FR103" s="1"/>
      <c r="FS103" s="1"/>
      <c r="FT103" s="1"/>
      <c r="FU103" s="1"/>
      <c r="FV103" s="1"/>
      <c r="FW103" s="1"/>
      <c r="FX103" s="1"/>
      <c r="FY103" s="1"/>
      <c r="FZ103" s="1"/>
      <c r="GA103" s="1"/>
      <c r="GB103" s="1"/>
      <c r="GC103" s="1"/>
      <c r="GD103" s="1"/>
      <c r="GE103" s="1"/>
      <c r="GF103" s="1"/>
      <c r="GG103" s="1"/>
      <c r="GH103" s="1"/>
      <c r="GI103" s="1"/>
      <c r="GJ103" s="1"/>
      <c r="GK103" s="1"/>
      <c r="GL103" s="1"/>
      <c r="GM103" s="1"/>
      <c r="GN103" s="1"/>
      <c r="GO103" s="1"/>
      <c r="GP103" s="1"/>
      <c r="GQ103" s="1"/>
      <c r="GR103" s="1"/>
      <c r="GS103" s="1"/>
      <c r="GT103" s="1"/>
      <c r="GU103" s="1"/>
      <c r="GV103" s="1"/>
      <c r="GW103" s="1"/>
      <c r="GX103" s="1"/>
      <c r="GY103" s="1"/>
      <c r="GZ103" s="1"/>
      <c r="HA103" s="1"/>
      <c r="HB103" s="1"/>
      <c r="HC103" s="1"/>
      <c r="HD103" s="1"/>
      <c r="HE103" s="1"/>
      <c r="HF103" s="1"/>
      <c r="HG103" s="1"/>
      <c r="HH103" s="1"/>
      <c r="HI103" s="1"/>
      <c r="HJ103" s="1"/>
      <c r="HK103" s="1"/>
      <c r="HL103" s="1"/>
      <c r="HM103" s="1"/>
      <c r="HP103" s="1"/>
    </row>
    <row r="104" spans="1:224">
      <c r="A104" s="1" t="s">
        <v>794</v>
      </c>
      <c r="B104" s="3">
        <v>48</v>
      </c>
      <c r="C104" t="s">
        <v>35</v>
      </c>
      <c r="D104" s="3">
        <v>95</v>
      </c>
      <c r="E104" t="s">
        <v>19</v>
      </c>
      <c r="F104" s="3">
        <v>5</v>
      </c>
      <c r="G104" s="3"/>
      <c r="P104" t="s">
        <v>625</v>
      </c>
      <c r="T104" s="73" t="s">
        <v>42</v>
      </c>
      <c r="U104" s="3">
        <v>4</v>
      </c>
      <c r="V104" s="3">
        <v>6</v>
      </c>
      <c r="W104" s="3">
        <v>5</v>
      </c>
      <c r="X104" s="3">
        <v>6</v>
      </c>
      <c r="Y104" s="3">
        <v>5</v>
      </c>
      <c r="Z104" s="79">
        <v>4</v>
      </c>
      <c r="AA104" s="3">
        <v>3</v>
      </c>
      <c r="AB104" s="3">
        <v>5</v>
      </c>
      <c r="AC104" s="3">
        <v>5</v>
      </c>
      <c r="AD104" s="3">
        <v>3</v>
      </c>
      <c r="AE104" s="79">
        <v>6</v>
      </c>
      <c r="AF104" s="3">
        <v>4</v>
      </c>
      <c r="AG104" s="3">
        <v>3</v>
      </c>
      <c r="AH104" s="3">
        <v>2</v>
      </c>
      <c r="AI104" s="3">
        <v>7</v>
      </c>
      <c r="AJ104" s="3">
        <v>6</v>
      </c>
      <c r="AK104" s="3">
        <v>3</v>
      </c>
      <c r="AL104" s="3">
        <v>5</v>
      </c>
      <c r="AM104" s="3">
        <v>3</v>
      </c>
      <c r="AN104" s="3">
        <v>5</v>
      </c>
      <c r="AO104" s="3">
        <v>4</v>
      </c>
      <c r="AP104" s="3">
        <v>7</v>
      </c>
      <c r="AQ104" s="3">
        <v>6</v>
      </c>
      <c r="AR104" s="3">
        <v>5</v>
      </c>
      <c r="AS104" s="3">
        <v>6</v>
      </c>
      <c r="AT104" s="3">
        <v>3</v>
      </c>
      <c r="AU104" s="3">
        <v>6</v>
      </c>
      <c r="AV104" s="3">
        <v>5</v>
      </c>
      <c r="AW104" s="3">
        <v>6</v>
      </c>
      <c r="AX104" s="3">
        <v>3</v>
      </c>
      <c r="AY104" s="3">
        <v>5</v>
      </c>
      <c r="AZ104" s="3">
        <v>5</v>
      </c>
      <c r="BA104" s="3">
        <v>3</v>
      </c>
      <c r="BB104" s="3">
        <v>1</v>
      </c>
      <c r="BC104" s="3">
        <v>5</v>
      </c>
      <c r="BD104" s="3">
        <v>5</v>
      </c>
      <c r="BE104" s="3">
        <v>7</v>
      </c>
      <c r="BF104" s="3">
        <v>3</v>
      </c>
      <c r="BG104" s="3">
        <v>4</v>
      </c>
      <c r="BH104" s="3">
        <v>4</v>
      </c>
      <c r="BI104" s="3">
        <v>6</v>
      </c>
      <c r="BJ104" s="3">
        <v>5</v>
      </c>
      <c r="BK104" s="3">
        <v>6</v>
      </c>
      <c r="DU104" s="1">
        <v>0</v>
      </c>
      <c r="DV104" s="121">
        <v>0</v>
      </c>
      <c r="DW104" s="79">
        <v>1</v>
      </c>
      <c r="DX104" s="79">
        <v>0</v>
      </c>
      <c r="DY104" s="79">
        <v>1</v>
      </c>
      <c r="DZ104" s="121">
        <v>0</v>
      </c>
      <c r="EA104" s="79">
        <v>1</v>
      </c>
      <c r="EB104" s="79">
        <v>0</v>
      </c>
      <c r="EC104" s="79">
        <v>1</v>
      </c>
      <c r="ED104" s="121">
        <v>0</v>
      </c>
      <c r="EE104" s="79">
        <v>1</v>
      </c>
      <c r="EF104" s="79">
        <v>0</v>
      </c>
      <c r="EG104" s="79">
        <v>1</v>
      </c>
      <c r="EH104" s="121">
        <v>0</v>
      </c>
      <c r="EI104" s="79">
        <v>1</v>
      </c>
      <c r="EJ104" s="79">
        <v>0</v>
      </c>
      <c r="EK104" s="79">
        <v>1</v>
      </c>
      <c r="EL104" s="79">
        <v>0</v>
      </c>
      <c r="EM104" s="79">
        <v>1</v>
      </c>
      <c r="EN104" s="79">
        <v>0</v>
      </c>
      <c r="EO104" s="79">
        <v>1</v>
      </c>
    </row>
    <row r="105" spans="1:224">
      <c r="A105" s="1" t="s">
        <v>795</v>
      </c>
      <c r="B105" s="3">
        <v>48</v>
      </c>
      <c r="C105" t="s">
        <v>121</v>
      </c>
      <c r="D105" s="3">
        <v>96</v>
      </c>
      <c r="E105" t="s">
        <v>19</v>
      </c>
      <c r="F105" s="3">
        <v>4</v>
      </c>
      <c r="G105" s="3"/>
      <c r="P105" t="s">
        <v>449</v>
      </c>
      <c r="T105" s="73" t="s">
        <v>24</v>
      </c>
      <c r="U105" s="3">
        <v>3</v>
      </c>
      <c r="V105" s="3">
        <v>4</v>
      </c>
      <c r="W105" s="3">
        <v>4</v>
      </c>
      <c r="X105" s="3">
        <v>5</v>
      </c>
      <c r="Y105" s="3">
        <v>4</v>
      </c>
      <c r="Z105" s="79">
        <v>4</v>
      </c>
      <c r="AA105" s="3">
        <v>5</v>
      </c>
      <c r="AB105" s="3">
        <v>7</v>
      </c>
      <c r="AC105" s="3">
        <v>4</v>
      </c>
      <c r="AD105" s="3">
        <v>3</v>
      </c>
      <c r="AE105" s="79">
        <v>3</v>
      </c>
      <c r="AF105" s="3">
        <v>3</v>
      </c>
      <c r="AG105" s="3">
        <v>3</v>
      </c>
      <c r="AH105" s="3">
        <v>3</v>
      </c>
      <c r="AI105" s="3">
        <v>4</v>
      </c>
      <c r="AJ105" s="3">
        <v>3</v>
      </c>
      <c r="AK105" s="3">
        <v>4</v>
      </c>
      <c r="AL105" s="3">
        <v>2</v>
      </c>
      <c r="AM105" s="3">
        <v>4</v>
      </c>
      <c r="AN105" s="3">
        <v>2</v>
      </c>
      <c r="AO105" s="3">
        <v>7</v>
      </c>
      <c r="AP105" s="3">
        <v>4</v>
      </c>
      <c r="AQ105" s="3">
        <v>3</v>
      </c>
      <c r="AR105" s="3">
        <v>7</v>
      </c>
      <c r="AS105" s="3">
        <v>3</v>
      </c>
      <c r="AT105" s="3">
        <v>2</v>
      </c>
      <c r="AU105" s="3">
        <v>4</v>
      </c>
      <c r="AV105" s="3">
        <v>4</v>
      </c>
      <c r="AW105" s="3">
        <v>4</v>
      </c>
      <c r="AX105" s="3">
        <v>4</v>
      </c>
      <c r="AY105" s="3">
        <v>5</v>
      </c>
      <c r="AZ105" s="3">
        <v>5</v>
      </c>
      <c r="BA105" s="3">
        <v>5</v>
      </c>
      <c r="BB105" s="3">
        <v>5</v>
      </c>
      <c r="BC105" s="3">
        <v>3</v>
      </c>
      <c r="BD105" s="3">
        <v>7</v>
      </c>
      <c r="BE105" s="3">
        <v>5</v>
      </c>
      <c r="BF105" s="3">
        <v>3</v>
      </c>
      <c r="BG105" s="3">
        <v>2</v>
      </c>
      <c r="BH105" s="3">
        <v>8</v>
      </c>
      <c r="BI105" s="3">
        <v>3</v>
      </c>
      <c r="BJ105" s="3">
        <v>3</v>
      </c>
      <c r="BK105" s="3">
        <v>4</v>
      </c>
      <c r="DU105" s="1">
        <v>0.1</v>
      </c>
      <c r="DV105" s="121">
        <v>7.333333333333333</v>
      </c>
      <c r="DW105" s="79">
        <v>2</v>
      </c>
      <c r="DX105" s="79">
        <v>7</v>
      </c>
      <c r="DY105" s="79">
        <v>2</v>
      </c>
      <c r="DZ105" s="121">
        <v>10.333333333333334</v>
      </c>
      <c r="EA105" s="79">
        <v>2</v>
      </c>
      <c r="EB105" s="79">
        <v>6</v>
      </c>
      <c r="EC105" s="79">
        <v>2</v>
      </c>
      <c r="ED105" s="121">
        <v>8.3333333333333339</v>
      </c>
      <c r="EE105" s="79">
        <v>2</v>
      </c>
      <c r="EF105" s="79">
        <v>5</v>
      </c>
      <c r="EG105" s="79">
        <v>2</v>
      </c>
      <c r="EH105" s="121">
        <v>5.666666666666667</v>
      </c>
      <c r="EI105" s="79">
        <v>2</v>
      </c>
      <c r="EJ105" s="79">
        <v>9</v>
      </c>
      <c r="EK105" s="79">
        <v>2</v>
      </c>
      <c r="EL105" s="79">
        <v>10.333333333333334</v>
      </c>
      <c r="EM105" s="79">
        <v>2</v>
      </c>
      <c r="EN105" s="79">
        <v>8.3333333333333339</v>
      </c>
      <c r="EO105" s="79">
        <v>2</v>
      </c>
    </row>
    <row r="106" spans="1:224">
      <c r="A106" s="1" t="s">
        <v>796</v>
      </c>
      <c r="B106" s="3">
        <v>49</v>
      </c>
      <c r="C106" s="169" t="s">
        <v>78</v>
      </c>
      <c r="D106" s="3">
        <v>97</v>
      </c>
      <c r="E106" t="s">
        <v>19</v>
      </c>
      <c r="F106" s="3">
        <v>4</v>
      </c>
      <c r="G106" s="3"/>
      <c r="M106" s="73" t="s">
        <v>442</v>
      </c>
      <c r="P106" s="73" t="s">
        <v>442</v>
      </c>
      <c r="T106" s="73" t="s">
        <v>17</v>
      </c>
      <c r="U106" s="3">
        <v>6</v>
      </c>
      <c r="V106" s="3">
        <v>5</v>
      </c>
      <c r="W106" s="3">
        <v>6</v>
      </c>
      <c r="X106" s="3">
        <v>5</v>
      </c>
      <c r="Y106" s="3">
        <v>6</v>
      </c>
      <c r="Z106" s="79">
        <v>3</v>
      </c>
      <c r="AA106" s="3">
        <v>9</v>
      </c>
      <c r="AB106" s="3">
        <v>6</v>
      </c>
      <c r="AC106" s="3">
        <v>5</v>
      </c>
      <c r="AD106" s="3">
        <v>5</v>
      </c>
      <c r="AE106" s="79">
        <v>5</v>
      </c>
      <c r="AF106" s="3">
        <v>5</v>
      </c>
      <c r="AG106" s="3">
        <v>5</v>
      </c>
      <c r="AH106" s="3">
        <v>6</v>
      </c>
      <c r="AI106" s="3">
        <v>5</v>
      </c>
      <c r="AJ106" s="3">
        <v>4</v>
      </c>
      <c r="AK106" s="3">
        <v>7</v>
      </c>
      <c r="AL106" s="3">
        <v>5</v>
      </c>
      <c r="AM106" s="3">
        <v>6</v>
      </c>
      <c r="AN106" s="3">
        <v>5</v>
      </c>
      <c r="AO106" s="3">
        <v>5</v>
      </c>
      <c r="AP106" s="3">
        <v>2</v>
      </c>
      <c r="AQ106" s="3">
        <v>9</v>
      </c>
      <c r="AR106" s="3">
        <v>3</v>
      </c>
      <c r="AS106" s="3">
        <v>4</v>
      </c>
      <c r="AT106" s="3">
        <v>5</v>
      </c>
      <c r="AU106" s="3">
        <v>4</v>
      </c>
      <c r="AV106" s="3">
        <v>5</v>
      </c>
      <c r="AW106" s="3">
        <v>6</v>
      </c>
      <c r="AX106" s="3">
        <v>4</v>
      </c>
      <c r="AY106" s="3">
        <v>4</v>
      </c>
      <c r="AZ106" s="3">
        <v>4</v>
      </c>
      <c r="BA106" s="3">
        <v>5</v>
      </c>
      <c r="BB106" s="3">
        <v>6</v>
      </c>
      <c r="BC106" s="3">
        <v>5</v>
      </c>
      <c r="BD106" s="3">
        <v>7</v>
      </c>
      <c r="BE106" s="3">
        <v>6</v>
      </c>
      <c r="BF106" s="3">
        <v>8</v>
      </c>
      <c r="BG106" s="3">
        <v>5</v>
      </c>
      <c r="BH106" s="3">
        <v>6</v>
      </c>
      <c r="BI106" s="3">
        <v>4</v>
      </c>
      <c r="BJ106" s="3">
        <v>5</v>
      </c>
      <c r="BK106" s="3">
        <v>6</v>
      </c>
      <c r="DU106" s="1">
        <v>0.2</v>
      </c>
      <c r="DV106" s="121">
        <v>8.3333333333333339</v>
      </c>
      <c r="DW106" s="79">
        <v>3</v>
      </c>
      <c r="DX106" s="79">
        <v>8.3333333333333339</v>
      </c>
      <c r="DY106" s="79">
        <v>3</v>
      </c>
      <c r="DZ106" s="121">
        <v>11.666666666666666</v>
      </c>
      <c r="EA106" s="79">
        <v>3</v>
      </c>
      <c r="EB106" s="79">
        <v>7</v>
      </c>
      <c r="EC106" s="79">
        <v>3</v>
      </c>
      <c r="ED106" s="121">
        <v>10</v>
      </c>
      <c r="EE106" s="79">
        <v>3</v>
      </c>
      <c r="EF106" s="79">
        <v>6.333333333333333</v>
      </c>
      <c r="EG106" s="79">
        <v>3</v>
      </c>
      <c r="EH106" s="121">
        <v>7</v>
      </c>
      <c r="EI106" s="79">
        <v>3</v>
      </c>
      <c r="EJ106" s="79">
        <v>10</v>
      </c>
      <c r="EK106" s="79">
        <v>3</v>
      </c>
      <c r="EL106" s="79">
        <v>11.333333333333334</v>
      </c>
      <c r="EM106" s="79">
        <v>3</v>
      </c>
      <c r="EN106" s="79">
        <v>10</v>
      </c>
      <c r="EO106" s="79">
        <v>3</v>
      </c>
    </row>
    <row r="107" spans="1:224">
      <c r="A107" s="1" t="s">
        <v>797</v>
      </c>
      <c r="B107" s="3">
        <v>49</v>
      </c>
      <c r="C107" t="s">
        <v>338</v>
      </c>
      <c r="D107" s="3">
        <v>98</v>
      </c>
      <c r="E107" t="s">
        <v>19</v>
      </c>
      <c r="F107" s="3">
        <v>5</v>
      </c>
      <c r="G107" s="3"/>
      <c r="P107" s="73" t="s">
        <v>106</v>
      </c>
      <c r="T107" s="12" t="s">
        <v>63</v>
      </c>
      <c r="U107" s="3">
        <v>9</v>
      </c>
      <c r="V107" s="3">
        <v>8</v>
      </c>
      <c r="W107" s="3">
        <v>9</v>
      </c>
      <c r="X107" s="3">
        <v>9</v>
      </c>
      <c r="Y107" s="3">
        <v>9</v>
      </c>
      <c r="Z107" s="79">
        <v>8</v>
      </c>
      <c r="AA107" s="3">
        <v>4</v>
      </c>
      <c r="AB107" s="3">
        <v>9</v>
      </c>
      <c r="AC107" s="3">
        <v>8</v>
      </c>
      <c r="AD107" s="3">
        <v>9</v>
      </c>
      <c r="AE107" s="79">
        <v>8</v>
      </c>
      <c r="AF107" s="3">
        <v>9</v>
      </c>
      <c r="AG107" s="3">
        <v>9</v>
      </c>
      <c r="AH107" s="3">
        <v>7</v>
      </c>
      <c r="AI107" s="3">
        <v>7</v>
      </c>
      <c r="AJ107" s="3">
        <v>9</v>
      </c>
      <c r="AK107" s="3">
        <v>8</v>
      </c>
      <c r="AL107" s="3">
        <v>8</v>
      </c>
      <c r="AM107" s="3">
        <v>9</v>
      </c>
      <c r="AN107" s="3">
        <v>8</v>
      </c>
      <c r="AO107" s="3">
        <v>9</v>
      </c>
      <c r="AP107" s="3">
        <v>5</v>
      </c>
      <c r="AQ107" s="3">
        <v>7</v>
      </c>
      <c r="AR107" s="3">
        <v>6</v>
      </c>
      <c r="AS107" s="3">
        <v>8</v>
      </c>
      <c r="AT107" s="3">
        <v>9</v>
      </c>
      <c r="AU107" s="3">
        <v>8</v>
      </c>
      <c r="AV107" s="3">
        <v>5</v>
      </c>
      <c r="AW107" s="3">
        <v>8</v>
      </c>
      <c r="AX107" s="3">
        <v>10</v>
      </c>
      <c r="AY107" s="3">
        <v>8</v>
      </c>
      <c r="AZ107" s="3">
        <v>8</v>
      </c>
      <c r="BA107" s="3">
        <v>9</v>
      </c>
      <c r="BB107" s="3">
        <v>9</v>
      </c>
      <c r="BC107" s="3">
        <v>7</v>
      </c>
      <c r="BD107" s="3">
        <v>9</v>
      </c>
      <c r="BE107" s="3">
        <v>8</v>
      </c>
      <c r="BF107" s="3">
        <v>8</v>
      </c>
      <c r="BG107" s="3">
        <v>8</v>
      </c>
      <c r="BH107" s="3">
        <v>8</v>
      </c>
      <c r="BI107" s="3">
        <v>9</v>
      </c>
      <c r="BJ107" s="3">
        <v>9</v>
      </c>
      <c r="BK107" s="3">
        <v>7</v>
      </c>
      <c r="DU107" s="1">
        <v>0.3</v>
      </c>
      <c r="DV107" s="121">
        <v>9.3333333333333339</v>
      </c>
      <c r="DW107" s="79">
        <v>4</v>
      </c>
      <c r="DX107" s="79">
        <v>9.3333333333333339</v>
      </c>
      <c r="DY107" s="79">
        <v>4</v>
      </c>
      <c r="DZ107" s="121">
        <v>12.666666666666666</v>
      </c>
      <c r="EA107" s="79">
        <v>4</v>
      </c>
      <c r="EB107" s="79">
        <v>7.666666666666667</v>
      </c>
      <c r="EC107" s="79">
        <v>4</v>
      </c>
      <c r="ED107" s="121">
        <v>11</v>
      </c>
      <c r="EE107" s="79">
        <v>4</v>
      </c>
      <c r="EF107" s="79">
        <v>7.333333333333333</v>
      </c>
      <c r="EG107" s="79">
        <v>4</v>
      </c>
      <c r="EH107" s="121">
        <v>8</v>
      </c>
      <c r="EI107" s="79">
        <v>4</v>
      </c>
      <c r="EJ107" s="79">
        <v>11</v>
      </c>
      <c r="EK107" s="79">
        <v>4</v>
      </c>
      <c r="EL107" s="79">
        <v>12</v>
      </c>
      <c r="EM107" s="79">
        <v>4</v>
      </c>
      <c r="EN107" s="79">
        <v>10.666666666666666</v>
      </c>
      <c r="EO107" s="79">
        <v>4</v>
      </c>
    </row>
    <row r="108" spans="1:224">
      <c r="A108" s="1" t="s">
        <v>798</v>
      </c>
      <c r="B108" s="3">
        <v>50</v>
      </c>
      <c r="C108" t="s">
        <v>206</v>
      </c>
      <c r="D108" s="3">
        <v>99</v>
      </c>
      <c r="E108" t="s">
        <v>19</v>
      </c>
      <c r="F108" s="3">
        <v>5</v>
      </c>
      <c r="G108" s="3"/>
      <c r="P108" s="73" t="s">
        <v>570</v>
      </c>
      <c r="T108" s="73" t="s">
        <v>475</v>
      </c>
      <c r="U108" s="3">
        <v>5</v>
      </c>
      <c r="V108" s="3">
        <v>5</v>
      </c>
      <c r="W108" s="3">
        <v>6</v>
      </c>
      <c r="X108" s="3">
        <v>6</v>
      </c>
      <c r="Y108" s="3">
        <v>6</v>
      </c>
      <c r="Z108" s="79">
        <v>6</v>
      </c>
      <c r="AA108" s="3">
        <v>3</v>
      </c>
      <c r="AB108" s="3">
        <v>4</v>
      </c>
      <c r="AC108" s="3">
        <v>6</v>
      </c>
      <c r="AD108" s="3">
        <v>5</v>
      </c>
      <c r="AE108" s="79">
        <v>4</v>
      </c>
      <c r="AF108" s="3">
        <v>4</v>
      </c>
      <c r="AG108" s="3">
        <v>4</v>
      </c>
      <c r="AH108" s="3">
        <v>4</v>
      </c>
      <c r="AI108" s="3">
        <v>4</v>
      </c>
      <c r="AJ108" s="3">
        <v>4</v>
      </c>
      <c r="AK108" s="3">
        <v>4</v>
      </c>
      <c r="AL108" s="3">
        <v>6</v>
      </c>
      <c r="AM108" s="3">
        <v>6</v>
      </c>
      <c r="AN108" s="3">
        <v>4</v>
      </c>
      <c r="AO108" s="3">
        <v>5</v>
      </c>
      <c r="AP108" s="3">
        <v>2</v>
      </c>
      <c r="AQ108" s="3">
        <v>5</v>
      </c>
      <c r="AR108" s="3">
        <v>5</v>
      </c>
      <c r="AS108" s="3">
        <v>7</v>
      </c>
      <c r="AT108" s="3">
        <v>5</v>
      </c>
      <c r="AU108" s="3">
        <v>3</v>
      </c>
      <c r="AV108" s="3">
        <v>4</v>
      </c>
      <c r="AW108" s="3">
        <v>4</v>
      </c>
      <c r="AX108" s="3">
        <v>6</v>
      </c>
      <c r="AY108" s="3">
        <v>6</v>
      </c>
      <c r="AZ108" s="3">
        <v>6</v>
      </c>
      <c r="BA108" s="3">
        <v>6</v>
      </c>
      <c r="BB108" s="3">
        <v>6</v>
      </c>
      <c r="BC108" s="3">
        <v>5</v>
      </c>
      <c r="BD108" s="3">
        <v>5</v>
      </c>
      <c r="BE108" s="3">
        <v>5</v>
      </c>
      <c r="BF108" s="3">
        <v>6</v>
      </c>
      <c r="BG108" s="3">
        <v>6</v>
      </c>
      <c r="BH108" s="3">
        <v>4</v>
      </c>
      <c r="BI108" s="3">
        <v>4</v>
      </c>
      <c r="BJ108" s="3">
        <v>4</v>
      </c>
      <c r="BK108" s="3">
        <v>4</v>
      </c>
      <c r="DU108" s="1">
        <v>0.4</v>
      </c>
      <c r="DV108" s="121">
        <v>10</v>
      </c>
      <c r="DW108" s="79">
        <v>5</v>
      </c>
      <c r="DX108" s="79">
        <v>10</v>
      </c>
      <c r="DY108" s="79">
        <v>5</v>
      </c>
      <c r="DZ108" s="121">
        <v>13.666666666666666</v>
      </c>
      <c r="EA108" s="79">
        <v>5</v>
      </c>
      <c r="EB108" s="79">
        <v>8.3333333333333339</v>
      </c>
      <c r="EC108" s="79">
        <v>5</v>
      </c>
      <c r="ED108" s="121">
        <v>11.666666666666666</v>
      </c>
      <c r="EE108" s="79">
        <v>5</v>
      </c>
      <c r="EF108" s="79">
        <v>8</v>
      </c>
      <c r="EG108" s="79">
        <v>5</v>
      </c>
      <c r="EH108" s="121">
        <v>8.6666666666666661</v>
      </c>
      <c r="EI108" s="79">
        <v>5</v>
      </c>
      <c r="EJ108" s="79">
        <v>11.666666666666666</v>
      </c>
      <c r="EK108" s="79">
        <v>5</v>
      </c>
      <c r="EL108" s="79">
        <v>13</v>
      </c>
      <c r="EM108" s="79">
        <v>5</v>
      </c>
      <c r="EN108" s="79">
        <v>11.333333333333334</v>
      </c>
      <c r="EO108" s="79">
        <v>5</v>
      </c>
    </row>
    <row r="109" spans="1:224">
      <c r="A109" s="1" t="s">
        <v>799</v>
      </c>
      <c r="B109" s="3">
        <v>50</v>
      </c>
      <c r="C109" t="s">
        <v>273</v>
      </c>
      <c r="D109" s="3">
        <v>100</v>
      </c>
      <c r="E109" t="s">
        <v>19</v>
      </c>
      <c r="F109" s="3">
        <v>4</v>
      </c>
      <c r="G109" s="3"/>
      <c r="P109" s="73" t="s">
        <v>571</v>
      </c>
      <c r="T109" s="73" t="s">
        <v>461</v>
      </c>
      <c r="U109" s="3">
        <v>9</v>
      </c>
      <c r="V109" s="3">
        <v>9</v>
      </c>
      <c r="W109" s="3">
        <v>9</v>
      </c>
      <c r="X109" s="3">
        <v>10</v>
      </c>
      <c r="Y109" s="3">
        <v>9</v>
      </c>
      <c r="Z109" s="79">
        <v>9</v>
      </c>
      <c r="AA109" s="3">
        <v>8</v>
      </c>
      <c r="AB109" s="3">
        <v>10</v>
      </c>
      <c r="AC109" s="3">
        <v>9</v>
      </c>
      <c r="AD109" s="3">
        <v>9</v>
      </c>
      <c r="AE109" s="79">
        <v>9</v>
      </c>
      <c r="AF109" s="3">
        <v>9</v>
      </c>
      <c r="AG109" s="3">
        <v>9</v>
      </c>
      <c r="AH109" s="3">
        <v>10</v>
      </c>
      <c r="AI109" s="3">
        <v>10</v>
      </c>
      <c r="AJ109" s="3">
        <v>9</v>
      </c>
      <c r="AK109" s="3">
        <v>9</v>
      </c>
      <c r="AL109" s="3">
        <v>7</v>
      </c>
      <c r="AM109" s="3">
        <v>9</v>
      </c>
      <c r="AN109" s="3">
        <v>9</v>
      </c>
      <c r="AO109" s="3">
        <v>10</v>
      </c>
      <c r="AP109" s="3">
        <v>10</v>
      </c>
      <c r="AQ109" s="3">
        <v>10</v>
      </c>
      <c r="AR109" s="3">
        <v>10</v>
      </c>
      <c r="AS109" s="3">
        <v>10</v>
      </c>
      <c r="AT109" s="3">
        <v>8</v>
      </c>
      <c r="AU109" s="3">
        <v>10</v>
      </c>
      <c r="AV109" s="3">
        <v>8</v>
      </c>
      <c r="AW109" s="3">
        <v>9</v>
      </c>
      <c r="AX109" s="3">
        <v>8</v>
      </c>
      <c r="AY109" s="3">
        <v>10</v>
      </c>
      <c r="AZ109" s="3">
        <v>10</v>
      </c>
      <c r="BA109" s="3">
        <v>9</v>
      </c>
      <c r="BB109" s="3">
        <v>9</v>
      </c>
      <c r="BC109" s="3">
        <v>9</v>
      </c>
      <c r="BD109" s="3">
        <v>10</v>
      </c>
      <c r="BE109" s="3">
        <v>9</v>
      </c>
      <c r="BF109" s="3">
        <v>8</v>
      </c>
      <c r="BG109" s="3">
        <v>9</v>
      </c>
      <c r="BH109" s="3">
        <v>10</v>
      </c>
      <c r="BI109" s="3">
        <v>9</v>
      </c>
      <c r="BJ109" s="3">
        <v>8</v>
      </c>
      <c r="BK109" s="3">
        <v>9</v>
      </c>
      <c r="DU109" s="1">
        <v>0.5</v>
      </c>
      <c r="DV109" s="121">
        <v>10.666666666666666</v>
      </c>
      <c r="DW109" s="79">
        <v>6</v>
      </c>
      <c r="DX109" s="79">
        <v>10.666666666666666</v>
      </c>
      <c r="DY109" s="79">
        <v>6</v>
      </c>
      <c r="DZ109" s="121">
        <v>14.333333333333334</v>
      </c>
      <c r="EA109" s="79">
        <v>6</v>
      </c>
      <c r="EB109" s="79">
        <v>9.3333333333333339</v>
      </c>
      <c r="EC109" s="79">
        <v>6</v>
      </c>
      <c r="ED109" s="121">
        <v>12.333333333333334</v>
      </c>
      <c r="EE109" s="79">
        <v>6</v>
      </c>
      <c r="EF109" s="79">
        <v>9</v>
      </c>
      <c r="EG109" s="79">
        <v>6</v>
      </c>
      <c r="EH109" s="121">
        <v>9.3333333333333339</v>
      </c>
      <c r="EI109" s="79">
        <v>6</v>
      </c>
      <c r="EJ109" s="79">
        <v>12.666666666666666</v>
      </c>
      <c r="EK109" s="79">
        <v>6</v>
      </c>
      <c r="EL109" s="79">
        <v>13.666666666666666</v>
      </c>
      <c r="EM109" s="79">
        <v>6</v>
      </c>
      <c r="EN109" s="79">
        <v>12</v>
      </c>
      <c r="EO109" s="79">
        <v>6</v>
      </c>
    </row>
    <row r="110" spans="1:224">
      <c r="A110" s="1" t="s">
        <v>800</v>
      </c>
      <c r="B110" s="3">
        <v>51</v>
      </c>
      <c r="C110" t="s">
        <v>20</v>
      </c>
      <c r="D110" s="3">
        <v>101</v>
      </c>
      <c r="E110" t="s">
        <v>19</v>
      </c>
      <c r="F110" s="3">
        <v>2</v>
      </c>
      <c r="G110" s="3"/>
      <c r="P110" s="73" t="s">
        <v>30</v>
      </c>
      <c r="T110" s="73" t="s">
        <v>571</v>
      </c>
      <c r="U110" s="3">
        <v>2</v>
      </c>
      <c r="V110" s="3">
        <v>4</v>
      </c>
      <c r="W110" s="3">
        <v>4</v>
      </c>
      <c r="X110" s="3">
        <v>3</v>
      </c>
      <c r="Y110" s="3">
        <v>3</v>
      </c>
      <c r="Z110" s="79">
        <v>6</v>
      </c>
      <c r="AA110" s="3">
        <v>3</v>
      </c>
      <c r="AB110" s="3">
        <v>1</v>
      </c>
      <c r="AC110" s="3">
        <v>2</v>
      </c>
      <c r="AD110" s="3">
        <v>2</v>
      </c>
      <c r="AE110" s="79">
        <v>7</v>
      </c>
      <c r="AF110" s="3">
        <v>2</v>
      </c>
      <c r="AG110" s="3">
        <v>3</v>
      </c>
      <c r="AH110" s="3">
        <v>4</v>
      </c>
      <c r="AI110" s="3">
        <v>4</v>
      </c>
      <c r="AJ110" s="3">
        <v>4</v>
      </c>
      <c r="AK110" s="3">
        <v>2</v>
      </c>
      <c r="AL110" s="3">
        <v>2</v>
      </c>
      <c r="AM110" s="3">
        <v>4</v>
      </c>
      <c r="AN110" s="3">
        <v>5</v>
      </c>
      <c r="AO110" s="3">
        <v>4</v>
      </c>
      <c r="AP110" s="3">
        <v>4</v>
      </c>
      <c r="AQ110" s="3">
        <v>2</v>
      </c>
      <c r="AR110" s="3">
        <v>4</v>
      </c>
      <c r="AS110" s="3">
        <v>5</v>
      </c>
      <c r="AT110" s="3">
        <v>4</v>
      </c>
      <c r="AU110" s="3">
        <v>2</v>
      </c>
      <c r="AV110" s="3">
        <v>4</v>
      </c>
      <c r="AW110" s="3">
        <v>2</v>
      </c>
      <c r="AX110" s="3">
        <v>2</v>
      </c>
      <c r="AY110" s="3">
        <v>3</v>
      </c>
      <c r="AZ110" s="3">
        <v>3</v>
      </c>
      <c r="BA110" s="3">
        <v>2</v>
      </c>
      <c r="BB110" s="3">
        <v>2</v>
      </c>
      <c r="BC110" s="3">
        <v>2</v>
      </c>
      <c r="BD110" s="3">
        <v>1</v>
      </c>
      <c r="BE110" s="3">
        <v>4</v>
      </c>
      <c r="BF110" s="3">
        <v>6</v>
      </c>
      <c r="BG110" s="3">
        <v>8</v>
      </c>
      <c r="BH110" s="3">
        <v>1</v>
      </c>
      <c r="BI110" s="3">
        <v>4</v>
      </c>
      <c r="BJ110" s="3">
        <v>6</v>
      </c>
      <c r="BK110" s="3">
        <v>7</v>
      </c>
      <c r="DU110" s="1">
        <v>0.6</v>
      </c>
      <c r="DV110" s="121">
        <v>11.333333333333334</v>
      </c>
      <c r="DW110" s="79">
        <v>7</v>
      </c>
      <c r="DX110" s="79">
        <v>11.333333333333334</v>
      </c>
      <c r="DY110" s="79">
        <v>7</v>
      </c>
      <c r="DZ110" s="121">
        <v>15</v>
      </c>
      <c r="EA110" s="79">
        <v>7</v>
      </c>
      <c r="EB110" s="79">
        <v>10</v>
      </c>
      <c r="EC110" s="79">
        <v>7</v>
      </c>
      <c r="ED110" s="121">
        <v>13</v>
      </c>
      <c r="EE110" s="79">
        <v>7</v>
      </c>
      <c r="EF110" s="79">
        <v>10</v>
      </c>
      <c r="EG110" s="79">
        <v>7</v>
      </c>
      <c r="EH110" s="121">
        <v>10.333333333333334</v>
      </c>
      <c r="EI110" s="79">
        <v>7</v>
      </c>
      <c r="EJ110" s="79">
        <v>13.333333333333334</v>
      </c>
      <c r="EK110" s="79">
        <v>7</v>
      </c>
      <c r="EL110" s="79">
        <v>14.333333333333334</v>
      </c>
      <c r="EM110" s="79">
        <v>7</v>
      </c>
      <c r="EN110" s="79">
        <v>12.666666666666666</v>
      </c>
      <c r="EO110" s="79">
        <v>7</v>
      </c>
    </row>
    <row r="111" spans="1:224">
      <c r="A111" s="1" t="s">
        <v>801</v>
      </c>
      <c r="B111" s="3">
        <v>51</v>
      </c>
      <c r="C111" t="s">
        <v>213</v>
      </c>
      <c r="D111" s="3">
        <v>102</v>
      </c>
      <c r="E111" t="s">
        <v>19</v>
      </c>
      <c r="F111" s="3">
        <v>2</v>
      </c>
      <c r="G111" s="3"/>
      <c r="P111" t="s">
        <v>446</v>
      </c>
      <c r="T111" s="73" t="s">
        <v>570</v>
      </c>
      <c r="U111" s="3">
        <v>6</v>
      </c>
      <c r="V111" s="3">
        <v>5</v>
      </c>
      <c r="W111" s="3">
        <v>5</v>
      </c>
      <c r="X111" s="3">
        <v>6</v>
      </c>
      <c r="Y111" s="3">
        <v>5</v>
      </c>
      <c r="Z111" s="79">
        <v>4</v>
      </c>
      <c r="AA111" s="3">
        <v>8</v>
      </c>
      <c r="AB111" s="3">
        <v>7</v>
      </c>
      <c r="AC111" s="3">
        <v>5</v>
      </c>
      <c r="AD111" s="3">
        <v>6</v>
      </c>
      <c r="AE111" s="79">
        <v>6</v>
      </c>
      <c r="AF111" s="3">
        <v>6</v>
      </c>
      <c r="AG111" s="3">
        <v>6</v>
      </c>
      <c r="AH111" s="3">
        <v>4</v>
      </c>
      <c r="AI111" s="3">
        <v>5</v>
      </c>
      <c r="AJ111" s="3">
        <v>4</v>
      </c>
      <c r="AK111" s="3">
        <v>6</v>
      </c>
      <c r="AL111" s="3">
        <v>5</v>
      </c>
      <c r="AM111" s="3">
        <v>5</v>
      </c>
      <c r="AN111" s="3">
        <v>4</v>
      </c>
      <c r="AO111" s="3">
        <v>4</v>
      </c>
      <c r="AP111" s="3">
        <v>5</v>
      </c>
      <c r="AQ111" s="3">
        <v>5</v>
      </c>
      <c r="AR111" s="3">
        <v>7</v>
      </c>
      <c r="AS111" s="3">
        <v>5</v>
      </c>
      <c r="AT111" s="3">
        <v>3</v>
      </c>
      <c r="AU111" s="3">
        <v>5</v>
      </c>
      <c r="AV111" s="3">
        <v>8</v>
      </c>
      <c r="AW111" s="3">
        <v>5</v>
      </c>
      <c r="AX111" s="3">
        <v>6</v>
      </c>
      <c r="AY111" s="3">
        <v>6</v>
      </c>
      <c r="AZ111" s="3">
        <v>6</v>
      </c>
      <c r="BA111" s="3">
        <v>6</v>
      </c>
      <c r="BB111" s="3">
        <v>4</v>
      </c>
      <c r="BC111" s="3">
        <v>6</v>
      </c>
      <c r="BD111" s="3">
        <v>6</v>
      </c>
      <c r="BE111" s="3">
        <v>4</v>
      </c>
      <c r="BF111" s="3">
        <v>5</v>
      </c>
      <c r="BG111" s="3">
        <v>4</v>
      </c>
      <c r="BH111" s="3">
        <v>5</v>
      </c>
      <c r="BI111" s="3">
        <v>5</v>
      </c>
      <c r="BJ111" s="3">
        <v>6</v>
      </c>
      <c r="BK111" s="3">
        <v>5</v>
      </c>
      <c r="DU111" s="1">
        <v>0.7</v>
      </c>
      <c r="DV111" s="121">
        <v>12.333333333333334</v>
      </c>
      <c r="DW111" s="79">
        <v>8</v>
      </c>
      <c r="DX111" s="79">
        <v>12</v>
      </c>
      <c r="DY111" s="79">
        <v>8</v>
      </c>
      <c r="DZ111" s="121">
        <v>15.666666666666666</v>
      </c>
      <c r="EA111" s="79">
        <v>8</v>
      </c>
      <c r="EB111" s="79">
        <v>10.666666666666666</v>
      </c>
      <c r="EC111" s="79">
        <v>8</v>
      </c>
      <c r="ED111" s="121">
        <v>13.666666666666666</v>
      </c>
      <c r="EE111" s="79">
        <v>8</v>
      </c>
      <c r="EF111" s="79">
        <v>11</v>
      </c>
      <c r="EG111" s="79">
        <v>8</v>
      </c>
      <c r="EH111" s="121">
        <v>11</v>
      </c>
      <c r="EI111" s="79">
        <v>8</v>
      </c>
      <c r="EJ111" s="79">
        <v>14</v>
      </c>
      <c r="EK111" s="79">
        <v>8</v>
      </c>
      <c r="EL111" s="79">
        <v>15</v>
      </c>
      <c r="EM111" s="79">
        <v>8</v>
      </c>
      <c r="EN111" s="79">
        <v>13.666666666666666</v>
      </c>
      <c r="EO111" s="79">
        <v>8</v>
      </c>
    </row>
    <row r="112" spans="1:224">
      <c r="A112" s="1" t="s">
        <v>802</v>
      </c>
      <c r="B112" s="3">
        <v>52</v>
      </c>
      <c r="C112" t="s">
        <v>172</v>
      </c>
      <c r="D112" s="3">
        <v>103</v>
      </c>
      <c r="E112" t="s">
        <v>19</v>
      </c>
      <c r="F112" s="3">
        <v>5</v>
      </c>
      <c r="G112" s="3"/>
      <c r="P112" s="73" t="s">
        <v>390</v>
      </c>
      <c r="T112" s="73" t="s">
        <v>106</v>
      </c>
      <c r="U112" s="3">
        <v>8</v>
      </c>
      <c r="V112" s="3">
        <v>9</v>
      </c>
      <c r="W112" s="3">
        <v>9</v>
      </c>
      <c r="X112" s="3">
        <v>8</v>
      </c>
      <c r="Y112" s="3">
        <v>8</v>
      </c>
      <c r="Z112" s="79">
        <v>9</v>
      </c>
      <c r="AA112" s="3">
        <v>7</v>
      </c>
      <c r="AB112" s="3">
        <v>6</v>
      </c>
      <c r="AC112" s="3">
        <v>9</v>
      </c>
      <c r="AD112" s="3">
        <v>6</v>
      </c>
      <c r="AE112" s="79">
        <v>9</v>
      </c>
      <c r="AF112" s="3">
        <v>7</v>
      </c>
      <c r="AG112" s="3">
        <v>9</v>
      </c>
      <c r="AH112" s="3">
        <v>9</v>
      </c>
      <c r="AI112" s="3">
        <v>9</v>
      </c>
      <c r="AJ112" s="3">
        <v>8</v>
      </c>
      <c r="AK112" s="3">
        <v>7</v>
      </c>
      <c r="AL112" s="3">
        <v>10</v>
      </c>
      <c r="AM112" s="3">
        <v>7</v>
      </c>
      <c r="AN112" s="3">
        <v>7</v>
      </c>
      <c r="AO112" s="3">
        <v>8</v>
      </c>
      <c r="AP112" s="3">
        <v>8</v>
      </c>
      <c r="AQ112" s="3">
        <v>8</v>
      </c>
      <c r="AR112" s="3">
        <v>9</v>
      </c>
      <c r="AS112" s="3">
        <v>8</v>
      </c>
      <c r="AT112" s="3">
        <v>8</v>
      </c>
      <c r="AU112" s="3">
        <v>9</v>
      </c>
      <c r="AV112" s="3">
        <v>10</v>
      </c>
      <c r="AW112" s="3">
        <v>9</v>
      </c>
      <c r="AX112" s="3">
        <v>9</v>
      </c>
      <c r="AY112" s="3">
        <v>9</v>
      </c>
      <c r="AZ112" s="3">
        <v>9</v>
      </c>
      <c r="BA112" s="3">
        <v>9</v>
      </c>
      <c r="BB112" s="3">
        <v>5</v>
      </c>
      <c r="BC112" s="3">
        <v>8</v>
      </c>
      <c r="BD112" s="3">
        <v>6</v>
      </c>
      <c r="BE112" s="3">
        <v>9</v>
      </c>
      <c r="BF112" s="3">
        <v>8</v>
      </c>
      <c r="BG112" s="3">
        <v>9</v>
      </c>
      <c r="BH112" s="3">
        <v>4</v>
      </c>
      <c r="BI112" s="3">
        <v>8</v>
      </c>
      <c r="BJ112" s="3">
        <v>9</v>
      </c>
      <c r="BK112" s="3">
        <v>8</v>
      </c>
      <c r="DU112" s="1">
        <v>0.8</v>
      </c>
      <c r="DV112" s="121">
        <v>13.133333333333345</v>
      </c>
      <c r="DW112" s="79">
        <v>9</v>
      </c>
      <c r="DX112" s="79">
        <v>13</v>
      </c>
      <c r="DY112" s="79">
        <v>9</v>
      </c>
      <c r="DZ112" s="121">
        <v>16.333333333333332</v>
      </c>
      <c r="EA112" s="79">
        <v>9</v>
      </c>
      <c r="EB112" s="79">
        <v>11.666666666666666</v>
      </c>
      <c r="EC112" s="79">
        <v>9</v>
      </c>
      <c r="ED112" s="121">
        <v>14.666666666666666</v>
      </c>
      <c r="EE112" s="79">
        <v>9</v>
      </c>
      <c r="EF112" s="79">
        <v>12</v>
      </c>
      <c r="EG112" s="79">
        <v>9</v>
      </c>
      <c r="EH112" s="121">
        <v>12</v>
      </c>
      <c r="EI112" s="79">
        <v>9</v>
      </c>
      <c r="EJ112" s="79">
        <v>14.666666666666666</v>
      </c>
      <c r="EK112" s="79">
        <v>9</v>
      </c>
      <c r="EL112" s="79">
        <v>15.666666666666666</v>
      </c>
      <c r="EM112" s="79">
        <v>9</v>
      </c>
      <c r="EN112" s="79">
        <v>14.333333333333334</v>
      </c>
      <c r="EO112" s="79">
        <v>9</v>
      </c>
    </row>
    <row r="113" spans="1:145">
      <c r="A113" s="1" t="s">
        <v>803</v>
      </c>
      <c r="B113" s="3">
        <v>52</v>
      </c>
      <c r="C113" t="s">
        <v>310</v>
      </c>
      <c r="D113" s="3">
        <v>104</v>
      </c>
      <c r="E113" t="s">
        <v>19</v>
      </c>
      <c r="F113" s="3">
        <v>5</v>
      </c>
      <c r="G113" s="3"/>
      <c r="P113" s="73" t="s">
        <v>467</v>
      </c>
      <c r="T113" s="73" t="s">
        <v>30</v>
      </c>
      <c r="U113" s="3">
        <v>10</v>
      </c>
      <c r="V113" s="3">
        <v>10</v>
      </c>
      <c r="W113" s="3">
        <v>10</v>
      </c>
      <c r="X113" s="3">
        <v>9</v>
      </c>
      <c r="Y113" s="3">
        <v>10</v>
      </c>
      <c r="Z113" s="79">
        <v>9</v>
      </c>
      <c r="AA113" s="3">
        <v>10</v>
      </c>
      <c r="AB113" s="3">
        <v>10</v>
      </c>
      <c r="AC113" s="3">
        <v>10</v>
      </c>
      <c r="AD113" s="3">
        <v>10</v>
      </c>
      <c r="AE113" s="79">
        <v>10</v>
      </c>
      <c r="AF113" s="3">
        <v>10</v>
      </c>
      <c r="AG113" s="3">
        <v>10</v>
      </c>
      <c r="AH113" s="3">
        <v>10</v>
      </c>
      <c r="AI113" s="3">
        <v>10</v>
      </c>
      <c r="AJ113" s="3">
        <v>10</v>
      </c>
      <c r="AK113" s="3">
        <v>10</v>
      </c>
      <c r="AL113" s="3">
        <v>10</v>
      </c>
      <c r="AM113" s="3">
        <v>10</v>
      </c>
      <c r="AN113" s="3">
        <v>10</v>
      </c>
      <c r="AO113" s="3">
        <v>10</v>
      </c>
      <c r="AP113" s="3">
        <v>10</v>
      </c>
      <c r="AQ113" s="3">
        <v>10</v>
      </c>
      <c r="AR113" s="3">
        <v>10</v>
      </c>
      <c r="AS113" s="3">
        <v>10</v>
      </c>
      <c r="AT113" s="3">
        <v>10</v>
      </c>
      <c r="AU113" s="3">
        <v>10</v>
      </c>
      <c r="AV113" s="3">
        <v>10</v>
      </c>
      <c r="AW113" s="3">
        <v>10</v>
      </c>
      <c r="AX113" s="3">
        <v>10</v>
      </c>
      <c r="AY113" s="3">
        <v>9</v>
      </c>
      <c r="AZ113" s="3">
        <v>9</v>
      </c>
      <c r="BA113" s="3">
        <v>10</v>
      </c>
      <c r="BB113" s="3">
        <v>10</v>
      </c>
      <c r="BC113" s="3">
        <v>10</v>
      </c>
      <c r="BD113" s="3">
        <v>10</v>
      </c>
      <c r="BE113" s="3">
        <v>9</v>
      </c>
      <c r="BF113" s="3">
        <v>9</v>
      </c>
      <c r="BG113" s="3">
        <v>9</v>
      </c>
      <c r="BH113" s="3">
        <v>10</v>
      </c>
      <c r="BI113" s="3">
        <v>10</v>
      </c>
      <c r="BJ113" s="3">
        <v>10</v>
      </c>
      <c r="BK113" s="3">
        <v>10</v>
      </c>
      <c r="DU113" s="1">
        <v>0.9</v>
      </c>
      <c r="DV113" s="121">
        <v>14</v>
      </c>
      <c r="DW113" s="79">
        <v>10</v>
      </c>
      <c r="DX113" s="79">
        <v>14</v>
      </c>
      <c r="DY113" s="79">
        <v>10</v>
      </c>
      <c r="DZ113" s="121">
        <v>17.333333333333332</v>
      </c>
      <c r="EA113" s="79">
        <v>10</v>
      </c>
      <c r="EB113" s="79">
        <v>13</v>
      </c>
      <c r="EC113" s="79">
        <v>10</v>
      </c>
      <c r="ED113" s="121">
        <v>16</v>
      </c>
      <c r="EE113" s="79">
        <v>10</v>
      </c>
      <c r="EF113" s="79">
        <v>13.666666666666666</v>
      </c>
      <c r="EG113" s="79">
        <v>10</v>
      </c>
      <c r="EH113" s="121">
        <v>13.333333333333334</v>
      </c>
      <c r="EI113" s="79">
        <v>10</v>
      </c>
      <c r="EJ113" s="79">
        <v>16</v>
      </c>
      <c r="EK113" s="79">
        <v>10</v>
      </c>
      <c r="EL113" s="79">
        <v>16.666666666666668</v>
      </c>
      <c r="EM113" s="79">
        <v>10</v>
      </c>
      <c r="EN113" s="79">
        <v>15.666666666666666</v>
      </c>
      <c r="EO113" s="79">
        <v>10</v>
      </c>
    </row>
    <row r="114" spans="1:145">
      <c r="A114" s="1" t="s">
        <v>804</v>
      </c>
      <c r="B114" s="3">
        <v>53</v>
      </c>
      <c r="C114" t="s">
        <v>146</v>
      </c>
      <c r="D114" s="3">
        <v>105</v>
      </c>
      <c r="E114" t="s">
        <v>19</v>
      </c>
      <c r="F114" s="3">
        <v>2</v>
      </c>
      <c r="G114" s="3"/>
      <c r="P114" t="s">
        <v>394</v>
      </c>
      <c r="T114" s="73" t="s">
        <v>462</v>
      </c>
      <c r="U114" s="3">
        <v>1</v>
      </c>
      <c r="V114" s="3">
        <v>1</v>
      </c>
      <c r="W114" s="3">
        <v>1</v>
      </c>
      <c r="X114" s="3">
        <v>2</v>
      </c>
      <c r="Y114" s="3">
        <v>1</v>
      </c>
      <c r="Z114" s="79">
        <v>3</v>
      </c>
      <c r="AA114" s="3">
        <v>2</v>
      </c>
      <c r="AB114" s="3">
        <v>2</v>
      </c>
      <c r="AC114" s="3">
        <v>1</v>
      </c>
      <c r="AD114" s="3">
        <v>1</v>
      </c>
      <c r="AE114" s="79">
        <v>1</v>
      </c>
      <c r="AF114" s="3">
        <v>1</v>
      </c>
      <c r="AG114" s="3">
        <v>2</v>
      </c>
      <c r="AH114" s="3">
        <v>1</v>
      </c>
      <c r="AI114" s="3">
        <v>1</v>
      </c>
      <c r="AJ114" s="3">
        <v>2</v>
      </c>
      <c r="AK114" s="3">
        <v>1</v>
      </c>
      <c r="AL114" s="3">
        <v>1</v>
      </c>
      <c r="AM114" s="3">
        <v>1</v>
      </c>
      <c r="AN114" s="3">
        <v>3</v>
      </c>
      <c r="AO114" s="3">
        <v>3</v>
      </c>
      <c r="AP114" s="3">
        <v>3</v>
      </c>
      <c r="AQ114" s="3">
        <v>1</v>
      </c>
      <c r="AR114" s="3">
        <v>3</v>
      </c>
      <c r="AS114" s="3">
        <v>1</v>
      </c>
      <c r="AT114" s="3">
        <v>2</v>
      </c>
      <c r="AU114" s="3">
        <v>2</v>
      </c>
      <c r="AV114" s="3">
        <v>2</v>
      </c>
      <c r="AW114" s="3">
        <v>2</v>
      </c>
      <c r="AX114" s="3">
        <v>2</v>
      </c>
      <c r="AY114" s="3">
        <v>2</v>
      </c>
      <c r="AZ114" s="3">
        <v>2</v>
      </c>
      <c r="BA114" s="3">
        <v>2</v>
      </c>
      <c r="BB114" s="3">
        <v>2</v>
      </c>
      <c r="BC114" s="3">
        <v>1</v>
      </c>
      <c r="BD114" s="3">
        <v>3</v>
      </c>
      <c r="BE114" s="3">
        <v>1</v>
      </c>
      <c r="BF114" s="3">
        <v>2</v>
      </c>
      <c r="BG114" s="3">
        <v>3</v>
      </c>
      <c r="BH114" s="3">
        <v>2</v>
      </c>
      <c r="BI114" s="3">
        <v>2</v>
      </c>
      <c r="BJ114" s="3">
        <v>1</v>
      </c>
      <c r="BK114" s="3">
        <v>2</v>
      </c>
    </row>
    <row r="115" spans="1:145">
      <c r="A115" s="1" t="s">
        <v>805</v>
      </c>
      <c r="B115" s="3">
        <v>53</v>
      </c>
      <c r="C115" t="s">
        <v>231</v>
      </c>
      <c r="D115" s="3">
        <v>106</v>
      </c>
      <c r="E115" t="s">
        <v>19</v>
      </c>
      <c r="F115" s="3">
        <v>4</v>
      </c>
      <c r="G115" s="3"/>
      <c r="P115" s="73" t="s">
        <v>547</v>
      </c>
      <c r="T115" s="20" t="s">
        <v>465</v>
      </c>
      <c r="U115" s="3">
        <v>3</v>
      </c>
      <c r="V115" s="3">
        <v>2</v>
      </c>
      <c r="W115" s="3">
        <v>2</v>
      </c>
      <c r="X115" s="3">
        <v>2</v>
      </c>
      <c r="Y115" s="3">
        <v>2</v>
      </c>
      <c r="Z115" s="79">
        <v>3</v>
      </c>
      <c r="AA115" s="3">
        <v>2</v>
      </c>
      <c r="AB115" s="3">
        <v>3</v>
      </c>
      <c r="AC115" s="3">
        <v>2</v>
      </c>
      <c r="AD115" s="3">
        <v>2</v>
      </c>
      <c r="AE115" s="79">
        <v>2</v>
      </c>
      <c r="AF115" s="3">
        <v>3</v>
      </c>
      <c r="AG115" s="3">
        <v>4</v>
      </c>
      <c r="AH115" s="3">
        <v>5</v>
      </c>
      <c r="AI115" s="3">
        <v>1</v>
      </c>
      <c r="AJ115" s="3">
        <v>3</v>
      </c>
      <c r="AK115" s="3">
        <v>2</v>
      </c>
      <c r="AL115" s="3">
        <v>4</v>
      </c>
      <c r="AM115" s="3">
        <v>2</v>
      </c>
      <c r="AN115" s="3">
        <v>3</v>
      </c>
      <c r="AO115" s="3">
        <v>4</v>
      </c>
      <c r="AP115" s="3">
        <v>5</v>
      </c>
      <c r="AQ115" s="3">
        <v>2</v>
      </c>
      <c r="AR115" s="3">
        <v>1</v>
      </c>
      <c r="AS115" s="3">
        <v>3</v>
      </c>
      <c r="AT115" s="3">
        <v>5</v>
      </c>
      <c r="AU115" s="3">
        <v>5</v>
      </c>
      <c r="AV115" s="3">
        <v>3</v>
      </c>
      <c r="AW115" s="3">
        <v>2</v>
      </c>
      <c r="AX115" s="3">
        <v>3</v>
      </c>
      <c r="AY115" s="3">
        <v>3</v>
      </c>
      <c r="AZ115" s="3">
        <v>3</v>
      </c>
      <c r="BA115" s="3">
        <v>2</v>
      </c>
      <c r="BB115" s="3">
        <v>5</v>
      </c>
      <c r="BC115" s="3">
        <v>4</v>
      </c>
      <c r="BD115" s="3">
        <v>2</v>
      </c>
      <c r="BE115" s="3">
        <v>2</v>
      </c>
      <c r="BF115" s="3">
        <v>2</v>
      </c>
      <c r="BG115" s="3">
        <v>2</v>
      </c>
      <c r="BH115" s="3">
        <v>3</v>
      </c>
      <c r="BI115" s="3">
        <v>3</v>
      </c>
      <c r="BJ115" s="3">
        <v>2</v>
      </c>
      <c r="BK115" s="3">
        <v>2</v>
      </c>
    </row>
    <row r="116" spans="1:145">
      <c r="A116" s="1" t="s">
        <v>806</v>
      </c>
      <c r="B116" s="3">
        <v>54</v>
      </c>
      <c r="C116" t="s">
        <v>127</v>
      </c>
      <c r="D116" s="3">
        <v>107</v>
      </c>
      <c r="E116" t="s">
        <v>19</v>
      </c>
      <c r="F116" s="3">
        <v>4</v>
      </c>
      <c r="G116" s="3"/>
      <c r="N116" s="198"/>
      <c r="P116" s="20" t="s">
        <v>465</v>
      </c>
      <c r="T116" s="73" t="s">
        <v>14</v>
      </c>
      <c r="U116" s="3">
        <v>2</v>
      </c>
      <c r="V116" s="3">
        <v>1</v>
      </c>
      <c r="W116" s="3">
        <v>1</v>
      </c>
      <c r="X116" s="3">
        <v>1</v>
      </c>
      <c r="Y116" s="3">
        <v>2</v>
      </c>
      <c r="Z116" s="79">
        <v>1</v>
      </c>
      <c r="AA116" s="3">
        <v>4</v>
      </c>
      <c r="AB116" s="3">
        <v>1</v>
      </c>
      <c r="AC116" s="3">
        <v>1</v>
      </c>
      <c r="AD116" s="3">
        <v>4</v>
      </c>
      <c r="AE116" s="79">
        <v>1</v>
      </c>
      <c r="AF116" s="3">
        <v>2</v>
      </c>
      <c r="AG116" s="3">
        <v>1</v>
      </c>
      <c r="AH116" s="3">
        <v>3</v>
      </c>
      <c r="AI116" s="3">
        <v>3</v>
      </c>
      <c r="AJ116" s="3">
        <v>1</v>
      </c>
      <c r="AK116" s="3">
        <v>2</v>
      </c>
      <c r="AL116" s="3">
        <v>1</v>
      </c>
      <c r="AM116" s="3">
        <v>2</v>
      </c>
      <c r="AN116" s="3">
        <v>2</v>
      </c>
      <c r="AO116" s="3">
        <v>1</v>
      </c>
      <c r="AP116" s="3">
        <v>4</v>
      </c>
      <c r="AQ116" s="3">
        <v>4</v>
      </c>
      <c r="AR116" s="3">
        <v>1</v>
      </c>
      <c r="AS116" s="3">
        <v>1</v>
      </c>
      <c r="AT116" s="3">
        <v>2</v>
      </c>
      <c r="AU116" s="3">
        <v>2</v>
      </c>
      <c r="AV116" s="3">
        <v>1</v>
      </c>
      <c r="AW116" s="3">
        <v>2</v>
      </c>
      <c r="AX116" s="3">
        <v>2</v>
      </c>
      <c r="AY116" s="3">
        <v>1</v>
      </c>
      <c r="AZ116" s="3">
        <v>1</v>
      </c>
      <c r="BA116" s="3">
        <v>2</v>
      </c>
      <c r="BB116" s="3">
        <v>3</v>
      </c>
      <c r="BC116" s="3">
        <v>2</v>
      </c>
      <c r="BD116" s="3">
        <v>2</v>
      </c>
      <c r="BE116" s="3">
        <v>1</v>
      </c>
      <c r="BF116" s="3">
        <v>1</v>
      </c>
      <c r="BG116" s="3">
        <v>2</v>
      </c>
      <c r="BH116" s="3">
        <v>2</v>
      </c>
      <c r="BI116" s="3">
        <v>2</v>
      </c>
      <c r="BJ116" s="3">
        <v>2</v>
      </c>
      <c r="BK116" s="3">
        <v>1</v>
      </c>
    </row>
    <row r="117" spans="1:145">
      <c r="A117" s="1" t="s">
        <v>807</v>
      </c>
      <c r="B117" s="3">
        <v>54</v>
      </c>
      <c r="C117" t="s">
        <v>305</v>
      </c>
      <c r="D117" s="3">
        <v>108</v>
      </c>
      <c r="E117" t="s">
        <v>19</v>
      </c>
      <c r="F117" s="3">
        <v>3</v>
      </c>
      <c r="G117" s="3"/>
      <c r="T117" s="73" t="s">
        <v>459</v>
      </c>
      <c r="U117" s="3" t="s">
        <v>459</v>
      </c>
      <c r="V117" s="3" t="s">
        <v>459</v>
      </c>
      <c r="W117" s="3" t="s">
        <v>459</v>
      </c>
      <c r="X117" s="3" t="s">
        <v>459</v>
      </c>
      <c r="Y117" s="3" t="s">
        <v>459</v>
      </c>
      <c r="Z117" s="79" t="s">
        <v>459</v>
      </c>
      <c r="AA117" s="3" t="s">
        <v>459</v>
      </c>
      <c r="AB117" s="3" t="s">
        <v>459</v>
      </c>
      <c r="AC117" s="3" t="s">
        <v>459</v>
      </c>
      <c r="AD117" s="3" t="s">
        <v>459</v>
      </c>
      <c r="AE117" s="79" t="s">
        <v>459</v>
      </c>
      <c r="AF117" s="3" t="s">
        <v>459</v>
      </c>
      <c r="AG117" s="3" t="s">
        <v>459</v>
      </c>
      <c r="AH117" s="3" t="s">
        <v>459</v>
      </c>
      <c r="AI117" s="3" t="s">
        <v>459</v>
      </c>
      <c r="AJ117" s="3" t="s">
        <v>459</v>
      </c>
      <c r="AK117" s="3" t="s">
        <v>459</v>
      </c>
      <c r="AL117" s="3" t="s">
        <v>459</v>
      </c>
      <c r="AM117" s="3" t="s">
        <v>459</v>
      </c>
      <c r="AN117" s="3" t="s">
        <v>459</v>
      </c>
      <c r="AO117" s="3" t="s">
        <v>459</v>
      </c>
      <c r="AP117" s="3" t="s">
        <v>459</v>
      </c>
      <c r="AQ117" s="3" t="s">
        <v>459</v>
      </c>
      <c r="AR117" s="3" t="s">
        <v>459</v>
      </c>
      <c r="AS117" s="3" t="s">
        <v>459</v>
      </c>
      <c r="AT117" s="3" t="s">
        <v>459</v>
      </c>
      <c r="AU117" s="3" t="s">
        <v>459</v>
      </c>
      <c r="AV117" s="3" t="s">
        <v>459</v>
      </c>
      <c r="AW117" s="3" t="s">
        <v>459</v>
      </c>
      <c r="AX117" s="3" t="s">
        <v>459</v>
      </c>
      <c r="AY117" s="3" t="s">
        <v>459</v>
      </c>
      <c r="AZ117" s="3" t="s">
        <v>459</v>
      </c>
      <c r="BA117" s="3" t="s">
        <v>459</v>
      </c>
      <c r="BB117" s="3" t="s">
        <v>459</v>
      </c>
      <c r="BC117" s="3" t="s">
        <v>459</v>
      </c>
      <c r="BD117" s="3" t="s">
        <v>459</v>
      </c>
      <c r="BE117" s="3" t="s">
        <v>459</v>
      </c>
      <c r="BF117" s="3" t="s">
        <v>459</v>
      </c>
      <c r="BG117" s="3" t="s">
        <v>459</v>
      </c>
      <c r="BH117" s="3" t="s">
        <v>459</v>
      </c>
      <c r="BI117" s="3" t="s">
        <v>459</v>
      </c>
      <c r="BJ117" s="3" t="s">
        <v>459</v>
      </c>
      <c r="BK117" s="3" t="s">
        <v>459</v>
      </c>
    </row>
    <row r="118" spans="1:145">
      <c r="A118" s="1" t="s">
        <v>808</v>
      </c>
      <c r="B118" s="3">
        <v>55</v>
      </c>
      <c r="C118" s="169" t="s">
        <v>324</v>
      </c>
      <c r="D118" s="3">
        <v>109</v>
      </c>
      <c r="E118" t="s">
        <v>19</v>
      </c>
      <c r="F118" s="3">
        <v>4</v>
      </c>
      <c r="G118" s="3"/>
      <c r="T118" s="73" t="s">
        <v>622</v>
      </c>
      <c r="U118" s="3">
        <v>6</v>
      </c>
      <c r="V118" s="3">
        <v>6</v>
      </c>
      <c r="W118" s="3">
        <v>4</v>
      </c>
      <c r="X118" s="3">
        <v>6</v>
      </c>
      <c r="Y118" s="3">
        <v>6</v>
      </c>
      <c r="Z118" s="79">
        <v>5</v>
      </c>
      <c r="AA118" s="3">
        <v>2</v>
      </c>
      <c r="AB118" s="3">
        <v>6</v>
      </c>
      <c r="AC118" s="3">
        <v>6</v>
      </c>
      <c r="AD118" s="3">
        <v>5</v>
      </c>
      <c r="AE118" s="79">
        <v>6</v>
      </c>
      <c r="AF118" s="3">
        <v>5</v>
      </c>
      <c r="AG118" s="3">
        <v>6</v>
      </c>
      <c r="AH118" s="3">
        <v>5</v>
      </c>
      <c r="AI118" s="3">
        <v>5</v>
      </c>
      <c r="AJ118" s="3">
        <v>6</v>
      </c>
      <c r="AK118" s="3">
        <v>5</v>
      </c>
      <c r="AL118" s="3">
        <v>5</v>
      </c>
      <c r="AM118" s="3">
        <v>6</v>
      </c>
      <c r="AN118" s="3">
        <v>4</v>
      </c>
      <c r="AO118" s="3">
        <v>6</v>
      </c>
      <c r="AP118" s="3">
        <v>9</v>
      </c>
      <c r="AQ118" s="3">
        <v>4</v>
      </c>
      <c r="AR118" s="3">
        <v>5</v>
      </c>
      <c r="AS118" s="3">
        <v>6</v>
      </c>
      <c r="AT118" s="3">
        <v>4</v>
      </c>
      <c r="AU118" s="3">
        <v>7</v>
      </c>
      <c r="AV118" s="3">
        <v>6</v>
      </c>
      <c r="AW118" s="3">
        <v>6</v>
      </c>
      <c r="AX118" s="3">
        <v>5</v>
      </c>
      <c r="AY118" s="3">
        <v>7</v>
      </c>
      <c r="AZ118" s="3">
        <v>7</v>
      </c>
      <c r="BA118" s="3">
        <v>5</v>
      </c>
      <c r="BB118" s="3">
        <v>7</v>
      </c>
      <c r="BC118" s="3">
        <v>7</v>
      </c>
      <c r="BD118" s="3">
        <v>4</v>
      </c>
      <c r="BE118" s="3">
        <v>6</v>
      </c>
      <c r="BF118" s="3">
        <v>5</v>
      </c>
      <c r="BG118" s="3">
        <v>6</v>
      </c>
      <c r="BH118" s="3">
        <v>7</v>
      </c>
      <c r="BI118" s="3">
        <v>5</v>
      </c>
      <c r="BJ118" s="3">
        <v>7</v>
      </c>
      <c r="BK118" s="3">
        <v>4</v>
      </c>
    </row>
    <row r="119" spans="1:145">
      <c r="A119" s="1" t="s">
        <v>809</v>
      </c>
      <c r="B119" s="3">
        <v>55</v>
      </c>
      <c r="C119" t="s">
        <v>248</v>
      </c>
      <c r="D119" s="3">
        <v>110</v>
      </c>
      <c r="E119" t="s">
        <v>19</v>
      </c>
      <c r="F119" s="3">
        <v>4</v>
      </c>
      <c r="G119" s="3"/>
      <c r="T119" s="73" t="s">
        <v>390</v>
      </c>
      <c r="U119" s="3">
        <v>6</v>
      </c>
      <c r="V119" s="3">
        <v>6</v>
      </c>
      <c r="W119" s="3">
        <v>7</v>
      </c>
      <c r="X119" s="3">
        <v>5</v>
      </c>
      <c r="Y119" s="3">
        <v>7</v>
      </c>
      <c r="Z119" s="79">
        <v>6</v>
      </c>
      <c r="AA119" s="3">
        <v>4</v>
      </c>
      <c r="AB119" s="3">
        <v>6</v>
      </c>
      <c r="AC119" s="3">
        <v>6</v>
      </c>
      <c r="AD119" s="3">
        <v>8</v>
      </c>
      <c r="AE119" s="79">
        <v>6</v>
      </c>
      <c r="AF119" s="3">
        <v>8</v>
      </c>
      <c r="AG119" s="3">
        <v>7</v>
      </c>
      <c r="AH119" s="3">
        <v>6</v>
      </c>
      <c r="AI119" s="3">
        <v>5</v>
      </c>
      <c r="AJ119" s="3">
        <v>7</v>
      </c>
      <c r="AK119" s="3">
        <v>5</v>
      </c>
      <c r="AL119" s="3">
        <v>7</v>
      </c>
      <c r="AM119" s="3">
        <v>7</v>
      </c>
      <c r="AN119" s="3">
        <v>4</v>
      </c>
      <c r="AO119" s="3">
        <v>4</v>
      </c>
      <c r="AP119" s="3">
        <v>6</v>
      </c>
      <c r="AQ119" s="3">
        <v>5</v>
      </c>
      <c r="AR119" s="3">
        <v>3</v>
      </c>
      <c r="AS119" s="3">
        <v>6</v>
      </c>
      <c r="AT119" s="3">
        <v>7</v>
      </c>
      <c r="AU119" s="3">
        <v>6</v>
      </c>
      <c r="AV119" s="3">
        <v>6</v>
      </c>
      <c r="AW119" s="3">
        <v>7</v>
      </c>
      <c r="AX119" s="3">
        <v>7</v>
      </c>
      <c r="AY119" s="3">
        <v>4</v>
      </c>
      <c r="AZ119" s="3">
        <v>4</v>
      </c>
      <c r="BA119" s="3">
        <v>5</v>
      </c>
      <c r="BB119" s="3">
        <v>7</v>
      </c>
      <c r="BC119" s="3">
        <v>6</v>
      </c>
      <c r="BD119" s="3">
        <v>7</v>
      </c>
      <c r="BE119" s="3">
        <v>6</v>
      </c>
      <c r="BF119" s="3">
        <v>6</v>
      </c>
      <c r="BG119" s="3">
        <v>7</v>
      </c>
      <c r="BH119" s="3">
        <v>7</v>
      </c>
      <c r="BI119" s="3">
        <v>7</v>
      </c>
      <c r="BJ119" s="3">
        <v>5</v>
      </c>
      <c r="BK119" s="3">
        <v>5</v>
      </c>
    </row>
    <row r="120" spans="1:145">
      <c r="A120" s="1" t="s">
        <v>810</v>
      </c>
      <c r="B120" s="3">
        <v>56</v>
      </c>
      <c r="C120" t="s">
        <v>1045</v>
      </c>
      <c r="D120" s="3">
        <v>111</v>
      </c>
      <c r="E120" t="s">
        <v>19</v>
      </c>
      <c r="F120" s="3">
        <v>4</v>
      </c>
      <c r="G120" s="3"/>
      <c r="T120" s="73" t="s">
        <v>578</v>
      </c>
      <c r="U120" s="3">
        <v>4</v>
      </c>
      <c r="V120" s="3">
        <v>4</v>
      </c>
      <c r="W120" s="3">
        <v>3</v>
      </c>
      <c r="X120" s="3">
        <v>3</v>
      </c>
      <c r="Y120" s="3">
        <v>3</v>
      </c>
      <c r="Z120" s="79">
        <v>5</v>
      </c>
      <c r="AA120" s="3">
        <v>9</v>
      </c>
      <c r="AB120" s="3">
        <v>3</v>
      </c>
      <c r="AC120" s="3">
        <v>3</v>
      </c>
      <c r="AD120" s="3">
        <v>5</v>
      </c>
      <c r="AE120" s="79">
        <v>5</v>
      </c>
      <c r="AF120" s="3">
        <v>4</v>
      </c>
      <c r="AG120" s="3">
        <v>4</v>
      </c>
      <c r="AH120" s="3">
        <v>5</v>
      </c>
      <c r="AI120" s="3">
        <v>4</v>
      </c>
      <c r="AJ120" s="3">
        <v>3</v>
      </c>
      <c r="AK120" s="3">
        <v>4</v>
      </c>
      <c r="AL120" s="3">
        <v>3</v>
      </c>
      <c r="AM120" s="3">
        <v>4</v>
      </c>
      <c r="AN120" s="3">
        <v>6</v>
      </c>
      <c r="AO120" s="3">
        <v>4</v>
      </c>
      <c r="AP120" s="3">
        <v>5</v>
      </c>
      <c r="AQ120" s="3">
        <v>6</v>
      </c>
      <c r="AR120" s="3">
        <v>4</v>
      </c>
      <c r="AS120" s="3">
        <v>4</v>
      </c>
      <c r="AT120" s="3">
        <v>3</v>
      </c>
      <c r="AU120" s="3">
        <v>4</v>
      </c>
      <c r="AV120" s="3">
        <v>5</v>
      </c>
      <c r="AW120" s="3">
        <v>4</v>
      </c>
      <c r="AX120" s="3">
        <v>4</v>
      </c>
      <c r="AY120" s="3">
        <v>5</v>
      </c>
      <c r="AZ120" s="3">
        <v>5</v>
      </c>
      <c r="BA120" s="3">
        <v>5</v>
      </c>
      <c r="BB120" s="3">
        <v>3</v>
      </c>
      <c r="BC120" s="3">
        <v>5</v>
      </c>
      <c r="BD120" s="3">
        <v>3</v>
      </c>
      <c r="BE120" s="3">
        <v>3</v>
      </c>
      <c r="BF120" s="3">
        <v>4</v>
      </c>
      <c r="BG120" s="3">
        <v>5</v>
      </c>
      <c r="BH120" s="3">
        <v>2</v>
      </c>
      <c r="BI120" s="3">
        <v>3</v>
      </c>
      <c r="BJ120" s="3">
        <v>4</v>
      </c>
      <c r="BK120" s="3">
        <v>7</v>
      </c>
    </row>
    <row r="121" spans="1:145">
      <c r="A121" s="1" t="s">
        <v>811</v>
      </c>
      <c r="B121" s="3">
        <v>56</v>
      </c>
      <c r="C121" t="s">
        <v>318</v>
      </c>
      <c r="D121" s="3">
        <v>112</v>
      </c>
      <c r="E121" t="s">
        <v>19</v>
      </c>
      <c r="F121" s="3">
        <v>4</v>
      </c>
      <c r="G121" s="3"/>
      <c r="T121" s="73" t="s">
        <v>391</v>
      </c>
      <c r="U121" s="3">
        <v>7</v>
      </c>
      <c r="V121" s="3">
        <v>7</v>
      </c>
      <c r="W121" s="3">
        <v>8</v>
      </c>
      <c r="X121" s="3">
        <v>8</v>
      </c>
      <c r="Y121" s="3">
        <v>7</v>
      </c>
      <c r="Z121" s="79">
        <v>9</v>
      </c>
      <c r="AA121" s="3">
        <v>7</v>
      </c>
      <c r="AB121" s="3">
        <v>7</v>
      </c>
      <c r="AC121" s="3">
        <v>7</v>
      </c>
      <c r="AD121" s="3">
        <v>6</v>
      </c>
      <c r="AE121" s="79">
        <v>7</v>
      </c>
      <c r="AF121" s="3">
        <v>7</v>
      </c>
      <c r="AG121" s="3">
        <v>8</v>
      </c>
      <c r="AH121" s="3">
        <v>6</v>
      </c>
      <c r="AI121" s="3">
        <v>8</v>
      </c>
      <c r="AJ121" s="3">
        <v>6</v>
      </c>
      <c r="AK121" s="3">
        <v>7</v>
      </c>
      <c r="AL121" s="3">
        <v>8</v>
      </c>
      <c r="AM121" s="3">
        <v>6</v>
      </c>
      <c r="AN121" s="3">
        <v>8</v>
      </c>
      <c r="AO121" s="3">
        <v>8</v>
      </c>
      <c r="AP121" s="3">
        <v>8</v>
      </c>
      <c r="AQ121" s="3">
        <v>7</v>
      </c>
      <c r="AR121" s="3">
        <v>9</v>
      </c>
      <c r="AS121" s="3">
        <v>8</v>
      </c>
      <c r="AT121" s="3">
        <v>6</v>
      </c>
      <c r="AU121" s="3">
        <v>6</v>
      </c>
      <c r="AV121" s="3">
        <v>9</v>
      </c>
      <c r="AW121" s="3">
        <v>7</v>
      </c>
      <c r="AX121" s="3">
        <v>6</v>
      </c>
      <c r="AY121" s="3">
        <v>8</v>
      </c>
      <c r="AZ121" s="3">
        <v>8</v>
      </c>
      <c r="BA121" s="3">
        <v>8</v>
      </c>
      <c r="BB121" s="3">
        <v>6</v>
      </c>
      <c r="BC121" s="3">
        <v>8</v>
      </c>
      <c r="BD121" s="3">
        <v>7</v>
      </c>
      <c r="BE121" s="3">
        <v>7</v>
      </c>
      <c r="BF121" s="3">
        <v>9</v>
      </c>
      <c r="BG121" s="3">
        <v>6</v>
      </c>
      <c r="BH121" s="3">
        <v>4</v>
      </c>
      <c r="BI121" s="3">
        <v>6</v>
      </c>
      <c r="BJ121" s="3">
        <v>7</v>
      </c>
      <c r="BK121" s="3">
        <v>6</v>
      </c>
    </row>
    <row r="122" spans="1:145">
      <c r="A122" s="1" t="s">
        <v>812</v>
      </c>
      <c r="B122" s="3">
        <v>57</v>
      </c>
      <c r="C122" t="s">
        <v>350</v>
      </c>
      <c r="D122" s="3">
        <v>113</v>
      </c>
      <c r="E122" t="s">
        <v>19</v>
      </c>
      <c r="F122" s="3">
        <v>3</v>
      </c>
      <c r="G122" s="3"/>
      <c r="T122" s="73" t="s">
        <v>594</v>
      </c>
      <c r="U122" s="3">
        <v>4</v>
      </c>
      <c r="V122" s="3">
        <v>7</v>
      </c>
      <c r="W122" s="3">
        <v>7</v>
      </c>
      <c r="X122" s="3">
        <v>7</v>
      </c>
      <c r="Y122" s="3">
        <v>6</v>
      </c>
      <c r="Z122" s="79">
        <v>7</v>
      </c>
      <c r="AA122" s="3">
        <v>5</v>
      </c>
      <c r="AB122" s="3">
        <v>4</v>
      </c>
      <c r="AC122" s="3">
        <v>5</v>
      </c>
      <c r="AD122" s="3">
        <v>2</v>
      </c>
      <c r="AE122" s="79">
        <v>6</v>
      </c>
      <c r="AF122" s="3">
        <v>3</v>
      </c>
      <c r="AG122" s="3">
        <v>5</v>
      </c>
      <c r="AH122" s="3">
        <v>4</v>
      </c>
      <c r="AI122" s="3">
        <v>5</v>
      </c>
      <c r="AJ122" s="3">
        <v>6</v>
      </c>
      <c r="AK122" s="3">
        <v>3</v>
      </c>
      <c r="AL122" s="3">
        <v>4</v>
      </c>
      <c r="AM122" s="3">
        <v>5</v>
      </c>
      <c r="AN122" s="3">
        <v>5</v>
      </c>
      <c r="AO122" s="3">
        <v>7</v>
      </c>
      <c r="AP122" s="3">
        <v>3</v>
      </c>
      <c r="AQ122" s="3">
        <v>3</v>
      </c>
      <c r="AR122" s="3">
        <v>7</v>
      </c>
      <c r="AS122" s="3">
        <v>6</v>
      </c>
      <c r="AT122" s="3">
        <v>3</v>
      </c>
      <c r="AU122" s="3">
        <v>4</v>
      </c>
      <c r="AV122" s="3">
        <v>6</v>
      </c>
      <c r="AW122" s="3">
        <v>5</v>
      </c>
      <c r="AX122" s="3">
        <v>4</v>
      </c>
      <c r="AY122" s="3">
        <v>6</v>
      </c>
      <c r="AZ122" s="3">
        <v>6</v>
      </c>
      <c r="BA122" s="3">
        <v>4</v>
      </c>
      <c r="BB122" s="3">
        <v>4</v>
      </c>
      <c r="BC122" s="3">
        <v>4</v>
      </c>
      <c r="BD122" s="3">
        <v>5</v>
      </c>
      <c r="BE122" s="3">
        <v>7</v>
      </c>
      <c r="BF122" s="3">
        <v>7</v>
      </c>
      <c r="BG122" s="3">
        <v>8</v>
      </c>
      <c r="BH122" s="3">
        <v>7</v>
      </c>
      <c r="BI122" s="3">
        <v>6</v>
      </c>
      <c r="BJ122" s="3">
        <v>6</v>
      </c>
      <c r="BK122" s="3">
        <v>6</v>
      </c>
    </row>
    <row r="123" spans="1:145">
      <c r="A123" s="1" t="s">
        <v>813</v>
      </c>
      <c r="B123" s="3">
        <v>57</v>
      </c>
      <c r="C123" t="s">
        <v>90</v>
      </c>
      <c r="D123" s="3">
        <v>114</v>
      </c>
      <c r="E123" t="s">
        <v>19</v>
      </c>
      <c r="F123" s="3">
        <v>4</v>
      </c>
      <c r="G123" s="3"/>
      <c r="T123" s="73" t="s">
        <v>392</v>
      </c>
      <c r="U123" s="3">
        <v>9</v>
      </c>
      <c r="V123" s="3">
        <v>9</v>
      </c>
      <c r="W123" s="3">
        <v>8</v>
      </c>
      <c r="X123" s="3">
        <v>8</v>
      </c>
      <c r="Y123" s="3">
        <v>9</v>
      </c>
      <c r="Z123" s="79">
        <v>9</v>
      </c>
      <c r="AA123" s="3">
        <v>9</v>
      </c>
      <c r="AB123" s="3">
        <v>8</v>
      </c>
      <c r="AC123" s="3">
        <v>9</v>
      </c>
      <c r="AD123" s="3">
        <v>7</v>
      </c>
      <c r="AE123" s="79">
        <v>9</v>
      </c>
      <c r="AF123" s="3">
        <v>8</v>
      </c>
      <c r="AG123" s="3">
        <v>7</v>
      </c>
      <c r="AH123" s="3">
        <v>9</v>
      </c>
      <c r="AI123" s="3">
        <v>9</v>
      </c>
      <c r="AJ123" s="3">
        <v>9</v>
      </c>
      <c r="AK123" s="3">
        <v>8</v>
      </c>
      <c r="AL123" s="3">
        <v>9</v>
      </c>
      <c r="AM123" s="3">
        <v>9</v>
      </c>
      <c r="AN123" s="3">
        <v>6</v>
      </c>
      <c r="AO123" s="3">
        <v>5</v>
      </c>
      <c r="AP123" s="3">
        <v>6</v>
      </c>
      <c r="AQ123" s="3">
        <v>9</v>
      </c>
      <c r="AR123" s="3">
        <v>9</v>
      </c>
      <c r="AS123" s="3">
        <v>8</v>
      </c>
      <c r="AT123" s="3">
        <v>8</v>
      </c>
      <c r="AU123" s="3">
        <v>8</v>
      </c>
      <c r="AV123" s="3">
        <v>8</v>
      </c>
      <c r="AW123" s="3">
        <v>6</v>
      </c>
      <c r="AX123" s="3">
        <v>9</v>
      </c>
      <c r="AY123" s="3">
        <v>9</v>
      </c>
      <c r="AZ123" s="3">
        <v>9</v>
      </c>
      <c r="BA123" s="3">
        <v>9</v>
      </c>
      <c r="BB123" s="3">
        <v>10</v>
      </c>
      <c r="BC123" s="3">
        <v>9</v>
      </c>
      <c r="BD123" s="3">
        <v>8</v>
      </c>
      <c r="BE123" s="3">
        <v>9</v>
      </c>
      <c r="BF123" s="3">
        <v>9</v>
      </c>
      <c r="BG123" s="3">
        <v>9</v>
      </c>
      <c r="BH123" s="3">
        <v>8</v>
      </c>
      <c r="BI123" s="3">
        <v>8</v>
      </c>
      <c r="BJ123" s="3">
        <v>9</v>
      </c>
      <c r="BK123" s="3">
        <v>8</v>
      </c>
    </row>
    <row r="124" spans="1:145">
      <c r="A124" s="1" t="s">
        <v>814</v>
      </c>
      <c r="B124" s="3">
        <v>58</v>
      </c>
      <c r="C124" t="s">
        <v>250</v>
      </c>
      <c r="D124" s="3">
        <v>115</v>
      </c>
      <c r="E124" t="s">
        <v>19</v>
      </c>
      <c r="F124" s="3">
        <v>2</v>
      </c>
      <c r="G124" s="3"/>
      <c r="T124" s="73" t="s">
        <v>393</v>
      </c>
      <c r="U124" s="3">
        <v>4</v>
      </c>
      <c r="V124" s="3">
        <v>3</v>
      </c>
      <c r="W124" s="3">
        <v>4</v>
      </c>
      <c r="X124" s="3">
        <v>3</v>
      </c>
      <c r="Y124" s="3">
        <v>4</v>
      </c>
      <c r="Z124" s="79">
        <v>4</v>
      </c>
      <c r="AA124" s="3">
        <v>5</v>
      </c>
      <c r="AB124" s="3">
        <v>3</v>
      </c>
      <c r="AC124" s="3">
        <v>3</v>
      </c>
      <c r="AD124" s="3">
        <v>5</v>
      </c>
      <c r="AE124" s="79">
        <v>4</v>
      </c>
      <c r="AF124" s="3">
        <v>4</v>
      </c>
      <c r="AG124" s="3">
        <v>4</v>
      </c>
      <c r="AH124" s="3">
        <v>4</v>
      </c>
      <c r="AI124" s="3">
        <v>7</v>
      </c>
      <c r="AJ124" s="3">
        <v>3</v>
      </c>
      <c r="AK124" s="3">
        <v>4</v>
      </c>
      <c r="AL124" s="3">
        <v>3</v>
      </c>
      <c r="AM124" s="3">
        <v>5</v>
      </c>
      <c r="AN124" s="3">
        <v>5</v>
      </c>
      <c r="AO124" s="3">
        <v>2</v>
      </c>
      <c r="AP124" s="3">
        <v>3</v>
      </c>
      <c r="AQ124" s="3">
        <v>4</v>
      </c>
      <c r="AR124" s="3">
        <v>5</v>
      </c>
      <c r="AS124" s="3">
        <v>5</v>
      </c>
      <c r="AT124" s="3">
        <v>4</v>
      </c>
      <c r="AU124" s="3">
        <v>4</v>
      </c>
      <c r="AV124" s="3">
        <v>4</v>
      </c>
      <c r="AW124" s="3">
        <v>4</v>
      </c>
      <c r="AX124" s="3">
        <v>3</v>
      </c>
      <c r="AY124" s="3">
        <v>5</v>
      </c>
      <c r="AZ124" s="3">
        <v>5</v>
      </c>
      <c r="BA124" s="3">
        <v>3</v>
      </c>
      <c r="BB124" s="3">
        <v>2</v>
      </c>
      <c r="BC124" s="3">
        <v>3</v>
      </c>
      <c r="BD124" s="3">
        <v>3</v>
      </c>
      <c r="BE124" s="3">
        <v>4</v>
      </c>
      <c r="BF124" s="3">
        <v>4</v>
      </c>
      <c r="BG124" s="3">
        <v>4</v>
      </c>
      <c r="BH124" s="3">
        <v>2</v>
      </c>
      <c r="BI124" s="3">
        <v>4</v>
      </c>
      <c r="BJ124" s="3">
        <v>4</v>
      </c>
      <c r="BK124" s="3">
        <v>6</v>
      </c>
    </row>
    <row r="125" spans="1:145">
      <c r="A125" s="1" t="s">
        <v>815</v>
      </c>
      <c r="B125" s="3">
        <v>58</v>
      </c>
      <c r="C125" t="s">
        <v>285</v>
      </c>
      <c r="D125" s="3">
        <v>116</v>
      </c>
      <c r="E125" t="s">
        <v>19</v>
      </c>
      <c r="F125" s="3">
        <v>5</v>
      </c>
      <c r="G125" s="3"/>
      <c r="T125" s="73" t="s">
        <v>547</v>
      </c>
      <c r="U125" s="3">
        <v>9</v>
      </c>
      <c r="V125" s="3">
        <v>9</v>
      </c>
      <c r="W125" s="3">
        <v>7</v>
      </c>
      <c r="X125" s="3">
        <v>8</v>
      </c>
      <c r="Y125" s="3">
        <v>8</v>
      </c>
      <c r="Z125" s="79">
        <v>7</v>
      </c>
      <c r="AA125" s="3">
        <v>7</v>
      </c>
      <c r="AB125" s="3">
        <v>8</v>
      </c>
      <c r="AC125" s="3">
        <v>9</v>
      </c>
      <c r="AD125" s="3">
        <v>9</v>
      </c>
      <c r="AE125" s="79">
        <v>9</v>
      </c>
      <c r="AF125" s="3">
        <v>9</v>
      </c>
      <c r="AG125" s="3">
        <v>9</v>
      </c>
      <c r="AH125" s="3">
        <v>9</v>
      </c>
      <c r="AI125" s="3">
        <v>8</v>
      </c>
      <c r="AJ125" s="3">
        <v>9</v>
      </c>
      <c r="AK125" s="3">
        <v>9</v>
      </c>
      <c r="AL125" s="3">
        <v>9</v>
      </c>
      <c r="AM125" s="3">
        <v>10</v>
      </c>
      <c r="AN125" s="3">
        <v>10</v>
      </c>
      <c r="AO125" s="3">
        <v>9</v>
      </c>
      <c r="AP125" s="3">
        <v>7</v>
      </c>
      <c r="AQ125" s="3">
        <v>9</v>
      </c>
      <c r="AR125" s="3">
        <v>6</v>
      </c>
      <c r="AS125" s="3">
        <v>8</v>
      </c>
      <c r="AT125" s="3">
        <v>10</v>
      </c>
      <c r="AU125" s="3">
        <v>9</v>
      </c>
      <c r="AV125" s="3">
        <v>9</v>
      </c>
      <c r="AW125" s="3">
        <v>9</v>
      </c>
      <c r="AX125" s="3">
        <v>9</v>
      </c>
      <c r="AY125" s="3">
        <v>8</v>
      </c>
      <c r="AZ125" s="3">
        <v>8</v>
      </c>
      <c r="BA125" s="3">
        <v>8</v>
      </c>
      <c r="BB125" s="3">
        <v>9</v>
      </c>
      <c r="BC125" s="3">
        <v>9</v>
      </c>
      <c r="BD125" s="3">
        <v>8</v>
      </c>
      <c r="BE125" s="3">
        <v>8</v>
      </c>
      <c r="BF125" s="3">
        <v>7</v>
      </c>
      <c r="BG125" s="3">
        <v>6</v>
      </c>
      <c r="BH125" s="3">
        <v>8</v>
      </c>
      <c r="BI125" s="3">
        <v>9</v>
      </c>
      <c r="BJ125" s="3">
        <v>9</v>
      </c>
      <c r="BK125" s="3">
        <v>9</v>
      </c>
    </row>
    <row r="126" spans="1:145">
      <c r="A126" s="1" t="s">
        <v>816</v>
      </c>
      <c r="B126" s="3">
        <v>59</v>
      </c>
      <c r="C126" t="s">
        <v>86</v>
      </c>
      <c r="D126" s="3">
        <v>117</v>
      </c>
      <c r="E126" t="s">
        <v>19</v>
      </c>
      <c r="F126" s="3">
        <v>3</v>
      </c>
      <c r="G126" s="3"/>
      <c r="T126" s="73" t="s">
        <v>467</v>
      </c>
      <c r="U126" s="3">
        <v>2</v>
      </c>
      <c r="V126" s="3">
        <v>2</v>
      </c>
      <c r="W126" s="3">
        <v>3</v>
      </c>
      <c r="X126" s="3">
        <v>2</v>
      </c>
      <c r="Y126" s="3">
        <v>2</v>
      </c>
      <c r="Z126" s="79">
        <v>3</v>
      </c>
      <c r="AA126" s="3">
        <v>3</v>
      </c>
      <c r="AB126" s="3">
        <v>2</v>
      </c>
      <c r="AC126" s="3">
        <v>2</v>
      </c>
      <c r="AD126" s="3">
        <v>3</v>
      </c>
      <c r="AE126" s="79">
        <v>2</v>
      </c>
      <c r="AF126" s="3">
        <v>2</v>
      </c>
      <c r="AG126" s="3">
        <v>3</v>
      </c>
      <c r="AH126" s="3">
        <v>2</v>
      </c>
      <c r="AI126" s="3">
        <v>2</v>
      </c>
      <c r="AJ126" s="3">
        <v>2</v>
      </c>
      <c r="AK126" s="3">
        <v>3</v>
      </c>
      <c r="AL126" s="3">
        <v>2</v>
      </c>
      <c r="AM126" s="3">
        <v>2</v>
      </c>
      <c r="AN126" s="3">
        <v>3</v>
      </c>
      <c r="AO126" s="3">
        <v>3</v>
      </c>
      <c r="AP126" s="3">
        <v>2</v>
      </c>
      <c r="AQ126" s="3">
        <v>2</v>
      </c>
      <c r="AR126" s="3">
        <v>2</v>
      </c>
      <c r="AS126" s="3">
        <v>3</v>
      </c>
      <c r="AT126" s="3">
        <v>4</v>
      </c>
      <c r="AU126" s="3">
        <v>2</v>
      </c>
      <c r="AV126" s="3">
        <v>3</v>
      </c>
      <c r="AW126" s="3">
        <v>2</v>
      </c>
      <c r="AX126" s="3">
        <v>3</v>
      </c>
      <c r="AY126" s="3">
        <v>3</v>
      </c>
      <c r="AZ126" s="3">
        <v>3</v>
      </c>
      <c r="BA126" s="3">
        <v>3</v>
      </c>
      <c r="BB126" s="3">
        <v>2</v>
      </c>
      <c r="BC126" s="3">
        <v>2</v>
      </c>
      <c r="BD126" s="3">
        <v>2</v>
      </c>
      <c r="BE126" s="3">
        <v>3</v>
      </c>
      <c r="BF126" s="3">
        <v>2</v>
      </c>
      <c r="BG126" s="3">
        <v>4</v>
      </c>
      <c r="BH126" s="3">
        <v>3</v>
      </c>
      <c r="BI126" s="3">
        <v>2</v>
      </c>
      <c r="BJ126" s="3">
        <v>3</v>
      </c>
      <c r="BK126" s="3">
        <v>2</v>
      </c>
    </row>
    <row r="127" spans="1:145">
      <c r="A127" s="1" t="s">
        <v>817</v>
      </c>
      <c r="B127" s="3">
        <v>59</v>
      </c>
      <c r="C127" t="s">
        <v>58</v>
      </c>
      <c r="D127" s="3">
        <v>118</v>
      </c>
      <c r="E127" t="s">
        <v>19</v>
      </c>
      <c r="F127" s="3">
        <v>4</v>
      </c>
      <c r="G127" s="3"/>
      <c r="T127" s="73" t="s">
        <v>621</v>
      </c>
      <c r="U127" s="3">
        <v>10</v>
      </c>
      <c r="V127" s="3">
        <v>10</v>
      </c>
      <c r="W127" s="3">
        <v>10</v>
      </c>
      <c r="X127" s="3">
        <v>10</v>
      </c>
      <c r="Y127" s="3">
        <v>10</v>
      </c>
      <c r="Z127" s="79">
        <v>10</v>
      </c>
      <c r="AA127" s="3">
        <v>8</v>
      </c>
      <c r="AB127" s="3">
        <v>10</v>
      </c>
      <c r="AC127" s="3">
        <v>10</v>
      </c>
      <c r="AD127" s="3">
        <v>10</v>
      </c>
      <c r="AE127" s="79">
        <v>10</v>
      </c>
      <c r="AF127" s="3">
        <v>10</v>
      </c>
      <c r="AG127" s="3">
        <v>10</v>
      </c>
      <c r="AH127" s="3">
        <v>10</v>
      </c>
      <c r="AI127" s="3">
        <v>9</v>
      </c>
      <c r="AJ127" s="3">
        <v>10</v>
      </c>
      <c r="AK127" s="3">
        <v>10</v>
      </c>
      <c r="AL127" s="3">
        <v>9</v>
      </c>
      <c r="AM127" s="3">
        <v>10</v>
      </c>
      <c r="AN127" s="3">
        <v>10</v>
      </c>
      <c r="AO127" s="3">
        <v>10</v>
      </c>
      <c r="AP127" s="3">
        <v>10</v>
      </c>
      <c r="AQ127" s="3">
        <v>9</v>
      </c>
      <c r="AR127" s="3">
        <v>9</v>
      </c>
      <c r="AS127" s="3">
        <v>10</v>
      </c>
      <c r="AT127" s="3">
        <v>9</v>
      </c>
      <c r="AU127" s="3">
        <v>10</v>
      </c>
      <c r="AV127" s="3">
        <v>10</v>
      </c>
      <c r="AW127" s="3">
        <v>10</v>
      </c>
      <c r="AX127" s="3">
        <v>9</v>
      </c>
      <c r="AY127" s="3">
        <v>10</v>
      </c>
      <c r="AZ127" s="3">
        <v>10</v>
      </c>
      <c r="BA127" s="3">
        <v>10</v>
      </c>
      <c r="BB127" s="3">
        <v>10</v>
      </c>
      <c r="BC127" s="3">
        <v>10</v>
      </c>
      <c r="BD127" s="3">
        <v>10</v>
      </c>
      <c r="BE127" s="3">
        <v>10</v>
      </c>
      <c r="BF127" s="3">
        <v>10</v>
      </c>
      <c r="BG127" s="3">
        <v>10</v>
      </c>
      <c r="BH127" s="3">
        <v>10</v>
      </c>
      <c r="BI127" s="3">
        <v>10</v>
      </c>
      <c r="BJ127" s="3">
        <v>10</v>
      </c>
      <c r="BK127" s="3">
        <v>9</v>
      </c>
    </row>
    <row r="128" spans="1:145">
      <c r="A128" s="1" t="s">
        <v>818</v>
      </c>
      <c r="B128" s="3">
        <v>60</v>
      </c>
      <c r="C128" t="s">
        <v>188</v>
      </c>
      <c r="D128" s="3">
        <v>119</v>
      </c>
      <c r="E128" t="s">
        <v>19</v>
      </c>
      <c r="F128" s="3">
        <v>5</v>
      </c>
      <c r="G128" s="3"/>
      <c r="T128" s="73" t="s">
        <v>442</v>
      </c>
      <c r="U128" s="3">
        <v>5</v>
      </c>
      <c r="V128" s="3">
        <v>4</v>
      </c>
      <c r="W128" s="3">
        <v>5</v>
      </c>
      <c r="X128" s="3">
        <v>5</v>
      </c>
      <c r="Y128" s="3">
        <v>4</v>
      </c>
      <c r="Z128" s="79">
        <v>4</v>
      </c>
      <c r="AA128" s="3">
        <v>4</v>
      </c>
      <c r="AB128" s="3">
        <v>6</v>
      </c>
      <c r="AC128" s="3">
        <v>6</v>
      </c>
      <c r="AD128" s="3">
        <v>5</v>
      </c>
      <c r="AE128" s="79">
        <v>5</v>
      </c>
      <c r="AF128" s="3">
        <v>5</v>
      </c>
      <c r="AG128" s="3">
        <v>5</v>
      </c>
      <c r="AH128" s="3">
        <v>3</v>
      </c>
      <c r="AI128" s="3">
        <v>3</v>
      </c>
      <c r="AJ128" s="3">
        <v>4</v>
      </c>
      <c r="AK128" s="3">
        <v>5</v>
      </c>
      <c r="AL128" s="3">
        <v>7</v>
      </c>
      <c r="AM128" s="3">
        <v>3</v>
      </c>
      <c r="AN128" s="3">
        <v>4</v>
      </c>
      <c r="AO128" s="3">
        <v>5</v>
      </c>
      <c r="AP128" s="3">
        <v>8</v>
      </c>
      <c r="AQ128" s="3">
        <v>3</v>
      </c>
      <c r="AR128" s="3">
        <v>5</v>
      </c>
      <c r="AS128" s="3">
        <v>5</v>
      </c>
      <c r="AT128" s="3">
        <v>3</v>
      </c>
      <c r="AU128" s="3">
        <v>6</v>
      </c>
      <c r="AV128" s="3">
        <v>7</v>
      </c>
      <c r="AW128" s="3">
        <v>4</v>
      </c>
      <c r="AX128" s="3">
        <v>3</v>
      </c>
      <c r="AY128" s="3">
        <v>6</v>
      </c>
      <c r="AZ128" s="3">
        <v>6</v>
      </c>
      <c r="BA128" s="3">
        <v>5</v>
      </c>
      <c r="BB128" s="3">
        <v>3</v>
      </c>
      <c r="BC128" s="3">
        <v>4</v>
      </c>
      <c r="BD128" s="3">
        <v>5</v>
      </c>
      <c r="BE128" s="3">
        <v>4</v>
      </c>
      <c r="BF128" s="3">
        <v>6</v>
      </c>
      <c r="BG128" s="3">
        <v>3</v>
      </c>
      <c r="BH128" s="3">
        <v>3</v>
      </c>
      <c r="BI128" s="3">
        <v>4</v>
      </c>
      <c r="BJ128" s="3">
        <v>6</v>
      </c>
      <c r="BK128" s="3">
        <v>4</v>
      </c>
    </row>
    <row r="129" spans="1:63">
      <c r="A129" s="1" t="s">
        <v>819</v>
      </c>
      <c r="B129" s="3">
        <v>60</v>
      </c>
      <c r="C129" t="s">
        <v>303</v>
      </c>
      <c r="D129" s="3">
        <v>120</v>
      </c>
      <c r="E129" t="s">
        <v>19</v>
      </c>
      <c r="F129" s="3">
        <v>5</v>
      </c>
      <c r="G129" s="3"/>
      <c r="T129" s="73" t="s">
        <v>469</v>
      </c>
      <c r="U129" s="3">
        <v>2</v>
      </c>
      <c r="V129" s="3">
        <v>2</v>
      </c>
      <c r="W129" s="3">
        <v>2</v>
      </c>
      <c r="X129" s="3">
        <v>2</v>
      </c>
      <c r="Y129" s="3">
        <v>2</v>
      </c>
      <c r="Z129" s="79">
        <v>2</v>
      </c>
      <c r="AA129" s="3">
        <v>4</v>
      </c>
      <c r="AB129" s="3">
        <v>3</v>
      </c>
      <c r="AC129" s="3">
        <v>2</v>
      </c>
      <c r="AD129" s="3">
        <v>3</v>
      </c>
      <c r="AE129" s="79">
        <v>3</v>
      </c>
      <c r="AF129" s="3">
        <v>3</v>
      </c>
      <c r="AG129" s="3">
        <v>2</v>
      </c>
      <c r="AH129" s="3">
        <v>2</v>
      </c>
      <c r="AI129" s="3">
        <v>3</v>
      </c>
      <c r="AJ129" s="3">
        <v>2</v>
      </c>
      <c r="AK129" s="3">
        <v>3</v>
      </c>
      <c r="AL129" s="3">
        <v>2</v>
      </c>
      <c r="AM129" s="3">
        <v>2</v>
      </c>
      <c r="AN129" s="3">
        <v>1</v>
      </c>
      <c r="AO129" s="3">
        <v>1</v>
      </c>
      <c r="AP129" s="3">
        <v>6</v>
      </c>
      <c r="AQ129" s="3">
        <v>3</v>
      </c>
      <c r="AR129" s="3">
        <v>2</v>
      </c>
      <c r="AS129" s="3">
        <v>2</v>
      </c>
      <c r="AT129" s="3">
        <v>2</v>
      </c>
      <c r="AU129" s="3">
        <v>3</v>
      </c>
      <c r="AV129" s="3">
        <v>2</v>
      </c>
      <c r="AW129" s="3">
        <v>2</v>
      </c>
      <c r="AX129" s="3">
        <v>3</v>
      </c>
      <c r="AY129" s="3">
        <v>2</v>
      </c>
      <c r="AZ129" s="3">
        <v>2</v>
      </c>
      <c r="BA129" s="3">
        <v>2</v>
      </c>
      <c r="BB129" s="3">
        <v>3</v>
      </c>
      <c r="BC129" s="3">
        <v>2</v>
      </c>
      <c r="BD129" s="3">
        <v>4</v>
      </c>
      <c r="BE129" s="3">
        <v>2</v>
      </c>
      <c r="BF129" s="3">
        <v>1</v>
      </c>
      <c r="BG129" s="3">
        <v>3</v>
      </c>
      <c r="BH129" s="3">
        <v>3</v>
      </c>
      <c r="BI129" s="3">
        <v>2</v>
      </c>
      <c r="BJ129" s="3">
        <v>3</v>
      </c>
      <c r="BK129" s="3">
        <v>2</v>
      </c>
    </row>
    <row r="130" spans="1:63">
      <c r="A130" s="1" t="s">
        <v>820</v>
      </c>
      <c r="B130" s="3">
        <v>61</v>
      </c>
      <c r="C130" t="s">
        <v>263</v>
      </c>
      <c r="D130" s="3">
        <v>121</v>
      </c>
      <c r="E130" t="s">
        <v>19</v>
      </c>
      <c r="F130" s="3">
        <v>4</v>
      </c>
      <c r="G130" s="3"/>
      <c r="T130" s="2" t="s">
        <v>515</v>
      </c>
      <c r="U130" s="3">
        <v>5</v>
      </c>
      <c r="V130" s="3">
        <v>4</v>
      </c>
      <c r="W130" s="3">
        <v>4</v>
      </c>
      <c r="X130" s="3">
        <v>4</v>
      </c>
      <c r="Y130" s="3">
        <v>5</v>
      </c>
      <c r="Z130" s="79">
        <v>5</v>
      </c>
      <c r="AA130" s="3">
        <v>6</v>
      </c>
      <c r="AB130" s="3">
        <v>5</v>
      </c>
      <c r="AC130" s="3">
        <v>5</v>
      </c>
      <c r="AD130" s="3">
        <v>5</v>
      </c>
      <c r="AE130" s="79">
        <v>3</v>
      </c>
      <c r="AF130" s="3">
        <v>5</v>
      </c>
      <c r="AG130" s="3">
        <v>5</v>
      </c>
      <c r="AH130" s="3">
        <v>5</v>
      </c>
      <c r="AI130" s="3">
        <v>5</v>
      </c>
      <c r="AJ130" s="3">
        <v>5</v>
      </c>
      <c r="AK130" s="3">
        <v>5</v>
      </c>
      <c r="AL130" s="3">
        <v>6</v>
      </c>
      <c r="AM130" s="3">
        <v>4</v>
      </c>
      <c r="AN130" s="3">
        <v>6</v>
      </c>
      <c r="AO130" s="3">
        <v>6</v>
      </c>
      <c r="AP130" s="3">
        <v>1</v>
      </c>
      <c r="AQ130" s="3">
        <v>4</v>
      </c>
      <c r="AR130" s="3">
        <v>4</v>
      </c>
      <c r="AS130" s="3">
        <v>4</v>
      </c>
      <c r="AT130" s="3">
        <v>6</v>
      </c>
      <c r="AU130" s="3">
        <v>3</v>
      </c>
      <c r="AV130" s="3">
        <v>5</v>
      </c>
      <c r="AW130" s="3">
        <v>5</v>
      </c>
      <c r="AX130" s="3">
        <v>5</v>
      </c>
      <c r="AY130" s="3">
        <v>3</v>
      </c>
      <c r="AZ130" s="3">
        <v>3</v>
      </c>
      <c r="BA130" s="3">
        <v>5</v>
      </c>
      <c r="BB130" s="3">
        <v>5</v>
      </c>
      <c r="BC130" s="3">
        <v>4</v>
      </c>
      <c r="BD130" s="3">
        <v>5</v>
      </c>
      <c r="BE130" s="3">
        <v>6</v>
      </c>
      <c r="BF130" s="3">
        <v>5</v>
      </c>
      <c r="BG130" s="3">
        <v>6</v>
      </c>
      <c r="BH130" s="3">
        <v>4</v>
      </c>
      <c r="BI130" s="3">
        <v>5</v>
      </c>
      <c r="BJ130" s="3">
        <v>3</v>
      </c>
      <c r="BK130" s="3">
        <v>3</v>
      </c>
    </row>
    <row r="131" spans="1:63">
      <c r="A131" s="1" t="s">
        <v>821</v>
      </c>
      <c r="B131" s="3">
        <v>61</v>
      </c>
      <c r="C131" t="s">
        <v>253</v>
      </c>
      <c r="D131" s="3">
        <v>122</v>
      </c>
      <c r="E131" t="s">
        <v>19</v>
      </c>
      <c r="F131" s="3">
        <v>4</v>
      </c>
      <c r="G131" s="3"/>
      <c r="T131" t="s">
        <v>472</v>
      </c>
      <c r="U131" s="3">
        <v>2</v>
      </c>
      <c r="V131" s="3">
        <v>2</v>
      </c>
      <c r="W131" s="3">
        <v>2</v>
      </c>
      <c r="X131" s="3">
        <v>2</v>
      </c>
      <c r="Y131" s="3">
        <v>2</v>
      </c>
      <c r="Z131" s="79">
        <v>4</v>
      </c>
      <c r="AA131" s="3">
        <v>6</v>
      </c>
      <c r="AB131" s="3">
        <v>3</v>
      </c>
      <c r="AC131" s="3">
        <v>2</v>
      </c>
      <c r="AD131" s="3">
        <v>3</v>
      </c>
      <c r="AE131" s="79">
        <v>2</v>
      </c>
      <c r="AF131" s="3">
        <v>3</v>
      </c>
      <c r="AG131" s="3">
        <v>3</v>
      </c>
      <c r="AH131" s="3">
        <v>2</v>
      </c>
      <c r="AI131" s="3">
        <v>2</v>
      </c>
      <c r="AJ131" s="3">
        <v>2</v>
      </c>
      <c r="AK131" s="3">
        <v>3</v>
      </c>
      <c r="AL131" s="3">
        <v>2</v>
      </c>
      <c r="AM131" s="3">
        <v>3</v>
      </c>
      <c r="AN131" s="3">
        <v>3</v>
      </c>
      <c r="AO131" s="3">
        <v>3</v>
      </c>
      <c r="AP131" s="3">
        <v>4</v>
      </c>
      <c r="AQ131" s="3">
        <v>2</v>
      </c>
      <c r="AR131" s="3">
        <v>3</v>
      </c>
      <c r="AS131" s="3">
        <v>2</v>
      </c>
      <c r="AT131" s="3">
        <v>3</v>
      </c>
      <c r="AU131" s="3">
        <v>3</v>
      </c>
      <c r="AV131" s="3">
        <v>5</v>
      </c>
      <c r="AW131" s="3">
        <v>3</v>
      </c>
      <c r="AX131" s="3">
        <v>4</v>
      </c>
      <c r="AY131" s="3">
        <v>4</v>
      </c>
      <c r="AZ131" s="3">
        <v>4</v>
      </c>
      <c r="BA131" s="3">
        <v>3</v>
      </c>
      <c r="BB131" s="3">
        <v>3</v>
      </c>
      <c r="BC131" s="3">
        <v>3</v>
      </c>
      <c r="BD131" s="3">
        <v>2</v>
      </c>
      <c r="BE131" s="3">
        <v>2</v>
      </c>
      <c r="BF131" s="3">
        <v>3</v>
      </c>
      <c r="BG131" s="3">
        <v>4</v>
      </c>
      <c r="BH131" s="3">
        <v>4</v>
      </c>
      <c r="BI131" s="3">
        <v>2</v>
      </c>
      <c r="BJ131" s="3">
        <v>2</v>
      </c>
      <c r="BK131" s="3">
        <v>2</v>
      </c>
    </row>
    <row r="132" spans="1:63">
      <c r="A132" s="1" t="s">
        <v>822</v>
      </c>
      <c r="B132" s="3">
        <v>62</v>
      </c>
      <c r="C132" t="s">
        <v>33</v>
      </c>
      <c r="D132" s="3">
        <v>123</v>
      </c>
      <c r="E132" t="s">
        <v>19</v>
      </c>
      <c r="F132" s="3">
        <v>2</v>
      </c>
      <c r="G132" s="3"/>
      <c r="T132" t="s">
        <v>625</v>
      </c>
      <c r="U132" s="3">
        <v>8</v>
      </c>
      <c r="V132" s="3">
        <v>7</v>
      </c>
      <c r="W132" s="3">
        <v>8</v>
      </c>
      <c r="X132" s="3">
        <v>7</v>
      </c>
      <c r="Y132" s="3">
        <v>8</v>
      </c>
      <c r="Z132" s="79">
        <v>6</v>
      </c>
      <c r="AA132" s="3">
        <v>9</v>
      </c>
      <c r="AB132" s="3">
        <v>8</v>
      </c>
      <c r="AC132" s="3">
        <v>7</v>
      </c>
      <c r="AD132" s="3">
        <v>7</v>
      </c>
      <c r="AE132" s="79">
        <v>7</v>
      </c>
      <c r="AF132" s="3">
        <v>9</v>
      </c>
      <c r="AG132" s="3">
        <v>8</v>
      </c>
      <c r="AH132" s="3">
        <v>9</v>
      </c>
      <c r="AI132" s="3">
        <v>6</v>
      </c>
      <c r="AJ132" s="3">
        <v>8</v>
      </c>
      <c r="AK132" s="3">
        <v>7</v>
      </c>
      <c r="AL132" s="3">
        <v>7</v>
      </c>
      <c r="AM132" s="3">
        <v>7</v>
      </c>
      <c r="AN132" s="3">
        <v>8</v>
      </c>
      <c r="AO132" s="3">
        <v>7</v>
      </c>
      <c r="AP132" s="3">
        <v>6</v>
      </c>
      <c r="AQ132" s="3">
        <v>8</v>
      </c>
      <c r="AR132" s="3">
        <v>5</v>
      </c>
      <c r="AS132" s="3">
        <v>7</v>
      </c>
      <c r="AT132" s="3">
        <v>8</v>
      </c>
      <c r="AU132" s="3">
        <v>8</v>
      </c>
      <c r="AV132" s="3">
        <v>8</v>
      </c>
      <c r="AW132" s="3">
        <v>7</v>
      </c>
      <c r="AX132" s="3">
        <v>8</v>
      </c>
      <c r="AY132" s="3">
        <v>7</v>
      </c>
      <c r="AZ132" s="3">
        <v>7</v>
      </c>
      <c r="BA132" s="3">
        <v>8</v>
      </c>
      <c r="BB132" s="3">
        <v>9</v>
      </c>
      <c r="BC132" s="3">
        <v>7</v>
      </c>
      <c r="BD132" s="3">
        <v>8</v>
      </c>
      <c r="BE132" s="3">
        <v>8</v>
      </c>
      <c r="BF132" s="3">
        <v>8</v>
      </c>
      <c r="BG132" s="3">
        <v>7</v>
      </c>
      <c r="BH132" s="3">
        <v>8</v>
      </c>
      <c r="BI132" s="3">
        <v>8</v>
      </c>
      <c r="BJ132" s="3">
        <v>8</v>
      </c>
      <c r="BK132" s="3">
        <v>6</v>
      </c>
    </row>
    <row r="133" spans="1:63">
      <c r="A133" s="1" t="s">
        <v>823</v>
      </c>
      <c r="B133" s="3">
        <v>62</v>
      </c>
      <c r="C133" t="s">
        <v>52</v>
      </c>
      <c r="D133" s="3">
        <v>124</v>
      </c>
      <c r="E133" t="s">
        <v>19</v>
      </c>
      <c r="F133" s="3">
        <v>3</v>
      </c>
      <c r="G133" s="3"/>
      <c r="T133" t="s">
        <v>394</v>
      </c>
      <c r="U133" s="3">
        <v>8</v>
      </c>
      <c r="V133" s="3">
        <v>8</v>
      </c>
      <c r="W133" s="3">
        <v>7</v>
      </c>
      <c r="X133" s="3">
        <v>8</v>
      </c>
      <c r="Y133" s="3">
        <v>8</v>
      </c>
      <c r="Z133" s="79">
        <v>7</v>
      </c>
      <c r="AA133" s="3">
        <v>7</v>
      </c>
      <c r="AB133" s="3">
        <v>7</v>
      </c>
      <c r="AC133" s="3">
        <v>7</v>
      </c>
      <c r="AD133" s="3">
        <v>8</v>
      </c>
      <c r="AE133" s="79">
        <v>8</v>
      </c>
      <c r="AF133" s="3">
        <v>7</v>
      </c>
      <c r="AG133" s="3">
        <v>8</v>
      </c>
      <c r="AH133" s="3">
        <v>8</v>
      </c>
      <c r="AI133" s="3">
        <v>9</v>
      </c>
      <c r="AJ133" s="3">
        <v>8</v>
      </c>
      <c r="AK133" s="3">
        <v>8</v>
      </c>
      <c r="AL133" s="3">
        <v>6</v>
      </c>
      <c r="AM133" s="3">
        <v>8</v>
      </c>
      <c r="AN133" s="3">
        <v>8</v>
      </c>
      <c r="AO133" s="3">
        <v>6</v>
      </c>
      <c r="AP133" s="3">
        <v>6</v>
      </c>
      <c r="AQ133" s="3">
        <v>7</v>
      </c>
      <c r="AR133" s="3">
        <v>9</v>
      </c>
      <c r="AS133" s="3">
        <v>7</v>
      </c>
      <c r="AT133" s="3">
        <v>9</v>
      </c>
      <c r="AU133" s="3">
        <v>8</v>
      </c>
      <c r="AV133" s="3">
        <v>7</v>
      </c>
      <c r="AW133" s="3">
        <v>7</v>
      </c>
      <c r="AX133" s="3">
        <v>7</v>
      </c>
      <c r="AY133" s="3">
        <v>7</v>
      </c>
      <c r="AZ133" s="3">
        <v>7</v>
      </c>
      <c r="BA133" s="3">
        <v>7</v>
      </c>
      <c r="BB133" s="3">
        <v>5</v>
      </c>
      <c r="BC133" s="3">
        <v>6</v>
      </c>
      <c r="BD133" s="3">
        <v>6</v>
      </c>
      <c r="BE133" s="3">
        <v>8</v>
      </c>
      <c r="BF133" s="3">
        <v>7</v>
      </c>
      <c r="BG133" s="3">
        <v>8</v>
      </c>
      <c r="BH133" s="3">
        <v>6</v>
      </c>
      <c r="BI133" s="3">
        <v>8</v>
      </c>
      <c r="BJ133" s="3">
        <v>7</v>
      </c>
      <c r="BK133" s="3">
        <v>8</v>
      </c>
    </row>
    <row r="134" spans="1:63">
      <c r="A134" s="1" t="s">
        <v>824</v>
      </c>
      <c r="B134" s="3">
        <v>63</v>
      </c>
      <c r="C134" s="169" t="s">
        <v>77</v>
      </c>
      <c r="D134" s="3">
        <v>125</v>
      </c>
      <c r="E134" t="s">
        <v>19</v>
      </c>
      <c r="F134" s="3">
        <v>3</v>
      </c>
      <c r="G134" s="3"/>
      <c r="T134" t="s">
        <v>446</v>
      </c>
      <c r="U134" s="3">
        <v>5</v>
      </c>
      <c r="V134" s="3">
        <v>4</v>
      </c>
      <c r="W134" s="3">
        <v>4</v>
      </c>
      <c r="X134" s="3">
        <v>4</v>
      </c>
      <c r="Y134" s="3">
        <v>5</v>
      </c>
      <c r="Z134" s="79">
        <v>3</v>
      </c>
      <c r="AA134" s="3">
        <v>6</v>
      </c>
      <c r="AB134" s="3">
        <v>4</v>
      </c>
      <c r="AC134" s="3">
        <v>4</v>
      </c>
      <c r="AD134" s="3">
        <v>6</v>
      </c>
      <c r="AE134" s="79">
        <v>4</v>
      </c>
      <c r="AF134" s="3">
        <v>6</v>
      </c>
      <c r="AG134" s="3">
        <v>5</v>
      </c>
      <c r="AH134" s="3">
        <v>8</v>
      </c>
      <c r="AI134" s="3">
        <v>7</v>
      </c>
      <c r="AJ134" s="3">
        <v>5</v>
      </c>
      <c r="AK134" s="3">
        <v>5</v>
      </c>
      <c r="AL134" s="3">
        <v>4</v>
      </c>
      <c r="AM134" s="3">
        <v>5</v>
      </c>
      <c r="AN134" s="3">
        <v>8</v>
      </c>
      <c r="AO134" s="3">
        <v>3</v>
      </c>
      <c r="AP134" s="3">
        <v>6</v>
      </c>
      <c r="AQ134" s="3">
        <v>6</v>
      </c>
      <c r="AR134" s="3">
        <v>2</v>
      </c>
      <c r="AS134" s="3">
        <v>4</v>
      </c>
      <c r="AT134" s="3">
        <v>6</v>
      </c>
      <c r="AU134" s="3">
        <v>6</v>
      </c>
      <c r="AV134" s="3">
        <v>4</v>
      </c>
      <c r="AW134" s="3">
        <v>4</v>
      </c>
      <c r="AX134" s="3">
        <v>5</v>
      </c>
      <c r="AY134" s="3">
        <v>3</v>
      </c>
      <c r="AZ134" s="3">
        <v>3</v>
      </c>
      <c r="BA134" s="3">
        <v>3</v>
      </c>
      <c r="BB134" s="3">
        <v>5</v>
      </c>
      <c r="BC134" s="3">
        <v>5</v>
      </c>
      <c r="BD134" s="3">
        <v>4</v>
      </c>
      <c r="BE134" s="3">
        <v>4</v>
      </c>
      <c r="BF134" s="3">
        <v>3</v>
      </c>
      <c r="BG134" s="3">
        <v>3</v>
      </c>
      <c r="BH134" s="3">
        <v>4</v>
      </c>
      <c r="BI134" s="3">
        <v>6</v>
      </c>
      <c r="BJ134" s="3">
        <v>4</v>
      </c>
      <c r="BK134" s="3">
        <v>4</v>
      </c>
    </row>
    <row r="135" spans="1:63">
      <c r="A135" s="1" t="s">
        <v>825</v>
      </c>
      <c r="B135" s="3">
        <v>63</v>
      </c>
      <c r="C135" t="s">
        <v>230</v>
      </c>
      <c r="D135" s="3">
        <v>126</v>
      </c>
      <c r="E135" t="s">
        <v>19</v>
      </c>
      <c r="F135" s="3">
        <v>3</v>
      </c>
      <c r="G135" s="3"/>
      <c r="T135" t="s">
        <v>449</v>
      </c>
      <c r="U135" s="3">
        <v>8</v>
      </c>
      <c r="V135" s="3">
        <v>8</v>
      </c>
      <c r="W135" s="3">
        <v>8</v>
      </c>
      <c r="X135" s="3">
        <v>9</v>
      </c>
      <c r="Y135" s="3">
        <v>8</v>
      </c>
      <c r="Z135" s="79">
        <v>8</v>
      </c>
      <c r="AA135" s="3">
        <v>8</v>
      </c>
      <c r="AB135" s="3">
        <v>8</v>
      </c>
      <c r="AC135" s="3">
        <v>8</v>
      </c>
      <c r="AD135" s="3">
        <v>8</v>
      </c>
      <c r="AE135" s="79">
        <v>8</v>
      </c>
      <c r="AF135" s="3">
        <v>8</v>
      </c>
      <c r="AG135" s="3">
        <v>7</v>
      </c>
      <c r="AH135" s="3">
        <v>7</v>
      </c>
      <c r="AI135" s="3">
        <v>8</v>
      </c>
      <c r="AJ135" s="3">
        <v>8</v>
      </c>
      <c r="AK135" s="3">
        <v>9</v>
      </c>
      <c r="AL135" s="3">
        <v>9</v>
      </c>
      <c r="AM135" s="3">
        <v>8</v>
      </c>
      <c r="AN135" s="3">
        <v>6</v>
      </c>
      <c r="AO135" s="3">
        <v>7</v>
      </c>
      <c r="AP135" s="3">
        <v>4</v>
      </c>
      <c r="AQ135" s="3">
        <v>8</v>
      </c>
      <c r="AR135" s="3">
        <v>8</v>
      </c>
      <c r="AS135" s="3">
        <v>8</v>
      </c>
      <c r="AT135" s="3">
        <v>7</v>
      </c>
      <c r="AU135" s="3">
        <v>8</v>
      </c>
      <c r="AV135" s="3">
        <v>6</v>
      </c>
      <c r="AW135" s="3">
        <v>8</v>
      </c>
      <c r="AX135" s="3">
        <v>8</v>
      </c>
      <c r="AY135" s="3">
        <v>8</v>
      </c>
      <c r="AZ135" s="3">
        <v>8</v>
      </c>
      <c r="BA135" s="3">
        <v>7</v>
      </c>
      <c r="BB135" s="3">
        <v>7</v>
      </c>
      <c r="BC135" s="3">
        <v>8</v>
      </c>
      <c r="BD135" s="3">
        <v>8</v>
      </c>
      <c r="BE135" s="3">
        <v>8</v>
      </c>
      <c r="BF135" s="3">
        <v>8</v>
      </c>
      <c r="BG135" s="3">
        <v>7</v>
      </c>
      <c r="BH135" s="3">
        <v>9</v>
      </c>
      <c r="BI135" s="3">
        <v>8</v>
      </c>
      <c r="BJ135" s="3">
        <v>9</v>
      </c>
      <c r="BK135" s="3">
        <v>7</v>
      </c>
    </row>
    <row r="136" spans="1:63">
      <c r="A136" s="1" t="s">
        <v>826</v>
      </c>
      <c r="B136" s="3">
        <v>64</v>
      </c>
      <c r="C136" t="s">
        <v>153</v>
      </c>
      <c r="D136" s="3">
        <v>127</v>
      </c>
      <c r="E136" t="s">
        <v>19</v>
      </c>
      <c r="F136" s="3">
        <v>2</v>
      </c>
      <c r="G136" s="3"/>
      <c r="T136" t="s">
        <v>452</v>
      </c>
      <c r="U136" s="3">
        <v>2</v>
      </c>
      <c r="V136" s="3">
        <v>2</v>
      </c>
      <c r="W136" s="3">
        <v>2</v>
      </c>
      <c r="X136" s="3">
        <v>2</v>
      </c>
      <c r="Y136" s="3">
        <v>1</v>
      </c>
      <c r="Z136" s="79">
        <v>4</v>
      </c>
      <c r="AA136" s="3">
        <v>3</v>
      </c>
      <c r="AB136" s="3">
        <v>2</v>
      </c>
      <c r="AC136" s="3">
        <v>2</v>
      </c>
      <c r="AD136" s="3">
        <v>2</v>
      </c>
      <c r="AE136" s="79">
        <v>2</v>
      </c>
      <c r="AF136" s="3">
        <v>2</v>
      </c>
      <c r="AG136" s="3">
        <v>2</v>
      </c>
      <c r="AH136" s="3">
        <v>2</v>
      </c>
      <c r="AI136" s="3">
        <v>2</v>
      </c>
      <c r="AJ136" s="3">
        <v>2</v>
      </c>
      <c r="AK136" s="3">
        <v>2</v>
      </c>
      <c r="AL136" s="3">
        <v>2</v>
      </c>
      <c r="AM136" s="3">
        <v>2</v>
      </c>
      <c r="AN136" s="3">
        <v>3</v>
      </c>
      <c r="AO136" s="3">
        <v>4</v>
      </c>
      <c r="AP136" s="3">
        <v>4</v>
      </c>
      <c r="AQ136" s="3">
        <v>3</v>
      </c>
      <c r="AR136" s="3">
        <v>6</v>
      </c>
      <c r="AS136" s="3">
        <v>2</v>
      </c>
      <c r="AT136" s="3">
        <v>2</v>
      </c>
      <c r="AU136" s="3">
        <v>2</v>
      </c>
      <c r="AV136" s="3">
        <v>1</v>
      </c>
      <c r="AW136" s="3">
        <v>3</v>
      </c>
      <c r="AX136" s="3">
        <v>2</v>
      </c>
      <c r="AY136" s="3">
        <v>3</v>
      </c>
      <c r="AZ136" s="3">
        <v>3</v>
      </c>
      <c r="BA136" s="3">
        <v>3</v>
      </c>
      <c r="BB136" s="3">
        <v>3</v>
      </c>
      <c r="BC136" s="3">
        <v>2</v>
      </c>
      <c r="BD136" s="3">
        <v>5</v>
      </c>
      <c r="BE136" s="3">
        <v>2</v>
      </c>
      <c r="BF136" s="3">
        <v>3</v>
      </c>
      <c r="BG136" s="3">
        <v>5</v>
      </c>
      <c r="BH136" s="3">
        <v>2</v>
      </c>
      <c r="BI136" s="3">
        <v>3</v>
      </c>
      <c r="BJ136" s="3">
        <v>1</v>
      </c>
      <c r="BK136" s="3">
        <v>4</v>
      </c>
    </row>
    <row r="137" spans="1:63">
      <c r="A137" s="1" t="s">
        <v>827</v>
      </c>
      <c r="B137" s="3">
        <v>64</v>
      </c>
      <c r="C137" t="s">
        <v>166</v>
      </c>
      <c r="D137" s="3">
        <v>128</v>
      </c>
      <c r="E137" t="s">
        <v>19</v>
      </c>
      <c r="F137" s="3">
        <v>2</v>
      </c>
      <c r="G137" s="3"/>
      <c r="T137" t="s">
        <v>459</v>
      </c>
      <c r="U137" s="3" t="s">
        <v>459</v>
      </c>
      <c r="V137" s="3" t="s">
        <v>459</v>
      </c>
      <c r="W137" s="3" t="s">
        <v>459</v>
      </c>
      <c r="X137" s="3" t="s">
        <v>459</v>
      </c>
      <c r="Y137" s="3" t="s">
        <v>459</v>
      </c>
      <c r="Z137" s="79" t="s">
        <v>459</v>
      </c>
      <c r="AA137" s="3" t="s">
        <v>459</v>
      </c>
      <c r="AB137" s="3" t="s">
        <v>459</v>
      </c>
      <c r="AC137" s="3" t="s">
        <v>459</v>
      </c>
      <c r="AD137" s="3" t="s">
        <v>459</v>
      </c>
      <c r="AE137" s="79" t="s">
        <v>459</v>
      </c>
      <c r="AF137" s="3" t="s">
        <v>459</v>
      </c>
      <c r="AG137" s="3" t="s">
        <v>459</v>
      </c>
      <c r="AH137" s="3" t="s">
        <v>459</v>
      </c>
      <c r="AI137" s="3" t="s">
        <v>459</v>
      </c>
      <c r="AJ137" s="3" t="s">
        <v>459</v>
      </c>
      <c r="AK137" s="3" t="s">
        <v>459</v>
      </c>
      <c r="AL137" s="3" t="s">
        <v>459</v>
      </c>
      <c r="AM137" s="3" t="s">
        <v>459</v>
      </c>
      <c r="AN137" s="3" t="s">
        <v>459</v>
      </c>
      <c r="AO137" s="3" t="s">
        <v>459</v>
      </c>
      <c r="AP137" s="3" t="s">
        <v>459</v>
      </c>
      <c r="AQ137" s="3" t="s">
        <v>459</v>
      </c>
      <c r="AR137" s="3" t="s">
        <v>459</v>
      </c>
      <c r="AS137" s="3" t="s">
        <v>459</v>
      </c>
      <c r="AT137" s="3" t="s">
        <v>459</v>
      </c>
      <c r="AU137" s="3" t="s">
        <v>459</v>
      </c>
      <c r="AV137" s="3" t="s">
        <v>459</v>
      </c>
      <c r="AW137" s="3" t="s">
        <v>459</v>
      </c>
      <c r="AX137" s="3" t="s">
        <v>459</v>
      </c>
      <c r="AY137" s="3" t="s">
        <v>459</v>
      </c>
      <c r="AZ137" s="3" t="s">
        <v>459</v>
      </c>
      <c r="BA137" s="3" t="s">
        <v>459</v>
      </c>
      <c r="BB137" s="3" t="s">
        <v>459</v>
      </c>
      <c r="BC137" s="3" t="s">
        <v>459</v>
      </c>
      <c r="BD137" s="3" t="s">
        <v>459</v>
      </c>
      <c r="BE137" s="3" t="s">
        <v>459</v>
      </c>
      <c r="BF137" s="3" t="s">
        <v>459</v>
      </c>
      <c r="BG137" s="3" t="s">
        <v>459</v>
      </c>
      <c r="BH137" s="3" t="s">
        <v>459</v>
      </c>
      <c r="BI137" s="3" t="s">
        <v>459</v>
      </c>
      <c r="BJ137" s="3" t="s">
        <v>459</v>
      </c>
      <c r="BK137" s="3" t="s">
        <v>459</v>
      </c>
    </row>
    <row r="138" spans="1:63">
      <c r="A138" s="1" t="s">
        <v>828</v>
      </c>
      <c r="B138" s="3">
        <v>65</v>
      </c>
      <c r="C138" t="s">
        <v>47</v>
      </c>
      <c r="D138" s="3">
        <v>129</v>
      </c>
      <c r="E138" t="s">
        <v>19</v>
      </c>
      <c r="F138" s="3">
        <v>2</v>
      </c>
      <c r="G138" s="3"/>
      <c r="S138" s="141" t="s">
        <v>602</v>
      </c>
      <c r="T138" s="140" t="s">
        <v>540</v>
      </c>
      <c r="U138" s="158">
        <v>7.1563981042654028</v>
      </c>
      <c r="V138" s="158">
        <v>7.569060773480663</v>
      </c>
      <c r="W138" s="158">
        <v>8.604651162790697</v>
      </c>
      <c r="X138" s="158">
        <v>6.5517241379310338</v>
      </c>
      <c r="Y138" s="158">
        <v>7.9787234042553195</v>
      </c>
      <c r="Z138" s="158">
        <v>5.2941176470588234</v>
      </c>
      <c r="AA138" s="158">
        <v>8.5</v>
      </c>
      <c r="AB138" s="158">
        <v>7.1428571428571432</v>
      </c>
      <c r="AC138" s="158">
        <v>6.1702127659574471</v>
      </c>
      <c r="AD138" s="158">
        <v>7.1794871794871797</v>
      </c>
      <c r="AE138" s="158">
        <v>5.4</v>
      </c>
      <c r="AF138" s="158">
        <v>7.2413793103448274</v>
      </c>
      <c r="AG138" s="158">
        <v>7.8947368421052637</v>
      </c>
      <c r="AH138" s="158">
        <v>5.5555555555555554</v>
      </c>
      <c r="AI138" s="158">
        <v>7.6470588235294112</v>
      </c>
      <c r="AJ138" s="158">
        <v>6.3636363636363633</v>
      </c>
      <c r="AK138" s="158">
        <v>7.948717948717948</v>
      </c>
      <c r="AL138" s="158">
        <v>6.0869565217391308</v>
      </c>
      <c r="AM138" s="79">
        <v>7.2727272727272734</v>
      </c>
      <c r="AN138" s="3">
        <v>9.2857142857142865</v>
      </c>
      <c r="AO138" s="3">
        <v>6.4285714285714288</v>
      </c>
      <c r="AP138" s="3">
        <v>6</v>
      </c>
      <c r="AQ138" s="3">
        <v>8</v>
      </c>
      <c r="AR138" s="3">
        <v>6</v>
      </c>
      <c r="AS138" s="3">
        <v>8.4615384615384617</v>
      </c>
      <c r="AT138" s="3">
        <v>6.9230769230769234</v>
      </c>
      <c r="AU138" s="3">
        <v>6.875</v>
      </c>
      <c r="AV138" s="3">
        <v>5</v>
      </c>
      <c r="AW138" s="3">
        <v>8.1818181818181817</v>
      </c>
      <c r="AX138" s="3">
        <v>5.4166666666666661</v>
      </c>
      <c r="AY138" s="3">
        <v>7.1428571428571432</v>
      </c>
      <c r="AZ138" s="3">
        <v>9.0909090909090899</v>
      </c>
      <c r="BA138" s="3">
        <v>6.9090909090909092</v>
      </c>
      <c r="BB138" s="3">
        <v>6.3636363636363633</v>
      </c>
      <c r="BC138" s="3">
        <v>7.2727272727272734</v>
      </c>
      <c r="BD138" s="3">
        <v>5</v>
      </c>
      <c r="BE138" s="3">
        <v>7.1875</v>
      </c>
      <c r="BF138" s="3">
        <v>7.8571428571428568</v>
      </c>
      <c r="BG138" s="3">
        <v>5.4545454545454541</v>
      </c>
      <c r="BH138" s="3">
        <v>7.2727272727272734</v>
      </c>
      <c r="BI138" s="3">
        <v>7.5</v>
      </c>
      <c r="BJ138" s="3">
        <v>4.8</v>
      </c>
      <c r="BK138" s="3">
        <v>7.6470588235294112</v>
      </c>
    </row>
    <row r="139" spans="1:63">
      <c r="A139" s="1" t="s">
        <v>829</v>
      </c>
      <c r="B139" s="3">
        <v>65</v>
      </c>
      <c r="C139" s="168" t="s">
        <v>1046</v>
      </c>
      <c r="D139" s="3">
        <v>130</v>
      </c>
      <c r="E139" t="s">
        <v>19</v>
      </c>
      <c r="F139" s="3">
        <v>4</v>
      </c>
      <c r="G139" s="3"/>
      <c r="T139" s="140" t="s">
        <v>523</v>
      </c>
      <c r="U139" s="158">
        <v>5.8530805687203795</v>
      </c>
      <c r="V139" s="158">
        <v>5.6353591160220997</v>
      </c>
      <c r="W139" s="158">
        <v>5.8139534883720936</v>
      </c>
      <c r="X139" s="158">
        <v>5.1724137931034484</v>
      </c>
      <c r="Y139" s="158">
        <v>5.212765957446809</v>
      </c>
      <c r="Z139" s="158">
        <v>7.0588235294117654</v>
      </c>
      <c r="AA139" s="158">
        <v>6.5</v>
      </c>
      <c r="AB139" s="158">
        <v>6.0714285714285712</v>
      </c>
      <c r="AC139" s="158">
        <v>5.4255319148936163</v>
      </c>
      <c r="AD139" s="158">
        <v>5.1282051282051277</v>
      </c>
      <c r="AE139" s="158">
        <v>4</v>
      </c>
      <c r="AF139" s="158">
        <v>6.0919540229885065</v>
      </c>
      <c r="AG139" s="158">
        <v>6.3157894736842106</v>
      </c>
      <c r="AH139" s="158">
        <v>5</v>
      </c>
      <c r="AI139" s="158">
        <v>7.0588235294117654</v>
      </c>
      <c r="AJ139" s="158">
        <v>4.545454545454545</v>
      </c>
      <c r="AK139" s="158">
        <v>4.8717948717948714</v>
      </c>
      <c r="AL139" s="158">
        <v>5.2173913043478262</v>
      </c>
      <c r="AM139" s="79">
        <v>5.4545454545454541</v>
      </c>
      <c r="AN139" s="3">
        <v>5</v>
      </c>
      <c r="AO139" s="3">
        <v>3.5714285714285716</v>
      </c>
      <c r="AP139" s="3">
        <v>7</v>
      </c>
      <c r="AQ139" s="3">
        <v>6</v>
      </c>
      <c r="AR139" s="3">
        <v>7</v>
      </c>
      <c r="AS139" s="3">
        <v>6.9230769230769234</v>
      </c>
      <c r="AT139" s="3">
        <v>3.8461538461538463</v>
      </c>
      <c r="AU139" s="3">
        <v>5</v>
      </c>
      <c r="AV139" s="3">
        <v>9.2857142857142865</v>
      </c>
      <c r="AW139" s="3">
        <v>4.545454545454545</v>
      </c>
      <c r="AX139" s="3">
        <v>4.166666666666667</v>
      </c>
      <c r="AY139" s="3">
        <v>5.7142857142857135</v>
      </c>
      <c r="AZ139" s="3">
        <v>7.2727272727272734</v>
      </c>
      <c r="BA139" s="3">
        <v>6.7272727272727275</v>
      </c>
      <c r="BB139" s="3">
        <v>3.6363636363636367</v>
      </c>
      <c r="BC139" s="3">
        <v>6.3636363636363633</v>
      </c>
      <c r="BD139" s="3">
        <v>5</v>
      </c>
      <c r="BE139" s="3">
        <v>5.3125</v>
      </c>
      <c r="BF139" s="3">
        <v>7.1428571428571432</v>
      </c>
      <c r="BG139" s="3">
        <v>4.545454545454545</v>
      </c>
      <c r="BH139" s="3">
        <v>5.4545454545454541</v>
      </c>
      <c r="BI139" s="3">
        <v>5.4166666666666661</v>
      </c>
      <c r="BJ139" s="3">
        <v>5.2</v>
      </c>
      <c r="BK139" s="3">
        <v>5.2941176470588234</v>
      </c>
    </row>
    <row r="140" spans="1:63">
      <c r="A140" s="1" t="s">
        <v>830</v>
      </c>
      <c r="B140" s="3">
        <v>66</v>
      </c>
      <c r="C140" t="s">
        <v>178</v>
      </c>
      <c r="D140" s="3">
        <v>131</v>
      </c>
      <c r="E140" t="s">
        <v>19</v>
      </c>
      <c r="F140" s="3">
        <v>4</v>
      </c>
      <c r="G140" s="3"/>
      <c r="T140" s="140" t="s">
        <v>538</v>
      </c>
      <c r="U140" s="158">
        <v>4.9289099526066344</v>
      </c>
      <c r="V140" s="158">
        <v>5.6353591160220997</v>
      </c>
      <c r="W140" s="158">
        <v>5.5813953488372094</v>
      </c>
      <c r="X140" s="158">
        <v>7.931034482758621</v>
      </c>
      <c r="Y140" s="158">
        <v>4.8936170212765955</v>
      </c>
      <c r="Z140" s="158">
        <v>4.7058823529411766</v>
      </c>
      <c r="AA140" s="158">
        <v>5</v>
      </c>
      <c r="AB140" s="158">
        <v>7.5</v>
      </c>
      <c r="AC140" s="158">
        <v>4.1489361702127656</v>
      </c>
      <c r="AD140" s="158">
        <v>4.1025641025641022</v>
      </c>
      <c r="AE140" s="158">
        <v>4.4000000000000004</v>
      </c>
      <c r="AF140" s="158">
        <v>5.1724137931034484</v>
      </c>
      <c r="AG140" s="158">
        <v>6.3157894736842106</v>
      </c>
      <c r="AH140" s="158">
        <v>5.5555555555555554</v>
      </c>
      <c r="AI140" s="158">
        <v>6.4705882352941178</v>
      </c>
      <c r="AJ140" s="158">
        <v>4.7727272727272734</v>
      </c>
      <c r="AK140" s="158">
        <v>6.1538461538461542</v>
      </c>
      <c r="AL140" s="158">
        <v>2.6086956521739131</v>
      </c>
      <c r="AM140" s="79">
        <v>4.545454545454545</v>
      </c>
      <c r="AN140" s="3">
        <v>4.2857142857142856</v>
      </c>
      <c r="AO140" s="3">
        <v>5.7142857142857135</v>
      </c>
      <c r="AP140" s="3">
        <v>10</v>
      </c>
      <c r="AQ140" s="3">
        <v>5</v>
      </c>
      <c r="AR140" s="3">
        <v>4</v>
      </c>
      <c r="AS140" s="3">
        <v>6.9230769230769234</v>
      </c>
      <c r="AT140" s="3">
        <v>3.0769230769230771</v>
      </c>
      <c r="AU140" s="3">
        <v>5.625</v>
      </c>
      <c r="AV140" s="3">
        <v>3.5714285714285716</v>
      </c>
      <c r="AW140" s="3">
        <v>3.6363636363636367</v>
      </c>
      <c r="AX140" s="3">
        <v>3.75</v>
      </c>
      <c r="AY140" s="3">
        <v>5</v>
      </c>
      <c r="AZ140" s="3">
        <v>3.6363636363636367</v>
      </c>
      <c r="BA140" s="3">
        <v>5.6363636363636358</v>
      </c>
      <c r="BB140" s="3">
        <v>4.545454545454545</v>
      </c>
      <c r="BC140" s="3">
        <v>3.6363636363636367</v>
      </c>
      <c r="BD140" s="3">
        <v>8</v>
      </c>
      <c r="BE140" s="3">
        <v>6.5625</v>
      </c>
      <c r="BF140" s="3">
        <v>5.7142857142857135</v>
      </c>
      <c r="BG140" s="3">
        <v>6.3636363636363633</v>
      </c>
      <c r="BH140" s="3">
        <v>5.4545454545454541</v>
      </c>
      <c r="BI140" s="3">
        <v>5.4166666666666661</v>
      </c>
      <c r="BJ140" s="3">
        <v>3.5999999999999996</v>
      </c>
      <c r="BK140" s="3">
        <v>5.882352941176471</v>
      </c>
    </row>
    <row r="141" spans="1:63">
      <c r="A141" s="1" t="s">
        <v>831</v>
      </c>
      <c r="B141" s="3">
        <v>66</v>
      </c>
      <c r="C141" t="s">
        <v>147</v>
      </c>
      <c r="D141" s="3">
        <v>132</v>
      </c>
      <c r="E141" t="s">
        <v>19</v>
      </c>
      <c r="F141" s="3">
        <v>4</v>
      </c>
      <c r="G141" s="3"/>
      <c r="T141" s="140" t="s">
        <v>550</v>
      </c>
      <c r="U141" s="158">
        <v>1.7772511848341233</v>
      </c>
      <c r="V141" s="158">
        <v>2.4861878453038675</v>
      </c>
      <c r="W141" s="158">
        <v>2.0930232558139537</v>
      </c>
      <c r="X141" s="158">
        <v>1.0344827586206897</v>
      </c>
      <c r="Y141" s="158">
        <v>2.5531914893617018</v>
      </c>
      <c r="Z141" s="158">
        <v>7.6470588235294112</v>
      </c>
      <c r="AA141" s="158">
        <v>1.5</v>
      </c>
      <c r="AB141" s="158">
        <v>1.7857142857142858</v>
      </c>
      <c r="AC141" s="158">
        <v>1.7021276595744681</v>
      </c>
      <c r="AD141" s="158">
        <v>1.0256410256410255</v>
      </c>
      <c r="AE141" s="158">
        <v>1.4000000000000001</v>
      </c>
      <c r="AF141" s="158">
        <v>1.4942528735632186</v>
      </c>
      <c r="AG141" s="158">
        <v>1.5789473684210527</v>
      </c>
      <c r="AH141" s="158">
        <v>2.7777777777777777</v>
      </c>
      <c r="AI141" s="158">
        <v>1.7647058823529413</v>
      </c>
      <c r="AJ141" s="158">
        <v>1.1363636363636362</v>
      </c>
      <c r="AK141" s="158">
        <v>1.5384615384615385</v>
      </c>
      <c r="AL141" s="158">
        <v>0.86956521739130432</v>
      </c>
      <c r="AM141" s="79">
        <v>1.8181818181818183</v>
      </c>
      <c r="AN141" s="3">
        <v>3.5714285714285716</v>
      </c>
      <c r="AO141" s="3">
        <v>1.4285714285714284</v>
      </c>
      <c r="AP141" s="3">
        <v>2</v>
      </c>
      <c r="AQ141" s="3">
        <v>1</v>
      </c>
      <c r="AR141" s="3">
        <v>0</v>
      </c>
      <c r="AS141" s="3">
        <v>1.153846153846154</v>
      </c>
      <c r="AT141" s="3">
        <v>3.0769230769230771</v>
      </c>
      <c r="AU141" s="3">
        <v>1.25</v>
      </c>
      <c r="AV141" s="3">
        <v>2.1428571428571428</v>
      </c>
      <c r="AW141" s="3">
        <v>0.90909090909090917</v>
      </c>
      <c r="AX141" s="3">
        <v>2.5</v>
      </c>
      <c r="AY141" s="3">
        <v>3.5714285714285716</v>
      </c>
      <c r="AZ141" s="3">
        <v>3.6363636363636367</v>
      </c>
      <c r="BA141" s="3">
        <v>2.545454545454545</v>
      </c>
      <c r="BB141" s="3">
        <v>2.7272727272727271</v>
      </c>
      <c r="BC141" s="3">
        <v>0</v>
      </c>
      <c r="BD141" s="3">
        <v>0</v>
      </c>
      <c r="BE141" s="3">
        <v>3.125</v>
      </c>
      <c r="BF141" s="3">
        <v>2.1428571428571428</v>
      </c>
      <c r="BG141" s="3">
        <v>4.545454545454545</v>
      </c>
      <c r="BH141" s="3">
        <v>3.6363636363636367</v>
      </c>
      <c r="BI141" s="3">
        <v>1.6666666666666665</v>
      </c>
      <c r="BJ141" s="3">
        <v>1.2</v>
      </c>
      <c r="BK141" s="3">
        <v>2.3529411764705883</v>
      </c>
    </row>
    <row r="142" spans="1:63">
      <c r="A142" s="1" t="s">
        <v>832</v>
      </c>
      <c r="B142" s="3">
        <v>67</v>
      </c>
      <c r="C142" t="s">
        <v>66</v>
      </c>
      <c r="D142" s="3">
        <v>133</v>
      </c>
      <c r="E142" t="s">
        <v>19</v>
      </c>
      <c r="F142" s="3">
        <v>5</v>
      </c>
      <c r="G142" s="3"/>
      <c r="T142" s="140" t="s">
        <v>623</v>
      </c>
      <c r="U142" s="158">
        <v>6.8246445497630335</v>
      </c>
      <c r="V142" s="158">
        <v>7.0165745856353592</v>
      </c>
      <c r="W142" s="158">
        <v>7.2093023255813948</v>
      </c>
      <c r="X142" s="158">
        <v>7.931034482758621</v>
      </c>
      <c r="Y142" s="158">
        <v>8.0851063829787222</v>
      </c>
      <c r="Z142" s="158">
        <v>5.2941176470588234</v>
      </c>
      <c r="AA142" s="158">
        <v>2.5</v>
      </c>
      <c r="AB142" s="158">
        <v>8.2142857142857135</v>
      </c>
      <c r="AC142" s="158">
        <v>6.5957446808510634</v>
      </c>
      <c r="AD142" s="158">
        <v>7.1794871794871797</v>
      </c>
      <c r="AE142" s="158">
        <v>6</v>
      </c>
      <c r="AF142" s="158">
        <v>6.5517241379310338</v>
      </c>
      <c r="AG142" s="158">
        <v>6.8421052631578947</v>
      </c>
      <c r="AH142" s="158">
        <v>5</v>
      </c>
      <c r="AI142" s="158">
        <v>6.4705882352941178</v>
      </c>
      <c r="AJ142" s="158">
        <v>6.5909090909090908</v>
      </c>
      <c r="AK142" s="158">
        <v>7.6923076923076925</v>
      </c>
      <c r="AL142" s="158">
        <v>7.391304347826086</v>
      </c>
      <c r="AM142" s="79">
        <v>9.0909090909090899</v>
      </c>
      <c r="AN142" s="3">
        <v>8.5714285714285712</v>
      </c>
      <c r="AO142" s="3">
        <v>6.4285714285714288</v>
      </c>
      <c r="AP142" s="3">
        <v>3</v>
      </c>
      <c r="AQ142" s="3">
        <v>7</v>
      </c>
      <c r="AR142" s="3">
        <v>7</v>
      </c>
      <c r="AS142" s="3">
        <v>7.6923076923076925</v>
      </c>
      <c r="AT142" s="3">
        <v>8.4615384615384617</v>
      </c>
      <c r="AU142" s="3">
        <v>5.625</v>
      </c>
      <c r="AV142" s="3">
        <v>5.7142857142857135</v>
      </c>
      <c r="AW142" s="3">
        <v>9.0909090909090899</v>
      </c>
      <c r="AX142" s="3">
        <v>6.6666666666666661</v>
      </c>
      <c r="AY142" s="3">
        <v>7.8571428571428568</v>
      </c>
      <c r="AZ142" s="3">
        <v>7.2727272727272734</v>
      </c>
      <c r="BA142" s="3">
        <v>7.0909090909090908</v>
      </c>
      <c r="BB142" s="3">
        <v>8.1818181818181817</v>
      </c>
      <c r="BC142" s="3">
        <v>5.4545454545454541</v>
      </c>
      <c r="BD142" s="3">
        <v>8</v>
      </c>
      <c r="BE142" s="3">
        <v>7.8125</v>
      </c>
      <c r="BF142" s="3">
        <v>6.4285714285714288</v>
      </c>
      <c r="BG142" s="3">
        <v>4.545454545454545</v>
      </c>
      <c r="BH142" s="3">
        <v>8.1818181818181817</v>
      </c>
      <c r="BI142" s="3">
        <v>7.5</v>
      </c>
      <c r="BJ142" s="3">
        <v>6.8000000000000007</v>
      </c>
      <c r="BK142" s="3">
        <v>5.882352941176471</v>
      </c>
    </row>
    <row r="143" spans="1:63">
      <c r="A143" s="1" t="s">
        <v>833</v>
      </c>
      <c r="B143" s="3">
        <v>67</v>
      </c>
      <c r="C143" t="s">
        <v>226</v>
      </c>
      <c r="D143" s="3">
        <v>134</v>
      </c>
      <c r="E143" t="s">
        <v>19</v>
      </c>
      <c r="F143" s="3">
        <v>3</v>
      </c>
      <c r="G143" s="3"/>
      <c r="T143" s="140" t="s">
        <v>545</v>
      </c>
      <c r="U143" s="158">
        <v>3.459715639810427</v>
      </c>
      <c r="V143" s="158">
        <v>4.0331491712707184</v>
      </c>
      <c r="W143" s="158">
        <v>4.4186046511627906</v>
      </c>
      <c r="X143" s="158">
        <v>2.7586206896551726</v>
      </c>
      <c r="Y143" s="158">
        <v>2.978723404255319</v>
      </c>
      <c r="Z143" s="158">
        <v>5.882352941176471</v>
      </c>
      <c r="AA143" s="158">
        <v>2</v>
      </c>
      <c r="AB143" s="158">
        <v>4.6428571428571432</v>
      </c>
      <c r="AC143" s="158">
        <v>3.9361702127659575</v>
      </c>
      <c r="AD143" s="158">
        <v>3.8461538461538463</v>
      </c>
      <c r="AE143" s="158">
        <v>4.4000000000000004</v>
      </c>
      <c r="AF143" s="158">
        <v>2.8735632183908044</v>
      </c>
      <c r="AG143" s="158">
        <v>3.1578947368421053</v>
      </c>
      <c r="AH143" s="158">
        <v>3.8888888888888888</v>
      </c>
      <c r="AI143" s="158">
        <v>5.882352941176471</v>
      </c>
      <c r="AJ143" s="158">
        <v>3.8636363636363633</v>
      </c>
      <c r="AK143" s="158">
        <v>3.0769230769230771</v>
      </c>
      <c r="AL143" s="158">
        <v>2.1739130434782608</v>
      </c>
      <c r="AM143" s="79">
        <v>2.7272727272727271</v>
      </c>
      <c r="AN143" s="3">
        <v>5</v>
      </c>
      <c r="AO143" s="3">
        <v>3.5714285714285716</v>
      </c>
      <c r="AP143" s="3">
        <v>2</v>
      </c>
      <c r="AQ143" s="3">
        <v>3</v>
      </c>
      <c r="AR143" s="3">
        <v>4</v>
      </c>
      <c r="AS143" s="3">
        <v>4.2307692307692308</v>
      </c>
      <c r="AT143" s="3">
        <v>4.6153846153846159</v>
      </c>
      <c r="AU143" s="3">
        <v>1.25</v>
      </c>
      <c r="AV143" s="3">
        <v>2.8571428571428568</v>
      </c>
      <c r="AW143" s="3">
        <v>3.6363636363636367</v>
      </c>
      <c r="AX143" s="3">
        <v>5</v>
      </c>
      <c r="AY143" s="3">
        <v>2.8571428571428568</v>
      </c>
      <c r="AZ143" s="3">
        <v>2.7272727272727271</v>
      </c>
      <c r="BA143" s="3">
        <v>2.1818181818181817</v>
      </c>
      <c r="BB143" s="3">
        <v>2.7272727272727271</v>
      </c>
      <c r="BC143" s="3">
        <v>3.6363636363636367</v>
      </c>
      <c r="BD143" s="3">
        <v>2</v>
      </c>
      <c r="BE143" s="3">
        <v>4.0625</v>
      </c>
      <c r="BF143" s="3">
        <v>3.5714285714285716</v>
      </c>
      <c r="BG143" s="3">
        <v>4.545454545454545</v>
      </c>
      <c r="BH143" s="3">
        <v>3.6363636363636367</v>
      </c>
      <c r="BI143" s="3">
        <v>4.166666666666667</v>
      </c>
      <c r="BJ143" s="3">
        <v>4.4000000000000004</v>
      </c>
      <c r="BK143" s="3">
        <v>3.5294117647058827</v>
      </c>
    </row>
    <row r="144" spans="1:63">
      <c r="A144" s="1" t="s">
        <v>834</v>
      </c>
      <c r="B144" s="3">
        <v>68</v>
      </c>
      <c r="C144" t="s">
        <v>195</v>
      </c>
      <c r="D144" s="3">
        <v>135</v>
      </c>
      <c r="E144" t="s">
        <v>19</v>
      </c>
      <c r="F144" s="3">
        <v>3</v>
      </c>
      <c r="G144" s="3"/>
      <c r="T144" s="140" t="s">
        <v>524</v>
      </c>
      <c r="U144" s="158">
        <v>2.6066350710900474</v>
      </c>
      <c r="V144" s="158">
        <v>2.8729281767955799</v>
      </c>
      <c r="W144" s="158">
        <v>2.558139534883721</v>
      </c>
      <c r="X144" s="158">
        <v>1.0344827586206897</v>
      </c>
      <c r="Y144" s="158">
        <v>1.7021276595744681</v>
      </c>
      <c r="Z144" s="158">
        <v>4.7058823529411766</v>
      </c>
      <c r="AA144" s="158">
        <v>5</v>
      </c>
      <c r="AB144" s="158">
        <v>1.0714285714285714</v>
      </c>
      <c r="AC144" s="158">
        <v>2.2340425531914891</v>
      </c>
      <c r="AD144" s="158">
        <v>2.0512820512820511</v>
      </c>
      <c r="AE144" s="158">
        <v>2.2000000000000002</v>
      </c>
      <c r="AF144" s="158">
        <v>2.7586206896551726</v>
      </c>
      <c r="AG144" s="158">
        <v>3.6842105263157894</v>
      </c>
      <c r="AH144" s="158">
        <v>5.5555555555555554</v>
      </c>
      <c r="AI144" s="158">
        <v>1.1764705882352942</v>
      </c>
      <c r="AJ144" s="158">
        <v>2.0454545454545454</v>
      </c>
      <c r="AK144" s="158">
        <v>2.3076923076923079</v>
      </c>
      <c r="AL144" s="158">
        <v>3.0434782608695654</v>
      </c>
      <c r="AM144" s="79">
        <v>1.8181818181818183</v>
      </c>
      <c r="AN144" s="3">
        <v>5</v>
      </c>
      <c r="AO144" s="3">
        <v>2.1428571428571428</v>
      </c>
      <c r="AP144" s="3">
        <v>5</v>
      </c>
      <c r="AQ144" s="3">
        <v>4</v>
      </c>
      <c r="AR144" s="3">
        <v>3</v>
      </c>
      <c r="AS144" s="3">
        <v>2.3076923076923079</v>
      </c>
      <c r="AT144" s="3">
        <v>3.0769230769230771</v>
      </c>
      <c r="AU144" s="3">
        <v>3.75</v>
      </c>
      <c r="AV144" s="3">
        <v>3.5714285714285716</v>
      </c>
      <c r="AW144" s="3">
        <v>1.8181818181818183</v>
      </c>
      <c r="AX144" s="3">
        <v>2.0833333333333335</v>
      </c>
      <c r="AY144" s="3">
        <v>0.71428571428571419</v>
      </c>
      <c r="AZ144" s="3">
        <v>0.90909090909090917</v>
      </c>
      <c r="BA144" s="3">
        <v>1.0909090909090908</v>
      </c>
      <c r="BB144" s="3">
        <v>2.7272727272727271</v>
      </c>
      <c r="BC144" s="3">
        <v>2.7272727272727271</v>
      </c>
      <c r="BD144" s="3">
        <v>0</v>
      </c>
      <c r="BE144" s="3">
        <v>1.875</v>
      </c>
      <c r="BF144" s="3">
        <v>2.1428571428571428</v>
      </c>
      <c r="BG144" s="3">
        <v>3.6363636363636367</v>
      </c>
      <c r="BH144" s="3">
        <v>0.90909090909090917</v>
      </c>
      <c r="BI144" s="3">
        <v>2.0833333333333335</v>
      </c>
      <c r="BJ144" s="3">
        <v>2.4</v>
      </c>
      <c r="BK144" s="3">
        <v>3.5294117647058827</v>
      </c>
    </row>
    <row r="145" spans="1:63">
      <c r="A145" s="1" t="s">
        <v>835</v>
      </c>
      <c r="B145" s="3">
        <v>68</v>
      </c>
      <c r="C145" t="s">
        <v>211</v>
      </c>
      <c r="D145" s="3">
        <v>136</v>
      </c>
      <c r="E145" t="s">
        <v>19</v>
      </c>
      <c r="F145" s="3">
        <v>4</v>
      </c>
      <c r="G145" s="3"/>
      <c r="T145" s="140" t="s">
        <v>526</v>
      </c>
      <c r="U145" s="158">
        <v>8.6492890995260669</v>
      </c>
      <c r="V145" s="158">
        <v>8.6187845303867405</v>
      </c>
      <c r="W145" s="158">
        <v>8.3720930232558146</v>
      </c>
      <c r="X145" s="158">
        <v>8.6206896551724128</v>
      </c>
      <c r="Y145" s="158">
        <v>8.9361702127659566</v>
      </c>
      <c r="Z145" s="158">
        <v>4.7058823529411766</v>
      </c>
      <c r="AA145" s="158">
        <v>6</v>
      </c>
      <c r="AB145" s="158">
        <v>8.5714285714285712</v>
      </c>
      <c r="AC145" s="158">
        <v>8.6170212765957448</v>
      </c>
      <c r="AD145" s="158">
        <v>8.717948717948719</v>
      </c>
      <c r="AE145" s="158">
        <v>8</v>
      </c>
      <c r="AF145" s="158">
        <v>9.0804597701149419</v>
      </c>
      <c r="AG145" s="158">
        <v>10</v>
      </c>
      <c r="AH145" s="158">
        <v>7.7777777777777777</v>
      </c>
      <c r="AI145" s="158">
        <v>10</v>
      </c>
      <c r="AJ145" s="158">
        <v>8.8636363636363633</v>
      </c>
      <c r="AK145" s="158">
        <v>7.948717948717948</v>
      </c>
      <c r="AL145" s="158">
        <v>7.8260869565217392</v>
      </c>
      <c r="AM145" s="79">
        <v>10</v>
      </c>
      <c r="AN145" s="3">
        <v>8.5714285714285712</v>
      </c>
      <c r="AO145" s="3">
        <v>9.2857142857142865</v>
      </c>
      <c r="AP145" s="3">
        <v>10</v>
      </c>
      <c r="AQ145" s="3">
        <v>7</v>
      </c>
      <c r="AR145" s="3">
        <v>9</v>
      </c>
      <c r="AS145" s="3">
        <v>8.4615384615384617</v>
      </c>
      <c r="AT145" s="3">
        <v>8.4615384615384617</v>
      </c>
      <c r="AU145" s="3">
        <v>10</v>
      </c>
      <c r="AV145" s="3">
        <v>7.8571428571428568</v>
      </c>
      <c r="AW145" s="3">
        <v>9.0909090909090899</v>
      </c>
      <c r="AX145" s="3">
        <v>7.5</v>
      </c>
      <c r="AY145" s="3">
        <v>9.2857142857142865</v>
      </c>
      <c r="AZ145" s="3">
        <v>10</v>
      </c>
      <c r="BA145" s="3">
        <v>8.3636363636363633</v>
      </c>
      <c r="BB145" s="3">
        <v>10</v>
      </c>
      <c r="BC145" s="3">
        <v>9.0909090909090899</v>
      </c>
      <c r="BD145" s="3">
        <v>10</v>
      </c>
      <c r="BE145" s="3">
        <v>8.4375</v>
      </c>
      <c r="BF145" s="3">
        <v>9.2857142857142865</v>
      </c>
      <c r="BG145" s="3">
        <v>9.0909090909090899</v>
      </c>
      <c r="BH145" s="3">
        <v>7.2727272727272734</v>
      </c>
      <c r="BI145" s="3">
        <v>10</v>
      </c>
      <c r="BJ145" s="3">
        <v>8.4</v>
      </c>
      <c r="BK145" s="3">
        <v>8.235294117647058</v>
      </c>
    </row>
    <row r="146" spans="1:63">
      <c r="A146" s="1" t="s">
        <v>836</v>
      </c>
      <c r="B146" s="3">
        <v>69</v>
      </c>
      <c r="C146" t="s">
        <v>260</v>
      </c>
      <c r="D146" s="3">
        <v>137</v>
      </c>
      <c r="E146" t="s">
        <v>19</v>
      </c>
      <c r="F146" s="3">
        <v>4</v>
      </c>
      <c r="G146" s="3"/>
      <c r="T146" s="140" t="s">
        <v>530</v>
      </c>
      <c r="U146" s="158">
        <v>4.5734597156398102</v>
      </c>
      <c r="V146" s="158">
        <v>4.6408839779005522</v>
      </c>
      <c r="W146" s="158">
        <v>5.1162790697674421</v>
      </c>
      <c r="X146" s="158">
        <v>4.4827586206896548</v>
      </c>
      <c r="Y146" s="158">
        <v>3.5106382978723403</v>
      </c>
      <c r="Z146" s="158">
        <v>4.7058823529411766</v>
      </c>
      <c r="AA146" s="158">
        <v>3</v>
      </c>
      <c r="AB146" s="158">
        <v>5.3571428571428568</v>
      </c>
      <c r="AC146" s="158">
        <v>5.212765957446809</v>
      </c>
      <c r="AD146" s="158">
        <v>3.333333333333333</v>
      </c>
      <c r="AE146" s="158">
        <v>4</v>
      </c>
      <c r="AF146" s="158">
        <v>3.9080459770114944</v>
      </c>
      <c r="AG146" s="158">
        <v>6.3157894736842106</v>
      </c>
      <c r="AH146" s="158">
        <v>2.7777777777777777</v>
      </c>
      <c r="AI146" s="158">
        <v>4.117647058823529</v>
      </c>
      <c r="AJ146" s="158">
        <v>4.3181818181818183</v>
      </c>
      <c r="AK146" s="158">
        <v>5.1282051282051277</v>
      </c>
      <c r="AL146" s="158">
        <v>5.6521739130434776</v>
      </c>
      <c r="AM146" s="79">
        <v>3.6363636363636367</v>
      </c>
      <c r="AN146" s="3">
        <v>2.8571428571428568</v>
      </c>
      <c r="AO146" s="3">
        <v>3.5714285714285716</v>
      </c>
      <c r="AP146" s="3">
        <v>7</v>
      </c>
      <c r="AQ146" s="3">
        <v>3</v>
      </c>
      <c r="AR146" s="3">
        <v>5</v>
      </c>
      <c r="AS146" s="3">
        <v>4.2307692307692308</v>
      </c>
      <c r="AT146" s="3">
        <v>3.0769230769230771</v>
      </c>
      <c r="AU146" s="3">
        <v>6.875</v>
      </c>
      <c r="AV146" s="3">
        <v>5.7142857142857135</v>
      </c>
      <c r="AW146" s="3">
        <v>2.7272727272727271</v>
      </c>
      <c r="AX146" s="3">
        <v>2.0833333333333335</v>
      </c>
      <c r="AY146" s="3">
        <v>3.5714285714285716</v>
      </c>
      <c r="AZ146" s="3">
        <v>4.545454545454545</v>
      </c>
      <c r="BA146" s="3">
        <v>5.2727272727272725</v>
      </c>
      <c r="BB146" s="3">
        <v>2.7272727272727271</v>
      </c>
      <c r="BC146" s="3">
        <v>3.6363636363636367</v>
      </c>
      <c r="BD146" s="3">
        <v>3</v>
      </c>
      <c r="BE146" s="3">
        <v>4.6875</v>
      </c>
      <c r="BF146" s="3">
        <v>5.7142857142857135</v>
      </c>
      <c r="BG146" s="3">
        <v>3.6363636363636367</v>
      </c>
      <c r="BH146" s="3">
        <v>4.545454545454545</v>
      </c>
      <c r="BI146" s="3">
        <v>4.583333333333333</v>
      </c>
      <c r="BJ146" s="3">
        <v>5.2</v>
      </c>
      <c r="BK146" s="3">
        <v>5.882352941176471</v>
      </c>
    </row>
    <row r="147" spans="1:63">
      <c r="A147" s="1" t="s">
        <v>837</v>
      </c>
      <c r="B147" s="3">
        <v>69</v>
      </c>
      <c r="C147" t="s">
        <v>251</v>
      </c>
      <c r="D147" s="3">
        <v>138</v>
      </c>
      <c r="E147" t="s">
        <v>19</v>
      </c>
      <c r="F147" s="3">
        <v>5</v>
      </c>
      <c r="G147" s="3"/>
      <c r="T147" s="140" t="s">
        <v>537</v>
      </c>
      <c r="U147" s="158">
        <v>5.5450236966824642</v>
      </c>
      <c r="V147" s="158">
        <v>5.5248618784530388</v>
      </c>
      <c r="W147" s="158">
        <v>5.8139534883720936</v>
      </c>
      <c r="X147" s="158">
        <v>3.7931034482758621</v>
      </c>
      <c r="Y147" s="158">
        <v>5.3191489361702127</v>
      </c>
      <c r="Z147" s="158">
        <v>4.7058823529411766</v>
      </c>
      <c r="AA147" s="158">
        <v>3.5</v>
      </c>
      <c r="AB147" s="158">
        <v>6.4285714285714288</v>
      </c>
      <c r="AC147" s="158">
        <v>5.8510638297872344</v>
      </c>
      <c r="AD147" s="158">
        <v>6.1538461538461542</v>
      </c>
      <c r="AE147" s="158">
        <v>4</v>
      </c>
      <c r="AF147" s="158">
        <v>6.0919540229885065</v>
      </c>
      <c r="AG147" s="158">
        <v>5.7894736842105265</v>
      </c>
      <c r="AH147" s="158">
        <v>5</v>
      </c>
      <c r="AI147" s="158">
        <v>4.7058823529411766</v>
      </c>
      <c r="AJ147" s="158">
        <v>6.5909090909090908</v>
      </c>
      <c r="AK147" s="158">
        <v>5.6410256410256405</v>
      </c>
      <c r="AL147" s="158">
        <v>6.9565217391304346</v>
      </c>
      <c r="AM147" s="79">
        <v>4.545454545454545</v>
      </c>
      <c r="AN147" s="3">
        <v>4.2857142857142856</v>
      </c>
      <c r="AO147" s="3">
        <v>3.5714285714285716</v>
      </c>
      <c r="AP147" s="3">
        <v>6</v>
      </c>
      <c r="AQ147" s="3">
        <v>4</v>
      </c>
      <c r="AR147" s="3">
        <v>1</v>
      </c>
      <c r="AS147" s="3">
        <v>5</v>
      </c>
      <c r="AT147" s="3">
        <v>5.3846153846153841</v>
      </c>
      <c r="AU147" s="3">
        <v>5.625</v>
      </c>
      <c r="AV147" s="3">
        <v>5.7142857142857135</v>
      </c>
      <c r="AW147" s="3">
        <v>5.4545454545454541</v>
      </c>
      <c r="AX147" s="3">
        <v>5.4166666666666661</v>
      </c>
      <c r="AY147" s="3">
        <v>3.5714285714285716</v>
      </c>
      <c r="AZ147" s="3">
        <v>2.7272727272727271</v>
      </c>
      <c r="BA147" s="3">
        <v>4.545454545454545</v>
      </c>
      <c r="BB147" s="3">
        <v>5.4545454545454541</v>
      </c>
      <c r="BC147" s="3">
        <v>4.545454545454545</v>
      </c>
      <c r="BD147" s="3">
        <v>5</v>
      </c>
      <c r="BE147" s="3">
        <v>5</v>
      </c>
      <c r="BF147" s="3">
        <v>4.2857142857142856</v>
      </c>
      <c r="BG147" s="3">
        <v>5.4545454545454541</v>
      </c>
      <c r="BH147" s="3">
        <v>4.545454545454545</v>
      </c>
      <c r="BI147" s="3">
        <v>7.9166666666666661</v>
      </c>
      <c r="BJ147" s="3">
        <v>3.5999999999999996</v>
      </c>
      <c r="BK147" s="3">
        <v>6.4705882352941178</v>
      </c>
    </row>
    <row r="148" spans="1:63">
      <c r="A148" s="1" t="s">
        <v>838</v>
      </c>
      <c r="B148" s="3">
        <v>70</v>
      </c>
      <c r="C148" t="s">
        <v>347</v>
      </c>
      <c r="D148" s="3">
        <v>139</v>
      </c>
      <c r="E148" t="s">
        <v>19</v>
      </c>
      <c r="F148" s="3">
        <v>2</v>
      </c>
      <c r="G148" s="3"/>
    </row>
    <row r="149" spans="1:63">
      <c r="A149" s="1" t="s">
        <v>839</v>
      </c>
      <c r="B149" s="3">
        <v>70</v>
      </c>
      <c r="C149" t="s">
        <v>343</v>
      </c>
      <c r="D149" s="3">
        <v>140</v>
      </c>
      <c r="E149" t="s">
        <v>19</v>
      </c>
      <c r="F149" s="3">
        <v>2</v>
      </c>
      <c r="G149" s="3"/>
    </row>
    <row r="150" spans="1:63">
      <c r="A150" s="1" t="s">
        <v>840</v>
      </c>
      <c r="B150" s="3">
        <v>71</v>
      </c>
      <c r="C150" t="s">
        <v>99</v>
      </c>
      <c r="D150" s="3">
        <v>141</v>
      </c>
      <c r="E150" t="s">
        <v>19</v>
      </c>
      <c r="F150" s="3">
        <v>5</v>
      </c>
      <c r="G150" s="3"/>
    </row>
    <row r="151" spans="1:63">
      <c r="A151" s="1" t="s">
        <v>841</v>
      </c>
      <c r="B151" s="3">
        <v>71</v>
      </c>
      <c r="C151" t="s">
        <v>159</v>
      </c>
      <c r="D151" s="3">
        <v>142</v>
      </c>
      <c r="E151" t="s">
        <v>19</v>
      </c>
      <c r="F151" s="3">
        <v>5</v>
      </c>
      <c r="G151" s="3"/>
      <c r="T151" s="1" t="s">
        <v>597</v>
      </c>
    </row>
    <row r="152" spans="1:63">
      <c r="A152" s="1" t="s">
        <v>842</v>
      </c>
      <c r="B152" s="3">
        <v>72</v>
      </c>
      <c r="C152" t="s">
        <v>128</v>
      </c>
      <c r="D152" s="3">
        <v>143</v>
      </c>
      <c r="E152" t="s">
        <v>19</v>
      </c>
      <c r="F152" s="3">
        <v>2</v>
      </c>
      <c r="G152" s="3"/>
      <c r="T152" s="7" t="s">
        <v>186</v>
      </c>
      <c r="U152" s="3">
        <v>10</v>
      </c>
    </row>
    <row r="153" spans="1:63">
      <c r="A153" s="1" t="s">
        <v>843</v>
      </c>
      <c r="B153" s="3">
        <v>72</v>
      </c>
      <c r="C153" t="s">
        <v>309</v>
      </c>
      <c r="D153" s="3">
        <v>144</v>
      </c>
      <c r="E153" t="s">
        <v>19</v>
      </c>
      <c r="F153" s="3">
        <v>2</v>
      </c>
      <c r="G153" s="3"/>
      <c r="T153" s="7" t="s">
        <v>306</v>
      </c>
      <c r="U153" s="3">
        <v>9</v>
      </c>
    </row>
    <row r="154" spans="1:63">
      <c r="A154" s="1" t="s">
        <v>844</v>
      </c>
      <c r="B154" s="3">
        <v>73</v>
      </c>
      <c r="C154" t="s">
        <v>85</v>
      </c>
      <c r="D154" s="3">
        <v>145</v>
      </c>
      <c r="E154" t="s">
        <v>19</v>
      </c>
      <c r="F154" s="3">
        <v>5</v>
      </c>
      <c r="G154" s="3"/>
      <c r="T154" s="7" t="s">
        <v>142</v>
      </c>
      <c r="U154" s="3">
        <v>4</v>
      </c>
    </row>
    <row r="155" spans="1:63">
      <c r="A155" s="1" t="s">
        <v>845</v>
      </c>
      <c r="B155" s="3">
        <v>73</v>
      </c>
      <c r="C155" t="s">
        <v>247</v>
      </c>
      <c r="D155" s="3">
        <v>146</v>
      </c>
      <c r="E155" t="s">
        <v>19</v>
      </c>
      <c r="F155" s="3">
        <v>5</v>
      </c>
      <c r="G155" s="3"/>
      <c r="T155" s="2" t="s">
        <v>546</v>
      </c>
      <c r="U155" s="3">
        <v>10</v>
      </c>
    </row>
    <row r="156" spans="1:63">
      <c r="A156" s="1" t="s">
        <v>846</v>
      </c>
      <c r="B156" s="3">
        <v>74</v>
      </c>
      <c r="C156" t="s">
        <v>68</v>
      </c>
      <c r="D156" s="3">
        <v>147</v>
      </c>
      <c r="E156" t="s">
        <v>19</v>
      </c>
      <c r="F156" s="3">
        <v>4</v>
      </c>
      <c r="G156" s="3"/>
      <c r="T156" s="2" t="s">
        <v>22</v>
      </c>
      <c r="U156" s="3">
        <v>4</v>
      </c>
    </row>
    <row r="157" spans="1:63">
      <c r="A157" s="1" t="s">
        <v>847</v>
      </c>
      <c r="B157" s="3">
        <v>74</v>
      </c>
      <c r="C157" t="s">
        <v>264</v>
      </c>
      <c r="D157" s="3">
        <v>148</v>
      </c>
      <c r="E157" t="s">
        <v>19</v>
      </c>
      <c r="F157" s="3">
        <v>5</v>
      </c>
      <c r="G157" s="3"/>
      <c r="T157" s="2" t="s">
        <v>161</v>
      </c>
      <c r="U157" s="3">
        <v>8</v>
      </c>
    </row>
    <row r="158" spans="1:63">
      <c r="A158" s="1" t="s">
        <v>848</v>
      </c>
      <c r="B158" s="3">
        <v>75</v>
      </c>
      <c r="C158" t="s">
        <v>221</v>
      </c>
      <c r="D158" s="3">
        <v>149</v>
      </c>
      <c r="E158" t="s">
        <v>19</v>
      </c>
      <c r="F158" s="3">
        <v>4</v>
      </c>
      <c r="G158" s="3"/>
      <c r="T158" s="7" t="s">
        <v>48</v>
      </c>
      <c r="U158" s="3">
        <v>5</v>
      </c>
    </row>
    <row r="159" spans="1:63">
      <c r="A159" s="1" t="s">
        <v>849</v>
      </c>
      <c r="B159" s="3">
        <v>75</v>
      </c>
      <c r="C159" t="s">
        <v>1047</v>
      </c>
      <c r="D159" s="3">
        <v>150</v>
      </c>
      <c r="E159" t="s">
        <v>19</v>
      </c>
      <c r="F159" s="3">
        <v>5</v>
      </c>
      <c r="G159" s="3"/>
      <c r="T159" s="7" t="s">
        <v>179</v>
      </c>
      <c r="U159" s="3">
        <v>5</v>
      </c>
    </row>
    <row r="160" spans="1:63">
      <c r="A160" s="1" t="s">
        <v>850</v>
      </c>
      <c r="B160" s="3">
        <v>76</v>
      </c>
      <c r="C160" t="s">
        <v>51</v>
      </c>
      <c r="D160" s="3">
        <v>151</v>
      </c>
      <c r="E160" t="s">
        <v>19</v>
      </c>
      <c r="F160" s="3">
        <v>4</v>
      </c>
      <c r="G160" s="3"/>
      <c r="T160" s="7" t="s">
        <v>563</v>
      </c>
      <c r="U160" s="3">
        <v>5</v>
      </c>
    </row>
    <row r="161" spans="1:21">
      <c r="A161" s="1" t="s">
        <v>851</v>
      </c>
      <c r="B161" s="3">
        <v>76</v>
      </c>
      <c r="C161" t="s">
        <v>348</v>
      </c>
      <c r="D161" s="3">
        <v>152</v>
      </c>
      <c r="E161" t="s">
        <v>19</v>
      </c>
      <c r="F161" s="3">
        <v>3</v>
      </c>
      <c r="G161" s="3"/>
      <c r="T161" s="2" t="s">
        <v>41</v>
      </c>
      <c r="U161" s="3">
        <v>2</v>
      </c>
    </row>
    <row r="162" spans="1:21">
      <c r="A162" s="1" t="s">
        <v>852</v>
      </c>
      <c r="B162" s="3">
        <v>77</v>
      </c>
      <c r="C162" t="s">
        <v>339</v>
      </c>
      <c r="D162" s="3">
        <v>153</v>
      </c>
      <c r="E162" t="s">
        <v>19</v>
      </c>
      <c r="F162" s="3">
        <v>5</v>
      </c>
      <c r="G162" s="3"/>
      <c r="T162" s="2" t="s">
        <v>113</v>
      </c>
      <c r="U162" s="3">
        <v>3</v>
      </c>
    </row>
    <row r="163" spans="1:21">
      <c r="A163" s="1" t="s">
        <v>853</v>
      </c>
      <c r="B163" s="3">
        <v>77</v>
      </c>
      <c r="C163" t="s">
        <v>122</v>
      </c>
      <c r="D163" s="3">
        <v>154</v>
      </c>
      <c r="E163" t="s">
        <v>19</v>
      </c>
      <c r="F163" s="3">
        <v>3</v>
      </c>
      <c r="G163" s="3"/>
      <c r="T163" s="2" t="s">
        <v>238</v>
      </c>
      <c r="U163" s="3">
        <v>10</v>
      </c>
    </row>
    <row r="164" spans="1:21">
      <c r="A164" s="1" t="s">
        <v>854</v>
      </c>
      <c r="B164" s="3">
        <v>78</v>
      </c>
      <c r="C164" t="s">
        <v>87</v>
      </c>
      <c r="D164" s="3">
        <v>155</v>
      </c>
      <c r="E164" t="s">
        <v>19</v>
      </c>
      <c r="F164" s="3">
        <v>2</v>
      </c>
      <c r="G164" s="3"/>
      <c r="T164" s="7" t="s">
        <v>399</v>
      </c>
      <c r="U164" s="3">
        <v>2</v>
      </c>
    </row>
    <row r="165" spans="1:21">
      <c r="A165" s="1" t="s">
        <v>855</v>
      </c>
      <c r="B165" s="3">
        <v>78</v>
      </c>
      <c r="C165" t="s">
        <v>279</v>
      </c>
      <c r="D165" s="3">
        <v>156</v>
      </c>
      <c r="E165" t="s">
        <v>19</v>
      </c>
      <c r="F165" s="3">
        <v>3</v>
      </c>
      <c r="G165" s="3"/>
      <c r="T165" s="7" t="s">
        <v>180</v>
      </c>
      <c r="U165" s="3">
        <v>4</v>
      </c>
    </row>
    <row r="166" spans="1:21">
      <c r="A166" s="1" t="s">
        <v>856</v>
      </c>
      <c r="B166" s="3">
        <v>79</v>
      </c>
      <c r="C166" t="s">
        <v>176</v>
      </c>
      <c r="D166" s="3">
        <v>157</v>
      </c>
      <c r="E166" t="s">
        <v>19</v>
      </c>
      <c r="F166" s="3">
        <v>2</v>
      </c>
      <c r="G166" s="3"/>
      <c r="T166" s="7" t="s">
        <v>564</v>
      </c>
      <c r="U166" s="3">
        <v>1</v>
      </c>
    </row>
    <row r="167" spans="1:21">
      <c r="A167" s="1" t="s">
        <v>857</v>
      </c>
      <c r="B167" s="3">
        <v>79</v>
      </c>
      <c r="C167" t="s">
        <v>353</v>
      </c>
      <c r="D167" s="3">
        <v>158</v>
      </c>
      <c r="E167" t="s">
        <v>19</v>
      </c>
      <c r="F167" s="3">
        <v>4</v>
      </c>
      <c r="G167" s="3"/>
      <c r="T167" s="2" t="s">
        <v>16</v>
      </c>
      <c r="U167" s="3">
        <v>10</v>
      </c>
    </row>
    <row r="168" spans="1:21">
      <c r="A168" s="1" t="s">
        <v>858</v>
      </c>
      <c r="B168" s="3">
        <v>80</v>
      </c>
      <c r="C168" t="s">
        <v>275</v>
      </c>
      <c r="D168" s="3">
        <v>159</v>
      </c>
      <c r="E168" t="s">
        <v>19</v>
      </c>
      <c r="F168" s="3">
        <v>2</v>
      </c>
      <c r="G168" s="3"/>
      <c r="T168" s="2" t="s">
        <v>135</v>
      </c>
      <c r="U168" s="3">
        <v>6</v>
      </c>
    </row>
    <row r="169" spans="1:21">
      <c r="A169" s="1" t="s">
        <v>859</v>
      </c>
      <c r="B169" s="3">
        <v>80</v>
      </c>
      <c r="C169" t="s">
        <v>233</v>
      </c>
      <c r="D169" s="3">
        <v>160</v>
      </c>
      <c r="E169" t="s">
        <v>19</v>
      </c>
      <c r="F169" s="3">
        <v>2</v>
      </c>
      <c r="G169" s="3"/>
      <c r="T169" s="2" t="s">
        <v>217</v>
      </c>
      <c r="U169" s="3">
        <v>2</v>
      </c>
    </row>
    <row r="170" spans="1:21">
      <c r="A170" s="1" t="s">
        <v>860</v>
      </c>
      <c r="B170" s="3">
        <v>81</v>
      </c>
      <c r="C170" t="s">
        <v>336</v>
      </c>
      <c r="D170" s="3">
        <v>161</v>
      </c>
      <c r="E170" t="s">
        <v>19</v>
      </c>
      <c r="F170" s="3">
        <v>4</v>
      </c>
      <c r="G170" s="3"/>
      <c r="T170" s="7" t="s">
        <v>130</v>
      </c>
      <c r="U170" s="3">
        <v>10</v>
      </c>
    </row>
    <row r="171" spans="1:21">
      <c r="A171" s="1" t="s">
        <v>861</v>
      </c>
      <c r="B171" s="3">
        <v>81</v>
      </c>
      <c r="C171" t="s">
        <v>38</v>
      </c>
      <c r="D171" s="3">
        <v>162</v>
      </c>
      <c r="E171" t="s">
        <v>19</v>
      </c>
      <c r="F171" s="3">
        <v>4</v>
      </c>
      <c r="G171" s="3"/>
      <c r="T171" s="7" t="s">
        <v>62</v>
      </c>
      <c r="U171" s="3">
        <v>7</v>
      </c>
    </row>
    <row r="172" spans="1:21">
      <c r="A172" s="1" t="s">
        <v>862</v>
      </c>
      <c r="B172" s="3">
        <v>82</v>
      </c>
      <c r="C172" t="s">
        <v>201</v>
      </c>
      <c r="D172" s="3">
        <v>163</v>
      </c>
      <c r="E172" t="s">
        <v>19</v>
      </c>
      <c r="F172" s="3">
        <v>2</v>
      </c>
      <c r="G172" s="3"/>
      <c r="T172" s="7" t="s">
        <v>244</v>
      </c>
      <c r="U172" s="3">
        <v>8</v>
      </c>
    </row>
    <row r="173" spans="1:21">
      <c r="A173" s="1" t="s">
        <v>863</v>
      </c>
      <c r="B173" s="3">
        <v>82</v>
      </c>
      <c r="C173" t="s">
        <v>167</v>
      </c>
      <c r="D173" s="3">
        <v>164</v>
      </c>
      <c r="E173" t="s">
        <v>19</v>
      </c>
      <c r="F173" s="3">
        <v>3</v>
      </c>
      <c r="G173" s="3"/>
      <c r="T173" s="2" t="s">
        <v>197</v>
      </c>
      <c r="U173" s="3">
        <v>7</v>
      </c>
    </row>
    <row r="174" spans="1:21">
      <c r="A174" s="1" t="s">
        <v>864</v>
      </c>
      <c r="B174" s="3">
        <v>83</v>
      </c>
      <c r="C174" t="s">
        <v>1048</v>
      </c>
      <c r="D174" s="3">
        <v>165</v>
      </c>
      <c r="E174" t="s">
        <v>19</v>
      </c>
      <c r="F174" s="3">
        <v>4</v>
      </c>
      <c r="G174" s="3"/>
      <c r="T174" s="2" t="s">
        <v>117</v>
      </c>
      <c r="U174" s="3">
        <v>5</v>
      </c>
    </row>
    <row r="175" spans="1:21">
      <c r="A175" s="1" t="s">
        <v>865</v>
      </c>
      <c r="B175" s="3">
        <v>83</v>
      </c>
      <c r="C175" t="s">
        <v>242</v>
      </c>
      <c r="D175" s="3">
        <v>166</v>
      </c>
      <c r="E175" t="s">
        <v>19</v>
      </c>
      <c r="F175" s="3">
        <v>4</v>
      </c>
      <c r="G175" s="3"/>
      <c r="T175" s="2" t="s">
        <v>302</v>
      </c>
      <c r="U175" s="3">
        <v>7</v>
      </c>
    </row>
    <row r="176" spans="1:21">
      <c r="A176" s="1" t="s">
        <v>866</v>
      </c>
      <c r="B176" s="3">
        <v>84</v>
      </c>
      <c r="C176" t="s">
        <v>46</v>
      </c>
      <c r="D176" s="3">
        <v>167</v>
      </c>
      <c r="E176" t="s">
        <v>19</v>
      </c>
      <c r="F176" s="3">
        <v>5</v>
      </c>
      <c r="G176" s="3"/>
      <c r="T176" s="7" t="s">
        <v>269</v>
      </c>
      <c r="U176" s="3">
        <v>8</v>
      </c>
    </row>
    <row r="177" spans="1:21">
      <c r="A177" s="1" t="s">
        <v>867</v>
      </c>
      <c r="B177" s="3">
        <v>84</v>
      </c>
      <c r="C177" t="s">
        <v>317</v>
      </c>
      <c r="D177" s="3">
        <v>168</v>
      </c>
      <c r="E177" t="s">
        <v>19</v>
      </c>
      <c r="F177" s="3">
        <v>5</v>
      </c>
      <c r="G177" s="3"/>
      <c r="T177" s="7" t="s">
        <v>125</v>
      </c>
      <c r="U177" s="3">
        <v>6</v>
      </c>
    </row>
    <row r="178" spans="1:21">
      <c r="A178" s="1" t="s">
        <v>868</v>
      </c>
      <c r="B178" s="3">
        <v>85</v>
      </c>
      <c r="C178" t="s">
        <v>171</v>
      </c>
      <c r="D178" s="3">
        <v>169</v>
      </c>
      <c r="E178" t="s">
        <v>19</v>
      </c>
      <c r="F178" s="3">
        <v>4</v>
      </c>
      <c r="G178" s="3"/>
      <c r="T178" s="7" t="s">
        <v>445</v>
      </c>
      <c r="U178" s="3">
        <v>6</v>
      </c>
    </row>
    <row r="179" spans="1:21">
      <c r="A179" s="1" t="s">
        <v>869</v>
      </c>
      <c r="B179" s="3">
        <v>85</v>
      </c>
      <c r="C179" t="s">
        <v>28</v>
      </c>
      <c r="D179" s="3">
        <v>170</v>
      </c>
      <c r="E179" t="s">
        <v>19</v>
      </c>
      <c r="F179" s="3">
        <v>3</v>
      </c>
      <c r="G179" s="3"/>
      <c r="T179" s="2" t="s">
        <v>27</v>
      </c>
      <c r="U179" s="3">
        <v>3</v>
      </c>
    </row>
    <row r="180" spans="1:21">
      <c r="A180" s="1" t="s">
        <v>870</v>
      </c>
      <c r="B180" s="3">
        <v>86</v>
      </c>
      <c r="C180" t="s">
        <v>133</v>
      </c>
      <c r="D180" s="3">
        <v>171</v>
      </c>
      <c r="E180" t="s">
        <v>19</v>
      </c>
      <c r="F180" s="3">
        <v>2</v>
      </c>
      <c r="G180" s="3"/>
      <c r="T180" s="2" t="s">
        <v>103</v>
      </c>
      <c r="U180" s="3">
        <v>1</v>
      </c>
    </row>
    <row r="181" spans="1:21">
      <c r="A181" s="1" t="s">
        <v>871</v>
      </c>
      <c r="B181" s="3">
        <v>86</v>
      </c>
      <c r="C181" t="s">
        <v>1049</v>
      </c>
      <c r="D181" s="3">
        <v>172</v>
      </c>
      <c r="E181" t="s">
        <v>19</v>
      </c>
      <c r="F181" s="3">
        <v>2</v>
      </c>
      <c r="G181" s="3"/>
      <c r="T181" s="2" t="s">
        <v>184</v>
      </c>
      <c r="U181" s="3">
        <v>3</v>
      </c>
    </row>
    <row r="182" spans="1:21">
      <c r="A182" s="1" t="s">
        <v>872</v>
      </c>
      <c r="B182" s="3">
        <v>87</v>
      </c>
      <c r="C182" t="s">
        <v>102</v>
      </c>
      <c r="D182" s="3">
        <v>173</v>
      </c>
      <c r="E182" t="s">
        <v>19</v>
      </c>
      <c r="F182" s="3">
        <v>4</v>
      </c>
      <c r="G182" s="3"/>
      <c r="T182" s="7" t="s">
        <v>565</v>
      </c>
      <c r="U182" s="3">
        <v>3</v>
      </c>
    </row>
    <row r="183" spans="1:21">
      <c r="A183" s="1" t="s">
        <v>873</v>
      </c>
      <c r="B183" s="3">
        <v>87</v>
      </c>
      <c r="C183" t="s">
        <v>93</v>
      </c>
      <c r="D183" s="3">
        <v>174</v>
      </c>
      <c r="E183" t="s">
        <v>19</v>
      </c>
      <c r="F183" s="3">
        <v>2</v>
      </c>
      <c r="G183" s="3"/>
      <c r="T183" s="7" t="s">
        <v>566</v>
      </c>
      <c r="U183" s="3">
        <v>4</v>
      </c>
    </row>
    <row r="184" spans="1:21">
      <c r="A184" s="1" t="s">
        <v>874</v>
      </c>
      <c r="B184" s="3">
        <v>88</v>
      </c>
      <c r="C184" t="s">
        <v>334</v>
      </c>
      <c r="D184" s="3">
        <v>175</v>
      </c>
      <c r="E184" t="s">
        <v>19</v>
      </c>
      <c r="F184" s="3">
        <v>2</v>
      </c>
      <c r="G184" s="3"/>
      <c r="T184" s="7" t="s">
        <v>567</v>
      </c>
      <c r="U184" s="3">
        <v>7</v>
      </c>
    </row>
    <row r="185" spans="1:21">
      <c r="A185" s="1" t="s">
        <v>875</v>
      </c>
      <c r="B185" s="3">
        <v>88</v>
      </c>
      <c r="C185" t="s">
        <v>1050</v>
      </c>
      <c r="D185" s="3">
        <v>176</v>
      </c>
      <c r="E185" t="s">
        <v>19</v>
      </c>
      <c r="F185" s="3">
        <v>1</v>
      </c>
      <c r="G185" s="3"/>
      <c r="T185" s="2" t="s">
        <v>105</v>
      </c>
      <c r="U185" s="3">
        <v>10</v>
      </c>
    </row>
    <row r="186" spans="1:21">
      <c r="A186" s="1" t="s">
        <v>876</v>
      </c>
      <c r="B186" s="3">
        <v>89</v>
      </c>
      <c r="C186" t="s">
        <v>267</v>
      </c>
      <c r="D186" s="3">
        <v>177</v>
      </c>
      <c r="E186" t="s">
        <v>19</v>
      </c>
      <c r="F186" s="3">
        <v>3</v>
      </c>
      <c r="G186" s="3"/>
      <c r="T186" s="2" t="s">
        <v>182</v>
      </c>
      <c r="U186" s="3">
        <v>9</v>
      </c>
    </row>
    <row r="187" spans="1:21">
      <c r="A187" s="1" t="s">
        <v>877</v>
      </c>
      <c r="B187" s="3">
        <v>89</v>
      </c>
      <c r="C187" t="s">
        <v>81</v>
      </c>
      <c r="D187" s="3">
        <v>178</v>
      </c>
      <c r="E187" t="s">
        <v>19</v>
      </c>
      <c r="F187" s="3">
        <v>3</v>
      </c>
      <c r="G187" s="3"/>
      <c r="T187" s="2" t="s">
        <v>313</v>
      </c>
      <c r="U187" s="3">
        <v>10</v>
      </c>
    </row>
    <row r="188" spans="1:21">
      <c r="A188" s="1" t="s">
        <v>878</v>
      </c>
      <c r="B188" s="3">
        <v>90</v>
      </c>
      <c r="C188" t="s">
        <v>181</v>
      </c>
      <c r="D188" s="3">
        <v>179</v>
      </c>
      <c r="E188" t="s">
        <v>19</v>
      </c>
      <c r="F188" s="3">
        <v>5</v>
      </c>
      <c r="G188" s="3"/>
      <c r="T188" s="7" t="s">
        <v>266</v>
      </c>
      <c r="U188" s="3">
        <v>9</v>
      </c>
    </row>
    <row r="189" spans="1:21">
      <c r="A189" s="1" t="s">
        <v>879</v>
      </c>
      <c r="B189" s="3">
        <v>90</v>
      </c>
      <c r="C189" t="s">
        <v>292</v>
      </c>
      <c r="D189" s="3">
        <v>180</v>
      </c>
      <c r="E189" t="s">
        <v>19</v>
      </c>
      <c r="F189" s="3">
        <v>4</v>
      </c>
      <c r="G189" s="3"/>
      <c r="T189" s="7" t="s">
        <v>29</v>
      </c>
      <c r="U189" s="3">
        <v>10</v>
      </c>
    </row>
    <row r="190" spans="1:21">
      <c r="A190" s="1" t="s">
        <v>880</v>
      </c>
      <c r="B190" s="3">
        <v>91</v>
      </c>
      <c r="C190" t="s">
        <v>261</v>
      </c>
      <c r="D190" s="3">
        <v>181</v>
      </c>
      <c r="E190" t="s">
        <v>19</v>
      </c>
      <c r="F190" s="3">
        <v>2</v>
      </c>
      <c r="G190" s="3"/>
      <c r="T190" s="7" t="s">
        <v>155</v>
      </c>
      <c r="U190" s="3">
        <v>9</v>
      </c>
    </row>
    <row r="191" spans="1:21">
      <c r="A191" s="1" t="s">
        <v>881</v>
      </c>
      <c r="B191" s="3">
        <v>91</v>
      </c>
      <c r="C191" t="s">
        <v>69</v>
      </c>
      <c r="D191" s="3">
        <v>182</v>
      </c>
      <c r="E191" t="s">
        <v>19</v>
      </c>
      <c r="F191" s="3">
        <v>3</v>
      </c>
      <c r="G191" s="3"/>
      <c r="T191" t="s">
        <v>320</v>
      </c>
      <c r="U191" s="3">
        <v>1</v>
      </c>
    </row>
    <row r="192" spans="1:21">
      <c r="A192" s="1" t="s">
        <v>882</v>
      </c>
      <c r="B192" s="3">
        <v>92</v>
      </c>
      <c r="C192" t="s">
        <v>216</v>
      </c>
      <c r="D192" s="3">
        <v>183</v>
      </c>
      <c r="E192" t="s">
        <v>19</v>
      </c>
      <c r="F192" s="3">
        <v>5</v>
      </c>
      <c r="G192" s="3"/>
      <c r="T192" s="2" t="s">
        <v>282</v>
      </c>
      <c r="U192" s="3">
        <v>6</v>
      </c>
    </row>
    <row r="193" spans="1:21">
      <c r="A193" s="1" t="s">
        <v>883</v>
      </c>
      <c r="B193" s="3">
        <v>92</v>
      </c>
      <c r="C193" t="s">
        <v>134</v>
      </c>
      <c r="D193" s="3">
        <v>184</v>
      </c>
      <c r="E193" t="s">
        <v>19</v>
      </c>
      <c r="F193" s="3">
        <v>5</v>
      </c>
      <c r="G193" s="3"/>
      <c r="T193" s="2" t="s">
        <v>258</v>
      </c>
      <c r="U193" s="3">
        <v>1</v>
      </c>
    </row>
    <row r="194" spans="1:21">
      <c r="A194" s="1" t="s">
        <v>884</v>
      </c>
      <c r="B194" s="3">
        <v>93</v>
      </c>
      <c r="C194" t="s">
        <v>123</v>
      </c>
      <c r="D194" s="3">
        <v>185</v>
      </c>
      <c r="E194" t="s">
        <v>19</v>
      </c>
      <c r="F194" s="3">
        <v>2</v>
      </c>
      <c r="G194" s="3"/>
      <c r="T194" s="7" t="s">
        <v>568</v>
      </c>
      <c r="U194" s="3">
        <v>3</v>
      </c>
    </row>
    <row r="195" spans="1:21">
      <c r="A195" s="1" t="s">
        <v>885</v>
      </c>
      <c r="B195" s="3">
        <v>93</v>
      </c>
      <c r="C195" t="s">
        <v>151</v>
      </c>
      <c r="D195" s="3">
        <v>186</v>
      </c>
      <c r="E195" t="s">
        <v>19</v>
      </c>
      <c r="F195" s="3">
        <v>3</v>
      </c>
      <c r="G195" s="3"/>
      <c r="T195" s="7" t="s">
        <v>54</v>
      </c>
      <c r="U195" s="3">
        <v>4</v>
      </c>
    </row>
    <row r="196" spans="1:21">
      <c r="A196" s="1" t="s">
        <v>886</v>
      </c>
      <c r="B196" s="3">
        <v>94</v>
      </c>
      <c r="C196" t="s">
        <v>349</v>
      </c>
      <c r="D196" s="3">
        <v>187</v>
      </c>
      <c r="E196" t="s">
        <v>19</v>
      </c>
      <c r="F196" s="3">
        <v>2</v>
      </c>
      <c r="G196" s="3"/>
      <c r="T196" s="7" t="s">
        <v>401</v>
      </c>
      <c r="U196" s="3">
        <v>5</v>
      </c>
    </row>
    <row r="197" spans="1:21">
      <c r="A197" s="1" t="s">
        <v>887</v>
      </c>
      <c r="B197" s="3">
        <v>94</v>
      </c>
      <c r="C197" t="s">
        <v>256</v>
      </c>
      <c r="D197" s="3">
        <v>188</v>
      </c>
      <c r="E197" t="s">
        <v>19</v>
      </c>
      <c r="F197" s="3">
        <v>3</v>
      </c>
      <c r="G197" s="3"/>
      <c r="T197" s="9" t="s">
        <v>192</v>
      </c>
      <c r="U197" s="3">
        <v>1</v>
      </c>
    </row>
    <row r="198" spans="1:21">
      <c r="A198" s="1" t="s">
        <v>888</v>
      </c>
      <c r="B198" s="3">
        <v>95</v>
      </c>
      <c r="C198" t="s">
        <v>327</v>
      </c>
      <c r="D198" s="3">
        <v>189</v>
      </c>
      <c r="E198" t="s">
        <v>19</v>
      </c>
      <c r="F198" s="3">
        <v>3</v>
      </c>
      <c r="G198" s="3"/>
      <c r="T198" s="9" t="s">
        <v>400</v>
      </c>
      <c r="U198" s="3">
        <v>8</v>
      </c>
    </row>
    <row r="199" spans="1:21">
      <c r="A199" s="1" t="s">
        <v>889</v>
      </c>
      <c r="B199" s="3">
        <v>95</v>
      </c>
      <c r="C199" t="s">
        <v>227</v>
      </c>
      <c r="D199" s="3">
        <v>190</v>
      </c>
      <c r="E199" t="s">
        <v>19</v>
      </c>
      <c r="F199" s="3">
        <v>2</v>
      </c>
      <c r="G199" s="3"/>
      <c r="T199" s="9" t="s">
        <v>289</v>
      </c>
      <c r="U199" s="3">
        <v>1</v>
      </c>
    </row>
    <row r="200" spans="1:21">
      <c r="A200" s="1" t="s">
        <v>890</v>
      </c>
      <c r="B200" s="3">
        <v>96</v>
      </c>
      <c r="C200" t="s">
        <v>274</v>
      </c>
      <c r="D200" s="3">
        <v>191</v>
      </c>
      <c r="E200" t="s">
        <v>19</v>
      </c>
      <c r="F200" s="3">
        <v>5</v>
      </c>
      <c r="G200" s="3"/>
      <c r="T200" s="9" t="s">
        <v>459</v>
      </c>
      <c r="U200" s="3" t="s">
        <v>459</v>
      </c>
    </row>
    <row r="201" spans="1:21">
      <c r="A201" s="1" t="s">
        <v>891</v>
      </c>
      <c r="B201" s="3">
        <v>96</v>
      </c>
      <c r="C201" s="169" t="s">
        <v>97</v>
      </c>
      <c r="D201" s="3">
        <v>192</v>
      </c>
      <c r="E201" t="s">
        <v>19</v>
      </c>
      <c r="F201" s="3">
        <v>5</v>
      </c>
      <c r="G201" s="3"/>
      <c r="T201" s="7" t="s">
        <v>453</v>
      </c>
      <c r="U201" s="3">
        <v>1</v>
      </c>
    </row>
    <row r="202" spans="1:21">
      <c r="A202" s="1" t="s">
        <v>892</v>
      </c>
      <c r="B202" s="3">
        <v>1</v>
      </c>
      <c r="C202" t="s">
        <v>96</v>
      </c>
      <c r="D202" s="3">
        <v>193</v>
      </c>
      <c r="E202" t="s">
        <v>12</v>
      </c>
      <c r="F202" s="3">
        <v>2</v>
      </c>
      <c r="G202" s="3"/>
      <c r="T202" s="7" t="s">
        <v>282</v>
      </c>
      <c r="U202" s="3">
        <v>6</v>
      </c>
    </row>
    <row r="203" spans="1:21">
      <c r="A203" s="1" t="s">
        <v>893</v>
      </c>
      <c r="B203" s="3">
        <v>1</v>
      </c>
      <c r="C203" t="s">
        <v>307</v>
      </c>
      <c r="D203" s="3">
        <v>194</v>
      </c>
      <c r="E203" t="s">
        <v>12</v>
      </c>
      <c r="F203" s="3">
        <v>2</v>
      </c>
      <c r="G203" s="3"/>
      <c r="T203" s="2" t="s">
        <v>459</v>
      </c>
      <c r="U203" s="3" t="s">
        <v>459</v>
      </c>
    </row>
    <row r="204" spans="1:21">
      <c r="A204" s="1" t="s">
        <v>894</v>
      </c>
      <c r="B204" s="3">
        <v>2</v>
      </c>
      <c r="C204" t="s">
        <v>31</v>
      </c>
      <c r="D204" s="3">
        <v>195</v>
      </c>
      <c r="E204" t="s">
        <v>12</v>
      </c>
      <c r="F204" s="3">
        <v>2</v>
      </c>
      <c r="G204" s="3"/>
      <c r="T204" s="98" t="s">
        <v>446</v>
      </c>
      <c r="U204" s="3">
        <v>4</v>
      </c>
    </row>
    <row r="205" spans="1:21">
      <c r="A205" s="1" t="s">
        <v>895</v>
      </c>
      <c r="B205" s="3">
        <v>2</v>
      </c>
      <c r="C205" t="s">
        <v>203</v>
      </c>
      <c r="D205" s="3">
        <v>196</v>
      </c>
      <c r="E205" t="s">
        <v>12</v>
      </c>
      <c r="F205" s="3">
        <v>3</v>
      </c>
      <c r="G205" s="3"/>
      <c r="T205" s="98" t="s">
        <v>625</v>
      </c>
      <c r="U205" s="3">
        <v>7</v>
      </c>
    </row>
    <row r="206" spans="1:21">
      <c r="A206" s="1" t="s">
        <v>896</v>
      </c>
      <c r="B206" s="3">
        <v>3</v>
      </c>
      <c r="C206" t="s">
        <v>1051</v>
      </c>
      <c r="D206" s="3">
        <v>197</v>
      </c>
      <c r="E206" t="s">
        <v>12</v>
      </c>
      <c r="F206" s="3">
        <v>4</v>
      </c>
      <c r="G206" s="3"/>
      <c r="T206" s="98" t="s">
        <v>394</v>
      </c>
      <c r="U206" s="3">
        <v>6</v>
      </c>
    </row>
    <row r="207" spans="1:21">
      <c r="A207" s="1" t="s">
        <v>897</v>
      </c>
      <c r="B207" s="3">
        <v>3</v>
      </c>
      <c r="C207" t="s">
        <v>150</v>
      </c>
      <c r="D207" s="3">
        <v>198</v>
      </c>
      <c r="E207" t="s">
        <v>12</v>
      </c>
      <c r="F207" s="3">
        <v>3</v>
      </c>
      <c r="G207" s="3"/>
      <c r="T207" s="98" t="s">
        <v>466</v>
      </c>
      <c r="U207" s="3">
        <v>9</v>
      </c>
    </row>
    <row r="208" spans="1:21">
      <c r="A208" s="1" t="s">
        <v>898</v>
      </c>
      <c r="B208" s="3">
        <v>4</v>
      </c>
      <c r="C208" t="s">
        <v>296</v>
      </c>
      <c r="D208" s="3">
        <v>199</v>
      </c>
      <c r="E208" t="s">
        <v>12</v>
      </c>
      <c r="F208" s="3">
        <v>4</v>
      </c>
      <c r="G208" s="3"/>
      <c r="T208" s="98" t="s">
        <v>459</v>
      </c>
      <c r="U208" s="3" t="s">
        <v>459</v>
      </c>
    </row>
    <row r="209" spans="1:21">
      <c r="A209" s="1" t="s">
        <v>899</v>
      </c>
      <c r="B209" s="3">
        <v>4</v>
      </c>
      <c r="C209" t="s">
        <v>83</v>
      </c>
      <c r="D209" s="3">
        <v>200</v>
      </c>
      <c r="E209" t="s">
        <v>12</v>
      </c>
      <c r="F209" s="3">
        <v>3</v>
      </c>
      <c r="G209" s="3"/>
      <c r="T209" s="73" t="s">
        <v>143</v>
      </c>
      <c r="U209" s="3">
        <v>8</v>
      </c>
    </row>
    <row r="210" spans="1:21">
      <c r="A210" s="1" t="s">
        <v>900</v>
      </c>
      <c r="B210" s="3">
        <v>5</v>
      </c>
      <c r="C210" t="s">
        <v>332</v>
      </c>
      <c r="D210" s="3">
        <v>201</v>
      </c>
      <c r="E210" t="s">
        <v>12</v>
      </c>
      <c r="F210" s="3">
        <v>4</v>
      </c>
      <c r="G210" s="3"/>
      <c r="T210" s="96" t="s">
        <v>624</v>
      </c>
      <c r="U210" s="3">
        <v>8</v>
      </c>
    </row>
    <row r="211" spans="1:21">
      <c r="A211" s="1" t="s">
        <v>901</v>
      </c>
      <c r="B211" s="3">
        <v>5</v>
      </c>
      <c r="C211" t="s">
        <v>144</v>
      </c>
      <c r="D211" s="3">
        <v>202</v>
      </c>
      <c r="E211" t="s">
        <v>12</v>
      </c>
      <c r="F211" s="3">
        <v>4</v>
      </c>
      <c r="G211" s="3"/>
      <c r="T211" s="73" t="s">
        <v>1080</v>
      </c>
      <c r="U211" s="3">
        <v>5</v>
      </c>
    </row>
    <row r="212" spans="1:21">
      <c r="A212" s="1" t="s">
        <v>902</v>
      </c>
      <c r="B212" s="3">
        <v>6</v>
      </c>
      <c r="C212" t="s">
        <v>191</v>
      </c>
      <c r="D212" s="3">
        <v>203</v>
      </c>
      <c r="E212" t="s">
        <v>12</v>
      </c>
      <c r="F212" s="3">
        <v>4</v>
      </c>
      <c r="G212" s="3"/>
      <c r="T212" s="73" t="s">
        <v>42</v>
      </c>
      <c r="U212" s="3">
        <v>5</v>
      </c>
    </row>
    <row r="213" spans="1:21">
      <c r="A213" s="1" t="s">
        <v>903</v>
      </c>
      <c r="B213" s="3">
        <v>6</v>
      </c>
      <c r="C213" t="s">
        <v>254</v>
      </c>
      <c r="D213" s="3">
        <v>204</v>
      </c>
      <c r="E213" t="s">
        <v>12</v>
      </c>
      <c r="F213" s="3">
        <v>4</v>
      </c>
      <c r="G213" s="3"/>
      <c r="T213" s="73" t="s">
        <v>24</v>
      </c>
      <c r="U213" s="3">
        <v>2</v>
      </c>
    </row>
    <row r="214" spans="1:21">
      <c r="A214" s="1" t="s">
        <v>904</v>
      </c>
      <c r="B214" s="3">
        <v>7</v>
      </c>
      <c r="C214" t="s">
        <v>43</v>
      </c>
      <c r="D214" s="3">
        <v>205</v>
      </c>
      <c r="E214" t="s">
        <v>12</v>
      </c>
      <c r="F214" s="3">
        <v>2</v>
      </c>
      <c r="G214" s="3"/>
      <c r="T214" s="73" t="s">
        <v>17</v>
      </c>
      <c r="U214" s="3">
        <v>5</v>
      </c>
    </row>
    <row r="215" spans="1:21">
      <c r="A215" s="1" t="s">
        <v>905</v>
      </c>
      <c r="B215" s="3">
        <v>7</v>
      </c>
      <c r="C215" s="168" t="s">
        <v>1052</v>
      </c>
      <c r="D215" s="3">
        <v>206</v>
      </c>
      <c r="E215" t="s">
        <v>12</v>
      </c>
      <c r="F215" s="3">
        <v>4</v>
      </c>
      <c r="G215" s="3"/>
      <c r="T215" s="12" t="s">
        <v>63</v>
      </c>
      <c r="U215" s="3">
        <v>8</v>
      </c>
    </row>
    <row r="216" spans="1:21">
      <c r="A216" s="1" t="s">
        <v>906</v>
      </c>
      <c r="B216" s="3">
        <v>8</v>
      </c>
      <c r="C216" t="s">
        <v>367</v>
      </c>
      <c r="D216" s="3">
        <v>207</v>
      </c>
      <c r="E216" t="s">
        <v>12</v>
      </c>
      <c r="F216" s="3">
        <v>4</v>
      </c>
      <c r="G216" s="3"/>
      <c r="T216" s="73" t="s">
        <v>475</v>
      </c>
      <c r="U216" s="3">
        <v>6</v>
      </c>
    </row>
    <row r="217" spans="1:21">
      <c r="A217" s="1" t="s">
        <v>907</v>
      </c>
      <c r="B217" s="3">
        <v>8</v>
      </c>
      <c r="C217" t="s">
        <v>283</v>
      </c>
      <c r="D217" s="3">
        <v>208</v>
      </c>
      <c r="E217" t="s">
        <v>12</v>
      </c>
      <c r="F217" s="3">
        <v>3</v>
      </c>
      <c r="G217" s="3"/>
      <c r="T217" s="73" t="s">
        <v>461</v>
      </c>
      <c r="U217" s="3">
        <v>7</v>
      </c>
    </row>
    <row r="218" spans="1:21">
      <c r="A218" s="1" t="s">
        <v>908</v>
      </c>
      <c r="B218" s="3">
        <v>9</v>
      </c>
      <c r="C218" t="s">
        <v>196</v>
      </c>
      <c r="D218" s="3">
        <v>209</v>
      </c>
      <c r="E218" t="s">
        <v>12</v>
      </c>
      <c r="F218" s="3">
        <v>3</v>
      </c>
      <c r="G218" s="3"/>
      <c r="T218" s="73" t="s">
        <v>571</v>
      </c>
      <c r="U218" s="3">
        <v>2</v>
      </c>
    </row>
    <row r="219" spans="1:21">
      <c r="A219" s="1" t="s">
        <v>909</v>
      </c>
      <c r="B219" s="3">
        <v>9</v>
      </c>
      <c r="C219" t="s">
        <v>360</v>
      </c>
      <c r="D219" s="3">
        <v>210</v>
      </c>
      <c r="E219" t="s">
        <v>12</v>
      </c>
      <c r="F219" s="3">
        <v>4</v>
      </c>
      <c r="G219" s="3"/>
      <c r="T219" s="73" t="s">
        <v>570</v>
      </c>
      <c r="U219" s="3">
        <v>5</v>
      </c>
    </row>
    <row r="220" spans="1:21">
      <c r="A220" s="1" t="s">
        <v>910</v>
      </c>
      <c r="B220" s="3">
        <v>10</v>
      </c>
      <c r="C220" s="170" t="s">
        <v>257</v>
      </c>
      <c r="D220" s="3">
        <v>211</v>
      </c>
      <c r="E220" t="s">
        <v>12</v>
      </c>
      <c r="F220" s="3">
        <v>4</v>
      </c>
      <c r="G220" s="3"/>
      <c r="T220" s="73" t="s">
        <v>106</v>
      </c>
      <c r="U220" s="3">
        <v>10</v>
      </c>
    </row>
    <row r="221" spans="1:21">
      <c r="A221" s="1" t="s">
        <v>911</v>
      </c>
      <c r="B221" s="3">
        <v>10</v>
      </c>
      <c r="C221" t="s">
        <v>262</v>
      </c>
      <c r="D221" s="3">
        <v>212</v>
      </c>
      <c r="E221" t="s">
        <v>12</v>
      </c>
      <c r="F221" s="3">
        <v>3</v>
      </c>
      <c r="G221" s="3"/>
      <c r="T221" s="73" t="s">
        <v>30</v>
      </c>
      <c r="U221" s="3">
        <v>10</v>
      </c>
    </row>
    <row r="222" spans="1:21">
      <c r="A222" s="1" t="s">
        <v>912</v>
      </c>
      <c r="B222" s="3">
        <v>11</v>
      </c>
      <c r="C222" t="s">
        <v>145</v>
      </c>
      <c r="D222" s="3">
        <v>213</v>
      </c>
      <c r="E222" t="s">
        <v>12</v>
      </c>
      <c r="F222" s="3">
        <v>3</v>
      </c>
      <c r="G222" s="3"/>
      <c r="T222" s="73" t="s">
        <v>462</v>
      </c>
      <c r="U222" s="3">
        <v>1</v>
      </c>
    </row>
    <row r="223" spans="1:21">
      <c r="A223" s="1" t="s">
        <v>913</v>
      </c>
      <c r="B223" s="3">
        <v>11</v>
      </c>
      <c r="C223" t="s">
        <v>1053</v>
      </c>
      <c r="D223" s="3">
        <v>214</v>
      </c>
      <c r="E223" t="s">
        <v>12</v>
      </c>
      <c r="F223" s="3">
        <v>2</v>
      </c>
      <c r="G223" s="3"/>
      <c r="T223" s="73" t="s">
        <v>55</v>
      </c>
      <c r="U223" s="3">
        <v>4</v>
      </c>
    </row>
    <row r="224" spans="1:21">
      <c r="A224" s="1" t="s">
        <v>914</v>
      </c>
      <c r="B224" s="3">
        <v>12</v>
      </c>
      <c r="C224" s="169" t="s">
        <v>321</v>
      </c>
      <c r="D224" s="3">
        <v>215</v>
      </c>
      <c r="E224" t="s">
        <v>12</v>
      </c>
      <c r="F224" s="3">
        <v>3</v>
      </c>
      <c r="G224" s="3"/>
      <c r="T224" s="73" t="s">
        <v>14</v>
      </c>
      <c r="U224" s="3">
        <v>1</v>
      </c>
    </row>
    <row r="225" spans="1:21">
      <c r="A225" s="1" t="s">
        <v>915</v>
      </c>
      <c r="B225" s="3">
        <v>12</v>
      </c>
      <c r="C225" t="s">
        <v>1054</v>
      </c>
      <c r="D225" s="3">
        <v>216</v>
      </c>
      <c r="E225" t="s">
        <v>12</v>
      </c>
      <c r="F225" s="3">
        <v>3</v>
      </c>
      <c r="G225" s="3"/>
      <c r="T225" s="73" t="s">
        <v>459</v>
      </c>
      <c r="U225" s="3" t="s">
        <v>459</v>
      </c>
    </row>
    <row r="226" spans="1:21">
      <c r="A226" s="1" t="s">
        <v>916</v>
      </c>
      <c r="B226" s="3">
        <v>13</v>
      </c>
      <c r="C226" t="s">
        <v>194</v>
      </c>
      <c r="D226" s="3">
        <v>217</v>
      </c>
      <c r="E226" t="s">
        <v>12</v>
      </c>
      <c r="F226" s="3">
        <v>2</v>
      </c>
      <c r="G226" s="3"/>
      <c r="T226" s="73" t="s">
        <v>622</v>
      </c>
      <c r="U226" s="3">
        <v>5</v>
      </c>
    </row>
    <row r="227" spans="1:21">
      <c r="A227" s="1" t="s">
        <v>917</v>
      </c>
      <c r="B227" s="3">
        <v>13</v>
      </c>
      <c r="C227" t="s">
        <v>243</v>
      </c>
      <c r="D227" s="3">
        <v>218</v>
      </c>
      <c r="E227" t="s">
        <v>12</v>
      </c>
      <c r="F227" s="3">
        <v>2</v>
      </c>
      <c r="G227" s="3"/>
      <c r="T227" s="73" t="s">
        <v>390</v>
      </c>
      <c r="U227" s="3">
        <v>7</v>
      </c>
    </row>
    <row r="228" spans="1:21">
      <c r="A228" s="1" t="s">
        <v>918</v>
      </c>
      <c r="B228" s="3">
        <v>14</v>
      </c>
      <c r="C228" t="s">
        <v>308</v>
      </c>
      <c r="D228" s="3">
        <v>219</v>
      </c>
      <c r="E228" t="s">
        <v>12</v>
      </c>
      <c r="F228" s="3">
        <v>3</v>
      </c>
      <c r="G228" s="3"/>
      <c r="T228" s="73" t="s">
        <v>578</v>
      </c>
      <c r="U228" s="3">
        <v>3</v>
      </c>
    </row>
    <row r="229" spans="1:21">
      <c r="A229" s="1" t="s">
        <v>919</v>
      </c>
      <c r="B229" s="3">
        <v>14</v>
      </c>
      <c r="C229" t="s">
        <v>1055</v>
      </c>
      <c r="D229" s="3">
        <v>220</v>
      </c>
      <c r="E229" t="s">
        <v>12</v>
      </c>
      <c r="F229" s="3">
        <v>3</v>
      </c>
      <c r="G229" s="3"/>
      <c r="T229" s="73" t="s">
        <v>391</v>
      </c>
      <c r="U229" s="3">
        <v>8</v>
      </c>
    </row>
    <row r="230" spans="1:21">
      <c r="A230" s="1" t="s">
        <v>920</v>
      </c>
      <c r="B230" s="3">
        <v>15</v>
      </c>
      <c r="C230" t="s">
        <v>104</v>
      </c>
      <c r="D230" s="3">
        <v>221</v>
      </c>
      <c r="E230" t="s">
        <v>12</v>
      </c>
      <c r="F230" s="3">
        <v>4</v>
      </c>
      <c r="G230" s="3"/>
      <c r="T230" s="73" t="s">
        <v>594</v>
      </c>
      <c r="U230" s="3">
        <v>4</v>
      </c>
    </row>
    <row r="231" spans="1:21">
      <c r="A231" s="1" t="s">
        <v>921</v>
      </c>
      <c r="B231" s="3">
        <v>15</v>
      </c>
      <c r="C231" t="s">
        <v>370</v>
      </c>
      <c r="D231" s="3">
        <v>222</v>
      </c>
      <c r="E231" t="s">
        <v>12</v>
      </c>
      <c r="F231" s="3">
        <v>4</v>
      </c>
      <c r="G231" s="3"/>
      <c r="T231" s="73" t="s">
        <v>392</v>
      </c>
      <c r="U231" s="3">
        <v>9</v>
      </c>
    </row>
    <row r="232" spans="1:21">
      <c r="A232" s="1" t="s">
        <v>922</v>
      </c>
      <c r="B232" s="3">
        <v>16</v>
      </c>
      <c r="C232" t="s">
        <v>40</v>
      </c>
      <c r="D232" s="3">
        <v>223</v>
      </c>
      <c r="E232" t="s">
        <v>12</v>
      </c>
      <c r="F232" s="3">
        <v>4</v>
      </c>
      <c r="G232" s="3"/>
      <c r="T232" s="73" t="s">
        <v>393</v>
      </c>
      <c r="U232" s="3">
        <v>3</v>
      </c>
    </row>
    <row r="233" spans="1:21">
      <c r="A233" s="1" t="s">
        <v>923</v>
      </c>
      <c r="B233" s="3">
        <v>16</v>
      </c>
      <c r="C233" t="s">
        <v>129</v>
      </c>
      <c r="D233" s="3">
        <v>224</v>
      </c>
      <c r="E233" t="s">
        <v>12</v>
      </c>
      <c r="F233" s="3">
        <v>4</v>
      </c>
      <c r="G233" s="3"/>
      <c r="T233" s="73" t="s">
        <v>547</v>
      </c>
      <c r="U233" s="3">
        <v>9</v>
      </c>
    </row>
    <row r="234" spans="1:21">
      <c r="A234" s="1" t="s">
        <v>924</v>
      </c>
      <c r="B234" s="3">
        <v>17</v>
      </c>
      <c r="C234" t="s">
        <v>198</v>
      </c>
      <c r="D234" s="3">
        <v>225</v>
      </c>
      <c r="E234" t="s">
        <v>12</v>
      </c>
      <c r="F234" s="3">
        <v>4</v>
      </c>
      <c r="G234" s="3"/>
      <c r="T234" s="73" t="s">
        <v>467</v>
      </c>
      <c r="U234" s="3">
        <v>2</v>
      </c>
    </row>
    <row r="235" spans="1:21">
      <c r="A235" s="1" t="s">
        <v>925</v>
      </c>
      <c r="B235" s="3">
        <v>17</v>
      </c>
      <c r="C235" t="s">
        <v>364</v>
      </c>
      <c r="D235" s="3">
        <v>226</v>
      </c>
      <c r="E235" t="s">
        <v>12</v>
      </c>
      <c r="F235" s="3">
        <v>4</v>
      </c>
      <c r="G235" s="3"/>
      <c r="T235" s="73" t="s">
        <v>621</v>
      </c>
      <c r="U235" s="3">
        <v>9</v>
      </c>
    </row>
    <row r="236" spans="1:21">
      <c r="A236" s="1" t="s">
        <v>926</v>
      </c>
      <c r="B236" s="3">
        <v>18</v>
      </c>
      <c r="C236" t="s">
        <v>358</v>
      </c>
      <c r="D236" s="3">
        <v>227</v>
      </c>
      <c r="E236" t="s">
        <v>12</v>
      </c>
      <c r="F236" s="3">
        <v>2</v>
      </c>
      <c r="G236" s="3"/>
      <c r="T236" s="73" t="s">
        <v>442</v>
      </c>
      <c r="U236" s="3">
        <v>7</v>
      </c>
    </row>
    <row r="237" spans="1:21">
      <c r="A237" s="1" t="s">
        <v>927</v>
      </c>
      <c r="B237" s="3">
        <v>18</v>
      </c>
      <c r="C237" t="s">
        <v>50</v>
      </c>
      <c r="D237" s="3">
        <v>228</v>
      </c>
      <c r="E237" t="s">
        <v>12</v>
      </c>
      <c r="F237" s="3">
        <v>2</v>
      </c>
      <c r="G237" s="3"/>
      <c r="T237" s="73" t="s">
        <v>469</v>
      </c>
      <c r="U237" s="3">
        <v>2</v>
      </c>
    </row>
    <row r="238" spans="1:21">
      <c r="A238" s="1" t="s">
        <v>928</v>
      </c>
      <c r="B238" s="3">
        <v>19</v>
      </c>
      <c r="C238" t="s">
        <v>362</v>
      </c>
      <c r="D238" s="3">
        <v>229</v>
      </c>
      <c r="E238" t="s">
        <v>12</v>
      </c>
      <c r="F238" s="3">
        <v>2</v>
      </c>
      <c r="G238" s="3"/>
      <c r="T238" s="2" t="s">
        <v>515</v>
      </c>
      <c r="U238" s="3">
        <v>6</v>
      </c>
    </row>
    <row r="239" spans="1:21">
      <c r="A239" s="1" t="s">
        <v>929</v>
      </c>
      <c r="B239" s="3">
        <v>19</v>
      </c>
      <c r="C239" t="s">
        <v>218</v>
      </c>
      <c r="D239" s="3">
        <v>230</v>
      </c>
      <c r="E239" t="s">
        <v>12</v>
      </c>
      <c r="F239" s="3">
        <v>2</v>
      </c>
      <c r="G239" s="3"/>
      <c r="T239" t="s">
        <v>472</v>
      </c>
      <c r="U239" s="3">
        <v>2</v>
      </c>
    </row>
    <row r="240" spans="1:21">
      <c r="A240" s="1" t="s">
        <v>930</v>
      </c>
      <c r="B240" s="3">
        <v>20</v>
      </c>
      <c r="C240" t="s">
        <v>11</v>
      </c>
      <c r="D240" s="3">
        <v>231</v>
      </c>
      <c r="E240" t="s">
        <v>12</v>
      </c>
      <c r="F240" s="3">
        <v>4</v>
      </c>
      <c r="G240" s="3"/>
      <c r="T240" t="s">
        <v>625</v>
      </c>
      <c r="U240" s="3">
        <v>7</v>
      </c>
    </row>
    <row r="241" spans="1:21">
      <c r="A241" s="1" t="s">
        <v>931</v>
      </c>
      <c r="B241" s="3">
        <v>20</v>
      </c>
      <c r="C241" t="s">
        <v>148</v>
      </c>
      <c r="D241" s="3">
        <v>232</v>
      </c>
      <c r="E241" t="s">
        <v>12</v>
      </c>
      <c r="F241" s="3">
        <v>4</v>
      </c>
      <c r="G241" s="3"/>
      <c r="T241" t="s">
        <v>394</v>
      </c>
      <c r="U241" s="3">
        <v>6</v>
      </c>
    </row>
    <row r="242" spans="1:21">
      <c r="A242" s="1" t="s">
        <v>932</v>
      </c>
      <c r="B242" s="3">
        <v>21</v>
      </c>
      <c r="C242" t="s">
        <v>136</v>
      </c>
      <c r="D242" s="3">
        <v>233</v>
      </c>
      <c r="E242" t="s">
        <v>12</v>
      </c>
      <c r="F242" s="3">
        <v>2</v>
      </c>
      <c r="G242" s="3"/>
      <c r="T242" t="s">
        <v>446</v>
      </c>
      <c r="U242" s="3">
        <v>4</v>
      </c>
    </row>
    <row r="243" spans="1:21">
      <c r="A243" s="1" t="s">
        <v>933</v>
      </c>
      <c r="B243" s="3">
        <v>21</v>
      </c>
      <c r="C243" t="s">
        <v>88</v>
      </c>
      <c r="D243" s="3">
        <v>234</v>
      </c>
      <c r="E243" t="s">
        <v>12</v>
      </c>
      <c r="F243" s="3">
        <v>3</v>
      </c>
      <c r="G243" s="3"/>
      <c r="T243" t="s">
        <v>449</v>
      </c>
      <c r="U243" s="3">
        <v>9</v>
      </c>
    </row>
    <row r="244" spans="1:21">
      <c r="A244" s="1" t="s">
        <v>934</v>
      </c>
      <c r="B244" s="3">
        <v>22</v>
      </c>
      <c r="C244" t="s">
        <v>363</v>
      </c>
      <c r="D244" s="3">
        <v>235</v>
      </c>
      <c r="E244" t="s">
        <v>12</v>
      </c>
      <c r="F244" s="3">
        <v>3</v>
      </c>
      <c r="G244" s="3"/>
      <c r="T244" t="s">
        <v>452</v>
      </c>
      <c r="U244" s="3">
        <v>2</v>
      </c>
    </row>
    <row r="245" spans="1:21">
      <c r="A245" s="1" t="s">
        <v>935</v>
      </c>
      <c r="B245" s="3">
        <v>22</v>
      </c>
      <c r="C245" s="169" t="s">
        <v>75</v>
      </c>
      <c r="D245" s="3">
        <v>236</v>
      </c>
      <c r="E245" t="s">
        <v>12</v>
      </c>
      <c r="F245" s="3">
        <v>2</v>
      </c>
      <c r="G245" s="3"/>
      <c r="T245" t="s">
        <v>459</v>
      </c>
      <c r="U245" s="3" t="s">
        <v>459</v>
      </c>
    </row>
    <row r="246" spans="1:21">
      <c r="A246" s="1" t="s">
        <v>936</v>
      </c>
      <c r="B246" s="3">
        <v>24</v>
      </c>
      <c r="C246" t="s">
        <v>37</v>
      </c>
      <c r="D246" s="3">
        <v>237</v>
      </c>
      <c r="E246" t="s">
        <v>12</v>
      </c>
      <c r="F246" s="3">
        <v>4</v>
      </c>
      <c r="G246" s="3"/>
      <c r="T246" t="s">
        <v>540</v>
      </c>
      <c r="U246" s="158">
        <v>6.0869565217391308</v>
      </c>
    </row>
    <row r="247" spans="1:21">
      <c r="A247" s="1" t="s">
        <v>937</v>
      </c>
      <c r="B247" s="3">
        <v>24</v>
      </c>
      <c r="C247" t="s">
        <v>119</v>
      </c>
      <c r="D247" s="3">
        <v>238</v>
      </c>
      <c r="E247" t="s">
        <v>12</v>
      </c>
      <c r="F247" s="3">
        <v>2</v>
      </c>
      <c r="G247" s="3"/>
      <c r="T247" t="s">
        <v>523</v>
      </c>
      <c r="U247" s="158">
        <v>5.2173913043478262</v>
      </c>
    </row>
    <row r="248" spans="1:21">
      <c r="A248" s="1" t="s">
        <v>938</v>
      </c>
      <c r="B248" s="3">
        <v>25</v>
      </c>
      <c r="C248" t="s">
        <v>70</v>
      </c>
      <c r="D248" s="3">
        <v>239</v>
      </c>
      <c r="E248" t="s">
        <v>12</v>
      </c>
      <c r="F248" s="3">
        <v>4</v>
      </c>
      <c r="G248" s="3"/>
      <c r="T248" t="s">
        <v>538</v>
      </c>
      <c r="U248" s="158">
        <v>2.6086956521739131</v>
      </c>
    </row>
    <row r="249" spans="1:21">
      <c r="A249" s="1" t="s">
        <v>939</v>
      </c>
      <c r="B249" s="3">
        <v>25</v>
      </c>
      <c r="C249" t="s">
        <v>245</v>
      </c>
      <c r="D249" s="3">
        <v>240</v>
      </c>
      <c r="E249" t="s">
        <v>12</v>
      </c>
      <c r="F249" s="3">
        <v>4</v>
      </c>
      <c r="G249" s="3"/>
      <c r="T249" t="s">
        <v>550</v>
      </c>
      <c r="U249" s="158">
        <v>0.86956521739130432</v>
      </c>
    </row>
    <row r="250" spans="1:21">
      <c r="A250" s="1" t="s">
        <v>940</v>
      </c>
      <c r="B250" s="3">
        <v>26</v>
      </c>
      <c r="C250" t="s">
        <v>259</v>
      </c>
      <c r="D250" s="3">
        <v>241</v>
      </c>
      <c r="E250" t="s">
        <v>12</v>
      </c>
      <c r="F250" s="3">
        <v>3</v>
      </c>
      <c r="G250" s="3"/>
      <c r="T250" t="s">
        <v>623</v>
      </c>
      <c r="U250" s="158">
        <v>7.391304347826086</v>
      </c>
    </row>
    <row r="251" spans="1:21">
      <c r="A251" s="1" t="s">
        <v>941</v>
      </c>
      <c r="B251" s="3">
        <v>26</v>
      </c>
      <c r="C251" t="s">
        <v>149</v>
      </c>
      <c r="D251" s="3">
        <v>242</v>
      </c>
      <c r="E251" t="s">
        <v>12</v>
      </c>
      <c r="F251" s="3">
        <v>2</v>
      </c>
      <c r="G251" s="3"/>
      <c r="T251" t="s">
        <v>545</v>
      </c>
      <c r="U251" s="158">
        <v>2.1739130434782608</v>
      </c>
    </row>
    <row r="252" spans="1:21">
      <c r="A252" s="1" t="s">
        <v>942</v>
      </c>
      <c r="B252" s="3">
        <v>27</v>
      </c>
      <c r="C252" t="s">
        <v>169</v>
      </c>
      <c r="D252" s="3">
        <v>243</v>
      </c>
      <c r="E252" t="s">
        <v>12</v>
      </c>
      <c r="F252" s="3">
        <v>4</v>
      </c>
      <c r="G252" s="3"/>
      <c r="T252" t="s">
        <v>524</v>
      </c>
      <c r="U252" s="158">
        <v>3.0434782608695654</v>
      </c>
    </row>
    <row r="253" spans="1:21">
      <c r="A253" s="1" t="s">
        <v>943</v>
      </c>
      <c r="B253" s="3">
        <v>27</v>
      </c>
      <c r="C253" t="s">
        <v>1056</v>
      </c>
      <c r="D253" s="3">
        <v>244</v>
      </c>
      <c r="E253" t="s">
        <v>12</v>
      </c>
      <c r="F253" s="3">
        <v>4</v>
      </c>
      <c r="G253" s="3"/>
      <c r="T253" t="s">
        <v>526</v>
      </c>
      <c r="U253" s="158">
        <v>7.8260869565217392</v>
      </c>
    </row>
    <row r="254" spans="1:21">
      <c r="A254" s="1" t="s">
        <v>944</v>
      </c>
      <c r="B254" s="3">
        <v>28</v>
      </c>
      <c r="C254" t="s">
        <v>175</v>
      </c>
      <c r="D254" s="3">
        <v>245</v>
      </c>
      <c r="E254" t="s">
        <v>12</v>
      </c>
      <c r="F254" s="3">
        <v>2</v>
      </c>
      <c r="G254" s="3"/>
      <c r="T254" t="s">
        <v>530</v>
      </c>
      <c r="U254" s="158">
        <v>5.6521739130434776</v>
      </c>
    </row>
    <row r="255" spans="1:21">
      <c r="A255" s="1" t="s">
        <v>945</v>
      </c>
      <c r="B255" s="3">
        <v>28</v>
      </c>
      <c r="C255" t="s">
        <v>366</v>
      </c>
      <c r="D255" s="3">
        <v>246</v>
      </c>
      <c r="E255" t="s">
        <v>12</v>
      </c>
      <c r="F255" s="3">
        <v>2</v>
      </c>
      <c r="G255" s="3"/>
      <c r="T255" t="s">
        <v>537</v>
      </c>
      <c r="U255" s="158">
        <v>6.9565217391304346</v>
      </c>
    </row>
    <row r="256" spans="1:21">
      <c r="A256" s="1" t="s">
        <v>946</v>
      </c>
      <c r="B256" s="3">
        <v>29</v>
      </c>
      <c r="C256" t="s">
        <v>277</v>
      </c>
      <c r="D256" s="3">
        <v>247</v>
      </c>
      <c r="E256" t="s">
        <v>12</v>
      </c>
      <c r="F256" s="3">
        <v>2</v>
      </c>
      <c r="G256" s="3"/>
    </row>
    <row r="257" spans="1:105">
      <c r="A257" s="1" t="s">
        <v>947</v>
      </c>
      <c r="B257" s="3">
        <v>29</v>
      </c>
      <c r="C257" t="s">
        <v>228</v>
      </c>
      <c r="D257" s="3">
        <v>248</v>
      </c>
      <c r="E257" t="s">
        <v>12</v>
      </c>
      <c r="F257" s="3">
        <v>3</v>
      </c>
      <c r="G257" s="3"/>
    </row>
    <row r="258" spans="1:105">
      <c r="A258" s="1" t="s">
        <v>948</v>
      </c>
      <c r="B258" s="3">
        <v>30</v>
      </c>
      <c r="C258" t="s">
        <v>314</v>
      </c>
      <c r="D258" s="3">
        <v>249</v>
      </c>
      <c r="E258" t="s">
        <v>12</v>
      </c>
      <c r="F258" s="3">
        <v>3</v>
      </c>
      <c r="G258" s="3"/>
    </row>
    <row r="259" spans="1:105">
      <c r="A259" s="1" t="s">
        <v>949</v>
      </c>
      <c r="B259" s="3">
        <v>30</v>
      </c>
      <c r="C259" t="s">
        <v>1057</v>
      </c>
      <c r="D259" s="3">
        <v>250</v>
      </c>
      <c r="E259" t="s">
        <v>12</v>
      </c>
      <c r="F259" s="3">
        <v>4</v>
      </c>
      <c r="G259" s="3"/>
    </row>
    <row r="260" spans="1:105">
      <c r="A260" s="1" t="s">
        <v>950</v>
      </c>
      <c r="B260" s="3">
        <v>31</v>
      </c>
      <c r="C260" t="s">
        <v>295</v>
      </c>
      <c r="D260" s="3">
        <v>251</v>
      </c>
      <c r="E260" t="s">
        <v>12</v>
      </c>
      <c r="F260" s="3">
        <v>3</v>
      </c>
      <c r="G260" s="3"/>
      <c r="T260" s="1"/>
      <c r="U260" s="1"/>
      <c r="AA260" t="s">
        <v>609</v>
      </c>
      <c r="AD260" t="s">
        <v>609</v>
      </c>
      <c r="AI260" t="s">
        <v>609</v>
      </c>
      <c r="AM260" t="s">
        <v>609</v>
      </c>
      <c r="AN260" t="s">
        <v>609</v>
      </c>
    </row>
    <row r="261" spans="1:105" ht="15.6">
      <c r="A261" s="1" t="s">
        <v>951</v>
      </c>
      <c r="B261" s="3">
        <v>31</v>
      </c>
      <c r="C261" t="s">
        <v>290</v>
      </c>
      <c r="D261" s="3">
        <v>252</v>
      </c>
      <c r="E261" t="s">
        <v>12</v>
      </c>
      <c r="F261" s="3">
        <v>2</v>
      </c>
      <c r="G261" s="3"/>
      <c r="T261" s="1" t="s">
        <v>596</v>
      </c>
      <c r="U261" s="155" t="s">
        <v>629</v>
      </c>
      <c r="V261" s="155" t="s">
        <v>619</v>
      </c>
      <c r="W261" s="155" t="s">
        <v>630</v>
      </c>
      <c r="X261" s="155" t="s">
        <v>631</v>
      </c>
      <c r="Y261" s="155" t="s">
        <v>632</v>
      </c>
      <c r="Z261" s="155" t="s">
        <v>633</v>
      </c>
      <c r="AA261" s="155" t="s">
        <v>634</v>
      </c>
      <c r="AB261" s="155" t="s">
        <v>635</v>
      </c>
      <c r="AC261" s="155" t="s">
        <v>636</v>
      </c>
      <c r="AD261" s="155" t="s">
        <v>637</v>
      </c>
      <c r="AE261" s="155" t="s">
        <v>638</v>
      </c>
      <c r="AF261" s="155" t="s">
        <v>639</v>
      </c>
      <c r="AG261" s="155" t="s">
        <v>640</v>
      </c>
      <c r="AH261" s="156" t="s">
        <v>641</v>
      </c>
      <c r="AI261" s="156" t="s">
        <v>642</v>
      </c>
      <c r="AJ261" s="156" t="s">
        <v>643</v>
      </c>
      <c r="AK261" s="156" t="s">
        <v>644</v>
      </c>
      <c r="AL261" s="156" t="s">
        <v>645</v>
      </c>
      <c r="AM261" s="157" t="s">
        <v>646</v>
      </c>
      <c r="AN261" s="156" t="s">
        <v>647</v>
      </c>
      <c r="AO261" s="156" t="s">
        <v>648</v>
      </c>
      <c r="AP261" s="156" t="s">
        <v>649</v>
      </c>
      <c r="AQ261" s="156" t="s">
        <v>650</v>
      </c>
      <c r="AR261" s="156" t="s">
        <v>651</v>
      </c>
      <c r="AS261" s="156" t="s">
        <v>652</v>
      </c>
      <c r="AT261" s="156" t="s">
        <v>653</v>
      </c>
      <c r="AU261" s="156" t="s">
        <v>654</v>
      </c>
      <c r="AV261" s="157" t="s">
        <v>655</v>
      </c>
      <c r="AW261" s="156" t="s">
        <v>656</v>
      </c>
      <c r="AX261" s="156" t="s">
        <v>657</v>
      </c>
      <c r="AY261" s="156" t="s">
        <v>658</v>
      </c>
      <c r="AZ261" s="156" t="s">
        <v>659</v>
      </c>
      <c r="BA261" s="156" t="s">
        <v>660</v>
      </c>
      <c r="BB261" s="156" t="s">
        <v>661</v>
      </c>
      <c r="BC261" s="156" t="s">
        <v>662</v>
      </c>
      <c r="BD261" s="156" t="s">
        <v>663</v>
      </c>
      <c r="BE261" s="156" t="s">
        <v>664</v>
      </c>
      <c r="BF261" s="156" t="s">
        <v>665</v>
      </c>
      <c r="BG261" s="156" t="s">
        <v>666</v>
      </c>
      <c r="BH261" s="156" t="s">
        <v>667</v>
      </c>
      <c r="BI261" s="156" t="s">
        <v>668</v>
      </c>
      <c r="BJ261" s="156" t="s">
        <v>669</v>
      </c>
      <c r="BK261" s="156" t="s">
        <v>670</v>
      </c>
    </row>
    <row r="262" spans="1:105">
      <c r="A262" s="1" t="s">
        <v>952</v>
      </c>
      <c r="B262" s="3">
        <v>32</v>
      </c>
      <c r="C262" t="s">
        <v>21</v>
      </c>
      <c r="D262" s="3">
        <v>253</v>
      </c>
      <c r="E262" t="s">
        <v>12</v>
      </c>
      <c r="F262" s="3">
        <v>3</v>
      </c>
      <c r="G262" s="3"/>
      <c r="U262" t="s">
        <v>563</v>
      </c>
      <c r="V262" t="s">
        <v>27</v>
      </c>
      <c r="W262" t="s">
        <v>105</v>
      </c>
      <c r="X262" t="s">
        <v>125</v>
      </c>
      <c r="Y262" t="s">
        <v>130</v>
      </c>
      <c r="Z262" t="s">
        <v>27</v>
      </c>
      <c r="AA262" t="s">
        <v>142</v>
      </c>
      <c r="AB262" t="s">
        <v>399</v>
      </c>
      <c r="AC262" t="s">
        <v>161</v>
      </c>
      <c r="AD262" t="s">
        <v>266</v>
      </c>
      <c r="AE262" t="s">
        <v>27</v>
      </c>
      <c r="AF262" t="s">
        <v>266</v>
      </c>
      <c r="AG262" t="s">
        <v>48</v>
      </c>
      <c r="AH262" t="s">
        <v>22</v>
      </c>
      <c r="AI262" t="s">
        <v>289</v>
      </c>
      <c r="AJ262" t="s">
        <v>568</v>
      </c>
      <c r="AK262" t="s">
        <v>565</v>
      </c>
      <c r="AL262" t="s">
        <v>161</v>
      </c>
      <c r="AM262" t="s">
        <v>117</v>
      </c>
      <c r="AN262" t="s">
        <v>266</v>
      </c>
      <c r="AO262" t="s">
        <v>258</v>
      </c>
      <c r="AP262" t="s">
        <v>41</v>
      </c>
      <c r="AQ262" t="s">
        <v>217</v>
      </c>
      <c r="AR262" t="s">
        <v>564</v>
      </c>
      <c r="AS262" t="s">
        <v>27</v>
      </c>
      <c r="AT262" t="s">
        <v>161</v>
      </c>
      <c r="AU262" t="s">
        <v>125</v>
      </c>
      <c r="AV262" t="s">
        <v>258</v>
      </c>
      <c r="AW262" t="s">
        <v>161</v>
      </c>
      <c r="AX262" t="s">
        <v>62</v>
      </c>
      <c r="AY262" t="s">
        <v>320</v>
      </c>
      <c r="AZ262" t="s">
        <v>125</v>
      </c>
      <c r="BA262" t="s">
        <v>179</v>
      </c>
      <c r="BB262" t="s">
        <v>54</v>
      </c>
      <c r="BC262" t="s">
        <v>269</v>
      </c>
      <c r="BD262" t="s">
        <v>238</v>
      </c>
      <c r="BE262" t="s">
        <v>238</v>
      </c>
      <c r="BF262" t="s">
        <v>27</v>
      </c>
      <c r="BG262" t="s">
        <v>27</v>
      </c>
      <c r="BH262" t="s">
        <v>258</v>
      </c>
      <c r="BI262" t="s">
        <v>27</v>
      </c>
      <c r="BJ262" t="s">
        <v>27</v>
      </c>
      <c r="BK262" t="s">
        <v>103</v>
      </c>
    </row>
    <row r="263" spans="1:105">
      <c r="A263" s="1" t="s">
        <v>953</v>
      </c>
      <c r="B263" s="3">
        <v>32</v>
      </c>
      <c r="C263" t="s">
        <v>82</v>
      </c>
      <c r="D263" s="3">
        <v>254</v>
      </c>
      <c r="E263" t="s">
        <v>12</v>
      </c>
      <c r="F263" s="3">
        <v>4</v>
      </c>
      <c r="G263" s="3"/>
      <c r="U263" t="s">
        <v>62</v>
      </c>
      <c r="V263" t="s">
        <v>186</v>
      </c>
      <c r="W263" t="s">
        <v>54</v>
      </c>
      <c r="X263" t="s">
        <v>238</v>
      </c>
      <c r="Y263" t="s">
        <v>244</v>
      </c>
      <c r="Z263" t="s">
        <v>258</v>
      </c>
      <c r="AA263" t="s">
        <v>217</v>
      </c>
      <c r="AB263" t="s">
        <v>180</v>
      </c>
      <c r="AC263" t="s">
        <v>563</v>
      </c>
      <c r="AD263" t="s">
        <v>302</v>
      </c>
      <c r="AE263" t="s">
        <v>103</v>
      </c>
      <c r="AF263" t="s">
        <v>244</v>
      </c>
      <c r="AG263" t="s">
        <v>401</v>
      </c>
      <c r="AH263" t="s">
        <v>401</v>
      </c>
      <c r="AI263" t="s">
        <v>113</v>
      </c>
      <c r="AJ263" t="s">
        <v>27</v>
      </c>
      <c r="AK263" t="s">
        <v>266</v>
      </c>
      <c r="AL263" t="s">
        <v>105</v>
      </c>
      <c r="AM263" t="s">
        <v>62</v>
      </c>
      <c r="AN263" t="s">
        <v>186</v>
      </c>
      <c r="AO263" t="s">
        <v>564</v>
      </c>
      <c r="AP263" t="s">
        <v>445</v>
      </c>
      <c r="AQ263" t="s">
        <v>125</v>
      </c>
      <c r="AR263" t="s">
        <v>125</v>
      </c>
      <c r="AS263" t="s">
        <v>269</v>
      </c>
      <c r="AT263" t="s">
        <v>546</v>
      </c>
      <c r="AU263" t="s">
        <v>401</v>
      </c>
      <c r="AV263" t="s">
        <v>565</v>
      </c>
      <c r="AW263" t="s">
        <v>182</v>
      </c>
      <c r="AX263" t="s">
        <v>313</v>
      </c>
      <c r="AY263" t="s">
        <v>179</v>
      </c>
      <c r="AZ263" t="s">
        <v>16</v>
      </c>
      <c r="BA263" t="s">
        <v>105</v>
      </c>
      <c r="BB263" t="s">
        <v>117</v>
      </c>
      <c r="BC263" t="s">
        <v>238</v>
      </c>
      <c r="BD263" t="s">
        <v>125</v>
      </c>
      <c r="BE263" t="s">
        <v>113</v>
      </c>
      <c r="BF263" t="s">
        <v>217</v>
      </c>
      <c r="BG263" t="s">
        <v>258</v>
      </c>
      <c r="BH263" t="s">
        <v>564</v>
      </c>
      <c r="BI263" t="s">
        <v>155</v>
      </c>
      <c r="BJ263" t="s">
        <v>192</v>
      </c>
      <c r="BK263" t="s">
        <v>41</v>
      </c>
    </row>
    <row r="264" spans="1:105">
      <c r="A264" s="1" t="s">
        <v>954</v>
      </c>
      <c r="B264" s="3">
        <v>33</v>
      </c>
      <c r="C264" t="s">
        <v>56</v>
      </c>
      <c r="D264" s="3">
        <v>255</v>
      </c>
      <c r="E264" t="s">
        <v>12</v>
      </c>
      <c r="F264" s="3">
        <v>3</v>
      </c>
      <c r="G264" s="3"/>
      <c r="U264" t="s">
        <v>628</v>
      </c>
      <c r="V264" t="s">
        <v>564</v>
      </c>
      <c r="W264" t="s">
        <v>289</v>
      </c>
      <c r="X264" t="s">
        <v>445</v>
      </c>
      <c r="Y264" t="s">
        <v>186</v>
      </c>
      <c r="Z264" t="s">
        <v>22</v>
      </c>
      <c r="AA264" t="s">
        <v>192</v>
      </c>
      <c r="AB264" t="s">
        <v>125</v>
      </c>
      <c r="AC264" t="s">
        <v>54</v>
      </c>
      <c r="AD264" t="s">
        <v>142</v>
      </c>
      <c r="AE264" t="s">
        <v>41</v>
      </c>
      <c r="AF264" t="s">
        <v>62</v>
      </c>
      <c r="AG264" t="s">
        <v>27</v>
      </c>
      <c r="AH264" t="s">
        <v>289</v>
      </c>
      <c r="AI264" t="s">
        <v>125</v>
      </c>
      <c r="AJ264" t="s">
        <v>266</v>
      </c>
      <c r="AK264" t="s">
        <v>142</v>
      </c>
      <c r="AL264" t="s">
        <v>238</v>
      </c>
      <c r="AM264" t="s">
        <v>266</v>
      </c>
      <c r="AN264" t="s">
        <v>258</v>
      </c>
      <c r="AO264" t="s">
        <v>197</v>
      </c>
      <c r="AP264" t="s">
        <v>125</v>
      </c>
      <c r="AQ264" t="s">
        <v>266</v>
      </c>
      <c r="AR264" t="s">
        <v>565</v>
      </c>
      <c r="AS264" t="s">
        <v>186</v>
      </c>
      <c r="AT264" t="s">
        <v>184</v>
      </c>
      <c r="AU264" t="s">
        <v>563</v>
      </c>
      <c r="AV264" t="s">
        <v>48</v>
      </c>
      <c r="AW264" t="s">
        <v>564</v>
      </c>
      <c r="AX264" t="s">
        <v>117</v>
      </c>
      <c r="AY264" t="s">
        <v>105</v>
      </c>
      <c r="AZ264" t="s">
        <v>563</v>
      </c>
      <c r="BA264" t="s">
        <v>27</v>
      </c>
      <c r="BB264" t="s">
        <v>568</v>
      </c>
      <c r="BC264" t="s">
        <v>186</v>
      </c>
      <c r="BD264" t="s">
        <v>445</v>
      </c>
      <c r="BE264" t="s">
        <v>27</v>
      </c>
      <c r="BF264" t="s">
        <v>306</v>
      </c>
      <c r="BG264" t="s">
        <v>313</v>
      </c>
      <c r="BH264" t="s">
        <v>399</v>
      </c>
      <c r="BI264" t="s">
        <v>238</v>
      </c>
      <c r="BJ264" t="s">
        <v>103</v>
      </c>
      <c r="BK264" t="s">
        <v>217</v>
      </c>
    </row>
    <row r="265" spans="1:105">
      <c r="A265" s="1" t="s">
        <v>955</v>
      </c>
      <c r="B265" s="3">
        <v>33</v>
      </c>
      <c r="C265" t="s">
        <v>361</v>
      </c>
      <c r="D265" s="3">
        <v>256</v>
      </c>
      <c r="E265" t="s">
        <v>12</v>
      </c>
      <c r="F265" s="3">
        <v>3</v>
      </c>
      <c r="G265" s="3"/>
      <c r="U265" t="s">
        <v>29</v>
      </c>
      <c r="V265" t="s">
        <v>445</v>
      </c>
      <c r="W265" t="s">
        <v>306</v>
      </c>
      <c r="X265" t="s">
        <v>627</v>
      </c>
      <c r="Y265" t="s">
        <v>269</v>
      </c>
      <c r="Z265" t="s">
        <v>103</v>
      </c>
      <c r="AA265" t="s">
        <v>289</v>
      </c>
      <c r="AB265" t="s">
        <v>566</v>
      </c>
      <c r="AC265" t="s">
        <v>610</v>
      </c>
      <c r="AD265" t="s">
        <v>567</v>
      </c>
      <c r="AE265" t="s">
        <v>184</v>
      </c>
      <c r="AF265" t="s">
        <v>155</v>
      </c>
      <c r="AG265" t="s">
        <v>182</v>
      </c>
      <c r="AH265" t="s">
        <v>313</v>
      </c>
      <c r="AI265" t="s">
        <v>182</v>
      </c>
      <c r="AJ265" t="s">
        <v>244</v>
      </c>
      <c r="AK265" t="s">
        <v>155</v>
      </c>
      <c r="AL265" t="s">
        <v>54</v>
      </c>
      <c r="AM265" t="s">
        <v>179</v>
      </c>
      <c r="AN265" t="s">
        <v>41</v>
      </c>
      <c r="AO265" t="s">
        <v>320</v>
      </c>
      <c r="AP265" t="s">
        <v>399</v>
      </c>
      <c r="AQ265" t="s">
        <v>41</v>
      </c>
      <c r="AR265" t="s">
        <v>445</v>
      </c>
      <c r="AS265" t="s">
        <v>130</v>
      </c>
      <c r="AT265" t="s">
        <v>258</v>
      </c>
      <c r="AU265" t="s">
        <v>192</v>
      </c>
      <c r="AV265" t="s">
        <v>197</v>
      </c>
      <c r="AW265" t="s">
        <v>29</v>
      </c>
      <c r="AX265" t="s">
        <v>130</v>
      </c>
      <c r="AY265" t="s">
        <v>27</v>
      </c>
      <c r="AZ265" t="s">
        <v>244</v>
      </c>
      <c r="BA265" t="s">
        <v>117</v>
      </c>
      <c r="BB265" t="s">
        <v>244</v>
      </c>
      <c r="BC265" t="s">
        <v>155</v>
      </c>
      <c r="BD265" t="s">
        <v>627</v>
      </c>
      <c r="BE265" t="s">
        <v>258</v>
      </c>
      <c r="BF265" t="s">
        <v>289</v>
      </c>
      <c r="BG265" t="s">
        <v>103</v>
      </c>
      <c r="BH265" t="s">
        <v>180</v>
      </c>
      <c r="BI265" t="s">
        <v>130</v>
      </c>
      <c r="BJ265" t="s">
        <v>184</v>
      </c>
      <c r="BK265" t="s">
        <v>182</v>
      </c>
    </row>
    <row r="266" spans="1:105">
      <c r="A266" s="1" t="s">
        <v>956</v>
      </c>
      <c r="B266" s="3">
        <v>34</v>
      </c>
      <c r="C266" t="s">
        <v>131</v>
      </c>
      <c r="D266" s="3">
        <v>257</v>
      </c>
      <c r="E266" t="s">
        <v>12</v>
      </c>
      <c r="F266" s="3">
        <v>3</v>
      </c>
      <c r="G266" s="3"/>
      <c r="U266" t="s">
        <v>671</v>
      </c>
      <c r="V266" t="s">
        <v>125</v>
      </c>
      <c r="W266" t="s">
        <v>244</v>
      </c>
      <c r="X266" t="s">
        <v>197</v>
      </c>
      <c r="Y266" t="s">
        <v>117</v>
      </c>
      <c r="Z266" t="s">
        <v>117</v>
      </c>
      <c r="AA266" t="s">
        <v>135</v>
      </c>
      <c r="AB266" t="s">
        <v>445</v>
      </c>
      <c r="AC266" t="s">
        <v>672</v>
      </c>
      <c r="AD266" t="s">
        <v>566</v>
      </c>
      <c r="AE266" t="s">
        <v>566</v>
      </c>
      <c r="AF266" t="s">
        <v>566</v>
      </c>
      <c r="AG266" t="s">
        <v>244</v>
      </c>
      <c r="AH266" t="s">
        <v>217</v>
      </c>
      <c r="AI266" t="s">
        <v>103</v>
      </c>
      <c r="AJ266" t="s">
        <v>184</v>
      </c>
      <c r="AK266" t="s">
        <v>563</v>
      </c>
      <c r="AL266" t="s">
        <v>313</v>
      </c>
      <c r="AM266" t="s">
        <v>399</v>
      </c>
      <c r="AN266" t="s">
        <v>289</v>
      </c>
      <c r="AO266" t="s">
        <v>54</v>
      </c>
      <c r="AP266" t="s">
        <v>103</v>
      </c>
      <c r="AQ266" t="s">
        <v>673</v>
      </c>
      <c r="AR266" t="s">
        <v>155</v>
      </c>
      <c r="AS266" t="s">
        <v>302</v>
      </c>
      <c r="AT266" t="s">
        <v>401</v>
      </c>
      <c r="AU266" t="s">
        <v>41</v>
      </c>
      <c r="AV266" t="s">
        <v>105</v>
      </c>
      <c r="AW266" t="s">
        <v>238</v>
      </c>
      <c r="AX266" t="s">
        <v>399</v>
      </c>
      <c r="AY266" t="s">
        <v>117</v>
      </c>
      <c r="AZ266" t="s">
        <v>445</v>
      </c>
      <c r="BA266" t="s">
        <v>258</v>
      </c>
      <c r="BB266" t="s">
        <v>22</v>
      </c>
      <c r="BC266" t="s">
        <v>117</v>
      </c>
      <c r="BD266" t="s">
        <v>23</v>
      </c>
      <c r="BE266" t="s">
        <v>184</v>
      </c>
      <c r="BF266" t="s">
        <v>103</v>
      </c>
      <c r="BG266" t="s">
        <v>182</v>
      </c>
      <c r="BH266" t="s">
        <v>217</v>
      </c>
      <c r="BI266" t="s">
        <v>184</v>
      </c>
      <c r="BJ266" t="s">
        <v>566</v>
      </c>
      <c r="BK266" t="s">
        <v>27</v>
      </c>
    </row>
    <row r="267" spans="1:105">
      <c r="A267" s="1" t="s">
        <v>957</v>
      </c>
      <c r="B267" s="3">
        <v>34</v>
      </c>
      <c r="C267" t="s">
        <v>239</v>
      </c>
      <c r="D267" s="3">
        <v>258</v>
      </c>
      <c r="E267" t="s">
        <v>12</v>
      </c>
      <c r="F267" s="3">
        <v>2</v>
      </c>
      <c r="G267" s="3"/>
      <c r="T267" s="1"/>
      <c r="U267" t="s">
        <v>161</v>
      </c>
      <c r="V267" t="s">
        <v>313</v>
      </c>
      <c r="W267" t="s">
        <v>401</v>
      </c>
      <c r="X267" t="s">
        <v>155</v>
      </c>
      <c r="Y267" t="s">
        <v>671</v>
      </c>
      <c r="Z267" t="s">
        <v>289</v>
      </c>
      <c r="AA267" t="s">
        <v>566</v>
      </c>
      <c r="AB267" t="s">
        <v>564</v>
      </c>
      <c r="AC267" t="s">
        <v>105</v>
      </c>
      <c r="AD267" t="s">
        <v>135</v>
      </c>
      <c r="AE267" t="s">
        <v>217</v>
      </c>
      <c r="AF267" t="s">
        <v>29</v>
      </c>
      <c r="AG267" t="s">
        <v>269</v>
      </c>
      <c r="AH267" t="s">
        <v>184</v>
      </c>
      <c r="AI267" t="s">
        <v>313</v>
      </c>
      <c r="AJ267" t="s">
        <v>41</v>
      </c>
      <c r="AK267" t="s">
        <v>29</v>
      </c>
      <c r="AL267" t="s">
        <v>563</v>
      </c>
      <c r="AM267" t="s">
        <v>269</v>
      </c>
      <c r="AN267" t="s">
        <v>27</v>
      </c>
      <c r="AO267" t="s">
        <v>399</v>
      </c>
      <c r="AP267" t="s">
        <v>401</v>
      </c>
      <c r="AQ267" t="s">
        <v>289</v>
      </c>
      <c r="AR267" t="s">
        <v>399</v>
      </c>
      <c r="AS267" t="s">
        <v>103</v>
      </c>
      <c r="AT267" t="s">
        <v>62</v>
      </c>
      <c r="AU267" t="s">
        <v>29</v>
      </c>
      <c r="AV267" t="s">
        <v>27</v>
      </c>
      <c r="AW267" t="s">
        <v>62</v>
      </c>
      <c r="AX267" t="s">
        <v>567</v>
      </c>
      <c r="AY267" t="s">
        <v>258</v>
      </c>
      <c r="AZ267" t="s">
        <v>567</v>
      </c>
      <c r="BA267" t="s">
        <v>445</v>
      </c>
      <c r="BB267" t="s">
        <v>180</v>
      </c>
      <c r="BC267" t="s">
        <v>142</v>
      </c>
      <c r="BD267" t="s">
        <v>155</v>
      </c>
      <c r="BE267" t="s">
        <v>313</v>
      </c>
      <c r="BF267" t="s">
        <v>186</v>
      </c>
      <c r="BG267" t="s">
        <v>22</v>
      </c>
      <c r="BH267" t="s">
        <v>568</v>
      </c>
      <c r="BI267" t="s">
        <v>113</v>
      </c>
      <c r="BJ267" t="s">
        <v>113</v>
      </c>
      <c r="BK267" t="s">
        <v>266</v>
      </c>
    </row>
    <row r="268" spans="1:105">
      <c r="A268" s="1" t="s">
        <v>958</v>
      </c>
      <c r="B268" s="3">
        <v>35</v>
      </c>
      <c r="C268" s="169" t="s">
        <v>76</v>
      </c>
      <c r="D268" s="3">
        <v>259</v>
      </c>
      <c r="E268" t="s">
        <v>12</v>
      </c>
      <c r="F268" s="3">
        <v>4</v>
      </c>
      <c r="G268" s="3"/>
      <c r="T268" s="1"/>
    </row>
    <row r="269" spans="1:105">
      <c r="A269" s="1" t="s">
        <v>959</v>
      </c>
      <c r="B269" s="3">
        <v>35</v>
      </c>
      <c r="C269" t="s">
        <v>354</v>
      </c>
      <c r="D269" s="3">
        <v>260</v>
      </c>
      <c r="E269" t="s">
        <v>12</v>
      </c>
      <c r="F269" s="3">
        <v>4</v>
      </c>
      <c r="G269" s="3"/>
      <c r="T269" s="1"/>
    </row>
    <row r="270" spans="1:105">
      <c r="A270" s="1" t="s">
        <v>960</v>
      </c>
      <c r="B270" s="3">
        <v>36</v>
      </c>
      <c r="C270" s="170" t="s">
        <v>210</v>
      </c>
      <c r="D270" s="3">
        <v>261</v>
      </c>
      <c r="E270" t="s">
        <v>12</v>
      </c>
      <c r="F270" s="3">
        <v>3</v>
      </c>
      <c r="G270" s="3"/>
      <c r="T270" s="1"/>
    </row>
    <row r="271" spans="1:105" ht="15.6">
      <c r="A271" s="1" t="s">
        <v>961</v>
      </c>
      <c r="B271" s="3">
        <v>36</v>
      </c>
      <c r="C271" t="s">
        <v>160</v>
      </c>
      <c r="D271" s="3">
        <v>262</v>
      </c>
      <c r="E271" t="s">
        <v>12</v>
      </c>
      <c r="F271" s="3">
        <v>3</v>
      </c>
      <c r="G271" s="3"/>
      <c r="T271" s="119"/>
      <c r="U271" s="3"/>
      <c r="V271" s="119"/>
      <c r="W271" s="3"/>
      <c r="X271" s="119"/>
      <c r="Y271" s="3"/>
      <c r="Z271" s="119"/>
      <c r="AA271" s="3"/>
      <c r="AB271" s="119"/>
      <c r="AC271" s="3"/>
      <c r="AD271" s="119"/>
      <c r="AE271" s="3"/>
      <c r="AF271" s="119"/>
      <c r="AG271" s="3"/>
      <c r="AH271" s="119"/>
      <c r="AI271" s="3"/>
      <c r="AJ271" s="119"/>
      <c r="AK271" s="3"/>
      <c r="AL271" s="119"/>
      <c r="AM271" s="3"/>
      <c r="AN271" s="119"/>
      <c r="AO271" s="3"/>
      <c r="AP271" s="119"/>
      <c r="AQ271" s="3"/>
      <c r="AR271" s="119"/>
      <c r="AS271" s="3"/>
      <c r="AT271" s="154"/>
      <c r="AU271" s="3"/>
      <c r="AV271" s="154"/>
      <c r="AW271" s="3"/>
      <c r="AX271" s="154"/>
      <c r="AY271" s="3"/>
      <c r="AZ271" s="154"/>
      <c r="BA271" s="3"/>
      <c r="BB271" s="154"/>
      <c r="BC271" s="3"/>
      <c r="BD271" s="152"/>
      <c r="BE271" s="3"/>
      <c r="BF271" s="154"/>
      <c r="BG271" s="3"/>
      <c r="BH271" s="154"/>
      <c r="BI271" s="3"/>
      <c r="BJ271" s="154"/>
      <c r="BK271" s="3"/>
      <c r="BL271" s="154"/>
      <c r="BM271" s="3"/>
      <c r="BN271" s="154"/>
      <c r="BO271" s="3"/>
      <c r="BP271" s="154"/>
      <c r="BQ271" s="3"/>
      <c r="BR271" s="154"/>
      <c r="BS271" s="3"/>
      <c r="BT271" s="154"/>
      <c r="BU271" s="3"/>
      <c r="BV271" s="152"/>
      <c r="BW271" s="3"/>
      <c r="BX271" s="154"/>
      <c r="BY271" s="3"/>
      <c r="BZ271" s="154"/>
      <c r="CA271" s="3"/>
      <c r="CB271" s="154"/>
      <c r="CC271" s="3"/>
      <c r="CD271" s="154"/>
      <c r="CE271" s="3"/>
      <c r="CF271" s="154"/>
      <c r="CG271" s="3"/>
      <c r="CH271" s="154"/>
      <c r="CI271" s="3"/>
      <c r="CJ271" s="154"/>
      <c r="CK271" s="3"/>
      <c r="CL271" s="154"/>
      <c r="CM271" s="3"/>
      <c r="CN271" s="154"/>
      <c r="CO271" s="3"/>
      <c r="CP271" s="154"/>
      <c r="CQ271" s="3"/>
      <c r="CR271" s="154"/>
      <c r="CS271" s="3"/>
      <c r="CT271" s="154"/>
      <c r="CU271" s="3"/>
      <c r="CV271" s="154"/>
      <c r="CW271" s="3"/>
      <c r="CX271" s="154"/>
      <c r="CY271" s="3"/>
      <c r="CZ271" s="154"/>
      <c r="DA271" s="3"/>
    </row>
    <row r="272" spans="1:105">
      <c r="A272" s="1" t="s">
        <v>962</v>
      </c>
      <c r="B272" s="3">
        <v>37</v>
      </c>
      <c r="C272" t="s">
        <v>32</v>
      </c>
      <c r="D272" s="3">
        <v>263</v>
      </c>
      <c r="E272" t="s">
        <v>12</v>
      </c>
      <c r="F272" s="3">
        <v>3</v>
      </c>
      <c r="G272" s="3"/>
      <c r="T272" s="172" t="s">
        <v>1077</v>
      </c>
      <c r="U272" s="3"/>
      <c r="V272" s="11"/>
      <c r="W272" s="3"/>
      <c r="X272" s="11"/>
      <c r="Y272" s="3"/>
      <c r="Z272" s="11"/>
      <c r="AA272" s="3"/>
      <c r="AB272" s="11"/>
      <c r="AC272" s="3"/>
      <c r="AD272" s="11"/>
      <c r="AE272" s="3"/>
      <c r="AF272" s="11"/>
      <c r="AG272" s="3"/>
      <c r="AH272" s="11"/>
      <c r="AI272" s="3"/>
      <c r="AJ272" s="11"/>
      <c r="AK272" s="3"/>
      <c r="AL272" s="11"/>
      <c r="AM272" s="3"/>
      <c r="AN272" s="11"/>
      <c r="AO272" s="3"/>
      <c r="AP272" s="11"/>
      <c r="AQ272" s="3"/>
      <c r="AR272" s="11"/>
      <c r="AS272" s="3"/>
      <c r="AT272" s="11"/>
      <c r="AU272" s="3"/>
      <c r="AV272" s="11"/>
      <c r="AW272" s="3"/>
      <c r="AX272" s="121"/>
      <c r="AY272" s="3"/>
      <c r="AZ272" s="11"/>
      <c r="BA272" s="3"/>
      <c r="BB272" s="11"/>
      <c r="BC272" s="3"/>
      <c r="BD272" s="11"/>
      <c r="BE272" s="3"/>
      <c r="BF272" s="11"/>
      <c r="BG272" s="3"/>
      <c r="BH272" s="11"/>
      <c r="BI272" s="3"/>
      <c r="BJ272" s="11"/>
      <c r="BK272" s="3"/>
      <c r="BL272" s="11"/>
      <c r="BM272" s="3"/>
      <c r="BN272" s="11"/>
      <c r="BO272" s="3"/>
      <c r="BP272" s="11"/>
      <c r="BQ272" s="3"/>
      <c r="BR272" s="11"/>
      <c r="BS272" s="3"/>
      <c r="BT272" s="11"/>
      <c r="BU272" s="3"/>
      <c r="BV272" s="11"/>
      <c r="BW272" s="3"/>
      <c r="BX272" s="11"/>
      <c r="BY272" s="3"/>
      <c r="BZ272" s="11"/>
      <c r="CA272" s="3"/>
      <c r="CB272" s="11"/>
      <c r="CC272" s="3"/>
      <c r="CD272" s="11"/>
      <c r="CE272" s="3"/>
      <c r="CF272" s="11"/>
      <c r="CG272" s="3"/>
      <c r="CH272" s="11"/>
      <c r="CI272" s="3"/>
      <c r="CJ272" s="11"/>
      <c r="CK272" s="3"/>
      <c r="CL272" s="11"/>
      <c r="CM272" s="3"/>
      <c r="CN272" s="11"/>
      <c r="CO272" s="3"/>
      <c r="CP272" s="11"/>
      <c r="CQ272" s="3"/>
      <c r="CR272" s="11"/>
      <c r="CS272" s="3"/>
      <c r="CT272" s="11"/>
      <c r="CU272" s="3"/>
      <c r="CV272" s="11"/>
      <c r="CW272" s="3"/>
      <c r="CX272" s="11"/>
      <c r="CY272" s="3"/>
      <c r="CZ272" s="11"/>
      <c r="DA272" s="3"/>
    </row>
    <row r="273" spans="1:105">
      <c r="A273" s="1" t="s">
        <v>963</v>
      </c>
      <c r="B273" s="3">
        <v>37</v>
      </c>
      <c r="C273" t="s">
        <v>369</v>
      </c>
      <c r="D273" s="3">
        <v>264</v>
      </c>
      <c r="E273" t="s">
        <v>12</v>
      </c>
      <c r="F273" s="3">
        <v>4</v>
      </c>
      <c r="G273" s="3"/>
      <c r="T273" s="121"/>
      <c r="U273" s="3"/>
      <c r="V273" s="11"/>
      <c r="W273" s="3"/>
      <c r="X273" s="11"/>
      <c r="Y273" s="3"/>
      <c r="Z273" s="11"/>
      <c r="AA273" s="3"/>
      <c r="AB273" s="11"/>
      <c r="AC273" s="3"/>
      <c r="AD273" s="11"/>
      <c r="AE273" s="3"/>
      <c r="AF273" s="11"/>
      <c r="AG273" s="3"/>
      <c r="AH273" s="11"/>
      <c r="AI273" s="3"/>
      <c r="AJ273" s="11"/>
      <c r="AK273" s="3"/>
      <c r="AL273" s="11"/>
      <c r="AM273" s="3"/>
      <c r="AN273" s="11"/>
      <c r="AO273" s="3"/>
      <c r="AP273" s="11"/>
      <c r="AQ273" s="3"/>
      <c r="AR273" s="11"/>
      <c r="AS273" s="3"/>
      <c r="AT273" s="11"/>
      <c r="AU273" s="3"/>
      <c r="AV273" s="11"/>
      <c r="AW273" s="3"/>
      <c r="AX273" s="121"/>
      <c r="AY273" s="3"/>
      <c r="AZ273" s="11"/>
      <c r="BA273" s="3"/>
      <c r="BB273" s="11"/>
      <c r="BC273" s="3"/>
      <c r="BD273" s="11"/>
      <c r="BE273" s="3"/>
      <c r="BF273" s="11"/>
      <c r="BG273" s="3"/>
      <c r="BH273" s="11"/>
      <c r="BI273" s="3"/>
      <c r="BJ273" s="11"/>
      <c r="BK273" s="3"/>
      <c r="BL273" s="11"/>
      <c r="BM273" s="3"/>
      <c r="BN273" s="11"/>
      <c r="BO273" s="3"/>
      <c r="BP273" s="11"/>
      <c r="BQ273" s="3"/>
      <c r="BR273" s="11"/>
      <c r="BS273" s="3"/>
      <c r="BT273" s="11"/>
      <c r="BU273" s="3"/>
      <c r="BV273" s="11"/>
      <c r="BW273" s="3"/>
      <c r="BX273" s="11"/>
      <c r="BY273" s="3"/>
      <c r="BZ273" s="11"/>
      <c r="CA273" s="3"/>
      <c r="CB273" s="11"/>
      <c r="CC273" s="3"/>
      <c r="CD273" s="11"/>
      <c r="CE273" s="3"/>
      <c r="CF273" s="11"/>
      <c r="CG273" s="3"/>
      <c r="CH273" s="11"/>
      <c r="CI273" s="3"/>
      <c r="CJ273" s="11"/>
      <c r="CK273" s="3"/>
      <c r="CL273" s="11"/>
      <c r="CM273" s="3"/>
      <c r="CN273" s="11"/>
      <c r="CO273" s="3"/>
      <c r="CP273" s="11"/>
      <c r="CQ273" s="3"/>
      <c r="CR273" s="11"/>
      <c r="CS273" s="3"/>
      <c r="CT273" s="11"/>
      <c r="CU273" s="3"/>
      <c r="CV273" s="11"/>
      <c r="CW273" s="3"/>
      <c r="CX273" s="11"/>
      <c r="CY273" s="3"/>
      <c r="CZ273" s="11"/>
      <c r="DA273" s="3"/>
    </row>
    <row r="274" spans="1:105">
      <c r="A274" s="1" t="s">
        <v>964</v>
      </c>
      <c r="B274" s="3">
        <v>38</v>
      </c>
      <c r="C274" t="s">
        <v>185</v>
      </c>
      <c r="D274" s="3">
        <v>265</v>
      </c>
      <c r="E274" t="s">
        <v>12</v>
      </c>
      <c r="F274" s="3">
        <v>4</v>
      </c>
      <c r="G274" s="3"/>
      <c r="T274" s="121"/>
      <c r="U274" s="3"/>
      <c r="V274" s="11"/>
      <c r="W274" s="3"/>
      <c r="X274" s="11"/>
      <c r="Y274" s="3"/>
      <c r="Z274" s="11"/>
      <c r="AA274" s="3"/>
      <c r="AB274" s="11"/>
      <c r="AC274" s="3"/>
      <c r="AD274" s="11"/>
      <c r="AE274" s="3"/>
      <c r="AF274" s="11"/>
      <c r="AG274" s="3"/>
      <c r="AH274" s="11"/>
      <c r="AI274" s="3"/>
      <c r="AJ274" s="11"/>
      <c r="AK274" s="3"/>
      <c r="AL274" s="11"/>
      <c r="AM274" s="3"/>
      <c r="AN274" s="11"/>
      <c r="AO274" s="3"/>
      <c r="AP274" s="11"/>
      <c r="AQ274" s="3"/>
      <c r="AR274" s="11"/>
      <c r="AS274" s="3"/>
      <c r="AT274" s="11"/>
      <c r="AU274" s="3"/>
      <c r="AV274" s="11"/>
      <c r="AW274" s="3"/>
      <c r="AX274" s="121"/>
      <c r="AY274" s="3"/>
      <c r="AZ274" s="11"/>
      <c r="BA274" s="3"/>
      <c r="BB274" s="11"/>
      <c r="BC274" s="3"/>
      <c r="BD274" s="11"/>
      <c r="BE274" s="3"/>
      <c r="BF274" s="11"/>
      <c r="BG274" s="3"/>
      <c r="BH274" s="11"/>
      <c r="BI274" s="3"/>
      <c r="BJ274" s="11"/>
      <c r="BK274" s="3"/>
      <c r="BL274" s="11"/>
      <c r="BM274" s="3"/>
      <c r="BN274" s="11"/>
      <c r="BO274" s="3"/>
      <c r="BP274" s="11"/>
      <c r="BQ274" s="3"/>
      <c r="BR274" s="11"/>
      <c r="BS274" s="3"/>
      <c r="BT274" s="11"/>
      <c r="BU274" s="3"/>
      <c r="BV274" s="11"/>
      <c r="BW274" s="3"/>
      <c r="BX274" s="11"/>
      <c r="BY274" s="3"/>
      <c r="BZ274" s="11"/>
      <c r="CA274" s="3"/>
      <c r="CB274" s="11"/>
      <c r="CC274" s="3"/>
      <c r="CD274" s="11"/>
      <c r="CE274" s="3"/>
      <c r="CF274" s="11"/>
      <c r="CG274" s="3"/>
      <c r="CH274" s="11"/>
      <c r="CI274" s="3"/>
      <c r="CJ274" s="11"/>
      <c r="CK274" s="3"/>
      <c r="CL274" s="11"/>
      <c r="CM274" s="3"/>
      <c r="CN274" s="11"/>
      <c r="CO274" s="3"/>
      <c r="CP274" s="11"/>
      <c r="CQ274" s="3"/>
      <c r="CR274" s="11"/>
      <c r="CS274" s="3"/>
      <c r="CT274" s="11"/>
      <c r="CU274" s="3"/>
      <c r="CV274" s="11"/>
      <c r="CW274" s="3"/>
      <c r="CX274" s="11"/>
      <c r="CY274" s="3"/>
      <c r="CZ274" s="11"/>
      <c r="DA274" s="3"/>
    </row>
    <row r="275" spans="1:105">
      <c r="A275" s="1" t="s">
        <v>965</v>
      </c>
      <c r="B275" s="3">
        <v>38</v>
      </c>
      <c r="C275" t="s">
        <v>368</v>
      </c>
      <c r="D275" s="3">
        <v>266</v>
      </c>
      <c r="E275" t="s">
        <v>12</v>
      </c>
      <c r="F275" s="3">
        <v>4</v>
      </c>
      <c r="G275" s="3"/>
      <c r="T275" s="121"/>
      <c r="U275" s="3"/>
      <c r="V275" s="11"/>
      <c r="W275" s="3"/>
      <c r="X275" s="11"/>
      <c r="Y275" s="3"/>
      <c r="Z275" s="11"/>
      <c r="AA275" s="3"/>
      <c r="AB275" s="11"/>
      <c r="AC275" s="3"/>
      <c r="AD275" s="11"/>
      <c r="AE275" s="3"/>
      <c r="AF275" s="11"/>
      <c r="AG275" s="3"/>
      <c r="AH275" s="11"/>
      <c r="AI275" s="3"/>
      <c r="AJ275" s="11"/>
      <c r="AK275" s="3"/>
      <c r="AL275" s="11"/>
      <c r="AM275" s="3"/>
      <c r="AN275" s="11"/>
      <c r="AO275" s="3"/>
      <c r="AP275" s="11"/>
      <c r="AQ275" s="3"/>
      <c r="AR275" s="11"/>
      <c r="AS275" s="3"/>
      <c r="AT275" s="11"/>
      <c r="AU275" s="3"/>
      <c r="AV275" s="11"/>
      <c r="AW275" s="3"/>
      <c r="AX275" s="121"/>
      <c r="AY275" s="3"/>
      <c r="AZ275" s="11"/>
      <c r="BA275" s="3"/>
      <c r="BB275" s="11"/>
      <c r="BC275" s="3"/>
      <c r="BD275" s="11"/>
      <c r="BE275" s="3"/>
      <c r="BF275" s="11"/>
      <c r="BG275" s="3"/>
      <c r="BH275" s="11"/>
      <c r="BI275" s="3"/>
      <c r="BJ275" s="11"/>
      <c r="BK275" s="3"/>
      <c r="BL275" s="11"/>
      <c r="BM275" s="3"/>
      <c r="BN275" s="11"/>
      <c r="BO275" s="3"/>
      <c r="BP275" s="11"/>
      <c r="BQ275" s="3"/>
      <c r="BR275" s="11"/>
      <c r="BS275" s="3"/>
      <c r="BT275" s="11"/>
      <c r="BU275" s="3"/>
      <c r="BV275" s="11"/>
      <c r="BW275" s="3"/>
      <c r="BX275" s="11"/>
      <c r="BY275" s="3"/>
      <c r="BZ275" s="11"/>
      <c r="CA275" s="3"/>
      <c r="CB275" s="11"/>
      <c r="CC275" s="3"/>
      <c r="CD275" s="11"/>
      <c r="CE275" s="3"/>
      <c r="CF275" s="11"/>
      <c r="CG275" s="3"/>
      <c r="CH275" s="11"/>
      <c r="CI275" s="3"/>
      <c r="CJ275" s="11"/>
      <c r="CK275" s="3"/>
      <c r="CL275" s="11"/>
      <c r="CM275" s="3"/>
      <c r="CN275" s="11"/>
      <c r="CO275" s="3"/>
      <c r="CP275" s="11"/>
      <c r="CQ275" s="3"/>
      <c r="CR275" s="11"/>
      <c r="CS275" s="3"/>
      <c r="CT275" s="11"/>
      <c r="CU275" s="3"/>
      <c r="CV275" s="11"/>
      <c r="CW275" s="3"/>
      <c r="CX275" s="11"/>
      <c r="CY275" s="3"/>
      <c r="CZ275" s="11"/>
      <c r="DA275" s="3"/>
    </row>
    <row r="276" spans="1:105">
      <c r="A276" s="1" t="s">
        <v>966</v>
      </c>
      <c r="B276" s="3">
        <v>39</v>
      </c>
      <c r="C276" t="s">
        <v>356</v>
      </c>
      <c r="D276" s="3">
        <v>267</v>
      </c>
      <c r="E276" t="s">
        <v>12</v>
      </c>
      <c r="F276" s="3">
        <v>3</v>
      </c>
      <c r="G276" s="3"/>
      <c r="T276" s="121"/>
      <c r="U276" s="3"/>
      <c r="V276" s="11"/>
      <c r="W276" s="3"/>
      <c r="X276" s="11"/>
      <c r="Y276" s="3"/>
      <c r="Z276" s="11"/>
      <c r="AA276" s="3"/>
      <c r="AB276" s="11"/>
      <c r="AC276" s="3"/>
      <c r="AD276" s="11"/>
      <c r="AE276" s="3"/>
      <c r="AF276" s="11"/>
      <c r="AG276" s="3"/>
      <c r="AH276" s="11"/>
      <c r="AI276" s="3"/>
      <c r="AJ276" s="11"/>
      <c r="AK276" s="3"/>
      <c r="AL276" s="11"/>
      <c r="AM276" s="3"/>
      <c r="AN276" s="11"/>
      <c r="AO276" s="3"/>
      <c r="AP276" s="11"/>
      <c r="AQ276" s="3"/>
      <c r="AR276" s="11"/>
      <c r="AS276" s="3"/>
      <c r="AT276" s="11"/>
      <c r="AU276" s="3"/>
      <c r="AV276" s="11"/>
      <c r="AW276" s="3"/>
      <c r="AX276" s="121"/>
      <c r="AY276" s="3"/>
      <c r="AZ276" s="11"/>
      <c r="BA276" s="3"/>
      <c r="BB276" s="11"/>
      <c r="BC276" s="3"/>
      <c r="BD276" s="11"/>
      <c r="BE276" s="3"/>
      <c r="BF276" s="11"/>
      <c r="BG276" s="3"/>
      <c r="BH276" s="11"/>
      <c r="BI276" s="3"/>
      <c r="BJ276" s="11"/>
      <c r="BK276" s="3"/>
      <c r="BL276" s="11"/>
      <c r="BM276" s="3"/>
      <c r="BN276" s="11"/>
      <c r="BO276" s="3"/>
      <c r="BP276" s="11"/>
      <c r="BQ276" s="3"/>
      <c r="BR276" s="11"/>
      <c r="BS276" s="3"/>
      <c r="BT276" s="11"/>
      <c r="BU276" s="3"/>
      <c r="BV276" s="11"/>
      <c r="BW276" s="3"/>
      <c r="BX276" s="11"/>
      <c r="BY276" s="3"/>
      <c r="BZ276" s="11"/>
      <c r="CA276" s="3"/>
      <c r="CB276" s="11"/>
      <c r="CC276" s="3"/>
      <c r="CD276" s="11"/>
      <c r="CE276" s="3"/>
      <c r="CF276" s="11"/>
      <c r="CG276" s="3"/>
      <c r="CH276" s="11"/>
      <c r="CI276" s="3"/>
      <c r="CJ276" s="11"/>
      <c r="CK276" s="3"/>
      <c r="CL276" s="11"/>
      <c r="CM276" s="3"/>
      <c r="CN276" s="11"/>
      <c r="CO276" s="3"/>
      <c r="CP276" s="11"/>
      <c r="CQ276" s="3"/>
      <c r="CR276" s="11"/>
      <c r="CS276" s="3"/>
      <c r="CT276" s="11"/>
      <c r="CU276" s="3"/>
      <c r="CV276" s="11"/>
      <c r="CW276" s="3"/>
      <c r="CX276" s="11"/>
      <c r="CY276" s="3"/>
      <c r="CZ276" s="11"/>
      <c r="DA276" s="3"/>
    </row>
    <row r="277" spans="1:105">
      <c r="A277" s="1" t="s">
        <v>967</v>
      </c>
      <c r="B277" s="3">
        <v>39</v>
      </c>
      <c r="C277" t="s">
        <v>141</v>
      </c>
      <c r="D277" s="3">
        <v>268</v>
      </c>
      <c r="E277" t="s">
        <v>12</v>
      </c>
      <c r="F277" s="3">
        <v>2</v>
      </c>
      <c r="G277" s="3"/>
      <c r="T277" s="121"/>
      <c r="U277" s="3"/>
      <c r="V277" s="11"/>
      <c r="W277" s="3"/>
      <c r="X277" s="11"/>
      <c r="Y277" s="3"/>
      <c r="Z277" s="11"/>
      <c r="AA277" s="3"/>
      <c r="AB277" s="11"/>
      <c r="AC277" s="3"/>
      <c r="AD277" s="11"/>
      <c r="AE277" s="3"/>
      <c r="AF277" s="11"/>
      <c r="AG277" s="3"/>
      <c r="AH277" s="11"/>
      <c r="AI277" s="3"/>
      <c r="AJ277" s="11"/>
      <c r="AK277" s="3"/>
      <c r="AL277" s="11"/>
      <c r="AM277" s="3"/>
      <c r="AN277" s="11"/>
      <c r="AO277" s="3"/>
      <c r="AP277" s="11"/>
      <c r="AQ277" s="3"/>
      <c r="AR277" s="11"/>
      <c r="AS277" s="3"/>
      <c r="AT277" s="11"/>
      <c r="AU277" s="3"/>
      <c r="AV277" s="11"/>
      <c r="AW277" s="3"/>
      <c r="AX277" s="121"/>
      <c r="AY277" s="3"/>
      <c r="AZ277" s="11"/>
      <c r="BA277" s="3"/>
      <c r="BB277" s="11"/>
      <c r="BC277" s="3"/>
      <c r="BD277" s="11"/>
      <c r="BE277" s="3"/>
      <c r="BF277" s="11"/>
      <c r="BG277" s="3"/>
      <c r="BH277" s="11"/>
      <c r="BI277" s="3"/>
      <c r="BJ277" s="11"/>
      <c r="BK277" s="3"/>
      <c r="BL277" s="11"/>
      <c r="BM277" s="3"/>
      <c r="BN277" s="11"/>
      <c r="BO277" s="3"/>
      <c r="BP277" s="11"/>
      <c r="BQ277" s="3"/>
      <c r="BR277" s="11"/>
      <c r="BS277" s="3"/>
      <c r="BT277" s="11"/>
      <c r="BU277" s="3"/>
      <c r="BV277" s="11"/>
      <c r="BW277" s="3"/>
      <c r="BX277" s="11"/>
      <c r="BY277" s="3"/>
      <c r="BZ277" s="11"/>
      <c r="CA277" s="3"/>
      <c r="CB277" s="11"/>
      <c r="CC277" s="3"/>
      <c r="CD277" s="11"/>
      <c r="CE277" s="3"/>
      <c r="CF277" s="11"/>
      <c r="CG277" s="3"/>
      <c r="CH277" s="11"/>
      <c r="CI277" s="3"/>
      <c r="CJ277" s="11"/>
      <c r="CK277" s="3"/>
      <c r="CL277" s="11"/>
      <c r="CM277" s="3"/>
      <c r="CN277" s="11"/>
      <c r="CO277" s="3"/>
      <c r="CP277" s="11"/>
      <c r="CQ277" s="3"/>
      <c r="CR277" s="11"/>
      <c r="CS277" s="3"/>
      <c r="CT277" s="11"/>
      <c r="CU277" s="3"/>
      <c r="CV277" s="11"/>
      <c r="CW277" s="3"/>
      <c r="CX277" s="11"/>
      <c r="CY277" s="3"/>
      <c r="CZ277" s="11"/>
      <c r="DA277" s="3"/>
    </row>
    <row r="278" spans="1:105">
      <c r="A278" s="1" t="s">
        <v>968</v>
      </c>
      <c r="B278" s="3">
        <v>40</v>
      </c>
      <c r="C278" t="s">
        <v>297</v>
      </c>
      <c r="D278" s="3">
        <v>269</v>
      </c>
      <c r="E278" t="s">
        <v>12</v>
      </c>
      <c r="F278" s="3">
        <v>2</v>
      </c>
      <c r="G278" s="3"/>
      <c r="T278" s="121"/>
      <c r="U278" s="3"/>
      <c r="V278" s="11"/>
      <c r="W278" s="3"/>
      <c r="X278" s="11"/>
      <c r="Y278" s="3"/>
      <c r="Z278" s="11"/>
      <c r="AA278" s="3"/>
      <c r="AB278" s="11"/>
      <c r="AC278" s="3"/>
      <c r="AD278" s="11"/>
      <c r="AE278" s="3"/>
      <c r="AF278" s="11"/>
      <c r="AG278" s="3"/>
      <c r="AH278" s="11"/>
      <c r="AI278" s="3"/>
      <c r="AJ278" s="11"/>
      <c r="AK278" s="3"/>
      <c r="AL278" s="11"/>
      <c r="AM278" s="3"/>
      <c r="AN278" s="11"/>
      <c r="AO278" s="3"/>
      <c r="AP278" s="11"/>
      <c r="AQ278" s="3"/>
      <c r="AR278" s="11"/>
      <c r="AS278" s="3"/>
      <c r="AT278" s="11"/>
      <c r="AU278" s="3"/>
      <c r="AV278" s="11"/>
      <c r="AW278" s="3"/>
      <c r="AX278" s="121"/>
      <c r="AY278" s="3"/>
      <c r="AZ278" s="11"/>
      <c r="BA278" s="3"/>
      <c r="BB278" s="11"/>
      <c r="BC278" s="3"/>
      <c r="BD278" s="11"/>
      <c r="BE278" s="3"/>
      <c r="BF278" s="11"/>
      <c r="BG278" s="3"/>
      <c r="BH278" s="11"/>
      <c r="BI278" s="3"/>
      <c r="BJ278" s="11"/>
      <c r="BK278" s="3"/>
      <c r="BL278" s="11"/>
      <c r="BM278" s="3"/>
      <c r="BN278" s="11"/>
      <c r="BO278" s="3"/>
      <c r="BP278" s="11"/>
      <c r="BQ278" s="3"/>
      <c r="BR278" s="11"/>
      <c r="BS278" s="3"/>
      <c r="BT278" s="11"/>
      <c r="BU278" s="3"/>
      <c r="BV278" s="11"/>
      <c r="BW278" s="3"/>
      <c r="BX278" s="11"/>
      <c r="BY278" s="3"/>
      <c r="BZ278" s="11"/>
      <c r="CA278" s="3"/>
      <c r="CB278" s="11"/>
      <c r="CC278" s="3"/>
      <c r="CD278" s="11"/>
      <c r="CE278" s="3"/>
      <c r="CF278" s="11"/>
      <c r="CG278" s="3"/>
      <c r="CH278" s="11"/>
      <c r="CI278" s="3"/>
      <c r="CJ278" s="11"/>
      <c r="CK278" s="3"/>
      <c r="CL278" s="11"/>
      <c r="CM278" s="3"/>
      <c r="CN278" s="11"/>
      <c r="CO278" s="3"/>
      <c r="CP278" s="11"/>
      <c r="CQ278" s="3"/>
      <c r="CR278" s="11"/>
      <c r="CS278" s="3"/>
      <c r="CT278" s="11"/>
      <c r="CU278" s="3"/>
      <c r="CV278" s="11"/>
      <c r="CW278" s="3"/>
      <c r="CX278" s="11"/>
      <c r="CY278" s="3"/>
      <c r="CZ278" s="11"/>
      <c r="DA278" s="3"/>
    </row>
    <row r="279" spans="1:105">
      <c r="A279" s="1" t="s">
        <v>969</v>
      </c>
      <c r="B279" s="3">
        <v>40</v>
      </c>
      <c r="C279" t="s">
        <v>100</v>
      </c>
      <c r="D279" s="3">
        <v>270</v>
      </c>
      <c r="E279" t="s">
        <v>12</v>
      </c>
      <c r="F279" s="3">
        <v>3</v>
      </c>
      <c r="G279" s="3"/>
      <c r="T279" s="121"/>
      <c r="U279" s="3"/>
      <c r="V279" s="11"/>
      <c r="W279" s="3"/>
      <c r="X279" s="11"/>
      <c r="Y279" s="3"/>
      <c r="Z279" s="11"/>
      <c r="AA279" s="3"/>
      <c r="AB279" s="11"/>
      <c r="AC279" s="3"/>
      <c r="AD279" s="11"/>
      <c r="AE279" s="3"/>
      <c r="AF279" s="11"/>
      <c r="AG279" s="3"/>
      <c r="AH279" s="11"/>
      <c r="AI279" s="3"/>
      <c r="AJ279" s="11"/>
      <c r="AK279" s="3"/>
      <c r="AL279" s="11"/>
      <c r="AM279" s="3"/>
      <c r="AN279" s="11"/>
      <c r="AO279" s="3"/>
      <c r="AP279" s="11"/>
      <c r="AQ279" s="3"/>
      <c r="AR279" s="11"/>
      <c r="AS279" s="3"/>
      <c r="AT279" s="11"/>
      <c r="AU279" s="3"/>
      <c r="AV279" s="11"/>
      <c r="AW279" s="3"/>
      <c r="AX279" s="121"/>
      <c r="AY279" s="3"/>
      <c r="AZ279" s="11"/>
      <c r="BA279" s="3"/>
      <c r="BB279" s="11"/>
      <c r="BC279" s="3"/>
      <c r="BD279" s="11"/>
      <c r="BE279" s="3"/>
      <c r="BF279" s="11"/>
      <c r="BG279" s="3"/>
      <c r="BH279" s="11"/>
      <c r="BI279" s="3"/>
      <c r="BJ279" s="11"/>
      <c r="BK279" s="3"/>
      <c r="BL279" s="11"/>
      <c r="BM279" s="3"/>
      <c r="BN279" s="11"/>
      <c r="BO279" s="3"/>
      <c r="BP279" s="11"/>
      <c r="BQ279" s="3"/>
      <c r="BR279" s="11"/>
      <c r="BS279" s="3"/>
      <c r="BT279" s="11"/>
      <c r="BU279" s="3"/>
      <c r="BV279" s="11"/>
      <c r="BW279" s="3"/>
      <c r="BX279" s="11"/>
      <c r="BY279" s="3"/>
      <c r="BZ279" s="11"/>
      <c r="CA279" s="3"/>
      <c r="CB279" s="11"/>
      <c r="CC279" s="3"/>
      <c r="CD279" s="11"/>
      <c r="CE279" s="3"/>
      <c r="CF279" s="11"/>
      <c r="CG279" s="3"/>
      <c r="CH279" s="11"/>
      <c r="CI279" s="3"/>
      <c r="CJ279" s="11"/>
      <c r="CK279" s="3"/>
      <c r="CL279" s="11"/>
      <c r="CM279" s="3"/>
      <c r="CN279" s="11"/>
      <c r="CO279" s="3"/>
      <c r="CP279" s="11"/>
      <c r="CQ279" s="3"/>
      <c r="CR279" s="11"/>
      <c r="CS279" s="3"/>
      <c r="CT279" s="11"/>
      <c r="CU279" s="3"/>
      <c r="CV279" s="11"/>
      <c r="CW279" s="3"/>
      <c r="CX279" s="11"/>
      <c r="CY279" s="3"/>
      <c r="CZ279" s="11"/>
      <c r="DA279" s="3"/>
    </row>
    <row r="280" spans="1:105">
      <c r="A280" s="1" t="s">
        <v>970</v>
      </c>
      <c r="B280" s="3">
        <v>41</v>
      </c>
      <c r="C280" t="s">
        <v>359</v>
      </c>
      <c r="D280" s="3">
        <v>271</v>
      </c>
      <c r="E280" t="s">
        <v>12</v>
      </c>
      <c r="F280" s="3">
        <v>4</v>
      </c>
      <c r="G280" s="3"/>
      <c r="T280" s="121"/>
      <c r="U280" s="3"/>
      <c r="V280" s="11"/>
      <c r="W280" s="3"/>
      <c r="X280" s="11"/>
      <c r="Y280" s="3"/>
      <c r="Z280" s="11"/>
      <c r="AA280" s="3"/>
      <c r="AB280" s="11"/>
      <c r="AC280" s="3"/>
      <c r="AD280" s="11"/>
      <c r="AE280" s="3"/>
      <c r="AF280" s="11"/>
      <c r="AG280" s="3"/>
      <c r="AH280" s="11"/>
      <c r="AI280" s="3"/>
      <c r="AJ280" s="11"/>
      <c r="AK280" s="3"/>
      <c r="AL280" s="11"/>
      <c r="AM280" s="3"/>
      <c r="AN280" s="11"/>
      <c r="AO280" s="3"/>
      <c r="AP280" s="11"/>
      <c r="AQ280" s="3"/>
      <c r="AR280" s="11"/>
      <c r="AS280" s="3"/>
      <c r="AT280" s="11"/>
      <c r="AU280" s="3"/>
      <c r="AV280" s="11"/>
      <c r="AW280" s="3"/>
      <c r="AX280" s="121"/>
      <c r="AY280" s="3"/>
      <c r="AZ280" s="11"/>
      <c r="BA280" s="3"/>
      <c r="BB280" s="11"/>
      <c r="BC280" s="3"/>
      <c r="BD280" s="11"/>
      <c r="BE280" s="3"/>
      <c r="BF280" s="11"/>
      <c r="BG280" s="3"/>
      <c r="BH280" s="11"/>
      <c r="BI280" s="3"/>
      <c r="BJ280" s="11"/>
      <c r="BK280" s="3"/>
      <c r="BL280" s="11"/>
      <c r="BM280" s="3"/>
      <c r="BN280" s="11"/>
      <c r="BO280" s="3"/>
      <c r="BP280" s="11"/>
      <c r="BQ280" s="3"/>
      <c r="BR280" s="11"/>
      <c r="BS280" s="3"/>
      <c r="BT280" s="11"/>
      <c r="BU280" s="3"/>
      <c r="BV280" s="11"/>
      <c r="BW280" s="3"/>
      <c r="BX280" s="11"/>
      <c r="BY280" s="3"/>
      <c r="BZ280" s="11"/>
      <c r="CA280" s="3"/>
      <c r="CB280" s="11"/>
      <c r="CC280" s="3"/>
      <c r="CD280" s="11"/>
      <c r="CE280" s="3"/>
      <c r="CF280" s="11"/>
      <c r="CG280" s="3"/>
      <c r="CH280" s="11"/>
      <c r="CI280" s="3"/>
      <c r="CJ280" s="11"/>
      <c r="CK280" s="3"/>
      <c r="CL280" s="11"/>
      <c r="CM280" s="3"/>
      <c r="CN280" s="11"/>
      <c r="CO280" s="3"/>
      <c r="CP280" s="11"/>
      <c r="CQ280" s="3"/>
      <c r="CR280" s="11"/>
      <c r="CS280" s="3"/>
      <c r="CT280" s="11"/>
      <c r="CU280" s="3"/>
      <c r="CV280" s="11"/>
      <c r="CW280" s="3"/>
      <c r="CX280" s="11"/>
      <c r="CY280" s="3"/>
      <c r="CZ280" s="11"/>
      <c r="DA280" s="3"/>
    </row>
    <row r="281" spans="1:105">
      <c r="A281" s="1" t="s">
        <v>971</v>
      </c>
      <c r="B281" s="3">
        <v>41</v>
      </c>
      <c r="C281" t="s">
        <v>281</v>
      </c>
      <c r="D281" s="3">
        <v>272</v>
      </c>
      <c r="E281" t="s">
        <v>12</v>
      </c>
      <c r="F281" s="3">
        <v>4</v>
      </c>
      <c r="G281" s="3"/>
      <c r="T281" s="121"/>
      <c r="U281" s="3"/>
      <c r="V281" s="11"/>
      <c r="W281" s="3"/>
      <c r="X281" s="11"/>
      <c r="Y281" s="3"/>
      <c r="Z281" s="11"/>
      <c r="AA281" s="3"/>
      <c r="AB281" s="11"/>
      <c r="AC281" s="3"/>
      <c r="AD281" s="11"/>
      <c r="AE281" s="3"/>
      <c r="AF281" s="11"/>
      <c r="AG281" s="3"/>
      <c r="AH281" s="11"/>
      <c r="AI281" s="3"/>
      <c r="AJ281" s="11"/>
      <c r="AK281" s="3"/>
      <c r="AL281" s="11"/>
      <c r="AM281" s="3"/>
      <c r="AN281" s="11"/>
      <c r="AO281" s="3"/>
      <c r="AP281" s="11"/>
      <c r="AQ281" s="3"/>
      <c r="AR281" s="11"/>
      <c r="AS281" s="3"/>
      <c r="AT281" s="11"/>
      <c r="AU281" s="3"/>
      <c r="AV281" s="11"/>
      <c r="AW281" s="3"/>
      <c r="AX281" s="121"/>
      <c r="AY281" s="3"/>
      <c r="AZ281" s="11"/>
      <c r="BA281" s="3"/>
      <c r="BB281" s="11"/>
      <c r="BC281" s="3"/>
      <c r="BD281" s="11"/>
      <c r="BE281" s="3"/>
      <c r="BF281" s="11"/>
      <c r="BG281" s="3"/>
      <c r="BH281" s="11"/>
      <c r="BI281" s="3"/>
      <c r="BJ281" s="11"/>
      <c r="BK281" s="3"/>
      <c r="BL281" s="11"/>
      <c r="BM281" s="3"/>
      <c r="BN281" s="11"/>
      <c r="BO281" s="3"/>
      <c r="BP281" s="11"/>
      <c r="BQ281" s="3"/>
      <c r="BR281" s="11"/>
      <c r="BS281" s="3"/>
      <c r="BT281" s="11"/>
      <c r="BU281" s="3"/>
      <c r="BV281" s="11"/>
      <c r="BW281" s="3"/>
      <c r="BX281" s="11"/>
      <c r="BY281" s="3"/>
      <c r="BZ281" s="11"/>
      <c r="CA281" s="3"/>
      <c r="CB281" s="11"/>
      <c r="CC281" s="3"/>
      <c r="CD281" s="11"/>
      <c r="CE281" s="3"/>
      <c r="CF281" s="11"/>
      <c r="CG281" s="3"/>
      <c r="CH281" s="11"/>
      <c r="CI281" s="3"/>
      <c r="CJ281" s="11"/>
      <c r="CK281" s="3"/>
      <c r="CL281" s="11"/>
      <c r="CM281" s="3"/>
      <c r="CN281" s="11"/>
      <c r="CO281" s="3"/>
      <c r="CP281" s="11"/>
      <c r="CQ281" s="3"/>
      <c r="CR281" s="11"/>
      <c r="CS281" s="3"/>
      <c r="CT281" s="11"/>
      <c r="CU281" s="3"/>
      <c r="CV281" s="11"/>
      <c r="CW281" s="3"/>
      <c r="CX281" s="11"/>
      <c r="CY281" s="3"/>
      <c r="CZ281" s="11"/>
      <c r="DA281" s="3"/>
    </row>
    <row r="282" spans="1:105">
      <c r="A282" s="1" t="s">
        <v>972</v>
      </c>
      <c r="B282" s="3">
        <v>42</v>
      </c>
      <c r="C282" t="s">
        <v>270</v>
      </c>
      <c r="D282" s="3">
        <v>273</v>
      </c>
      <c r="E282" t="s">
        <v>12</v>
      </c>
      <c r="F282" s="3">
        <v>3</v>
      </c>
      <c r="G282" s="3"/>
    </row>
    <row r="283" spans="1:105">
      <c r="A283" s="1" t="s">
        <v>973</v>
      </c>
      <c r="B283" s="3">
        <v>42</v>
      </c>
      <c r="C283" t="s">
        <v>80</v>
      </c>
      <c r="D283" s="3">
        <v>274</v>
      </c>
      <c r="E283" t="s">
        <v>12</v>
      </c>
      <c r="F283" s="3">
        <v>4</v>
      </c>
      <c r="G283" s="3"/>
    </row>
    <row r="284" spans="1:105">
      <c r="A284" s="1" t="s">
        <v>974</v>
      </c>
      <c r="B284" s="3">
        <v>43</v>
      </c>
      <c r="C284" t="s">
        <v>124</v>
      </c>
      <c r="D284" s="3">
        <v>275</v>
      </c>
      <c r="E284" t="s">
        <v>12</v>
      </c>
      <c r="F284" s="3">
        <v>3</v>
      </c>
      <c r="G284" s="3"/>
    </row>
    <row r="285" spans="1:105">
      <c r="A285" s="1" t="s">
        <v>975</v>
      </c>
      <c r="B285" s="3">
        <v>43</v>
      </c>
      <c r="C285" t="s">
        <v>92</v>
      </c>
      <c r="D285" s="3">
        <v>276</v>
      </c>
      <c r="E285" t="s">
        <v>12</v>
      </c>
      <c r="F285" s="3">
        <v>2</v>
      </c>
      <c r="G285" s="3"/>
    </row>
    <row r="286" spans="1:105">
      <c r="A286" s="1" t="s">
        <v>976</v>
      </c>
      <c r="B286" s="3">
        <v>44</v>
      </c>
      <c r="C286" t="s">
        <v>107</v>
      </c>
      <c r="D286" s="3">
        <v>277</v>
      </c>
      <c r="E286" t="s">
        <v>12</v>
      </c>
      <c r="F286" s="3">
        <v>3</v>
      </c>
      <c r="G286" s="3"/>
    </row>
    <row r="287" spans="1:105">
      <c r="A287" s="1" t="s">
        <v>977</v>
      </c>
      <c r="B287" s="3">
        <v>44</v>
      </c>
      <c r="C287" t="s">
        <v>1058</v>
      </c>
      <c r="D287" s="3">
        <v>278</v>
      </c>
      <c r="E287" t="s">
        <v>12</v>
      </c>
      <c r="F287" s="3">
        <v>4</v>
      </c>
      <c r="G287" s="3"/>
    </row>
    <row r="288" spans="1:105">
      <c r="A288" s="1" t="s">
        <v>978</v>
      </c>
      <c r="B288" s="3">
        <v>45</v>
      </c>
      <c r="C288" t="s">
        <v>98</v>
      </c>
      <c r="D288" s="3">
        <v>279</v>
      </c>
      <c r="E288" t="s">
        <v>12</v>
      </c>
      <c r="F288" s="3">
        <v>3</v>
      </c>
      <c r="G288" s="3"/>
    </row>
    <row r="289" spans="1:7">
      <c r="A289" s="1" t="s">
        <v>979</v>
      </c>
      <c r="B289" s="3">
        <v>45</v>
      </c>
      <c r="C289" t="s">
        <v>246</v>
      </c>
      <c r="D289" s="3">
        <v>280</v>
      </c>
      <c r="E289" t="s">
        <v>12</v>
      </c>
      <c r="F289" s="3">
        <v>3</v>
      </c>
      <c r="G289" s="3"/>
    </row>
    <row r="290" spans="1:7">
      <c r="A290" s="1" t="s">
        <v>980</v>
      </c>
      <c r="B290" s="3">
        <v>46</v>
      </c>
      <c r="C290" t="s">
        <v>53</v>
      </c>
      <c r="D290" s="3">
        <v>281</v>
      </c>
      <c r="E290" t="s">
        <v>12</v>
      </c>
      <c r="F290" s="3">
        <v>2</v>
      </c>
      <c r="G290" s="3"/>
    </row>
    <row r="291" spans="1:7">
      <c r="A291" s="1" t="s">
        <v>981</v>
      </c>
      <c r="B291" s="3">
        <v>46</v>
      </c>
      <c r="C291" t="s">
        <v>162</v>
      </c>
      <c r="D291" s="3">
        <v>282</v>
      </c>
      <c r="E291" t="s">
        <v>12</v>
      </c>
      <c r="F291" s="3">
        <v>2</v>
      </c>
      <c r="G291" s="3"/>
    </row>
    <row r="292" spans="1:7">
      <c r="A292" s="1" t="s">
        <v>982</v>
      </c>
      <c r="B292" s="3">
        <v>47</v>
      </c>
      <c r="C292" t="s">
        <v>1059</v>
      </c>
      <c r="D292" s="3">
        <v>283</v>
      </c>
      <c r="E292" t="s">
        <v>12</v>
      </c>
      <c r="F292" s="3">
        <v>4</v>
      </c>
      <c r="G292" s="3"/>
    </row>
    <row r="293" spans="1:7">
      <c r="A293" s="1" t="s">
        <v>983</v>
      </c>
      <c r="B293" s="3">
        <v>47</v>
      </c>
      <c r="C293" t="s">
        <v>1060</v>
      </c>
      <c r="D293" s="3">
        <v>284</v>
      </c>
      <c r="E293" t="s">
        <v>12</v>
      </c>
      <c r="F293" s="3">
        <v>4</v>
      </c>
      <c r="G293" s="3"/>
    </row>
    <row r="294" spans="1:7">
      <c r="A294" s="1" t="s">
        <v>984</v>
      </c>
      <c r="B294" s="3">
        <v>48</v>
      </c>
      <c r="C294" t="s">
        <v>137</v>
      </c>
      <c r="D294" s="3">
        <v>285</v>
      </c>
      <c r="E294" t="s">
        <v>12</v>
      </c>
      <c r="F294" s="3">
        <v>3</v>
      </c>
      <c r="G294" s="3"/>
    </row>
    <row r="295" spans="1:7">
      <c r="A295" s="1" t="s">
        <v>985</v>
      </c>
      <c r="B295" s="3">
        <v>48</v>
      </c>
      <c r="C295" t="s">
        <v>225</v>
      </c>
      <c r="D295" s="3">
        <v>286</v>
      </c>
      <c r="E295" t="s">
        <v>12</v>
      </c>
      <c r="F295" s="3">
        <v>3</v>
      </c>
      <c r="G295" s="3"/>
    </row>
    <row r="296" spans="1:7">
      <c r="A296" s="1" t="s">
        <v>986</v>
      </c>
      <c r="B296" s="3">
        <v>49</v>
      </c>
      <c r="C296" t="s">
        <v>49</v>
      </c>
      <c r="D296" s="3">
        <v>287</v>
      </c>
      <c r="E296" t="s">
        <v>12</v>
      </c>
      <c r="F296" s="3">
        <v>3</v>
      </c>
      <c r="G296" s="3"/>
    </row>
    <row r="297" spans="1:7">
      <c r="A297" s="1" t="s">
        <v>987</v>
      </c>
      <c r="B297" s="3">
        <v>49</v>
      </c>
      <c r="C297" s="170" t="s">
        <v>214</v>
      </c>
      <c r="D297" s="3">
        <v>288</v>
      </c>
      <c r="E297" t="s">
        <v>12</v>
      </c>
      <c r="F297" s="3">
        <v>2</v>
      </c>
      <c r="G297" s="3"/>
    </row>
    <row r="298" spans="1:7">
      <c r="A298" s="1" t="s">
        <v>988</v>
      </c>
      <c r="B298" s="3">
        <v>50</v>
      </c>
      <c r="C298" t="s">
        <v>168</v>
      </c>
      <c r="D298" s="3">
        <v>289</v>
      </c>
      <c r="E298" t="s">
        <v>12</v>
      </c>
      <c r="F298" s="3">
        <v>2</v>
      </c>
      <c r="G298" s="3"/>
    </row>
    <row r="299" spans="1:7">
      <c r="A299" s="1" t="s">
        <v>989</v>
      </c>
      <c r="B299" s="3">
        <v>50</v>
      </c>
      <c r="C299" t="s">
        <v>64</v>
      </c>
      <c r="D299" s="3">
        <v>290</v>
      </c>
      <c r="E299" t="s">
        <v>12</v>
      </c>
      <c r="F299" s="3">
        <v>3</v>
      </c>
      <c r="G299" s="3"/>
    </row>
    <row r="300" spans="1:7">
      <c r="A300" s="1" t="s">
        <v>990</v>
      </c>
      <c r="B300" s="3">
        <v>51</v>
      </c>
      <c r="C300" t="s">
        <v>204</v>
      </c>
      <c r="D300" s="3">
        <v>291</v>
      </c>
      <c r="E300" t="s">
        <v>12</v>
      </c>
      <c r="F300" s="3">
        <v>2</v>
      </c>
      <c r="G300" s="3"/>
    </row>
    <row r="301" spans="1:7">
      <c r="A301" s="1" t="s">
        <v>991</v>
      </c>
      <c r="B301" s="3">
        <v>51</v>
      </c>
      <c r="C301" t="s">
        <v>312</v>
      </c>
      <c r="D301" s="3">
        <v>292</v>
      </c>
      <c r="E301" t="s">
        <v>12</v>
      </c>
      <c r="F301" s="3">
        <v>2</v>
      </c>
      <c r="G301" s="3"/>
    </row>
    <row r="302" spans="1:7">
      <c r="A302" s="1" t="s">
        <v>992</v>
      </c>
      <c r="B302" s="3">
        <v>52</v>
      </c>
      <c r="C302" t="s">
        <v>288</v>
      </c>
      <c r="D302" s="3">
        <v>293</v>
      </c>
      <c r="E302" t="s">
        <v>12</v>
      </c>
      <c r="F302" s="3">
        <v>3</v>
      </c>
      <c r="G302" s="3"/>
    </row>
    <row r="303" spans="1:7">
      <c r="A303" s="1" t="s">
        <v>993</v>
      </c>
      <c r="B303" s="3">
        <v>52</v>
      </c>
      <c r="C303" t="s">
        <v>183</v>
      </c>
      <c r="D303" s="3">
        <v>294</v>
      </c>
      <c r="E303" t="s">
        <v>12</v>
      </c>
      <c r="F303" s="3">
        <v>4</v>
      </c>
      <c r="G303" s="3"/>
    </row>
    <row r="304" spans="1:7">
      <c r="A304" s="1" t="s">
        <v>994</v>
      </c>
      <c r="B304" s="3">
        <v>53</v>
      </c>
      <c r="C304" t="s">
        <v>276</v>
      </c>
      <c r="D304" s="3">
        <v>295</v>
      </c>
      <c r="E304" t="s">
        <v>12</v>
      </c>
      <c r="F304" s="3">
        <v>4</v>
      </c>
      <c r="G304" s="3"/>
    </row>
    <row r="305" spans="1:7">
      <c r="A305" s="1" t="s">
        <v>995</v>
      </c>
      <c r="B305" s="3">
        <v>53</v>
      </c>
      <c r="C305" s="169" t="s">
        <v>319</v>
      </c>
      <c r="D305" s="3">
        <v>296</v>
      </c>
      <c r="E305" t="s">
        <v>12</v>
      </c>
      <c r="F305" s="3">
        <v>4</v>
      </c>
      <c r="G305" s="3"/>
    </row>
    <row r="306" spans="1:7">
      <c r="A306" s="1" t="s">
        <v>996</v>
      </c>
      <c r="B306" s="3">
        <v>54</v>
      </c>
      <c r="C306" t="s">
        <v>265</v>
      </c>
      <c r="D306" s="3">
        <v>297</v>
      </c>
      <c r="E306" t="s">
        <v>12</v>
      </c>
      <c r="F306" s="3">
        <v>3</v>
      </c>
      <c r="G306" s="3"/>
    </row>
    <row r="307" spans="1:7">
      <c r="A307" s="1" t="s">
        <v>997</v>
      </c>
      <c r="B307" s="3">
        <v>54</v>
      </c>
      <c r="C307" t="s">
        <v>209</v>
      </c>
      <c r="D307" s="3">
        <v>298</v>
      </c>
      <c r="E307" t="s">
        <v>12</v>
      </c>
      <c r="F307" s="3">
        <v>2</v>
      </c>
      <c r="G307" s="3"/>
    </row>
    <row r="308" spans="1:7">
      <c r="A308" s="1" t="s">
        <v>998</v>
      </c>
      <c r="B308" s="3">
        <v>55</v>
      </c>
      <c r="C308" t="s">
        <v>36</v>
      </c>
      <c r="D308" s="3">
        <v>299</v>
      </c>
      <c r="E308" t="s">
        <v>12</v>
      </c>
      <c r="F308" s="3">
        <v>2</v>
      </c>
      <c r="G308" s="3"/>
    </row>
    <row r="309" spans="1:7">
      <c r="A309" s="1" t="s">
        <v>999</v>
      </c>
      <c r="B309" s="3">
        <v>55</v>
      </c>
      <c r="C309" t="s">
        <v>255</v>
      </c>
      <c r="D309" s="3">
        <v>300</v>
      </c>
      <c r="E309" t="s">
        <v>12</v>
      </c>
      <c r="F309" s="3">
        <v>2</v>
      </c>
      <c r="G309" s="3"/>
    </row>
    <row r="310" spans="1:7">
      <c r="A310" s="1" t="s">
        <v>1000</v>
      </c>
      <c r="B310" s="3">
        <v>56</v>
      </c>
      <c r="C310" s="169" t="s">
        <v>74</v>
      </c>
      <c r="D310" s="3">
        <v>301</v>
      </c>
      <c r="E310" t="s">
        <v>12</v>
      </c>
      <c r="F310" s="3">
        <v>3</v>
      </c>
      <c r="G310" s="3"/>
    </row>
    <row r="311" spans="1:7">
      <c r="A311" s="1" t="s">
        <v>1001</v>
      </c>
      <c r="B311" s="3">
        <v>56</v>
      </c>
      <c r="C311" t="s">
        <v>1061</v>
      </c>
      <c r="D311" s="3">
        <v>302</v>
      </c>
      <c r="E311" t="s">
        <v>12</v>
      </c>
      <c r="F311" s="3">
        <v>2</v>
      </c>
      <c r="G311" s="3"/>
    </row>
    <row r="312" spans="1:7">
      <c r="A312" s="1" t="s">
        <v>1002</v>
      </c>
      <c r="B312" s="3">
        <v>57</v>
      </c>
      <c r="C312" t="s">
        <v>365</v>
      </c>
      <c r="D312" s="3">
        <v>303</v>
      </c>
      <c r="E312" t="s">
        <v>12</v>
      </c>
      <c r="F312" s="3">
        <v>3</v>
      </c>
      <c r="G312" s="3"/>
    </row>
    <row r="313" spans="1:7">
      <c r="A313" s="1" t="s">
        <v>1003</v>
      </c>
      <c r="B313" s="3">
        <v>57</v>
      </c>
      <c r="C313" t="s">
        <v>219</v>
      </c>
      <c r="D313" s="3">
        <v>304</v>
      </c>
      <c r="E313" t="s">
        <v>12</v>
      </c>
      <c r="F313" s="3">
        <v>4</v>
      </c>
      <c r="G313" s="3"/>
    </row>
    <row r="314" spans="1:7">
      <c r="A314" s="1" t="s">
        <v>1004</v>
      </c>
      <c r="B314" s="3">
        <v>58</v>
      </c>
      <c r="C314" t="s">
        <v>57</v>
      </c>
      <c r="D314" s="3">
        <v>305</v>
      </c>
      <c r="E314" t="s">
        <v>12</v>
      </c>
      <c r="F314" s="3">
        <v>4</v>
      </c>
      <c r="G314" s="3"/>
    </row>
    <row r="315" spans="1:7">
      <c r="A315" s="1" t="s">
        <v>1005</v>
      </c>
      <c r="B315" s="3">
        <v>58</v>
      </c>
      <c r="C315" t="s">
        <v>156</v>
      </c>
      <c r="D315" s="3">
        <v>306</v>
      </c>
      <c r="E315" t="s">
        <v>12</v>
      </c>
      <c r="F315" s="3">
        <v>4</v>
      </c>
      <c r="G315" s="3"/>
    </row>
    <row r="316" spans="1:7">
      <c r="A316" s="1" t="s">
        <v>1006</v>
      </c>
      <c r="B316" s="3">
        <v>59</v>
      </c>
      <c r="C316" t="s">
        <v>116</v>
      </c>
      <c r="D316" s="3">
        <v>307</v>
      </c>
      <c r="E316" t="s">
        <v>12</v>
      </c>
      <c r="F316" s="3">
        <v>4</v>
      </c>
      <c r="G316" s="3"/>
    </row>
    <row r="317" spans="1:7">
      <c r="A317" s="1" t="s">
        <v>1007</v>
      </c>
      <c r="B317" s="3">
        <v>59</v>
      </c>
      <c r="C317" s="170" t="s">
        <v>1062</v>
      </c>
      <c r="D317" s="3">
        <v>308</v>
      </c>
      <c r="E317" t="s">
        <v>12</v>
      </c>
      <c r="F317" s="3">
        <v>4</v>
      </c>
      <c r="G317" s="3"/>
    </row>
    <row r="318" spans="1:7">
      <c r="A318" s="1" t="s">
        <v>1008</v>
      </c>
      <c r="B318" s="3">
        <v>60</v>
      </c>
      <c r="C318" t="s">
        <v>205</v>
      </c>
      <c r="D318" s="3">
        <v>309</v>
      </c>
      <c r="E318" t="s">
        <v>12</v>
      </c>
      <c r="F318" s="3">
        <v>4</v>
      </c>
      <c r="G318" s="3"/>
    </row>
    <row r="319" spans="1:7">
      <c r="A319" s="1" t="s">
        <v>1009</v>
      </c>
      <c r="B319" s="3">
        <v>60</v>
      </c>
      <c r="C319" t="s">
        <v>229</v>
      </c>
      <c r="D319" s="3">
        <v>310</v>
      </c>
      <c r="E319" t="s">
        <v>12</v>
      </c>
      <c r="F319" s="3">
        <v>2</v>
      </c>
      <c r="G319" s="3"/>
    </row>
    <row r="320" spans="1:7">
      <c r="A320" s="1" t="s">
        <v>1010</v>
      </c>
      <c r="B320" s="3">
        <v>61</v>
      </c>
      <c r="C320" t="s">
        <v>15</v>
      </c>
      <c r="D320" s="3">
        <v>311</v>
      </c>
      <c r="E320" t="s">
        <v>12</v>
      </c>
      <c r="F320" s="3">
        <v>3</v>
      </c>
      <c r="G320" s="3"/>
    </row>
    <row r="321" spans="1:7">
      <c r="A321" s="1" t="s">
        <v>1011</v>
      </c>
      <c r="B321" s="3">
        <v>61</v>
      </c>
      <c r="C321" s="169" t="s">
        <v>322</v>
      </c>
      <c r="D321" s="3">
        <v>312</v>
      </c>
      <c r="E321" t="s">
        <v>12</v>
      </c>
      <c r="F321" s="3">
        <v>2</v>
      </c>
      <c r="G321" s="3"/>
    </row>
    <row r="322" spans="1:7">
      <c r="A322" s="1" t="s">
        <v>1012</v>
      </c>
      <c r="B322" s="3">
        <v>62</v>
      </c>
      <c r="C322" t="s">
        <v>1063</v>
      </c>
      <c r="D322" s="3">
        <v>313</v>
      </c>
      <c r="E322" t="s">
        <v>12</v>
      </c>
      <c r="F322" s="3">
        <v>2</v>
      </c>
      <c r="G322" s="3"/>
    </row>
    <row r="323" spans="1:7">
      <c r="A323" s="1" t="s">
        <v>1013</v>
      </c>
      <c r="B323" s="3">
        <v>62</v>
      </c>
      <c r="C323" t="s">
        <v>65</v>
      </c>
      <c r="D323" s="3">
        <v>314</v>
      </c>
      <c r="E323" t="s">
        <v>12</v>
      </c>
      <c r="F323" s="3">
        <v>2</v>
      </c>
      <c r="G323" s="3"/>
    </row>
    <row r="324" spans="1:7">
      <c r="A324" s="1" t="s">
        <v>1014</v>
      </c>
      <c r="B324" s="3">
        <v>63</v>
      </c>
      <c r="C324" t="s">
        <v>193</v>
      </c>
      <c r="D324" s="3">
        <v>315</v>
      </c>
      <c r="E324" t="s">
        <v>12</v>
      </c>
      <c r="F324" s="3">
        <v>3</v>
      </c>
      <c r="G324" s="3"/>
    </row>
    <row r="325" spans="1:7">
      <c r="A325" s="1" t="s">
        <v>1015</v>
      </c>
      <c r="B325" s="3">
        <v>63</v>
      </c>
      <c r="C325" t="s">
        <v>271</v>
      </c>
      <c r="D325" s="3">
        <v>316</v>
      </c>
      <c r="E325" t="s">
        <v>12</v>
      </c>
      <c r="F325" s="3">
        <v>2</v>
      </c>
      <c r="G325" s="3"/>
    </row>
    <row r="326" spans="1:7">
      <c r="A326" s="1" t="s">
        <v>1016</v>
      </c>
      <c r="B326" s="3">
        <v>64</v>
      </c>
      <c r="C326" t="s">
        <v>224</v>
      </c>
      <c r="D326" s="3">
        <v>317</v>
      </c>
      <c r="E326" t="s">
        <v>12</v>
      </c>
      <c r="F326" s="3">
        <v>2</v>
      </c>
      <c r="G326" s="3"/>
    </row>
    <row r="327" spans="1:7">
      <c r="A327" s="1" t="s">
        <v>1017</v>
      </c>
      <c r="B327" s="3">
        <v>64</v>
      </c>
      <c r="C327" t="s">
        <v>278</v>
      </c>
      <c r="D327" s="3">
        <v>318</v>
      </c>
      <c r="E327" t="s">
        <v>12</v>
      </c>
      <c r="F327" s="3">
        <v>3</v>
      </c>
      <c r="G327" s="3"/>
    </row>
    <row r="328" spans="1:7">
      <c r="A328" s="1" t="s">
        <v>1018</v>
      </c>
      <c r="B328" s="3">
        <v>65</v>
      </c>
      <c r="C328" t="s">
        <v>118</v>
      </c>
      <c r="D328" s="3">
        <v>319</v>
      </c>
      <c r="E328" t="s">
        <v>12</v>
      </c>
      <c r="F328" s="3">
        <v>3</v>
      </c>
      <c r="G328" s="3"/>
    </row>
    <row r="329" spans="1:7">
      <c r="A329" s="1" t="s">
        <v>1019</v>
      </c>
      <c r="B329" s="3">
        <v>65</v>
      </c>
      <c r="C329" t="s">
        <v>237</v>
      </c>
      <c r="D329" s="3">
        <v>320</v>
      </c>
      <c r="E329" t="s">
        <v>12</v>
      </c>
      <c r="F329" s="3">
        <v>3</v>
      </c>
      <c r="G329" s="3"/>
    </row>
    <row r="330" spans="1:7">
      <c r="A330" s="1" t="s">
        <v>1020</v>
      </c>
      <c r="B330" s="3">
        <v>66</v>
      </c>
      <c r="C330" t="s">
        <v>329</v>
      </c>
      <c r="D330" s="3">
        <v>321</v>
      </c>
      <c r="E330" t="s">
        <v>12</v>
      </c>
      <c r="F330" s="3">
        <v>4</v>
      </c>
      <c r="G330" s="3"/>
    </row>
    <row r="331" spans="1:7">
      <c r="A331" s="1" t="s">
        <v>1021</v>
      </c>
      <c r="B331" s="3">
        <v>66</v>
      </c>
      <c r="C331" t="s">
        <v>291</v>
      </c>
      <c r="D331" s="3">
        <v>322</v>
      </c>
      <c r="E331" t="s">
        <v>12</v>
      </c>
      <c r="F331" s="3">
        <v>4</v>
      </c>
      <c r="G331" s="3"/>
    </row>
    <row r="332" spans="1:7">
      <c r="A332" s="1" t="s">
        <v>1022</v>
      </c>
      <c r="B332" s="3">
        <v>67</v>
      </c>
      <c r="C332" t="s">
        <v>187</v>
      </c>
      <c r="D332" s="3">
        <v>323</v>
      </c>
      <c r="E332" t="s">
        <v>12</v>
      </c>
      <c r="F332" s="3">
        <v>2</v>
      </c>
      <c r="G332" s="3"/>
    </row>
    <row r="333" spans="1:7">
      <c r="A333" s="1" t="s">
        <v>1023</v>
      </c>
      <c r="B333" s="3">
        <v>67</v>
      </c>
      <c r="C333" t="s">
        <v>174</v>
      </c>
      <c r="D333" s="3">
        <v>324</v>
      </c>
      <c r="E333" t="s">
        <v>12</v>
      </c>
      <c r="F333" s="3">
        <v>3</v>
      </c>
      <c r="G333" s="3"/>
    </row>
    <row r="334" spans="1:7">
      <c r="A334" s="1" t="s">
        <v>1024</v>
      </c>
      <c r="B334" s="3">
        <v>68</v>
      </c>
      <c r="C334" t="s">
        <v>101</v>
      </c>
      <c r="D334" s="3">
        <v>325</v>
      </c>
      <c r="E334" t="s">
        <v>12</v>
      </c>
      <c r="F334" s="3">
        <v>4</v>
      </c>
      <c r="G334" s="3"/>
    </row>
    <row r="335" spans="1:7">
      <c r="A335" s="1" t="s">
        <v>1025</v>
      </c>
      <c r="B335" s="3">
        <v>68</v>
      </c>
      <c r="C335" t="s">
        <v>163</v>
      </c>
      <c r="D335" s="3">
        <v>326</v>
      </c>
      <c r="E335" t="s">
        <v>12</v>
      </c>
      <c r="F335" s="3">
        <v>3</v>
      </c>
      <c r="G335" s="3"/>
    </row>
    <row r="336" spans="1:7">
      <c r="A336" s="1" t="s">
        <v>1026</v>
      </c>
      <c r="B336" s="3">
        <v>69</v>
      </c>
      <c r="C336" t="s">
        <v>333</v>
      </c>
      <c r="D336" s="3">
        <v>327</v>
      </c>
      <c r="E336" t="s">
        <v>12</v>
      </c>
      <c r="F336" s="3">
        <v>2</v>
      </c>
      <c r="G336" s="3"/>
    </row>
    <row r="337" spans="1:7">
      <c r="A337" s="1" t="s">
        <v>1027</v>
      </c>
      <c r="B337" s="3">
        <v>69</v>
      </c>
      <c r="C337" t="s">
        <v>26</v>
      </c>
      <c r="D337" s="3">
        <v>328</v>
      </c>
      <c r="E337" t="s">
        <v>12</v>
      </c>
      <c r="F337" s="3">
        <v>2</v>
      </c>
      <c r="G337" s="3"/>
    </row>
    <row r="338" spans="1:7">
      <c r="A338" s="1" t="s">
        <v>1028</v>
      </c>
      <c r="B338" s="3">
        <v>70</v>
      </c>
      <c r="C338" t="s">
        <v>357</v>
      </c>
      <c r="D338" s="3">
        <v>329</v>
      </c>
      <c r="E338" t="s">
        <v>12</v>
      </c>
      <c r="F338" s="3">
        <v>3</v>
      </c>
      <c r="G338" s="3"/>
    </row>
    <row r="339" spans="1:7">
      <c r="A339" s="1" t="s">
        <v>1029</v>
      </c>
      <c r="B339" s="3">
        <v>70</v>
      </c>
      <c r="C339" t="s">
        <v>108</v>
      </c>
      <c r="D339" s="3">
        <v>330</v>
      </c>
      <c r="E339" t="s">
        <v>12</v>
      </c>
      <c r="F339" s="3">
        <v>2</v>
      </c>
      <c r="G339" s="3"/>
    </row>
    <row r="340" spans="1:7">
      <c r="A340" s="1" t="s">
        <v>1030</v>
      </c>
      <c r="B340" s="3">
        <v>71</v>
      </c>
      <c r="C340" t="s">
        <v>355</v>
      </c>
      <c r="D340" s="3">
        <v>331</v>
      </c>
      <c r="E340" t="s">
        <v>12</v>
      </c>
      <c r="F340" s="3">
        <v>3</v>
      </c>
      <c r="G340" s="3"/>
    </row>
    <row r="341" spans="1:7">
      <c r="A341" s="1" t="s">
        <v>1031</v>
      </c>
      <c r="B341" s="3">
        <v>71</v>
      </c>
      <c r="C341" t="s">
        <v>154</v>
      </c>
      <c r="D341" s="3">
        <v>332</v>
      </c>
      <c r="E341" t="s">
        <v>12</v>
      </c>
      <c r="F341" s="3">
        <v>3</v>
      </c>
      <c r="G341" s="3"/>
    </row>
    <row r="342" spans="1:7">
      <c r="A342" s="1" t="s">
        <v>1032</v>
      </c>
      <c r="B342" s="3">
        <v>72</v>
      </c>
      <c r="C342" t="s">
        <v>328</v>
      </c>
      <c r="D342" s="3">
        <v>333</v>
      </c>
      <c r="E342" t="s">
        <v>12</v>
      </c>
      <c r="F342" s="3">
        <v>2</v>
      </c>
      <c r="G342" s="3"/>
    </row>
    <row r="343" spans="1:7">
      <c r="A343" s="1" t="s">
        <v>1033</v>
      </c>
      <c r="B343" s="3">
        <v>72</v>
      </c>
      <c r="C343" s="168" t="s">
        <v>1064</v>
      </c>
      <c r="D343" s="3">
        <v>334</v>
      </c>
      <c r="E343" t="s">
        <v>12</v>
      </c>
      <c r="F343" s="3">
        <v>2</v>
      </c>
      <c r="G343" s="3"/>
    </row>
    <row r="344" spans="1:7">
      <c r="A344" s="1" t="s">
        <v>1034</v>
      </c>
      <c r="B344" s="3">
        <v>73</v>
      </c>
      <c r="C344" t="s">
        <v>199</v>
      </c>
      <c r="D344" s="3">
        <v>335</v>
      </c>
      <c r="E344" t="s">
        <v>12</v>
      </c>
      <c r="F344" s="3">
        <v>2</v>
      </c>
      <c r="G344" s="3"/>
    </row>
    <row r="345" spans="1:7">
      <c r="A345" s="1" t="s">
        <v>1035</v>
      </c>
      <c r="B345" s="3">
        <v>73</v>
      </c>
      <c r="C345" t="s">
        <v>284</v>
      </c>
      <c r="D345" s="3">
        <v>336</v>
      </c>
      <c r="E345" t="s">
        <v>12</v>
      </c>
      <c r="F345" s="3">
        <v>2</v>
      </c>
      <c r="G345" s="3"/>
    </row>
    <row r="346" spans="1:7">
      <c r="A346" s="1"/>
      <c r="F346" s="3"/>
      <c r="G346" s="3"/>
    </row>
    <row r="347" spans="1:7">
      <c r="A347" s="1"/>
      <c r="F347" s="3"/>
      <c r="G347" s="3"/>
    </row>
    <row r="348" spans="1:7">
      <c r="A348" s="1"/>
      <c r="F348" s="3"/>
      <c r="G348" s="3"/>
    </row>
    <row r="349" spans="1:7">
      <c r="A349" s="1"/>
      <c r="F349" s="3"/>
      <c r="G349" s="3"/>
    </row>
    <row r="350" spans="1:7">
      <c r="A350" s="1"/>
      <c r="F350" s="3"/>
      <c r="G350" s="3"/>
    </row>
    <row r="351" spans="1:7">
      <c r="A351" s="1"/>
      <c r="F351" s="3"/>
      <c r="G351" s="3"/>
    </row>
    <row r="352" spans="1:7">
      <c r="A352" s="1"/>
      <c r="F352" s="3"/>
      <c r="G352" s="3"/>
    </row>
    <row r="353" spans="1:7">
      <c r="A353" s="1"/>
      <c r="F353" s="3"/>
      <c r="G353" s="3"/>
    </row>
    <row r="354" spans="1:7">
      <c r="A354" s="1"/>
      <c r="F354" s="3"/>
      <c r="G354" s="3"/>
    </row>
    <row r="355" spans="1:7">
      <c r="A355" s="1"/>
      <c r="F355" s="3"/>
      <c r="G355" s="3"/>
    </row>
    <row r="356" spans="1:7">
      <c r="A356" s="1"/>
      <c r="F356" s="3"/>
      <c r="G356" s="3"/>
    </row>
    <row r="357" spans="1:7">
      <c r="A357" s="1"/>
      <c r="F357" s="3"/>
      <c r="G357" s="3"/>
    </row>
    <row r="358" spans="1:7">
      <c r="A358" s="1"/>
      <c r="F358" s="3"/>
      <c r="G358" s="3"/>
    </row>
    <row r="359" spans="1:7">
      <c r="A359" s="1"/>
      <c r="F359" s="3"/>
      <c r="G359" s="3"/>
    </row>
    <row r="360" spans="1:7">
      <c r="A360" s="1"/>
      <c r="F360" s="3"/>
      <c r="G360" s="3"/>
    </row>
    <row r="361" spans="1:7">
      <c r="A361" s="1"/>
      <c r="F361" s="3"/>
      <c r="G361" s="3"/>
    </row>
    <row r="362" spans="1:7">
      <c r="A362" s="1"/>
      <c r="F362" s="3"/>
      <c r="G362" s="3"/>
    </row>
    <row r="363" spans="1:7">
      <c r="A363" s="1"/>
      <c r="F363" s="3"/>
      <c r="G363" s="3"/>
    </row>
    <row r="364" spans="1:7">
      <c r="A364" s="1"/>
      <c r="F364" s="3"/>
      <c r="G364" s="3"/>
    </row>
    <row r="365" spans="1:7">
      <c r="A365" s="1"/>
      <c r="F365" s="3"/>
      <c r="G365" s="3"/>
    </row>
    <row r="366" spans="1:7">
      <c r="A366" s="1"/>
      <c r="F366" s="3"/>
      <c r="G366" s="3"/>
    </row>
    <row r="367" spans="1:7">
      <c r="A367" s="1"/>
      <c r="F367" s="3"/>
      <c r="G367" s="3"/>
    </row>
    <row r="368" spans="1:7">
      <c r="A368" s="1"/>
      <c r="F368" s="3"/>
      <c r="G368" s="3"/>
    </row>
    <row r="369" spans="1:7">
      <c r="A369" s="1"/>
      <c r="F369" s="3"/>
      <c r="G369" s="3"/>
    </row>
    <row r="370" spans="1:7">
      <c r="A370" s="1"/>
      <c r="F370" s="3"/>
      <c r="G370" s="3"/>
    </row>
    <row r="371" spans="1:7">
      <c r="A371" s="1"/>
      <c r="F371" s="3"/>
      <c r="G371" s="3"/>
    </row>
    <row r="372" spans="1:7">
      <c r="A372" s="1"/>
      <c r="F372" s="3"/>
      <c r="G372" s="3"/>
    </row>
    <row r="373" spans="1:7">
      <c r="A373" s="1"/>
      <c r="F373" s="3"/>
      <c r="G373" s="3"/>
    </row>
    <row r="374" spans="1:7">
      <c r="A374" s="1"/>
      <c r="F374" s="3"/>
      <c r="G374" s="3"/>
    </row>
    <row r="375" spans="1:7">
      <c r="A375" s="1"/>
      <c r="F375" s="3"/>
      <c r="G375" s="3"/>
    </row>
    <row r="376" spans="1:7">
      <c r="A376" s="1"/>
      <c r="F376" s="3"/>
      <c r="G376" s="3"/>
    </row>
    <row r="377" spans="1:7">
      <c r="A377" s="1"/>
      <c r="F377" s="3"/>
      <c r="G377" s="3"/>
    </row>
    <row r="378" spans="1:7">
      <c r="A378" s="1"/>
      <c r="F378" s="3"/>
      <c r="G378" s="3"/>
    </row>
    <row r="379" spans="1:7">
      <c r="A379" s="1"/>
      <c r="F379" s="3"/>
      <c r="G379" s="3"/>
    </row>
    <row r="380" spans="1:7">
      <c r="A380" s="1"/>
      <c r="F380" s="3"/>
      <c r="G380" s="3"/>
    </row>
    <row r="381" spans="1:7">
      <c r="A381" s="1"/>
      <c r="F381" s="3"/>
      <c r="G381" s="3"/>
    </row>
    <row r="382" spans="1:7">
      <c r="A382" s="1"/>
      <c r="F382" s="3"/>
      <c r="G382" s="3"/>
    </row>
    <row r="383" spans="1:7">
      <c r="A383" s="1"/>
      <c r="F383" s="3"/>
      <c r="G383" s="3"/>
    </row>
    <row r="384" spans="1:7">
      <c r="A384" s="1"/>
      <c r="F384" s="3"/>
      <c r="G384" s="3"/>
    </row>
    <row r="385" spans="1:7">
      <c r="A385" s="1"/>
      <c r="F385" s="3"/>
      <c r="G385" s="3"/>
    </row>
    <row r="386" spans="1:7">
      <c r="A386" s="1"/>
      <c r="F386" s="3"/>
      <c r="G386" s="3"/>
    </row>
    <row r="387" spans="1:7">
      <c r="A387" s="1"/>
      <c r="F387" s="3"/>
      <c r="G387" s="3"/>
    </row>
    <row r="388" spans="1:7">
      <c r="A388" s="1"/>
      <c r="F388" s="3"/>
      <c r="G388" s="3"/>
    </row>
    <row r="389" spans="1:7">
      <c r="A389" s="1"/>
      <c r="F389" s="3"/>
      <c r="G389" s="3"/>
    </row>
    <row r="390" spans="1:7">
      <c r="A390" s="1"/>
      <c r="F390" s="3"/>
      <c r="G390" s="3"/>
    </row>
    <row r="391" spans="1:7">
      <c r="A391" s="1"/>
      <c r="F391" s="3"/>
      <c r="G391" s="3"/>
    </row>
    <row r="392" spans="1:7">
      <c r="A392" s="1"/>
      <c r="F392" s="3"/>
      <c r="G392" s="3"/>
    </row>
    <row r="393" spans="1:7">
      <c r="A393" s="1"/>
      <c r="F393" s="3"/>
      <c r="G393" s="3"/>
    </row>
    <row r="394" spans="1:7">
      <c r="A394" s="1"/>
      <c r="F394" s="3"/>
      <c r="G394" s="3"/>
    </row>
    <row r="395" spans="1:7">
      <c r="A395" s="1"/>
      <c r="F395" s="3"/>
      <c r="G395" s="3"/>
    </row>
    <row r="396" spans="1:7">
      <c r="A396" s="1"/>
      <c r="F396" s="3"/>
      <c r="G396" s="3"/>
    </row>
    <row r="397" spans="1:7">
      <c r="A397" s="1"/>
      <c r="F397" s="3"/>
      <c r="G397" s="3"/>
    </row>
    <row r="398" spans="1:7">
      <c r="A398" s="1"/>
      <c r="F398" s="3"/>
      <c r="G398" s="3"/>
    </row>
    <row r="399" spans="1:7">
      <c r="A399" s="1"/>
      <c r="F399" s="3"/>
      <c r="G399" s="3"/>
    </row>
    <row r="400" spans="1:7">
      <c r="A400" s="1"/>
      <c r="F400" s="3"/>
      <c r="G400" s="3"/>
    </row>
    <row r="401" spans="1:7">
      <c r="A401" s="1"/>
      <c r="F401" s="3"/>
      <c r="G401" s="3"/>
    </row>
    <row r="402" spans="1:7">
      <c r="A402" s="1"/>
      <c r="F402" s="3"/>
      <c r="G402" s="3"/>
    </row>
    <row r="403" spans="1:7">
      <c r="A403" s="1"/>
      <c r="F403" s="3"/>
      <c r="G403" s="3"/>
    </row>
    <row r="404" spans="1:7">
      <c r="A404" s="1"/>
      <c r="F404" s="3"/>
      <c r="G404" s="3"/>
    </row>
    <row r="405" spans="1:7">
      <c r="A405" s="1"/>
      <c r="F405" s="3"/>
      <c r="G405" s="3"/>
    </row>
    <row r="406" spans="1:7">
      <c r="A406" s="1"/>
      <c r="F406" s="3"/>
      <c r="G406" s="3"/>
    </row>
    <row r="407" spans="1:7">
      <c r="A407" s="1"/>
      <c r="F407" s="3"/>
      <c r="G407" s="3"/>
    </row>
    <row r="408" spans="1:7">
      <c r="A408" s="1"/>
      <c r="F408" s="3"/>
      <c r="G408" s="3"/>
    </row>
    <row r="409" spans="1:7">
      <c r="A409" s="1"/>
      <c r="F409" s="3"/>
      <c r="G409" s="3"/>
    </row>
    <row r="410" spans="1:7">
      <c r="A410" s="1"/>
      <c r="F410" s="3"/>
      <c r="G410" s="3"/>
    </row>
    <row r="411" spans="1:7">
      <c r="A411" s="1"/>
      <c r="F411" s="3"/>
      <c r="G411" s="3"/>
    </row>
    <row r="412" spans="1:7">
      <c r="A412" s="1"/>
      <c r="F412" s="3"/>
      <c r="G412" s="3"/>
    </row>
    <row r="413" spans="1:7">
      <c r="A413" s="1"/>
      <c r="F413" s="3"/>
      <c r="G413" s="3"/>
    </row>
    <row r="414" spans="1:7">
      <c r="A414" s="1"/>
      <c r="F414" s="3"/>
      <c r="G414" s="3"/>
    </row>
    <row r="415" spans="1:7">
      <c r="A415" s="1"/>
      <c r="F415" s="3"/>
      <c r="G415" s="3"/>
    </row>
    <row r="416" spans="1:7">
      <c r="A416" s="1"/>
      <c r="F416" s="3"/>
      <c r="G416" s="3"/>
    </row>
    <row r="417" spans="1:7">
      <c r="A417" s="1"/>
      <c r="F417" s="3"/>
      <c r="G417" s="3"/>
    </row>
    <row r="418" spans="1:7">
      <c r="A418" s="1"/>
      <c r="F418" s="3"/>
      <c r="G418" s="3"/>
    </row>
    <row r="419" spans="1:7">
      <c r="A419" s="1"/>
      <c r="F419" s="3"/>
      <c r="G419" s="3"/>
    </row>
    <row r="420" spans="1:7">
      <c r="A420" s="1"/>
      <c r="F420" s="3"/>
      <c r="G420" s="3"/>
    </row>
    <row r="421" spans="1:7">
      <c r="A421" s="1"/>
      <c r="F421" s="3"/>
      <c r="G421" s="3"/>
    </row>
    <row r="422" spans="1:7">
      <c r="A422" s="1"/>
      <c r="F422" s="3"/>
      <c r="G422" s="3"/>
    </row>
    <row r="423" spans="1:7">
      <c r="A423" s="1"/>
      <c r="F423" s="3"/>
      <c r="G423" s="3"/>
    </row>
    <row r="424" spans="1:7">
      <c r="A424" s="1"/>
      <c r="F424" s="3"/>
      <c r="G424" s="3"/>
    </row>
    <row r="425" spans="1:7">
      <c r="A425" s="1"/>
      <c r="F425" s="3"/>
      <c r="G425" s="3"/>
    </row>
    <row r="426" spans="1:7">
      <c r="A426" s="1"/>
      <c r="F426" s="3"/>
      <c r="G426" s="3"/>
    </row>
    <row r="427" spans="1:7">
      <c r="A427" s="1"/>
      <c r="F427" s="3"/>
      <c r="G427" s="3"/>
    </row>
    <row r="428" spans="1:7">
      <c r="A428" s="1"/>
      <c r="F428" s="3"/>
      <c r="G428" s="3"/>
    </row>
    <row r="429" spans="1:7">
      <c r="A429" s="1"/>
      <c r="F429" s="3"/>
      <c r="G429" s="3"/>
    </row>
    <row r="430" spans="1:7">
      <c r="A430" s="1"/>
      <c r="F430" s="3"/>
      <c r="G430" s="3"/>
    </row>
    <row r="431" spans="1:7">
      <c r="A431" s="1"/>
      <c r="F431" s="3"/>
      <c r="G431" s="3"/>
    </row>
    <row r="432" spans="1:7">
      <c r="A432" s="1"/>
      <c r="F432" s="3"/>
      <c r="G432" s="3"/>
    </row>
    <row r="433" spans="1:7">
      <c r="A433" s="1"/>
      <c r="F433" s="3"/>
      <c r="G433" s="3"/>
    </row>
    <row r="434" spans="1:7">
      <c r="A434" s="1"/>
      <c r="F434" s="3"/>
      <c r="G434" s="3"/>
    </row>
    <row r="435" spans="1:7">
      <c r="A435" s="1"/>
      <c r="F435" s="3"/>
      <c r="G435" s="3"/>
    </row>
    <row r="436" spans="1:7">
      <c r="A436" s="1"/>
      <c r="F436" s="3"/>
      <c r="G436" s="3"/>
    </row>
    <row r="437" spans="1:7">
      <c r="A437" s="1"/>
      <c r="F437" s="3"/>
      <c r="G437" s="3"/>
    </row>
    <row r="438" spans="1:7">
      <c r="A438" s="1"/>
      <c r="F438" s="3"/>
      <c r="G438" s="3"/>
    </row>
    <row r="439" spans="1:7">
      <c r="A439" s="1"/>
      <c r="F439" s="3"/>
      <c r="G439" s="3"/>
    </row>
    <row r="440" spans="1:7">
      <c r="A440" s="1"/>
      <c r="F440" s="3"/>
      <c r="G440" s="3"/>
    </row>
    <row r="441" spans="1:7">
      <c r="A441" s="1"/>
      <c r="F441" s="3"/>
      <c r="G441" s="3"/>
    </row>
    <row r="442" spans="1:7">
      <c r="A442" s="1"/>
      <c r="F442" s="3"/>
      <c r="G442" s="3"/>
    </row>
    <row r="443" spans="1:7">
      <c r="A443" s="1"/>
      <c r="F443" s="3"/>
      <c r="G443" s="3"/>
    </row>
    <row r="444" spans="1:7">
      <c r="A444" s="1"/>
      <c r="F444" s="3"/>
      <c r="G444" s="3"/>
    </row>
    <row r="445" spans="1:7">
      <c r="A445" s="1"/>
      <c r="F445" s="3"/>
      <c r="G445" s="3"/>
    </row>
    <row r="446" spans="1:7">
      <c r="A446" s="1"/>
      <c r="F446" s="3"/>
      <c r="G446" s="3"/>
    </row>
    <row r="447" spans="1:7">
      <c r="A447" s="1"/>
      <c r="F447" s="3"/>
      <c r="G447" s="3"/>
    </row>
    <row r="448" spans="1:7">
      <c r="A448" s="1"/>
      <c r="F448" s="3"/>
      <c r="G448" s="3"/>
    </row>
    <row r="449" spans="1:7">
      <c r="A449" s="1"/>
      <c r="F449" s="3"/>
      <c r="G449" s="3"/>
    </row>
    <row r="450" spans="1:7">
      <c r="A450" s="1"/>
      <c r="F450" s="3"/>
      <c r="G450" s="3"/>
    </row>
    <row r="451" spans="1:7">
      <c r="A451" s="1"/>
      <c r="F451" s="3"/>
      <c r="G451" s="3"/>
    </row>
    <row r="452" spans="1:7">
      <c r="A452" s="1"/>
      <c r="F452" s="3"/>
      <c r="G452" s="3"/>
    </row>
    <row r="453" spans="1:7">
      <c r="A453" s="1"/>
      <c r="F453" s="3"/>
      <c r="G453" s="3"/>
    </row>
    <row r="454" spans="1:7">
      <c r="A454" s="1"/>
      <c r="F454" s="3"/>
      <c r="G454" s="3"/>
    </row>
    <row r="455" spans="1:7">
      <c r="A455" s="1"/>
      <c r="F455" s="3"/>
      <c r="G455" s="3"/>
    </row>
    <row r="456" spans="1:7">
      <c r="A456" s="1"/>
      <c r="F456" s="3"/>
      <c r="G456" s="3"/>
    </row>
    <row r="457" spans="1:7">
      <c r="A457" s="1"/>
      <c r="F457" s="3"/>
      <c r="G457" s="3"/>
    </row>
    <row r="458" spans="1:7">
      <c r="A458" s="1"/>
      <c r="F458" s="3"/>
      <c r="G458" s="3"/>
    </row>
    <row r="459" spans="1:7">
      <c r="A459" s="1"/>
      <c r="F459" s="3"/>
      <c r="G459" s="3"/>
    </row>
    <row r="460" spans="1:7">
      <c r="A460" s="1"/>
      <c r="F460" s="3"/>
      <c r="G460" s="3"/>
    </row>
    <row r="461" spans="1:7">
      <c r="A461" s="1"/>
      <c r="F461" s="3"/>
      <c r="G461" s="3"/>
    </row>
    <row r="462" spans="1:7">
      <c r="A462" s="1"/>
      <c r="F462" s="3"/>
      <c r="G462" s="3"/>
    </row>
    <row r="463" spans="1:7">
      <c r="A463" s="1"/>
      <c r="F463" s="3"/>
      <c r="G463" s="3"/>
    </row>
    <row r="464" spans="1:7">
      <c r="A464" s="1"/>
      <c r="F464" s="3"/>
      <c r="G464" s="3"/>
    </row>
    <row r="465" spans="1:7">
      <c r="A465" s="1"/>
      <c r="F465" s="3"/>
      <c r="G465" s="3"/>
    </row>
    <row r="466" spans="1:7">
      <c r="A466" s="1"/>
      <c r="F466" s="3"/>
      <c r="G466" s="3"/>
    </row>
    <row r="467" spans="1:7">
      <c r="A467" s="1"/>
      <c r="F467" s="3"/>
      <c r="G467" s="3"/>
    </row>
    <row r="468" spans="1:7">
      <c r="A468" s="1"/>
      <c r="F468" s="3"/>
      <c r="G468" s="3"/>
    </row>
    <row r="469" spans="1:7">
      <c r="A469" s="1"/>
      <c r="F469" s="3"/>
      <c r="G469" s="3"/>
    </row>
    <row r="470" spans="1:7">
      <c r="A470" s="1"/>
      <c r="F470" s="3"/>
      <c r="G470" s="3"/>
    </row>
    <row r="471" spans="1:7">
      <c r="A471" s="1"/>
      <c r="F471" s="3"/>
      <c r="G471" s="3"/>
    </row>
    <row r="472" spans="1:7">
      <c r="A472" s="1"/>
      <c r="F472" s="3"/>
      <c r="G472" s="3"/>
    </row>
    <row r="473" spans="1:7">
      <c r="A473" s="1"/>
      <c r="F473" s="3"/>
      <c r="G473" s="3"/>
    </row>
    <row r="474" spans="1:7">
      <c r="A474" s="1"/>
      <c r="F474" s="3"/>
      <c r="G474" s="3"/>
    </row>
    <row r="475" spans="1:7">
      <c r="A475" s="1"/>
      <c r="F475" s="3"/>
      <c r="G475" s="3"/>
    </row>
    <row r="476" spans="1:7">
      <c r="A476" s="1"/>
      <c r="F476" s="3"/>
      <c r="G476" s="3"/>
    </row>
    <row r="477" spans="1:7">
      <c r="A477" s="1"/>
      <c r="F477" s="3"/>
      <c r="G477" s="3"/>
    </row>
    <row r="478" spans="1:7">
      <c r="A478" s="1"/>
      <c r="F478" s="3"/>
      <c r="G478" s="3"/>
    </row>
    <row r="479" spans="1:7">
      <c r="A479" s="1"/>
      <c r="F479" s="3"/>
      <c r="G479" s="3"/>
    </row>
    <row r="480" spans="1:7">
      <c r="A480" s="1"/>
      <c r="F480" s="3"/>
      <c r="G480" s="3"/>
    </row>
    <row r="481" spans="1:7">
      <c r="A481" s="1"/>
      <c r="F481" s="3"/>
      <c r="G481" s="3"/>
    </row>
    <row r="482" spans="1:7">
      <c r="A482" s="1"/>
      <c r="F482" s="3"/>
      <c r="G482" s="3"/>
    </row>
    <row r="483" spans="1:7">
      <c r="A483" s="1"/>
      <c r="F483" s="3"/>
      <c r="G483" s="3"/>
    </row>
    <row r="484" spans="1:7">
      <c r="A484" s="1"/>
      <c r="F484" s="3"/>
      <c r="G484" s="3"/>
    </row>
    <row r="485" spans="1:7">
      <c r="A485" s="1"/>
      <c r="F485" s="3"/>
      <c r="G485" s="3"/>
    </row>
    <row r="486" spans="1:7">
      <c r="A486" s="1"/>
      <c r="F486" s="3"/>
      <c r="G486" s="3"/>
    </row>
    <row r="487" spans="1:7">
      <c r="A487" s="1"/>
      <c r="F487" s="3"/>
      <c r="G487" s="3"/>
    </row>
    <row r="488" spans="1:7">
      <c r="A488" s="1"/>
      <c r="F488" s="3"/>
      <c r="G488" s="3"/>
    </row>
    <row r="489" spans="1:7">
      <c r="A489" s="1"/>
      <c r="F489" s="3"/>
      <c r="G489" s="3"/>
    </row>
    <row r="490" spans="1:7">
      <c r="A490" s="1"/>
      <c r="F490" s="3"/>
      <c r="G490" s="3"/>
    </row>
    <row r="491" spans="1:7">
      <c r="A491" s="1"/>
      <c r="F491" s="3"/>
      <c r="G491" s="3"/>
    </row>
    <row r="492" spans="1:7">
      <c r="A492" s="1"/>
      <c r="F492" s="3"/>
      <c r="G492" s="3"/>
    </row>
    <row r="493" spans="1:7">
      <c r="A493" s="1"/>
      <c r="F493" s="3"/>
      <c r="G493" s="3"/>
    </row>
    <row r="494" spans="1:7">
      <c r="A494" s="1"/>
      <c r="F494" s="3"/>
      <c r="G494" s="3"/>
    </row>
    <row r="495" spans="1:7">
      <c r="A495" s="1"/>
      <c r="F495" s="3"/>
      <c r="G495" s="3"/>
    </row>
    <row r="496" spans="1:7">
      <c r="A496" s="1"/>
      <c r="F496" s="3"/>
      <c r="G496" s="3"/>
    </row>
    <row r="497" spans="1:7">
      <c r="A497" s="1"/>
      <c r="F497" s="3"/>
      <c r="G497" s="3"/>
    </row>
    <row r="498" spans="1:7">
      <c r="A498" s="1"/>
      <c r="F498" s="3"/>
      <c r="G498" s="3"/>
    </row>
    <row r="499" spans="1:7">
      <c r="A499" s="1"/>
      <c r="F499" s="3"/>
      <c r="G499" s="3"/>
    </row>
    <row r="500" spans="1:7">
      <c r="A500" s="1"/>
      <c r="F500" s="3"/>
      <c r="G500" s="3"/>
    </row>
    <row r="501" spans="1:7">
      <c r="A501" s="1"/>
      <c r="F501" s="3"/>
      <c r="G501" s="3"/>
    </row>
    <row r="502" spans="1:7">
      <c r="A502" s="1"/>
      <c r="F502" s="3"/>
      <c r="G502" s="3"/>
    </row>
    <row r="503" spans="1:7">
      <c r="A503" s="1"/>
      <c r="F503" s="3"/>
      <c r="G503" s="3"/>
    </row>
    <row r="504" spans="1:7">
      <c r="A504" s="1"/>
      <c r="F504" s="3"/>
      <c r="G504" s="3"/>
    </row>
    <row r="505" spans="1:7">
      <c r="A505" s="1"/>
      <c r="F505" s="3"/>
      <c r="G505" s="3"/>
    </row>
    <row r="506" spans="1:7">
      <c r="A506" s="1"/>
      <c r="F506" s="3"/>
      <c r="G506" s="3"/>
    </row>
    <row r="507" spans="1:7">
      <c r="A507" s="1"/>
      <c r="F507" s="3"/>
      <c r="G507" s="3"/>
    </row>
    <row r="508" spans="1:7">
      <c r="A508" s="1"/>
      <c r="F508" s="3"/>
      <c r="G508" s="3"/>
    </row>
    <row r="509" spans="1:7">
      <c r="A509" s="1"/>
      <c r="F509" s="3"/>
      <c r="G509" s="3"/>
    </row>
    <row r="510" spans="1:7">
      <c r="A510" s="1"/>
      <c r="F510" s="3"/>
      <c r="G510" s="3"/>
    </row>
    <row r="511" spans="1:7">
      <c r="A511" s="1"/>
      <c r="F511" s="3"/>
      <c r="G511" s="3"/>
    </row>
    <row r="512" spans="1:7">
      <c r="A512" s="1"/>
      <c r="F512" s="3"/>
      <c r="G512" s="3"/>
    </row>
    <row r="513" spans="1:7">
      <c r="A513" s="1"/>
      <c r="F513" s="3"/>
      <c r="G513" s="3"/>
    </row>
    <row r="514" spans="1:7">
      <c r="A514" s="1"/>
      <c r="F514" s="3"/>
      <c r="G514" s="3"/>
    </row>
    <row r="515" spans="1:7">
      <c r="A515" s="1"/>
      <c r="F515" s="3"/>
      <c r="G515" s="3"/>
    </row>
    <row r="516" spans="1:7">
      <c r="A516" s="1"/>
      <c r="F516" s="3"/>
      <c r="G516" s="3"/>
    </row>
    <row r="517" spans="1:7">
      <c r="A517" s="1"/>
      <c r="F517" s="3"/>
      <c r="G517" s="3"/>
    </row>
    <row r="518" spans="1:7">
      <c r="A518" s="1"/>
      <c r="F518" s="3"/>
      <c r="G518" s="3"/>
    </row>
    <row r="519" spans="1:7">
      <c r="A519" s="1"/>
      <c r="F519" s="3"/>
      <c r="G519" s="3"/>
    </row>
    <row r="520" spans="1:7">
      <c r="A520" s="1"/>
      <c r="F520" s="3"/>
      <c r="G520" s="3"/>
    </row>
    <row r="521" spans="1:7">
      <c r="A521" s="1"/>
      <c r="F521" s="3"/>
      <c r="G521" s="3"/>
    </row>
    <row r="522" spans="1:7">
      <c r="A522" s="1"/>
      <c r="F522" s="3"/>
      <c r="G522" s="3"/>
    </row>
    <row r="523" spans="1:7">
      <c r="A523" s="1"/>
      <c r="F523" s="3"/>
      <c r="G523" s="3"/>
    </row>
    <row r="524" spans="1:7">
      <c r="A524" s="1"/>
      <c r="F524" s="3"/>
      <c r="G524" s="3"/>
    </row>
    <row r="525" spans="1:7">
      <c r="A525" s="1"/>
      <c r="F525" s="3"/>
      <c r="G525" s="3"/>
    </row>
    <row r="526" spans="1:7">
      <c r="A526" s="1"/>
      <c r="F526" s="3"/>
      <c r="G526" s="3"/>
    </row>
    <row r="527" spans="1:7">
      <c r="A527" s="1"/>
      <c r="F527" s="3"/>
      <c r="G527" s="3"/>
    </row>
    <row r="528" spans="1:7">
      <c r="A528" s="1"/>
      <c r="F528" s="3"/>
      <c r="G528" s="3"/>
    </row>
    <row r="529" spans="1:7">
      <c r="A529" s="1"/>
      <c r="F529" s="3"/>
      <c r="G529" s="3"/>
    </row>
    <row r="530" spans="1:7">
      <c r="A530" s="1"/>
      <c r="F530" s="3"/>
      <c r="G530" s="3"/>
    </row>
    <row r="531" spans="1:7">
      <c r="A531" s="1"/>
      <c r="F531" s="3"/>
      <c r="G531" s="3"/>
    </row>
    <row r="532" spans="1:7">
      <c r="A532" s="1"/>
      <c r="F532" s="3"/>
      <c r="G532" s="3"/>
    </row>
    <row r="533" spans="1:7">
      <c r="A533" s="1"/>
      <c r="F533" s="3"/>
      <c r="G533" s="3"/>
    </row>
    <row r="534" spans="1:7">
      <c r="A534" s="1"/>
      <c r="F534" s="3"/>
      <c r="G534" s="3"/>
    </row>
    <row r="535" spans="1:7">
      <c r="A535" s="1"/>
      <c r="F535" s="3"/>
      <c r="G535" s="3"/>
    </row>
    <row r="536" spans="1:7">
      <c r="A536" s="1"/>
      <c r="F536" s="3"/>
      <c r="G536" s="3"/>
    </row>
    <row r="537" spans="1:7">
      <c r="A537" s="1"/>
      <c r="F537" s="3"/>
      <c r="G537" s="3"/>
    </row>
    <row r="544" spans="1:7">
      <c r="C544" s="1" t="s">
        <v>603</v>
      </c>
    </row>
    <row r="545" spans="3:3">
      <c r="C545" t="e">
        <f>AVERAGE(D545:BT545)</f>
        <v>#DIV/0!</v>
      </c>
    </row>
  </sheetData>
  <sortState xmlns:xlrd2="http://schemas.microsoft.com/office/spreadsheetml/2017/richdata2" ref="N83:N116">
    <sortCondition ref="N83:N116"/>
  </sortState>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E8373-6E15-5444-82BF-D2016E388216}">
  <sheetPr codeName="Hoja5">
    <tabColor theme="8" tint="-0.249977111117893"/>
  </sheetPr>
  <dimension ref="A1:V22"/>
  <sheetViews>
    <sheetView topLeftCell="H1" workbookViewId="0">
      <selection activeCell="S17" sqref="S17"/>
    </sheetView>
  </sheetViews>
  <sheetFormatPr baseColWidth="10" defaultRowHeight="14.4"/>
  <sheetData>
    <row r="1" spans="1:22">
      <c r="A1" t="s">
        <v>397</v>
      </c>
      <c r="O1">
        <v>1</v>
      </c>
      <c r="P1">
        <v>1</v>
      </c>
      <c r="Q1">
        <v>1</v>
      </c>
      <c r="R1">
        <v>1</v>
      </c>
      <c r="S1">
        <v>1</v>
      </c>
      <c r="T1">
        <v>1</v>
      </c>
      <c r="U1">
        <v>1</v>
      </c>
      <c r="V1">
        <v>1</v>
      </c>
    </row>
    <row r="2" spans="1:22">
      <c r="A2" t="s">
        <v>396</v>
      </c>
      <c r="O2" t="s">
        <v>465</v>
      </c>
      <c r="P2" t="s">
        <v>474</v>
      </c>
      <c r="Q2" t="s">
        <v>621</v>
      </c>
      <c r="R2" t="s">
        <v>442</v>
      </c>
      <c r="S2" t="s">
        <v>620</v>
      </c>
      <c r="T2" t="s">
        <v>625</v>
      </c>
      <c r="U2" t="s">
        <v>531</v>
      </c>
      <c r="V2" t="s">
        <v>536</v>
      </c>
    </row>
    <row r="3" spans="1:22">
      <c r="A3" t="s">
        <v>1090</v>
      </c>
      <c r="B3" t="s">
        <v>1091</v>
      </c>
      <c r="C3" t="s">
        <v>1092</v>
      </c>
      <c r="D3" t="s">
        <v>694</v>
      </c>
      <c r="E3" t="s">
        <v>618</v>
      </c>
      <c r="F3">
        <v>23</v>
      </c>
      <c r="G3" t="s">
        <v>1093</v>
      </c>
      <c r="H3" t="s">
        <v>1087</v>
      </c>
      <c r="I3" t="s">
        <v>1094</v>
      </c>
      <c r="J3" t="s">
        <v>1095</v>
      </c>
      <c r="K3" t="s">
        <v>1096</v>
      </c>
      <c r="L3" t="s">
        <v>1097</v>
      </c>
      <c r="M3" t="s">
        <v>1098</v>
      </c>
      <c r="N3">
        <f>AVERAGE(O3:V3)</f>
        <v>7.5</v>
      </c>
      <c r="O3">
        <v>8</v>
      </c>
      <c r="P3">
        <v>10</v>
      </c>
      <c r="Q3">
        <v>10</v>
      </c>
      <c r="R3">
        <v>8</v>
      </c>
      <c r="S3">
        <v>9</v>
      </c>
      <c r="T3">
        <v>1</v>
      </c>
      <c r="U3">
        <v>6</v>
      </c>
      <c r="V3">
        <v>8</v>
      </c>
    </row>
    <row r="4" spans="1:22">
      <c r="A4" t="s">
        <v>1099</v>
      </c>
      <c r="B4" t="s">
        <v>1100</v>
      </c>
      <c r="C4" t="s">
        <v>1101</v>
      </c>
      <c r="D4" t="s">
        <v>694</v>
      </c>
      <c r="E4" t="s">
        <v>618</v>
      </c>
      <c r="F4">
        <v>26</v>
      </c>
      <c r="G4" t="s">
        <v>1102</v>
      </c>
      <c r="H4" t="s">
        <v>1087</v>
      </c>
      <c r="I4" t="s">
        <v>1103</v>
      </c>
      <c r="J4" t="s">
        <v>1104</v>
      </c>
      <c r="K4" t="s">
        <v>1105</v>
      </c>
      <c r="L4" t="s">
        <v>1088</v>
      </c>
      <c r="M4" t="s">
        <v>1089</v>
      </c>
      <c r="N4">
        <f>AVERAGE(O4:V4)</f>
        <v>6.125</v>
      </c>
      <c r="O4">
        <v>6</v>
      </c>
      <c r="P4">
        <v>7</v>
      </c>
      <c r="Q4">
        <v>8</v>
      </c>
      <c r="R4">
        <v>10</v>
      </c>
      <c r="S4">
        <v>5</v>
      </c>
      <c r="T4">
        <v>3</v>
      </c>
      <c r="U4">
        <v>2</v>
      </c>
      <c r="V4">
        <v>8</v>
      </c>
    </row>
    <row r="5" spans="1:22">
      <c r="A5" t="s">
        <v>1106</v>
      </c>
      <c r="B5" t="s">
        <v>1107</v>
      </c>
      <c r="C5" t="s">
        <v>1108</v>
      </c>
      <c r="D5" t="s">
        <v>694</v>
      </c>
      <c r="E5" t="s">
        <v>618</v>
      </c>
      <c r="F5">
        <v>41</v>
      </c>
      <c r="G5" t="s">
        <v>1109</v>
      </c>
      <c r="H5" t="s">
        <v>1087</v>
      </c>
      <c r="I5" t="s">
        <v>1110</v>
      </c>
      <c r="J5" t="s">
        <v>1111</v>
      </c>
      <c r="K5" t="s">
        <v>1112</v>
      </c>
      <c r="L5" t="s">
        <v>1097</v>
      </c>
      <c r="M5" t="s">
        <v>1089</v>
      </c>
      <c r="N5">
        <f>AVERAGE(O5:V5)</f>
        <v>4.375</v>
      </c>
      <c r="O5">
        <v>5</v>
      </c>
      <c r="P5">
        <v>5</v>
      </c>
      <c r="Q5">
        <v>6</v>
      </c>
      <c r="R5">
        <v>4</v>
      </c>
      <c r="S5">
        <v>2</v>
      </c>
      <c r="T5">
        <v>4</v>
      </c>
      <c r="U5">
        <v>4</v>
      </c>
      <c r="V5">
        <v>5</v>
      </c>
    </row>
    <row r="6" spans="1:22">
      <c r="A6" t="s">
        <v>1113</v>
      </c>
      <c r="B6" t="s">
        <v>1114</v>
      </c>
      <c r="C6" t="s">
        <v>1115</v>
      </c>
      <c r="D6" t="s">
        <v>1116</v>
      </c>
      <c r="E6" t="s">
        <v>618</v>
      </c>
      <c r="F6">
        <v>27</v>
      </c>
      <c r="G6" t="s">
        <v>1117</v>
      </c>
      <c r="H6" t="s">
        <v>1118</v>
      </c>
      <c r="I6" t="s">
        <v>1119</v>
      </c>
      <c r="J6" t="s">
        <v>1120</v>
      </c>
      <c r="K6" t="s">
        <v>1121</v>
      </c>
      <c r="L6" t="s">
        <v>1097</v>
      </c>
      <c r="M6" t="s">
        <v>693</v>
      </c>
      <c r="N6">
        <f>AVERAGE(O6:V6)</f>
        <v>6.375</v>
      </c>
      <c r="O6">
        <v>5</v>
      </c>
      <c r="P6">
        <v>10</v>
      </c>
      <c r="Q6">
        <v>7</v>
      </c>
      <c r="R6">
        <v>9</v>
      </c>
      <c r="S6">
        <v>6</v>
      </c>
      <c r="T6">
        <v>5</v>
      </c>
      <c r="U6">
        <v>4</v>
      </c>
      <c r="V6">
        <v>5</v>
      </c>
    </row>
    <row r="22" spans="1:9">
      <c r="A22" s="167"/>
      <c r="C22" s="167"/>
      <c r="D22" s="167"/>
      <c r="E22" s="167"/>
      <c r="F22" s="167"/>
      <c r="G22" s="167"/>
      <c r="H22" s="167"/>
      <c r="I22" s="167"/>
    </row>
  </sheetData>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2">
    <tabColor theme="8" tint="-0.249977111117893"/>
  </sheetPr>
  <dimension ref="A1:L2000"/>
  <sheetViews>
    <sheetView topLeftCell="C553" zoomScaleNormal="100" workbookViewId="0">
      <selection activeCell="H716" sqref="H716"/>
    </sheetView>
  </sheetViews>
  <sheetFormatPr baseColWidth="10" defaultRowHeight="14.4"/>
  <cols>
    <col min="8" max="8" width="38.77734375" bestFit="1" customWidth="1"/>
    <col min="9" max="9" width="11.77734375" style="3" bestFit="1" customWidth="1"/>
  </cols>
  <sheetData>
    <row r="1" spans="1:11">
      <c r="A1" t="s">
        <v>548</v>
      </c>
      <c r="K1" t="s">
        <v>1090</v>
      </c>
    </row>
    <row r="2" spans="1:11">
      <c r="A2" t="s">
        <v>402</v>
      </c>
      <c r="K2" t="s">
        <v>1091</v>
      </c>
    </row>
    <row r="3" spans="1:11">
      <c r="A3" t="s">
        <v>573</v>
      </c>
      <c r="K3" t="s">
        <v>1092</v>
      </c>
    </row>
    <row r="4" spans="1:11">
      <c r="A4" t="s">
        <v>403</v>
      </c>
      <c r="K4" t="s">
        <v>694</v>
      </c>
    </row>
    <row r="5" spans="1:11">
      <c r="A5" t="s">
        <v>383</v>
      </c>
      <c r="K5" t="s">
        <v>618</v>
      </c>
    </row>
    <row r="6" spans="1:11">
      <c r="A6" t="s">
        <v>4</v>
      </c>
      <c r="K6">
        <v>23</v>
      </c>
    </row>
    <row r="7" spans="1:11">
      <c r="A7" t="s">
        <v>612</v>
      </c>
      <c r="K7" t="s">
        <v>1093</v>
      </c>
    </row>
    <row r="8" spans="1:11">
      <c r="A8" t="s">
        <v>404</v>
      </c>
      <c r="K8" t="s">
        <v>1087</v>
      </c>
    </row>
    <row r="9" spans="1:11">
      <c r="A9" t="s">
        <v>405</v>
      </c>
      <c r="K9" t="s">
        <v>1094</v>
      </c>
    </row>
    <row r="10" spans="1:11">
      <c r="A10" t="s">
        <v>406</v>
      </c>
      <c r="K10" t="s">
        <v>1095</v>
      </c>
    </row>
    <row r="11" spans="1:11">
      <c r="A11" t="s">
        <v>613</v>
      </c>
      <c r="K11" t="s">
        <v>1096</v>
      </c>
    </row>
    <row r="12" spans="1:11">
      <c r="A12" t="s">
        <v>614</v>
      </c>
      <c r="K12" t="s">
        <v>1097</v>
      </c>
    </row>
    <row r="13" spans="1:11">
      <c r="A13" t="s">
        <v>407</v>
      </c>
      <c r="B13" s="1" t="s">
        <v>395</v>
      </c>
      <c r="C13" s="1" t="s">
        <v>396</v>
      </c>
      <c r="D13" s="1" t="s">
        <v>397</v>
      </c>
      <c r="E13" s="1" t="s">
        <v>408</v>
      </c>
      <c r="F13" s="1" t="s">
        <v>409</v>
      </c>
      <c r="G13" s="1" t="s">
        <v>398</v>
      </c>
      <c r="H13" s="1" t="s">
        <v>10</v>
      </c>
      <c r="I13" s="5"/>
      <c r="J13" s="1"/>
      <c r="K13" t="s">
        <v>1098</v>
      </c>
    </row>
    <row r="14" spans="1:11">
      <c r="A14" s="5">
        <v>1</v>
      </c>
      <c r="B14" t="s">
        <v>73</v>
      </c>
      <c r="C14" t="s">
        <v>22</v>
      </c>
      <c r="D14" s="3">
        <v>1</v>
      </c>
      <c r="E14" t="s">
        <v>609</v>
      </c>
      <c r="F14" t="s">
        <v>609</v>
      </c>
      <c r="G14" t="s">
        <v>609</v>
      </c>
      <c r="H14" t="s">
        <v>19</v>
      </c>
      <c r="I14" s="3">
        <v>3</v>
      </c>
      <c r="K14" s="3">
        <v>4</v>
      </c>
    </row>
    <row r="15" spans="1:11">
      <c r="A15" s="5">
        <v>2</v>
      </c>
      <c r="B15" t="s">
        <v>84</v>
      </c>
      <c r="C15" t="s">
        <v>27</v>
      </c>
      <c r="D15" s="3">
        <v>1</v>
      </c>
      <c r="E15" t="s">
        <v>609</v>
      </c>
      <c r="F15" t="s">
        <v>609</v>
      </c>
      <c r="G15" t="s">
        <v>609</v>
      </c>
      <c r="H15" t="s">
        <v>19</v>
      </c>
      <c r="I15" s="3">
        <v>0</v>
      </c>
      <c r="K15" s="3">
        <v>0</v>
      </c>
    </row>
    <row r="16" spans="1:11">
      <c r="A16" s="5">
        <v>3</v>
      </c>
      <c r="B16" t="s">
        <v>222</v>
      </c>
      <c r="C16" t="s">
        <v>217</v>
      </c>
      <c r="D16" s="3">
        <v>2</v>
      </c>
      <c r="E16" t="s">
        <v>609</v>
      </c>
      <c r="F16" t="s">
        <v>609</v>
      </c>
      <c r="G16" t="s">
        <v>609</v>
      </c>
      <c r="H16" t="s">
        <v>19</v>
      </c>
      <c r="I16" s="3">
        <v>0</v>
      </c>
      <c r="K16" s="3">
        <v>0</v>
      </c>
    </row>
    <row r="17" spans="1:11">
      <c r="A17" s="5">
        <v>4</v>
      </c>
      <c r="B17" t="s">
        <v>316</v>
      </c>
      <c r="C17" t="s">
        <v>313</v>
      </c>
      <c r="D17" s="3">
        <v>2</v>
      </c>
      <c r="E17" t="s">
        <v>609</v>
      </c>
      <c r="F17" t="s">
        <v>609</v>
      </c>
      <c r="G17" t="s">
        <v>609</v>
      </c>
      <c r="H17" t="s">
        <v>19</v>
      </c>
      <c r="I17" s="3">
        <v>2</v>
      </c>
      <c r="K17" s="3">
        <v>3</v>
      </c>
    </row>
    <row r="18" spans="1:11">
      <c r="A18" s="5">
        <v>5</v>
      </c>
      <c r="B18" t="s">
        <v>61</v>
      </c>
      <c r="C18" t="s">
        <v>54</v>
      </c>
      <c r="D18" s="3">
        <v>3</v>
      </c>
      <c r="E18" t="s">
        <v>609</v>
      </c>
      <c r="F18" t="s">
        <v>609</v>
      </c>
      <c r="G18" t="s">
        <v>609</v>
      </c>
      <c r="H18" t="s">
        <v>19</v>
      </c>
      <c r="I18" s="3">
        <v>0</v>
      </c>
      <c r="K18" s="3">
        <v>3</v>
      </c>
    </row>
    <row r="19" spans="1:11">
      <c r="A19" s="5">
        <v>6</v>
      </c>
      <c r="B19" t="s">
        <v>287</v>
      </c>
      <c r="C19" t="s">
        <v>282</v>
      </c>
      <c r="D19" s="3">
        <v>3</v>
      </c>
      <c r="E19" t="s">
        <v>609</v>
      </c>
      <c r="F19" t="s">
        <v>609</v>
      </c>
      <c r="G19" t="s">
        <v>609</v>
      </c>
      <c r="H19" t="s">
        <v>19</v>
      </c>
      <c r="I19" s="3">
        <v>5</v>
      </c>
      <c r="K19" s="3">
        <v>0</v>
      </c>
    </row>
    <row r="20" spans="1:11">
      <c r="A20" s="5">
        <v>7</v>
      </c>
      <c r="B20" t="s">
        <v>112</v>
      </c>
      <c r="C20" t="s">
        <v>105</v>
      </c>
      <c r="D20" s="3">
        <v>4</v>
      </c>
      <c r="E20" t="s">
        <v>609</v>
      </c>
      <c r="F20" t="s">
        <v>609</v>
      </c>
      <c r="G20" t="s">
        <v>609</v>
      </c>
      <c r="H20" t="s">
        <v>19</v>
      </c>
      <c r="I20" s="3">
        <v>3</v>
      </c>
      <c r="K20" s="3">
        <v>0</v>
      </c>
    </row>
    <row r="21" spans="1:11">
      <c r="A21" s="5">
        <v>8</v>
      </c>
      <c r="B21" t="s">
        <v>157</v>
      </c>
      <c r="C21" t="s">
        <v>155</v>
      </c>
      <c r="D21" s="3">
        <v>4</v>
      </c>
      <c r="E21" t="s">
        <v>609</v>
      </c>
      <c r="F21" t="s">
        <v>609</v>
      </c>
      <c r="G21" t="s">
        <v>609</v>
      </c>
      <c r="H21" t="s">
        <v>19</v>
      </c>
      <c r="I21" s="3">
        <v>0</v>
      </c>
      <c r="K21" s="3">
        <v>3</v>
      </c>
    </row>
    <row r="22" spans="1:11">
      <c r="A22" s="5">
        <v>9</v>
      </c>
      <c r="B22" t="s">
        <v>337</v>
      </c>
      <c r="C22" t="s">
        <v>48</v>
      </c>
      <c r="D22" s="3">
        <v>5</v>
      </c>
      <c r="E22" t="s">
        <v>609</v>
      </c>
      <c r="F22" t="s">
        <v>609</v>
      </c>
      <c r="G22" t="s">
        <v>609</v>
      </c>
      <c r="H22" t="s">
        <v>19</v>
      </c>
      <c r="I22" s="3">
        <v>2</v>
      </c>
      <c r="K22" s="3">
        <v>0</v>
      </c>
    </row>
    <row r="23" spans="1:11">
      <c r="A23" s="5">
        <v>10</v>
      </c>
      <c r="B23" t="s">
        <v>330</v>
      </c>
      <c r="C23" t="s">
        <v>546</v>
      </c>
      <c r="D23" s="3">
        <v>5</v>
      </c>
      <c r="E23" t="s">
        <v>609</v>
      </c>
      <c r="F23" t="s">
        <v>609</v>
      </c>
      <c r="G23" t="s">
        <v>609</v>
      </c>
      <c r="H23" t="s">
        <v>19</v>
      </c>
      <c r="I23" s="3">
        <v>0</v>
      </c>
      <c r="K23" s="3">
        <v>3</v>
      </c>
    </row>
    <row r="24" spans="1:11">
      <c r="A24" s="5">
        <v>11</v>
      </c>
      <c r="B24" t="s">
        <v>190</v>
      </c>
      <c r="C24" t="s">
        <v>186</v>
      </c>
      <c r="D24" s="3">
        <v>6</v>
      </c>
      <c r="E24" t="s">
        <v>609</v>
      </c>
      <c r="F24" t="s">
        <v>609</v>
      </c>
      <c r="G24" t="s">
        <v>609</v>
      </c>
      <c r="H24" t="s">
        <v>19</v>
      </c>
      <c r="I24" s="3">
        <v>0</v>
      </c>
      <c r="K24" s="3">
        <v>3</v>
      </c>
    </row>
    <row r="25" spans="1:11">
      <c r="A25" s="5">
        <v>12</v>
      </c>
      <c r="B25" t="s">
        <v>311</v>
      </c>
      <c r="C25" t="s">
        <v>306</v>
      </c>
      <c r="D25" s="3">
        <v>6</v>
      </c>
      <c r="E25" t="s">
        <v>609</v>
      </c>
      <c r="F25" t="s">
        <v>609</v>
      </c>
      <c r="G25" t="s">
        <v>609</v>
      </c>
      <c r="H25" t="s">
        <v>19</v>
      </c>
      <c r="I25" s="3">
        <v>6</v>
      </c>
      <c r="K25" s="3">
        <v>0</v>
      </c>
    </row>
    <row r="26" spans="1:11">
      <c r="A26" s="5">
        <v>13</v>
      </c>
      <c r="B26" t="s">
        <v>208</v>
      </c>
      <c r="C26" t="s">
        <v>179</v>
      </c>
      <c r="D26" s="3">
        <v>7</v>
      </c>
      <c r="E26" t="s">
        <v>609</v>
      </c>
      <c r="F26" t="s">
        <v>609</v>
      </c>
      <c r="G26" t="s">
        <v>609</v>
      </c>
      <c r="H26" t="s">
        <v>19</v>
      </c>
      <c r="I26" s="3">
        <v>3</v>
      </c>
      <c r="K26" s="3">
        <v>2</v>
      </c>
    </row>
    <row r="27" spans="1:11">
      <c r="A27" s="5">
        <v>14</v>
      </c>
      <c r="B27" t="s">
        <v>139</v>
      </c>
      <c r="C27" t="s">
        <v>135</v>
      </c>
      <c r="D27" s="3">
        <v>7</v>
      </c>
      <c r="E27" t="s">
        <v>609</v>
      </c>
      <c r="F27" t="s">
        <v>609</v>
      </c>
      <c r="G27" t="s">
        <v>609</v>
      </c>
      <c r="H27" t="s">
        <v>19</v>
      </c>
      <c r="I27" s="3">
        <v>0</v>
      </c>
      <c r="K27" s="3">
        <v>0</v>
      </c>
    </row>
    <row r="28" spans="1:11">
      <c r="A28" s="5">
        <v>15</v>
      </c>
      <c r="B28" s="168" t="s">
        <v>1038</v>
      </c>
      <c r="C28" s="168" t="s">
        <v>258</v>
      </c>
      <c r="D28" s="3">
        <v>8</v>
      </c>
      <c r="E28" t="s">
        <v>609</v>
      </c>
      <c r="F28" t="s">
        <v>609</v>
      </c>
      <c r="G28" t="s">
        <v>609</v>
      </c>
      <c r="H28" t="s">
        <v>19</v>
      </c>
      <c r="I28" s="3">
        <v>0</v>
      </c>
      <c r="K28" s="3">
        <v>5</v>
      </c>
    </row>
    <row r="29" spans="1:11">
      <c r="A29" s="5">
        <v>16</v>
      </c>
      <c r="B29" t="s">
        <v>293</v>
      </c>
      <c r="C29" t="s">
        <v>289</v>
      </c>
      <c r="D29" s="3">
        <v>8</v>
      </c>
      <c r="E29" t="s">
        <v>609</v>
      </c>
      <c r="F29" t="s">
        <v>609</v>
      </c>
      <c r="G29" t="s">
        <v>609</v>
      </c>
      <c r="H29" t="s">
        <v>19</v>
      </c>
      <c r="I29" s="3">
        <v>2</v>
      </c>
      <c r="K29" s="3">
        <v>0</v>
      </c>
    </row>
    <row r="30" spans="1:11">
      <c r="A30" s="5">
        <v>17</v>
      </c>
      <c r="B30" t="s">
        <v>298</v>
      </c>
      <c r="C30" t="s">
        <v>563</v>
      </c>
      <c r="D30" s="3">
        <v>9</v>
      </c>
      <c r="E30" t="s">
        <v>609</v>
      </c>
      <c r="F30" t="s">
        <v>609</v>
      </c>
      <c r="G30" t="s">
        <v>609</v>
      </c>
      <c r="H30" t="s">
        <v>19</v>
      </c>
      <c r="I30" s="3">
        <v>6</v>
      </c>
      <c r="K30" s="3">
        <v>2</v>
      </c>
    </row>
    <row r="31" spans="1:11">
      <c r="A31" s="5">
        <v>18</v>
      </c>
      <c r="B31" t="s">
        <v>335</v>
      </c>
      <c r="C31" t="s">
        <v>22</v>
      </c>
      <c r="D31" s="3">
        <v>9</v>
      </c>
      <c r="E31" t="s">
        <v>609</v>
      </c>
      <c r="F31" t="s">
        <v>609</v>
      </c>
      <c r="G31" t="s">
        <v>609</v>
      </c>
      <c r="H31" t="s">
        <v>19</v>
      </c>
      <c r="I31" s="3">
        <v>0</v>
      </c>
      <c r="K31" s="3">
        <v>0</v>
      </c>
    </row>
    <row r="32" spans="1:11">
      <c r="A32" s="5">
        <v>19</v>
      </c>
      <c r="B32" t="s">
        <v>120</v>
      </c>
      <c r="C32" t="s">
        <v>117</v>
      </c>
      <c r="D32" s="3">
        <v>10</v>
      </c>
      <c r="E32" t="s">
        <v>609</v>
      </c>
      <c r="F32" t="s">
        <v>609</v>
      </c>
      <c r="G32" t="s">
        <v>609</v>
      </c>
      <c r="H32" t="s">
        <v>19</v>
      </c>
      <c r="I32" s="3">
        <v>0</v>
      </c>
      <c r="K32" s="3">
        <v>0</v>
      </c>
    </row>
    <row r="33" spans="1:11">
      <c r="A33" s="5">
        <v>20</v>
      </c>
      <c r="B33" t="s">
        <v>94</v>
      </c>
      <c r="C33" t="s">
        <v>29</v>
      </c>
      <c r="D33" s="3">
        <v>10</v>
      </c>
      <c r="E33" t="s">
        <v>609</v>
      </c>
      <c r="F33" t="s">
        <v>609</v>
      </c>
      <c r="G33" t="s">
        <v>609</v>
      </c>
      <c r="H33" t="s">
        <v>19</v>
      </c>
      <c r="I33" s="3">
        <v>1</v>
      </c>
      <c r="K33" s="3">
        <v>5</v>
      </c>
    </row>
    <row r="34" spans="1:11">
      <c r="A34" s="5">
        <v>21</v>
      </c>
      <c r="B34" s="169" t="s">
        <v>325</v>
      </c>
      <c r="C34" s="169" t="s">
        <v>320</v>
      </c>
      <c r="D34" s="3">
        <v>11</v>
      </c>
      <c r="E34" t="s">
        <v>609</v>
      </c>
      <c r="F34" t="s">
        <v>609</v>
      </c>
      <c r="G34" t="s">
        <v>609</v>
      </c>
      <c r="H34" t="s">
        <v>19</v>
      </c>
      <c r="I34" s="3">
        <v>0</v>
      </c>
      <c r="K34" s="3">
        <v>0</v>
      </c>
    </row>
    <row r="35" spans="1:11">
      <c r="A35" s="5">
        <v>22</v>
      </c>
      <c r="B35" t="s">
        <v>109</v>
      </c>
      <c r="C35" t="s">
        <v>105</v>
      </c>
      <c r="D35" s="3">
        <v>11</v>
      </c>
      <c r="E35" t="s">
        <v>609</v>
      </c>
      <c r="F35" t="s">
        <v>609</v>
      </c>
      <c r="G35" t="s">
        <v>609</v>
      </c>
      <c r="H35" t="s">
        <v>19</v>
      </c>
      <c r="I35" s="3">
        <v>6</v>
      </c>
      <c r="K35" s="3">
        <v>5</v>
      </c>
    </row>
    <row r="36" spans="1:11">
      <c r="A36" s="5">
        <v>23</v>
      </c>
      <c r="B36" t="s">
        <v>45</v>
      </c>
      <c r="C36" t="s">
        <v>41</v>
      </c>
      <c r="D36" s="3">
        <v>12</v>
      </c>
      <c r="E36" t="s">
        <v>609</v>
      </c>
      <c r="F36" t="s">
        <v>609</v>
      </c>
      <c r="G36" t="s">
        <v>609</v>
      </c>
      <c r="H36" t="s">
        <v>19</v>
      </c>
      <c r="I36" s="3">
        <v>0</v>
      </c>
      <c r="K36" s="3">
        <v>3</v>
      </c>
    </row>
    <row r="37" spans="1:11">
      <c r="A37" s="5">
        <v>24</v>
      </c>
      <c r="B37" t="s">
        <v>152</v>
      </c>
      <c r="C37" t="s">
        <v>103</v>
      </c>
      <c r="D37" s="3">
        <v>12</v>
      </c>
      <c r="E37" t="s">
        <v>609</v>
      </c>
      <c r="F37" t="s">
        <v>609</v>
      </c>
      <c r="G37" t="s">
        <v>609</v>
      </c>
      <c r="H37" t="s">
        <v>19</v>
      </c>
      <c r="I37" s="3">
        <v>6</v>
      </c>
      <c r="K37" s="3">
        <v>0</v>
      </c>
    </row>
    <row r="38" spans="1:11">
      <c r="A38" s="5">
        <v>25</v>
      </c>
      <c r="B38" t="s">
        <v>18</v>
      </c>
      <c r="C38" t="s">
        <v>16</v>
      </c>
      <c r="D38" s="3">
        <v>13</v>
      </c>
      <c r="E38" t="s">
        <v>609</v>
      </c>
      <c r="F38" t="s">
        <v>609</v>
      </c>
      <c r="G38" t="s">
        <v>609</v>
      </c>
      <c r="H38" t="s">
        <v>19</v>
      </c>
      <c r="I38" s="3">
        <v>0</v>
      </c>
      <c r="K38" s="3">
        <v>0</v>
      </c>
    </row>
    <row r="39" spans="1:11">
      <c r="A39" s="5">
        <v>26</v>
      </c>
      <c r="B39" t="s">
        <v>286</v>
      </c>
      <c r="C39" t="s">
        <v>282</v>
      </c>
      <c r="D39" s="3">
        <v>13</v>
      </c>
      <c r="E39" t="s">
        <v>609</v>
      </c>
      <c r="F39" t="s">
        <v>609</v>
      </c>
      <c r="G39" t="s">
        <v>609</v>
      </c>
      <c r="H39" t="s">
        <v>19</v>
      </c>
      <c r="I39" s="3">
        <v>2</v>
      </c>
      <c r="K39" s="3">
        <v>4</v>
      </c>
    </row>
    <row r="40" spans="1:11">
      <c r="A40" s="5">
        <v>27</v>
      </c>
      <c r="B40" t="s">
        <v>158</v>
      </c>
      <c r="C40" t="s">
        <v>155</v>
      </c>
      <c r="D40" s="3">
        <v>14</v>
      </c>
      <c r="E40" t="s">
        <v>609</v>
      </c>
      <c r="F40" t="s">
        <v>609</v>
      </c>
      <c r="G40" t="s">
        <v>609</v>
      </c>
      <c r="H40" t="s">
        <v>19</v>
      </c>
      <c r="I40" s="3">
        <v>3</v>
      </c>
      <c r="K40" s="3">
        <v>0</v>
      </c>
    </row>
    <row r="41" spans="1:11">
      <c r="A41" s="5">
        <v>28</v>
      </c>
      <c r="B41" t="s">
        <v>240</v>
      </c>
      <c r="C41" t="s">
        <v>238</v>
      </c>
      <c r="D41" s="3">
        <v>14</v>
      </c>
      <c r="E41" t="s">
        <v>609</v>
      </c>
      <c r="F41" t="s">
        <v>609</v>
      </c>
      <c r="G41" t="s">
        <v>609</v>
      </c>
      <c r="H41" t="s">
        <v>19</v>
      </c>
      <c r="I41" s="3">
        <v>0</v>
      </c>
      <c r="K41" s="3">
        <v>3</v>
      </c>
    </row>
    <row r="42" spans="1:11">
      <c r="A42" s="5">
        <v>29</v>
      </c>
      <c r="B42" s="170" t="s">
        <v>115</v>
      </c>
      <c r="C42" s="170" t="s">
        <v>113</v>
      </c>
      <c r="D42" s="3">
        <v>15</v>
      </c>
      <c r="E42" t="s">
        <v>609</v>
      </c>
      <c r="F42" t="s">
        <v>609</v>
      </c>
      <c r="G42" t="s">
        <v>609</v>
      </c>
      <c r="H42" t="s">
        <v>19</v>
      </c>
      <c r="I42" s="3">
        <v>0</v>
      </c>
      <c r="K42" s="3">
        <v>0</v>
      </c>
    </row>
    <row r="43" spans="1:11">
      <c r="A43" s="5">
        <v>30</v>
      </c>
      <c r="B43" t="s">
        <v>212</v>
      </c>
      <c r="C43" t="s">
        <v>628</v>
      </c>
      <c r="D43" s="3">
        <v>15</v>
      </c>
      <c r="E43" t="s">
        <v>609</v>
      </c>
      <c r="F43" t="s">
        <v>609</v>
      </c>
      <c r="G43" t="s">
        <v>609</v>
      </c>
      <c r="H43" t="s">
        <v>19</v>
      </c>
      <c r="I43" s="3">
        <v>1</v>
      </c>
      <c r="K43" s="3">
        <v>3</v>
      </c>
    </row>
    <row r="44" spans="1:11">
      <c r="A44" s="5">
        <v>31</v>
      </c>
      <c r="B44" t="s">
        <v>138</v>
      </c>
      <c r="C44" t="s">
        <v>135</v>
      </c>
      <c r="D44" s="3">
        <v>16</v>
      </c>
      <c r="E44" t="s">
        <v>609</v>
      </c>
      <c r="F44" t="s">
        <v>609</v>
      </c>
      <c r="G44" t="s">
        <v>609</v>
      </c>
      <c r="H44" t="s">
        <v>19</v>
      </c>
      <c r="I44" s="3">
        <v>5</v>
      </c>
      <c r="K44" s="3">
        <v>0</v>
      </c>
    </row>
    <row r="45" spans="1:11">
      <c r="A45" s="5">
        <v>32</v>
      </c>
      <c r="B45" t="s">
        <v>344</v>
      </c>
      <c r="C45" t="s">
        <v>142</v>
      </c>
      <c r="D45" s="3">
        <v>16</v>
      </c>
      <c r="E45" t="s">
        <v>609</v>
      </c>
      <c r="F45" t="s">
        <v>609</v>
      </c>
      <c r="G45" t="s">
        <v>609</v>
      </c>
      <c r="H45" t="s">
        <v>19</v>
      </c>
      <c r="I45" s="3">
        <v>0</v>
      </c>
      <c r="K45" s="3">
        <v>3</v>
      </c>
    </row>
    <row r="46" spans="1:11">
      <c r="A46" s="5">
        <v>33</v>
      </c>
      <c r="B46" s="170" t="s">
        <v>215</v>
      </c>
      <c r="C46" s="170" t="s">
        <v>180</v>
      </c>
      <c r="D46" s="3">
        <v>17</v>
      </c>
      <c r="E46" t="s">
        <v>609</v>
      </c>
      <c r="F46" t="s">
        <v>609</v>
      </c>
      <c r="G46" t="s">
        <v>609</v>
      </c>
      <c r="H46" t="s">
        <v>19</v>
      </c>
      <c r="I46" s="3">
        <v>0</v>
      </c>
      <c r="K46" s="3">
        <v>0</v>
      </c>
    </row>
    <row r="47" spans="1:11">
      <c r="A47" s="5">
        <v>34</v>
      </c>
      <c r="B47" t="s">
        <v>1039</v>
      </c>
      <c r="C47" t="s">
        <v>564</v>
      </c>
      <c r="D47" s="3">
        <v>17</v>
      </c>
      <c r="E47" t="s">
        <v>609</v>
      </c>
      <c r="F47" t="s">
        <v>609</v>
      </c>
      <c r="G47" t="s">
        <v>609</v>
      </c>
      <c r="H47" t="s">
        <v>19</v>
      </c>
      <c r="I47" s="3">
        <v>5</v>
      </c>
      <c r="K47" s="3">
        <v>3</v>
      </c>
    </row>
    <row r="48" spans="1:11">
      <c r="A48" s="5">
        <v>35</v>
      </c>
      <c r="B48" t="s">
        <v>207</v>
      </c>
      <c r="C48" t="s">
        <v>179</v>
      </c>
      <c r="D48" s="3">
        <v>18</v>
      </c>
      <c r="E48" t="s">
        <v>609</v>
      </c>
      <c r="F48" t="s">
        <v>609</v>
      </c>
      <c r="G48" t="s">
        <v>609</v>
      </c>
      <c r="H48" t="s">
        <v>19</v>
      </c>
      <c r="I48" s="3">
        <v>3</v>
      </c>
      <c r="K48" s="3">
        <v>3</v>
      </c>
    </row>
    <row r="49" spans="1:11">
      <c r="A49" s="5">
        <v>36</v>
      </c>
      <c r="B49" s="169" t="s">
        <v>79</v>
      </c>
      <c r="C49" s="169" t="s">
        <v>23</v>
      </c>
      <c r="D49" s="3">
        <v>18</v>
      </c>
      <c r="E49" t="s">
        <v>609</v>
      </c>
      <c r="F49" t="s">
        <v>609</v>
      </c>
      <c r="G49" t="s">
        <v>609</v>
      </c>
      <c r="H49" t="s">
        <v>19</v>
      </c>
      <c r="I49" s="3">
        <v>0</v>
      </c>
      <c r="K49" s="3">
        <v>0</v>
      </c>
    </row>
    <row r="50" spans="1:11">
      <c r="A50" s="5">
        <v>37</v>
      </c>
      <c r="B50" t="s">
        <v>202</v>
      </c>
      <c r="C50" t="s">
        <v>197</v>
      </c>
      <c r="D50" s="3">
        <v>19</v>
      </c>
      <c r="E50" t="s">
        <v>609</v>
      </c>
      <c r="F50" t="s">
        <v>609</v>
      </c>
      <c r="G50" t="s">
        <v>609</v>
      </c>
      <c r="H50" t="s">
        <v>19</v>
      </c>
      <c r="I50" s="3">
        <v>0</v>
      </c>
      <c r="K50" s="3">
        <v>0</v>
      </c>
    </row>
    <row r="51" spans="1:11">
      <c r="A51" s="5">
        <v>38</v>
      </c>
      <c r="B51" t="s">
        <v>1040</v>
      </c>
      <c r="C51" t="s">
        <v>289</v>
      </c>
      <c r="D51" s="3">
        <v>19</v>
      </c>
      <c r="E51" t="s">
        <v>609</v>
      </c>
      <c r="F51" t="s">
        <v>609</v>
      </c>
      <c r="G51" t="s">
        <v>609</v>
      </c>
      <c r="H51" t="s">
        <v>19</v>
      </c>
      <c r="I51" s="3">
        <v>2</v>
      </c>
      <c r="K51" s="3">
        <v>3</v>
      </c>
    </row>
    <row r="52" spans="1:11">
      <c r="A52" s="5">
        <v>39</v>
      </c>
      <c r="B52" t="s">
        <v>1041</v>
      </c>
      <c r="C52" t="s">
        <v>13</v>
      </c>
      <c r="D52" s="3">
        <v>20</v>
      </c>
      <c r="E52" t="s">
        <v>609</v>
      </c>
      <c r="F52" t="s">
        <v>609</v>
      </c>
      <c r="G52" t="s">
        <v>609</v>
      </c>
      <c r="H52" t="s">
        <v>19</v>
      </c>
      <c r="I52" s="3">
        <v>1</v>
      </c>
      <c r="K52" s="3">
        <v>3</v>
      </c>
    </row>
    <row r="53" spans="1:11">
      <c r="A53" s="5">
        <v>40</v>
      </c>
      <c r="B53" t="s">
        <v>165</v>
      </c>
      <c r="C53" t="s">
        <v>161</v>
      </c>
      <c r="D53" s="3">
        <v>20</v>
      </c>
      <c r="E53" t="s">
        <v>609</v>
      </c>
      <c r="F53" t="s">
        <v>609</v>
      </c>
      <c r="G53" t="s">
        <v>609</v>
      </c>
      <c r="H53" t="s">
        <v>19</v>
      </c>
      <c r="I53" s="3">
        <v>0</v>
      </c>
      <c r="K53" s="3">
        <v>0</v>
      </c>
    </row>
    <row r="54" spans="1:11">
      <c r="A54" s="5">
        <v>41</v>
      </c>
      <c r="B54" t="s">
        <v>342</v>
      </c>
      <c r="C54" t="s">
        <v>266</v>
      </c>
      <c r="D54" s="3">
        <v>21</v>
      </c>
      <c r="E54" t="s">
        <v>609</v>
      </c>
      <c r="F54" t="s">
        <v>609</v>
      </c>
      <c r="G54" t="s">
        <v>609</v>
      </c>
      <c r="H54" t="s">
        <v>19</v>
      </c>
      <c r="I54" s="3">
        <v>4</v>
      </c>
      <c r="K54" s="3">
        <v>0</v>
      </c>
    </row>
    <row r="55" spans="1:11">
      <c r="A55" s="5">
        <v>42</v>
      </c>
      <c r="B55" t="s">
        <v>241</v>
      </c>
      <c r="C55" t="s">
        <v>238</v>
      </c>
      <c r="D55" s="3">
        <v>21</v>
      </c>
      <c r="E55" t="s">
        <v>609</v>
      </c>
      <c r="F55" t="s">
        <v>609</v>
      </c>
      <c r="G55" t="s">
        <v>609</v>
      </c>
      <c r="H55" t="s">
        <v>19</v>
      </c>
      <c r="I55" s="3">
        <v>0</v>
      </c>
      <c r="K55" s="3">
        <v>5</v>
      </c>
    </row>
    <row r="56" spans="1:11">
      <c r="A56" s="5">
        <v>43</v>
      </c>
      <c r="B56" t="s">
        <v>110</v>
      </c>
      <c r="C56" t="s">
        <v>105</v>
      </c>
      <c r="D56" s="3">
        <v>22</v>
      </c>
      <c r="E56" t="s">
        <v>609</v>
      </c>
      <c r="F56" t="s">
        <v>609</v>
      </c>
      <c r="G56" t="s">
        <v>609</v>
      </c>
      <c r="H56" t="s">
        <v>19</v>
      </c>
      <c r="I56" s="3">
        <v>0</v>
      </c>
      <c r="K56" s="3">
        <v>4</v>
      </c>
    </row>
    <row r="57" spans="1:11">
      <c r="A57" s="5">
        <v>44</v>
      </c>
      <c r="B57" t="s">
        <v>236</v>
      </c>
      <c r="C57" t="s">
        <v>234</v>
      </c>
      <c r="D57" s="3">
        <v>22</v>
      </c>
      <c r="E57" t="s">
        <v>609</v>
      </c>
      <c r="F57" t="s">
        <v>609</v>
      </c>
      <c r="G57" t="s">
        <v>609</v>
      </c>
      <c r="H57" t="s">
        <v>19</v>
      </c>
      <c r="I57" s="3">
        <v>4</v>
      </c>
      <c r="K57" s="3">
        <v>0</v>
      </c>
    </row>
    <row r="58" spans="1:11">
      <c r="A58" s="5">
        <v>45</v>
      </c>
      <c r="B58" t="s">
        <v>132</v>
      </c>
      <c r="C58" t="s">
        <v>130</v>
      </c>
      <c r="D58" s="3">
        <v>23</v>
      </c>
      <c r="E58" t="s">
        <v>609</v>
      </c>
      <c r="F58" t="s">
        <v>609</v>
      </c>
      <c r="G58" t="s">
        <v>609</v>
      </c>
      <c r="H58" t="s">
        <v>19</v>
      </c>
      <c r="I58" s="3">
        <v>3</v>
      </c>
      <c r="K58" s="3">
        <v>3</v>
      </c>
    </row>
    <row r="59" spans="1:11">
      <c r="A59" s="5">
        <v>46</v>
      </c>
      <c r="B59" t="s">
        <v>315</v>
      </c>
      <c r="C59" t="s">
        <v>313</v>
      </c>
      <c r="D59" s="3">
        <v>23</v>
      </c>
      <c r="E59" t="s">
        <v>609</v>
      </c>
      <c r="F59" t="s">
        <v>609</v>
      </c>
      <c r="G59" t="s">
        <v>609</v>
      </c>
      <c r="H59" t="s">
        <v>19</v>
      </c>
      <c r="I59" s="3">
        <v>0</v>
      </c>
      <c r="K59" s="3">
        <v>0</v>
      </c>
    </row>
    <row r="60" spans="1:11">
      <c r="A60" s="5">
        <v>47</v>
      </c>
      <c r="B60" t="s">
        <v>1042</v>
      </c>
      <c r="C60" t="s">
        <v>302</v>
      </c>
      <c r="D60" s="3">
        <v>24</v>
      </c>
      <c r="E60" t="s">
        <v>609</v>
      </c>
      <c r="F60" t="s">
        <v>609</v>
      </c>
      <c r="G60" t="s">
        <v>609</v>
      </c>
      <c r="H60" t="s">
        <v>19</v>
      </c>
      <c r="I60" s="3">
        <v>6</v>
      </c>
      <c r="K60" s="3">
        <v>0</v>
      </c>
    </row>
    <row r="61" spans="1:11">
      <c r="A61" s="5">
        <v>48</v>
      </c>
      <c r="B61" t="s">
        <v>89</v>
      </c>
      <c r="C61" t="s">
        <v>567</v>
      </c>
      <c r="D61" s="3">
        <v>24</v>
      </c>
      <c r="E61" t="s">
        <v>609</v>
      </c>
      <c r="F61" t="s">
        <v>609</v>
      </c>
      <c r="G61" t="s">
        <v>609</v>
      </c>
      <c r="H61" t="s">
        <v>19</v>
      </c>
      <c r="I61" s="3">
        <v>0</v>
      </c>
      <c r="K61" s="3">
        <v>5</v>
      </c>
    </row>
    <row r="62" spans="1:11">
      <c r="A62" s="5">
        <v>49</v>
      </c>
      <c r="B62" t="s">
        <v>39</v>
      </c>
      <c r="C62" t="s">
        <v>16</v>
      </c>
      <c r="D62" s="3">
        <v>25</v>
      </c>
      <c r="E62" t="s">
        <v>609</v>
      </c>
      <c r="F62" t="s">
        <v>609</v>
      </c>
      <c r="G62" t="s">
        <v>609</v>
      </c>
      <c r="H62" t="s">
        <v>19</v>
      </c>
      <c r="I62" s="3">
        <v>0</v>
      </c>
      <c r="K62" s="3">
        <v>5</v>
      </c>
    </row>
    <row r="63" spans="1:11">
      <c r="A63" s="5">
        <v>50</v>
      </c>
      <c r="B63" t="s">
        <v>345</v>
      </c>
      <c r="C63" t="s">
        <v>113</v>
      </c>
      <c r="D63" s="3">
        <v>25</v>
      </c>
      <c r="E63" t="s">
        <v>609</v>
      </c>
      <c r="F63" t="s">
        <v>609</v>
      </c>
      <c r="G63" t="s">
        <v>609</v>
      </c>
      <c r="H63" t="s">
        <v>19</v>
      </c>
      <c r="I63" s="3">
        <v>4</v>
      </c>
      <c r="K63" s="3">
        <v>0</v>
      </c>
    </row>
    <row r="64" spans="1:11">
      <c r="A64" s="5">
        <v>51</v>
      </c>
      <c r="B64" t="s">
        <v>268</v>
      </c>
      <c r="C64" t="s">
        <v>266</v>
      </c>
      <c r="D64" s="3">
        <v>26</v>
      </c>
      <c r="E64" t="s">
        <v>609</v>
      </c>
      <c r="F64" t="s">
        <v>609</v>
      </c>
      <c r="G64" t="s">
        <v>609</v>
      </c>
      <c r="H64" t="s">
        <v>19</v>
      </c>
      <c r="I64" s="3">
        <v>2</v>
      </c>
      <c r="K64" s="3">
        <v>0</v>
      </c>
    </row>
    <row r="65" spans="1:11">
      <c r="A65" s="5">
        <v>52</v>
      </c>
      <c r="B65" t="s">
        <v>60</v>
      </c>
      <c r="C65" t="s">
        <v>54</v>
      </c>
      <c r="D65" s="3">
        <v>26</v>
      </c>
      <c r="E65" t="s">
        <v>609</v>
      </c>
      <c r="F65" t="s">
        <v>609</v>
      </c>
      <c r="G65" t="s">
        <v>609</v>
      </c>
      <c r="H65" t="s">
        <v>19</v>
      </c>
      <c r="I65" s="3">
        <v>0</v>
      </c>
      <c r="K65" s="3">
        <v>5</v>
      </c>
    </row>
    <row r="66" spans="1:11">
      <c r="A66" s="5">
        <v>53</v>
      </c>
      <c r="B66" t="s">
        <v>300</v>
      </c>
      <c r="C66" t="s">
        <v>563</v>
      </c>
      <c r="D66" s="3">
        <v>27</v>
      </c>
      <c r="E66" t="s">
        <v>609</v>
      </c>
      <c r="F66" t="s">
        <v>609</v>
      </c>
      <c r="G66" t="s">
        <v>609</v>
      </c>
      <c r="H66" t="s">
        <v>19</v>
      </c>
      <c r="I66" s="3">
        <v>3</v>
      </c>
      <c r="K66" s="3">
        <v>0</v>
      </c>
    </row>
    <row r="67" spans="1:11">
      <c r="A67" s="5">
        <v>54</v>
      </c>
      <c r="B67" t="s">
        <v>249</v>
      </c>
      <c r="C67" t="s">
        <v>244</v>
      </c>
      <c r="D67" s="3">
        <v>27</v>
      </c>
      <c r="E67" t="s">
        <v>609</v>
      </c>
      <c r="F67" t="s">
        <v>609</v>
      </c>
      <c r="G67" t="s">
        <v>609</v>
      </c>
      <c r="H67" t="s">
        <v>19</v>
      </c>
      <c r="I67" s="3">
        <v>0</v>
      </c>
      <c r="K67" s="3">
        <v>3</v>
      </c>
    </row>
    <row r="68" spans="1:11">
      <c r="A68" s="5">
        <v>55</v>
      </c>
      <c r="B68" t="s">
        <v>71</v>
      </c>
      <c r="C68" t="s">
        <v>22</v>
      </c>
      <c r="D68" s="3">
        <v>28</v>
      </c>
      <c r="E68" t="s">
        <v>609</v>
      </c>
      <c r="F68" t="s">
        <v>609</v>
      </c>
      <c r="G68" t="s">
        <v>609</v>
      </c>
      <c r="H68" t="s">
        <v>19</v>
      </c>
      <c r="I68" s="3">
        <v>6</v>
      </c>
      <c r="K68" s="3">
        <v>0</v>
      </c>
    </row>
    <row r="69" spans="1:11">
      <c r="A69" s="5">
        <v>56</v>
      </c>
      <c r="B69" t="s">
        <v>1043</v>
      </c>
      <c r="C69" t="s">
        <v>566</v>
      </c>
      <c r="D69" s="3">
        <v>28</v>
      </c>
      <c r="E69" t="s">
        <v>609</v>
      </c>
      <c r="F69" t="s">
        <v>609</v>
      </c>
      <c r="G69" t="s">
        <v>609</v>
      </c>
      <c r="H69" t="s">
        <v>19</v>
      </c>
      <c r="I69" s="3">
        <v>0</v>
      </c>
      <c r="K69" s="3">
        <v>5</v>
      </c>
    </row>
    <row r="70" spans="1:11">
      <c r="A70" s="5">
        <v>57</v>
      </c>
      <c r="B70" t="s">
        <v>111</v>
      </c>
      <c r="C70" t="s">
        <v>105</v>
      </c>
      <c r="D70" s="3">
        <v>29</v>
      </c>
      <c r="E70" t="s">
        <v>609</v>
      </c>
      <c r="F70" t="s">
        <v>609</v>
      </c>
      <c r="G70" t="s">
        <v>609</v>
      </c>
      <c r="H70" t="s">
        <v>19</v>
      </c>
      <c r="I70" s="3">
        <v>0</v>
      </c>
      <c r="K70" s="3">
        <v>3</v>
      </c>
    </row>
    <row r="71" spans="1:11">
      <c r="A71" s="5">
        <v>58</v>
      </c>
      <c r="B71" s="170" t="s">
        <v>25</v>
      </c>
      <c r="C71" s="170" t="s">
        <v>445</v>
      </c>
      <c r="D71" s="3">
        <v>29</v>
      </c>
      <c r="E71" t="s">
        <v>609</v>
      </c>
      <c r="F71" t="s">
        <v>609</v>
      </c>
      <c r="G71" t="s">
        <v>609</v>
      </c>
      <c r="H71" t="s">
        <v>19</v>
      </c>
      <c r="I71" s="3">
        <v>6</v>
      </c>
      <c r="K71" s="3">
        <v>0</v>
      </c>
    </row>
    <row r="72" spans="1:11">
      <c r="A72" s="5">
        <v>59</v>
      </c>
      <c r="B72" t="s">
        <v>67</v>
      </c>
      <c r="C72" t="s">
        <v>62</v>
      </c>
      <c r="D72" s="3">
        <v>30</v>
      </c>
      <c r="E72" t="s">
        <v>609</v>
      </c>
      <c r="F72" t="s">
        <v>609</v>
      </c>
      <c r="G72" t="s">
        <v>609</v>
      </c>
      <c r="H72" t="s">
        <v>19</v>
      </c>
      <c r="I72" s="3">
        <v>0</v>
      </c>
      <c r="K72" s="3">
        <v>2</v>
      </c>
    </row>
    <row r="73" spans="1:11">
      <c r="A73" s="5">
        <v>60</v>
      </c>
      <c r="B73" t="s">
        <v>294</v>
      </c>
      <c r="C73" t="s">
        <v>289</v>
      </c>
      <c r="D73" s="3">
        <v>30</v>
      </c>
      <c r="E73" t="s">
        <v>609</v>
      </c>
      <c r="F73" t="s">
        <v>609</v>
      </c>
      <c r="G73" t="s">
        <v>609</v>
      </c>
      <c r="H73" t="s">
        <v>19</v>
      </c>
      <c r="I73" s="3">
        <v>3</v>
      </c>
      <c r="K73" s="3">
        <v>0</v>
      </c>
    </row>
    <row r="74" spans="1:11">
      <c r="A74" s="5">
        <v>61</v>
      </c>
      <c r="B74" t="s">
        <v>272</v>
      </c>
      <c r="C74" t="s">
        <v>269</v>
      </c>
      <c r="D74" s="3">
        <v>31</v>
      </c>
      <c r="E74" t="s">
        <v>609</v>
      </c>
      <c r="F74" t="s">
        <v>609</v>
      </c>
      <c r="G74" t="s">
        <v>609</v>
      </c>
      <c r="H74" t="s">
        <v>19</v>
      </c>
      <c r="I74" s="3">
        <v>0</v>
      </c>
      <c r="K74" s="3">
        <v>3</v>
      </c>
    </row>
    <row r="75" spans="1:11">
      <c r="A75" s="5">
        <v>62</v>
      </c>
      <c r="B75" t="s">
        <v>140</v>
      </c>
      <c r="C75" t="s">
        <v>135</v>
      </c>
      <c r="D75" s="3">
        <v>31</v>
      </c>
      <c r="E75" t="s">
        <v>609</v>
      </c>
      <c r="F75" t="s">
        <v>609</v>
      </c>
      <c r="G75" t="s">
        <v>609</v>
      </c>
      <c r="H75" t="s">
        <v>19</v>
      </c>
      <c r="I75" s="3">
        <v>1</v>
      </c>
      <c r="K75" s="3">
        <v>0</v>
      </c>
    </row>
    <row r="76" spans="1:11">
      <c r="A76" s="5">
        <v>63</v>
      </c>
      <c r="B76" t="s">
        <v>351</v>
      </c>
      <c r="C76" t="s">
        <v>306</v>
      </c>
      <c r="D76" s="3">
        <v>32</v>
      </c>
      <c r="E76" t="s">
        <v>609</v>
      </c>
      <c r="F76" t="s">
        <v>609</v>
      </c>
      <c r="G76" t="s">
        <v>609</v>
      </c>
      <c r="H76" t="s">
        <v>19</v>
      </c>
      <c r="I76" s="3">
        <v>0</v>
      </c>
      <c r="K76" s="3">
        <v>0</v>
      </c>
    </row>
    <row r="77" spans="1:11">
      <c r="A77" s="5">
        <v>64</v>
      </c>
      <c r="B77" t="s">
        <v>91</v>
      </c>
      <c r="C77" t="s">
        <v>567</v>
      </c>
      <c r="D77" s="3">
        <v>32</v>
      </c>
      <c r="E77" t="s">
        <v>609</v>
      </c>
      <c r="F77" t="s">
        <v>609</v>
      </c>
      <c r="G77" t="s">
        <v>609</v>
      </c>
      <c r="H77" t="s">
        <v>19</v>
      </c>
      <c r="I77" s="3">
        <v>3</v>
      </c>
      <c r="K77" s="3">
        <v>2</v>
      </c>
    </row>
    <row r="78" spans="1:11">
      <c r="A78" s="5">
        <v>65</v>
      </c>
      <c r="B78" t="s">
        <v>1044</v>
      </c>
      <c r="C78" t="s">
        <v>180</v>
      </c>
      <c r="D78" s="3">
        <v>33</v>
      </c>
      <c r="E78" t="s">
        <v>609</v>
      </c>
      <c r="F78" t="s">
        <v>609</v>
      </c>
      <c r="G78" t="s">
        <v>609</v>
      </c>
      <c r="H78" t="s">
        <v>19</v>
      </c>
      <c r="I78" s="3">
        <v>0</v>
      </c>
      <c r="K78" s="3">
        <v>0</v>
      </c>
    </row>
    <row r="79" spans="1:11">
      <c r="A79" s="5">
        <v>66</v>
      </c>
      <c r="B79" t="s">
        <v>220</v>
      </c>
      <c r="C79" t="s">
        <v>217</v>
      </c>
      <c r="D79" s="3">
        <v>33</v>
      </c>
      <c r="E79" t="s">
        <v>609</v>
      </c>
      <c r="F79" t="s">
        <v>609</v>
      </c>
      <c r="G79" t="s">
        <v>609</v>
      </c>
      <c r="H79" t="s">
        <v>19</v>
      </c>
      <c r="I79" s="3">
        <v>2</v>
      </c>
      <c r="K79" s="3">
        <v>3</v>
      </c>
    </row>
    <row r="80" spans="1:11">
      <c r="A80" s="5">
        <v>67</v>
      </c>
      <c r="B80" t="s">
        <v>34</v>
      </c>
      <c r="C80" t="s">
        <v>13</v>
      </c>
      <c r="D80" s="3">
        <v>34</v>
      </c>
      <c r="E80" t="s">
        <v>609</v>
      </c>
      <c r="F80" t="s">
        <v>609</v>
      </c>
      <c r="G80" t="s">
        <v>609</v>
      </c>
      <c r="H80" t="s">
        <v>19</v>
      </c>
      <c r="I80" s="3">
        <v>0</v>
      </c>
      <c r="K80" s="3">
        <v>0</v>
      </c>
    </row>
    <row r="81" spans="1:11">
      <c r="A81" s="5">
        <v>68</v>
      </c>
      <c r="B81" t="s">
        <v>95</v>
      </c>
      <c r="C81" t="s">
        <v>29</v>
      </c>
      <c r="D81" s="3">
        <v>34</v>
      </c>
      <c r="E81" t="s">
        <v>609</v>
      </c>
      <c r="F81" t="s">
        <v>609</v>
      </c>
      <c r="G81" t="s">
        <v>609</v>
      </c>
      <c r="H81" t="s">
        <v>19</v>
      </c>
      <c r="I81" s="3">
        <v>6</v>
      </c>
      <c r="K81" s="3">
        <v>4</v>
      </c>
    </row>
    <row r="82" spans="1:11">
      <c r="A82" s="5">
        <v>69</v>
      </c>
      <c r="B82" t="s">
        <v>340</v>
      </c>
      <c r="C82" t="s">
        <v>192</v>
      </c>
      <c r="D82" s="3">
        <v>35</v>
      </c>
      <c r="E82" t="s">
        <v>609</v>
      </c>
      <c r="F82" t="s">
        <v>609</v>
      </c>
      <c r="G82" t="s">
        <v>609</v>
      </c>
      <c r="H82" t="s">
        <v>19</v>
      </c>
      <c r="I82" s="3">
        <v>0</v>
      </c>
      <c r="K82" s="3">
        <v>5</v>
      </c>
    </row>
    <row r="83" spans="1:11">
      <c r="A83" s="5">
        <v>70</v>
      </c>
      <c r="B83" t="s">
        <v>114</v>
      </c>
      <c r="C83" t="s">
        <v>113</v>
      </c>
      <c r="D83" s="3">
        <v>35</v>
      </c>
      <c r="E83" t="s">
        <v>609</v>
      </c>
      <c r="F83" t="s">
        <v>609</v>
      </c>
      <c r="G83" t="s">
        <v>609</v>
      </c>
      <c r="H83" t="s">
        <v>19</v>
      </c>
      <c r="I83" s="3">
        <v>5</v>
      </c>
      <c r="K83" s="3">
        <v>0</v>
      </c>
    </row>
    <row r="84" spans="1:11">
      <c r="A84" s="5">
        <v>71</v>
      </c>
      <c r="B84" t="s">
        <v>252</v>
      </c>
      <c r="C84" t="s">
        <v>628</v>
      </c>
      <c r="D84" s="3">
        <v>36</v>
      </c>
      <c r="E84" t="s">
        <v>609</v>
      </c>
      <c r="F84" t="s">
        <v>609</v>
      </c>
      <c r="G84" t="s">
        <v>609</v>
      </c>
      <c r="H84" t="s">
        <v>19</v>
      </c>
      <c r="I84" s="3">
        <v>0</v>
      </c>
      <c r="K84" s="3">
        <v>0</v>
      </c>
    </row>
    <row r="85" spans="1:11">
      <c r="A85" s="5">
        <v>72</v>
      </c>
      <c r="B85" t="s">
        <v>235</v>
      </c>
      <c r="C85" t="s">
        <v>234</v>
      </c>
      <c r="D85" s="3">
        <v>36</v>
      </c>
      <c r="E85" t="s">
        <v>609</v>
      </c>
      <c r="F85" t="s">
        <v>609</v>
      </c>
      <c r="G85" t="s">
        <v>609</v>
      </c>
      <c r="H85" t="s">
        <v>19</v>
      </c>
      <c r="I85" s="3">
        <v>3</v>
      </c>
      <c r="K85" s="3">
        <v>5</v>
      </c>
    </row>
    <row r="86" spans="1:11">
      <c r="A86" s="5">
        <v>73</v>
      </c>
      <c r="B86" t="s">
        <v>301</v>
      </c>
      <c r="C86" t="s">
        <v>563</v>
      </c>
      <c r="D86" s="3">
        <v>37</v>
      </c>
      <c r="E86" t="s">
        <v>609</v>
      </c>
      <c r="F86" t="s">
        <v>609</v>
      </c>
      <c r="G86" t="s">
        <v>609</v>
      </c>
      <c r="H86" t="s">
        <v>19</v>
      </c>
      <c r="I86" s="3">
        <v>0</v>
      </c>
      <c r="K86" s="3">
        <v>0</v>
      </c>
    </row>
    <row r="87" spans="1:11">
      <c r="A87" s="5">
        <v>74</v>
      </c>
      <c r="B87" t="s">
        <v>280</v>
      </c>
      <c r="C87" t="s">
        <v>566</v>
      </c>
      <c r="D87" s="3">
        <v>37</v>
      </c>
      <c r="E87" t="s">
        <v>609</v>
      </c>
      <c r="F87" t="s">
        <v>609</v>
      </c>
      <c r="G87" t="s">
        <v>609</v>
      </c>
      <c r="H87" t="s">
        <v>19</v>
      </c>
      <c r="I87" s="3">
        <v>2</v>
      </c>
      <c r="K87" s="3">
        <v>4</v>
      </c>
    </row>
    <row r="88" spans="1:11">
      <c r="A88" s="5">
        <v>75</v>
      </c>
      <c r="B88" t="s">
        <v>72</v>
      </c>
      <c r="C88" t="s">
        <v>22</v>
      </c>
      <c r="D88" s="3">
        <v>38</v>
      </c>
      <c r="E88" t="s">
        <v>609</v>
      </c>
      <c r="F88" t="s">
        <v>609</v>
      </c>
      <c r="G88" t="s">
        <v>609</v>
      </c>
      <c r="H88" t="s">
        <v>19</v>
      </c>
      <c r="I88" s="3">
        <v>5</v>
      </c>
      <c r="K88" s="3">
        <v>3</v>
      </c>
    </row>
    <row r="89" spans="1:11">
      <c r="A89" s="5">
        <v>76</v>
      </c>
      <c r="B89" s="169" t="s">
        <v>326</v>
      </c>
      <c r="C89" s="169" t="s">
        <v>320</v>
      </c>
      <c r="D89" s="3">
        <v>38</v>
      </c>
      <c r="E89" t="s">
        <v>609</v>
      </c>
      <c r="F89" t="s">
        <v>609</v>
      </c>
      <c r="G89" t="s">
        <v>609</v>
      </c>
      <c r="H89" t="s">
        <v>19</v>
      </c>
      <c r="I89" s="3">
        <v>0</v>
      </c>
      <c r="K89" s="3">
        <v>0</v>
      </c>
    </row>
    <row r="90" spans="1:11">
      <c r="A90" s="5">
        <v>77</v>
      </c>
      <c r="B90" t="s">
        <v>341</v>
      </c>
      <c r="C90" t="s">
        <v>186</v>
      </c>
      <c r="D90" s="3">
        <v>39</v>
      </c>
      <c r="E90" t="s">
        <v>609</v>
      </c>
      <c r="F90" t="s">
        <v>609</v>
      </c>
      <c r="G90" t="s">
        <v>609</v>
      </c>
      <c r="H90" t="s">
        <v>19</v>
      </c>
      <c r="I90" s="3">
        <v>5</v>
      </c>
      <c r="K90" s="3">
        <v>2</v>
      </c>
    </row>
    <row r="91" spans="1:11">
      <c r="A91" s="5">
        <v>78</v>
      </c>
      <c r="B91" t="s">
        <v>170</v>
      </c>
      <c r="C91" t="s">
        <v>568</v>
      </c>
      <c r="D91" s="3">
        <v>39</v>
      </c>
      <c r="E91" t="s">
        <v>609</v>
      </c>
      <c r="F91" t="s">
        <v>609</v>
      </c>
      <c r="G91" t="s">
        <v>609</v>
      </c>
      <c r="H91" t="s">
        <v>19</v>
      </c>
      <c r="I91" s="3">
        <v>0</v>
      </c>
      <c r="K91" s="3">
        <v>0</v>
      </c>
    </row>
    <row r="92" spans="1:11">
      <c r="A92" s="5">
        <v>79</v>
      </c>
      <c r="B92" t="s">
        <v>59</v>
      </c>
      <c r="C92" t="s">
        <v>54</v>
      </c>
      <c r="D92" s="3">
        <v>40</v>
      </c>
      <c r="E92" t="s">
        <v>609</v>
      </c>
      <c r="F92" t="s">
        <v>609</v>
      </c>
      <c r="G92" t="s">
        <v>609</v>
      </c>
      <c r="H92" t="s">
        <v>19</v>
      </c>
      <c r="I92" s="3">
        <v>1</v>
      </c>
      <c r="K92" s="3">
        <v>2</v>
      </c>
    </row>
    <row r="93" spans="1:11">
      <c r="A93" s="5">
        <v>80</v>
      </c>
      <c r="B93" t="s">
        <v>346</v>
      </c>
      <c r="C93" t="s">
        <v>238</v>
      </c>
      <c r="D93" s="3">
        <v>40</v>
      </c>
      <c r="E93" t="s">
        <v>609</v>
      </c>
      <c r="F93" t="s">
        <v>609</v>
      </c>
      <c r="G93" t="s">
        <v>609</v>
      </c>
      <c r="H93" t="s">
        <v>19</v>
      </c>
      <c r="I93" s="3">
        <v>0</v>
      </c>
      <c r="K93" s="3">
        <v>0</v>
      </c>
    </row>
    <row r="94" spans="1:11">
      <c r="A94" s="5">
        <v>81</v>
      </c>
      <c r="B94" t="s">
        <v>44</v>
      </c>
      <c r="C94" t="s">
        <v>41</v>
      </c>
      <c r="D94" s="3">
        <v>41</v>
      </c>
      <c r="E94" t="s">
        <v>609</v>
      </c>
      <c r="F94" t="s">
        <v>609</v>
      </c>
      <c r="G94" t="s">
        <v>609</v>
      </c>
      <c r="H94" t="s">
        <v>19</v>
      </c>
      <c r="I94" s="3">
        <v>0</v>
      </c>
      <c r="K94" s="3">
        <v>4</v>
      </c>
    </row>
    <row r="95" spans="1:11">
      <c r="A95" s="5">
        <v>82</v>
      </c>
      <c r="B95" t="s">
        <v>164</v>
      </c>
      <c r="C95" t="s">
        <v>161</v>
      </c>
      <c r="D95" s="3">
        <v>41</v>
      </c>
      <c r="E95" t="s">
        <v>609</v>
      </c>
      <c r="F95" t="s">
        <v>609</v>
      </c>
      <c r="G95" t="s">
        <v>609</v>
      </c>
      <c r="H95" t="s">
        <v>19</v>
      </c>
      <c r="I95" s="3">
        <v>3</v>
      </c>
      <c r="K95" s="3">
        <v>0</v>
      </c>
    </row>
    <row r="96" spans="1:11">
      <c r="A96" s="5">
        <v>83</v>
      </c>
      <c r="B96" t="s">
        <v>200</v>
      </c>
      <c r="C96" t="s">
        <v>197</v>
      </c>
      <c r="D96" s="3">
        <v>42</v>
      </c>
      <c r="E96" t="s">
        <v>609</v>
      </c>
      <c r="F96" t="s">
        <v>609</v>
      </c>
      <c r="G96" t="s">
        <v>609</v>
      </c>
      <c r="H96" t="s">
        <v>19</v>
      </c>
      <c r="I96" s="3">
        <v>0</v>
      </c>
      <c r="K96" s="3">
        <v>3</v>
      </c>
    </row>
    <row r="97" spans="1:11">
      <c r="A97" s="5">
        <v>84</v>
      </c>
      <c r="B97" t="s">
        <v>331</v>
      </c>
      <c r="C97" t="s">
        <v>546</v>
      </c>
      <c r="D97" s="3">
        <v>42</v>
      </c>
      <c r="E97" t="s">
        <v>609</v>
      </c>
      <c r="F97" t="s">
        <v>609</v>
      </c>
      <c r="G97" t="s">
        <v>609</v>
      </c>
      <c r="H97" t="s">
        <v>19</v>
      </c>
      <c r="I97" s="3">
        <v>3</v>
      </c>
      <c r="K97" s="3">
        <v>0</v>
      </c>
    </row>
    <row r="98" spans="1:11">
      <c r="A98" s="5">
        <v>85</v>
      </c>
      <c r="B98" t="s">
        <v>177</v>
      </c>
      <c r="C98" t="s">
        <v>130</v>
      </c>
      <c r="D98" s="3">
        <v>43</v>
      </c>
      <c r="E98" t="s">
        <v>609</v>
      </c>
      <c r="F98" t="s">
        <v>609</v>
      </c>
      <c r="G98" t="s">
        <v>609</v>
      </c>
      <c r="H98" t="s">
        <v>19</v>
      </c>
      <c r="I98" s="3">
        <v>0</v>
      </c>
      <c r="K98" s="3">
        <v>4</v>
      </c>
    </row>
    <row r="99" spans="1:11">
      <c r="A99" s="5">
        <v>86</v>
      </c>
      <c r="B99" t="s">
        <v>223</v>
      </c>
      <c r="C99" t="s">
        <v>217</v>
      </c>
      <c r="D99" s="3">
        <v>43</v>
      </c>
      <c r="E99" t="s">
        <v>609</v>
      </c>
      <c r="F99" t="s">
        <v>609</v>
      </c>
      <c r="G99" t="s">
        <v>609</v>
      </c>
      <c r="H99" t="s">
        <v>19</v>
      </c>
      <c r="I99" s="3">
        <v>1</v>
      </c>
      <c r="K99" s="3">
        <v>0</v>
      </c>
    </row>
    <row r="100" spans="1:11">
      <c r="A100" s="5">
        <v>87</v>
      </c>
      <c r="B100" t="s">
        <v>299</v>
      </c>
      <c r="C100" t="s">
        <v>563</v>
      </c>
      <c r="D100" s="3">
        <v>44</v>
      </c>
      <c r="E100" t="s">
        <v>609</v>
      </c>
      <c r="F100" t="s">
        <v>609</v>
      </c>
      <c r="G100" t="s">
        <v>609</v>
      </c>
      <c r="H100" t="s">
        <v>19</v>
      </c>
      <c r="I100" s="3">
        <v>2</v>
      </c>
      <c r="K100" s="3">
        <v>5</v>
      </c>
    </row>
    <row r="101" spans="1:11">
      <c r="A101" s="5">
        <v>88</v>
      </c>
      <c r="B101" s="169" t="s">
        <v>323</v>
      </c>
      <c r="C101" s="169" t="s">
        <v>320</v>
      </c>
      <c r="D101" s="3">
        <v>44</v>
      </c>
      <c r="E101" t="s">
        <v>609</v>
      </c>
      <c r="F101" t="s">
        <v>609</v>
      </c>
      <c r="G101" t="s">
        <v>609</v>
      </c>
      <c r="H101" t="s">
        <v>19</v>
      </c>
      <c r="I101" s="3">
        <v>0</v>
      </c>
      <c r="K101" s="3">
        <v>0</v>
      </c>
    </row>
    <row r="102" spans="1:11">
      <c r="A102" s="5">
        <v>89</v>
      </c>
      <c r="B102" t="s">
        <v>189</v>
      </c>
      <c r="C102" t="s">
        <v>186</v>
      </c>
      <c r="D102" s="3">
        <v>45</v>
      </c>
      <c r="E102" t="s">
        <v>609</v>
      </c>
      <c r="F102" t="s">
        <v>609</v>
      </c>
      <c r="G102" t="s">
        <v>609</v>
      </c>
      <c r="H102" t="s">
        <v>19</v>
      </c>
      <c r="I102" s="3">
        <v>0</v>
      </c>
      <c r="K102" s="3">
        <v>0</v>
      </c>
    </row>
    <row r="103" spans="1:11">
      <c r="A103" s="5">
        <v>90</v>
      </c>
      <c r="B103" t="s">
        <v>126</v>
      </c>
      <c r="C103" t="s">
        <v>125</v>
      </c>
      <c r="D103" s="3">
        <v>45</v>
      </c>
      <c r="E103" t="s">
        <v>609</v>
      </c>
      <c r="F103" t="s">
        <v>609</v>
      </c>
      <c r="G103" t="s">
        <v>609</v>
      </c>
      <c r="H103" t="s">
        <v>19</v>
      </c>
      <c r="I103" s="3">
        <v>6</v>
      </c>
      <c r="K103" s="3">
        <v>5</v>
      </c>
    </row>
    <row r="104" spans="1:11">
      <c r="A104" s="5">
        <v>91</v>
      </c>
      <c r="B104" t="s">
        <v>352</v>
      </c>
      <c r="C104" t="s">
        <v>135</v>
      </c>
      <c r="D104" s="3">
        <v>46</v>
      </c>
      <c r="E104" t="s">
        <v>609</v>
      </c>
      <c r="F104" t="s">
        <v>609</v>
      </c>
      <c r="G104" t="s">
        <v>609</v>
      </c>
      <c r="H104" t="s">
        <v>19</v>
      </c>
      <c r="I104" s="3">
        <v>1</v>
      </c>
      <c r="K104" s="3">
        <v>5</v>
      </c>
    </row>
    <row r="105" spans="1:11">
      <c r="A105" s="5">
        <v>92</v>
      </c>
      <c r="B105" t="s">
        <v>232</v>
      </c>
      <c r="C105" t="s">
        <v>184</v>
      </c>
      <c r="D105" s="3">
        <v>46</v>
      </c>
      <c r="E105" t="s">
        <v>609</v>
      </c>
      <c r="F105" t="s">
        <v>609</v>
      </c>
      <c r="G105" t="s">
        <v>609</v>
      </c>
      <c r="H105" t="s">
        <v>19</v>
      </c>
      <c r="I105" s="3">
        <v>0</v>
      </c>
      <c r="K105" s="3">
        <v>0</v>
      </c>
    </row>
    <row r="106" spans="1:11">
      <c r="A106" s="5">
        <v>93</v>
      </c>
      <c r="B106" t="s">
        <v>173</v>
      </c>
      <c r="C106" t="s">
        <v>568</v>
      </c>
      <c r="D106" s="3">
        <v>47</v>
      </c>
      <c r="E106" t="s">
        <v>609</v>
      </c>
      <c r="F106" t="s">
        <v>609</v>
      </c>
      <c r="G106" t="s">
        <v>609</v>
      </c>
      <c r="H106" t="s">
        <v>19</v>
      </c>
      <c r="I106" s="3">
        <v>0</v>
      </c>
      <c r="K106" s="3">
        <v>0</v>
      </c>
    </row>
    <row r="107" spans="1:11">
      <c r="A107" s="5">
        <v>94</v>
      </c>
      <c r="B107" t="s">
        <v>304</v>
      </c>
      <c r="C107" t="s">
        <v>302</v>
      </c>
      <c r="D107" s="3">
        <v>47</v>
      </c>
      <c r="E107" t="s">
        <v>609</v>
      </c>
      <c r="F107" t="s">
        <v>609</v>
      </c>
      <c r="G107" t="s">
        <v>609</v>
      </c>
      <c r="H107" t="s">
        <v>19</v>
      </c>
      <c r="I107" s="3">
        <v>4</v>
      </c>
      <c r="K107" s="3">
        <v>2</v>
      </c>
    </row>
    <row r="108" spans="1:11">
      <c r="A108" s="5">
        <v>95</v>
      </c>
      <c r="B108" t="s">
        <v>35</v>
      </c>
      <c r="C108" t="s">
        <v>13</v>
      </c>
      <c r="D108" s="3">
        <v>48</v>
      </c>
      <c r="E108" t="s">
        <v>609</v>
      </c>
      <c r="F108" t="s">
        <v>609</v>
      </c>
      <c r="G108" t="s">
        <v>609</v>
      </c>
      <c r="H108" t="s">
        <v>19</v>
      </c>
      <c r="I108" s="3">
        <v>0</v>
      </c>
      <c r="K108" s="3">
        <v>5</v>
      </c>
    </row>
    <row r="109" spans="1:11">
      <c r="A109" s="5">
        <v>96</v>
      </c>
      <c r="B109" t="s">
        <v>121</v>
      </c>
      <c r="C109" t="s">
        <v>117</v>
      </c>
      <c r="D109" s="3">
        <v>48</v>
      </c>
      <c r="E109" t="s">
        <v>609</v>
      </c>
      <c r="F109" t="s">
        <v>609</v>
      </c>
      <c r="G109" t="s">
        <v>609</v>
      </c>
      <c r="H109" t="s">
        <v>19</v>
      </c>
      <c r="I109" s="3">
        <v>3</v>
      </c>
      <c r="K109" s="3">
        <v>0</v>
      </c>
    </row>
    <row r="110" spans="1:11">
      <c r="A110" s="5">
        <v>97</v>
      </c>
      <c r="B110" s="169" t="s">
        <v>78</v>
      </c>
      <c r="C110" s="169" t="s">
        <v>23</v>
      </c>
      <c r="D110" s="3">
        <v>49</v>
      </c>
      <c r="E110" t="s">
        <v>609</v>
      </c>
      <c r="F110" t="s">
        <v>609</v>
      </c>
      <c r="G110" t="s">
        <v>609</v>
      </c>
      <c r="H110" t="s">
        <v>19</v>
      </c>
      <c r="I110" s="3">
        <v>4</v>
      </c>
      <c r="K110" s="3">
        <v>0</v>
      </c>
    </row>
    <row r="111" spans="1:11">
      <c r="A111" s="5">
        <v>98</v>
      </c>
      <c r="B111" t="s">
        <v>338</v>
      </c>
      <c r="C111" t="s">
        <v>142</v>
      </c>
      <c r="D111" s="3">
        <v>49</v>
      </c>
      <c r="E111" t="s">
        <v>609</v>
      </c>
      <c r="F111" t="s">
        <v>609</v>
      </c>
      <c r="G111" t="s">
        <v>609</v>
      </c>
      <c r="H111" t="s">
        <v>19</v>
      </c>
      <c r="I111" s="3">
        <v>0</v>
      </c>
      <c r="K111" s="3">
        <v>5</v>
      </c>
    </row>
    <row r="112" spans="1:11">
      <c r="A112" s="5">
        <v>99</v>
      </c>
      <c r="B112" t="s">
        <v>206</v>
      </c>
      <c r="C112" t="s">
        <v>179</v>
      </c>
      <c r="D112" s="3">
        <v>50</v>
      </c>
      <c r="E112" t="s">
        <v>609</v>
      </c>
      <c r="F112" t="s">
        <v>609</v>
      </c>
      <c r="G112" t="s">
        <v>609</v>
      </c>
      <c r="H112" t="s">
        <v>19</v>
      </c>
      <c r="I112" s="3">
        <v>1</v>
      </c>
      <c r="K112" s="3">
        <v>0</v>
      </c>
    </row>
    <row r="113" spans="1:11">
      <c r="A113" s="5">
        <v>100</v>
      </c>
      <c r="B113" t="s">
        <v>273</v>
      </c>
      <c r="C113" t="s">
        <v>269</v>
      </c>
      <c r="D113" s="3">
        <v>50</v>
      </c>
      <c r="E113" t="s">
        <v>609</v>
      </c>
      <c r="F113" t="s">
        <v>609</v>
      </c>
      <c r="G113" t="s">
        <v>609</v>
      </c>
      <c r="H113" t="s">
        <v>19</v>
      </c>
      <c r="I113" s="3">
        <v>0</v>
      </c>
      <c r="K113" s="3">
        <v>4</v>
      </c>
    </row>
    <row r="114" spans="1:11">
      <c r="A114" s="5">
        <v>101</v>
      </c>
      <c r="B114" t="s">
        <v>20</v>
      </c>
      <c r="C114" t="s">
        <v>16</v>
      </c>
      <c r="D114" s="3">
        <v>51</v>
      </c>
      <c r="E114" t="s">
        <v>609</v>
      </c>
      <c r="F114" t="s">
        <v>609</v>
      </c>
      <c r="G114" t="s">
        <v>609</v>
      </c>
      <c r="H114" t="s">
        <v>19</v>
      </c>
      <c r="I114" s="3">
        <v>0</v>
      </c>
      <c r="K114" s="3">
        <v>0</v>
      </c>
    </row>
    <row r="115" spans="1:11">
      <c r="A115" s="5">
        <v>102</v>
      </c>
      <c r="B115" t="s">
        <v>213</v>
      </c>
      <c r="C115" t="s">
        <v>628</v>
      </c>
      <c r="D115" s="3">
        <v>51</v>
      </c>
      <c r="E115" t="s">
        <v>609</v>
      </c>
      <c r="F115" t="s">
        <v>609</v>
      </c>
      <c r="G115" t="s">
        <v>609</v>
      </c>
      <c r="H115" t="s">
        <v>19</v>
      </c>
      <c r="I115" s="3">
        <v>6</v>
      </c>
      <c r="K115" s="3">
        <v>2</v>
      </c>
    </row>
    <row r="116" spans="1:11">
      <c r="A116" s="5">
        <v>103</v>
      </c>
      <c r="B116" t="s">
        <v>172</v>
      </c>
      <c r="C116" t="s">
        <v>568</v>
      </c>
      <c r="D116" s="3">
        <v>52</v>
      </c>
      <c r="E116" t="s">
        <v>609</v>
      </c>
      <c r="F116" t="s">
        <v>609</v>
      </c>
      <c r="G116" t="s">
        <v>609</v>
      </c>
      <c r="H116" t="s">
        <v>19</v>
      </c>
      <c r="I116" s="3">
        <v>0</v>
      </c>
      <c r="K116" s="3">
        <v>5</v>
      </c>
    </row>
    <row r="117" spans="1:11">
      <c r="A117" s="5">
        <v>104</v>
      </c>
      <c r="B117" t="s">
        <v>310</v>
      </c>
      <c r="C117" t="s">
        <v>306</v>
      </c>
      <c r="D117" s="3">
        <v>52</v>
      </c>
      <c r="E117" t="s">
        <v>609</v>
      </c>
      <c r="F117" t="s">
        <v>609</v>
      </c>
      <c r="G117" t="s">
        <v>609</v>
      </c>
      <c r="H117" t="s">
        <v>19</v>
      </c>
      <c r="I117" s="3">
        <v>5</v>
      </c>
      <c r="K117" s="3">
        <v>0</v>
      </c>
    </row>
    <row r="118" spans="1:11">
      <c r="A118" s="5">
        <v>105</v>
      </c>
      <c r="B118" t="s">
        <v>146</v>
      </c>
      <c r="C118" t="s">
        <v>142</v>
      </c>
      <c r="D118" s="3">
        <v>53</v>
      </c>
      <c r="E118" t="s">
        <v>609</v>
      </c>
      <c r="F118" t="s">
        <v>609</v>
      </c>
      <c r="G118" t="s">
        <v>609</v>
      </c>
      <c r="H118" t="s">
        <v>19</v>
      </c>
      <c r="I118" s="3">
        <v>4</v>
      </c>
      <c r="K118" s="3">
        <v>2</v>
      </c>
    </row>
    <row r="119" spans="1:11">
      <c r="A119" s="5">
        <v>106</v>
      </c>
      <c r="B119" t="s">
        <v>231</v>
      </c>
      <c r="C119" t="s">
        <v>184</v>
      </c>
      <c r="D119" s="3">
        <v>53</v>
      </c>
      <c r="E119" t="s">
        <v>609</v>
      </c>
      <c r="F119" t="s">
        <v>609</v>
      </c>
      <c r="G119" t="s">
        <v>609</v>
      </c>
      <c r="H119" t="s">
        <v>19</v>
      </c>
      <c r="I119" s="3">
        <v>0</v>
      </c>
      <c r="K119" s="3">
        <v>0</v>
      </c>
    </row>
    <row r="120" spans="1:11">
      <c r="A120" s="5">
        <v>107</v>
      </c>
      <c r="B120" t="s">
        <v>127</v>
      </c>
      <c r="C120" t="s">
        <v>125</v>
      </c>
      <c r="D120" s="3">
        <v>54</v>
      </c>
      <c r="E120" t="s">
        <v>609</v>
      </c>
      <c r="F120" t="s">
        <v>609</v>
      </c>
      <c r="G120" t="s">
        <v>609</v>
      </c>
      <c r="H120" t="s">
        <v>19</v>
      </c>
      <c r="I120" s="3">
        <v>1</v>
      </c>
      <c r="K120" s="3">
        <v>4</v>
      </c>
    </row>
    <row r="121" spans="1:11">
      <c r="A121" s="5">
        <v>108</v>
      </c>
      <c r="B121" t="s">
        <v>305</v>
      </c>
      <c r="C121" t="s">
        <v>302</v>
      </c>
      <c r="D121" s="3">
        <v>54</v>
      </c>
      <c r="E121" t="s">
        <v>609</v>
      </c>
      <c r="F121" t="s">
        <v>609</v>
      </c>
      <c r="G121" t="s">
        <v>609</v>
      </c>
      <c r="H121" t="s">
        <v>19</v>
      </c>
      <c r="I121" s="3">
        <v>0</v>
      </c>
      <c r="K121" s="3">
        <v>0</v>
      </c>
    </row>
    <row r="122" spans="1:11">
      <c r="A122" s="5">
        <v>109</v>
      </c>
      <c r="B122" s="169" t="s">
        <v>324</v>
      </c>
      <c r="C122" s="169" t="s">
        <v>320</v>
      </c>
      <c r="D122" s="3">
        <v>55</v>
      </c>
      <c r="E122" t="s">
        <v>609</v>
      </c>
      <c r="F122" t="s">
        <v>609</v>
      </c>
      <c r="G122" t="s">
        <v>609</v>
      </c>
      <c r="H122" t="s">
        <v>19</v>
      </c>
      <c r="I122" s="3">
        <v>0</v>
      </c>
      <c r="K122" s="3">
        <v>4</v>
      </c>
    </row>
    <row r="123" spans="1:11">
      <c r="A123" s="5">
        <v>110</v>
      </c>
      <c r="B123" t="s">
        <v>248</v>
      </c>
      <c r="C123" t="s">
        <v>244</v>
      </c>
      <c r="D123" s="3">
        <v>55</v>
      </c>
      <c r="E123" t="s">
        <v>609</v>
      </c>
      <c r="F123" t="s">
        <v>609</v>
      </c>
      <c r="G123" t="s">
        <v>609</v>
      </c>
      <c r="H123" t="s">
        <v>19</v>
      </c>
      <c r="I123" s="3">
        <v>5</v>
      </c>
      <c r="K123" s="3">
        <v>0</v>
      </c>
    </row>
    <row r="124" spans="1:11">
      <c r="A124" s="5">
        <v>111</v>
      </c>
      <c r="B124" t="s">
        <v>1045</v>
      </c>
      <c r="C124" t="s">
        <v>180</v>
      </c>
      <c r="D124" s="3">
        <v>56</v>
      </c>
      <c r="E124" t="s">
        <v>609</v>
      </c>
      <c r="F124" t="s">
        <v>609</v>
      </c>
      <c r="G124" t="s">
        <v>609</v>
      </c>
      <c r="H124" t="s">
        <v>19</v>
      </c>
      <c r="I124" s="3">
        <v>4</v>
      </c>
      <c r="K124" s="3">
        <v>0</v>
      </c>
    </row>
    <row r="125" spans="1:11">
      <c r="A125" s="5">
        <v>112</v>
      </c>
      <c r="B125" t="s">
        <v>318</v>
      </c>
      <c r="C125" t="s">
        <v>313</v>
      </c>
      <c r="D125" s="3">
        <v>56</v>
      </c>
      <c r="E125" t="s">
        <v>609</v>
      </c>
      <c r="F125" t="s">
        <v>609</v>
      </c>
      <c r="G125" t="s">
        <v>609</v>
      </c>
      <c r="H125" t="s">
        <v>19</v>
      </c>
      <c r="I125" s="3">
        <v>0</v>
      </c>
      <c r="K125" s="3">
        <v>4</v>
      </c>
    </row>
    <row r="126" spans="1:11">
      <c r="A126" s="5">
        <v>113</v>
      </c>
      <c r="B126" t="s">
        <v>350</v>
      </c>
      <c r="C126" t="s">
        <v>125</v>
      </c>
      <c r="D126" s="3">
        <v>57</v>
      </c>
      <c r="E126" t="s">
        <v>609</v>
      </c>
      <c r="F126" t="s">
        <v>609</v>
      </c>
      <c r="G126" t="s">
        <v>609</v>
      </c>
      <c r="H126" t="s">
        <v>19</v>
      </c>
      <c r="I126" s="3">
        <v>0</v>
      </c>
      <c r="K126" s="3">
        <v>3</v>
      </c>
    </row>
    <row r="127" spans="1:11">
      <c r="A127" s="5">
        <v>114</v>
      </c>
      <c r="B127" t="s">
        <v>90</v>
      </c>
      <c r="C127" t="s">
        <v>567</v>
      </c>
      <c r="D127" s="3">
        <v>57</v>
      </c>
      <c r="E127" t="s">
        <v>609</v>
      </c>
      <c r="F127" t="s">
        <v>609</v>
      </c>
      <c r="G127" t="s">
        <v>609</v>
      </c>
      <c r="H127" t="s">
        <v>19</v>
      </c>
      <c r="I127" s="3">
        <v>5</v>
      </c>
      <c r="K127" s="3">
        <v>0</v>
      </c>
    </row>
    <row r="128" spans="1:11">
      <c r="A128" s="5">
        <v>115</v>
      </c>
      <c r="B128" t="s">
        <v>250</v>
      </c>
      <c r="C128" t="s">
        <v>192</v>
      </c>
      <c r="D128" s="3">
        <v>58</v>
      </c>
      <c r="E128" t="s">
        <v>609</v>
      </c>
      <c r="F128" t="s">
        <v>609</v>
      </c>
      <c r="G128" t="s">
        <v>609</v>
      </c>
      <c r="H128" t="s">
        <v>19</v>
      </c>
      <c r="I128" s="3">
        <v>4</v>
      </c>
      <c r="K128" s="3">
        <v>0</v>
      </c>
    </row>
    <row r="129" spans="1:11">
      <c r="A129" s="5">
        <v>116</v>
      </c>
      <c r="B129" t="s">
        <v>285</v>
      </c>
      <c r="C129" t="s">
        <v>282</v>
      </c>
      <c r="D129" s="3">
        <v>58</v>
      </c>
      <c r="E129" t="s">
        <v>609</v>
      </c>
      <c r="F129" t="s">
        <v>609</v>
      </c>
      <c r="G129" t="s">
        <v>609</v>
      </c>
      <c r="H129" t="s">
        <v>19</v>
      </c>
      <c r="I129" s="3">
        <v>0</v>
      </c>
      <c r="K129" s="3">
        <v>5</v>
      </c>
    </row>
    <row r="130" spans="1:11">
      <c r="A130" s="5">
        <v>117</v>
      </c>
      <c r="B130" t="s">
        <v>86</v>
      </c>
      <c r="C130" t="s">
        <v>27</v>
      </c>
      <c r="D130" s="3">
        <v>59</v>
      </c>
      <c r="E130" t="s">
        <v>609</v>
      </c>
      <c r="F130" t="s">
        <v>609</v>
      </c>
      <c r="G130" t="s">
        <v>609</v>
      </c>
      <c r="H130" t="s">
        <v>19</v>
      </c>
      <c r="I130" s="3">
        <v>3</v>
      </c>
      <c r="K130" s="3">
        <v>3</v>
      </c>
    </row>
    <row r="131" spans="1:11">
      <c r="A131" s="5">
        <v>118</v>
      </c>
      <c r="B131" t="s">
        <v>58</v>
      </c>
      <c r="C131" t="s">
        <v>54</v>
      </c>
      <c r="D131" s="3">
        <v>59</v>
      </c>
      <c r="E131" t="s">
        <v>609</v>
      </c>
      <c r="F131" t="s">
        <v>609</v>
      </c>
      <c r="G131" t="s">
        <v>609</v>
      </c>
      <c r="H131" t="s">
        <v>19</v>
      </c>
      <c r="I131" s="3">
        <v>0</v>
      </c>
      <c r="K131" s="3">
        <v>0</v>
      </c>
    </row>
    <row r="132" spans="1:11">
      <c r="A132" s="5">
        <v>119</v>
      </c>
      <c r="B132" t="s">
        <v>188</v>
      </c>
      <c r="C132" t="s">
        <v>186</v>
      </c>
      <c r="D132" s="3">
        <v>60</v>
      </c>
      <c r="E132" t="s">
        <v>609</v>
      </c>
      <c r="F132" t="s">
        <v>609</v>
      </c>
      <c r="G132" t="s">
        <v>609</v>
      </c>
      <c r="H132" t="s">
        <v>19</v>
      </c>
      <c r="I132" s="3">
        <v>0</v>
      </c>
      <c r="K132" s="3">
        <v>0</v>
      </c>
    </row>
    <row r="133" spans="1:11">
      <c r="A133" s="5">
        <v>120</v>
      </c>
      <c r="B133" t="s">
        <v>303</v>
      </c>
      <c r="C133" t="s">
        <v>302</v>
      </c>
      <c r="D133" s="3">
        <v>60</v>
      </c>
      <c r="E133" t="s">
        <v>609</v>
      </c>
      <c r="F133" t="s">
        <v>609</v>
      </c>
      <c r="G133" t="s">
        <v>609</v>
      </c>
      <c r="H133" t="s">
        <v>19</v>
      </c>
      <c r="I133" s="3">
        <v>1</v>
      </c>
      <c r="K133" s="3">
        <v>5</v>
      </c>
    </row>
    <row r="134" spans="1:11">
      <c r="A134" s="5">
        <v>121</v>
      </c>
      <c r="B134" t="s">
        <v>263</v>
      </c>
      <c r="C134" t="s">
        <v>546</v>
      </c>
      <c r="D134" s="3">
        <v>61</v>
      </c>
      <c r="E134" t="s">
        <v>609</v>
      </c>
      <c r="F134" t="s">
        <v>609</v>
      </c>
      <c r="G134" t="s">
        <v>609</v>
      </c>
      <c r="H134" t="s">
        <v>19</v>
      </c>
      <c r="I134" s="3">
        <v>0</v>
      </c>
      <c r="K134" s="3">
        <v>0</v>
      </c>
    </row>
    <row r="135" spans="1:11">
      <c r="A135" s="5">
        <v>122</v>
      </c>
      <c r="B135" t="s">
        <v>253</v>
      </c>
      <c r="C135" t="s">
        <v>182</v>
      </c>
      <c r="D135" s="3">
        <v>61</v>
      </c>
      <c r="E135" t="s">
        <v>609</v>
      </c>
      <c r="F135" t="s">
        <v>609</v>
      </c>
      <c r="G135" t="s">
        <v>609</v>
      </c>
      <c r="H135" t="s">
        <v>19</v>
      </c>
      <c r="I135" s="3">
        <v>3</v>
      </c>
      <c r="K135" s="3">
        <v>4</v>
      </c>
    </row>
    <row r="136" spans="1:11">
      <c r="A136" s="5">
        <v>123</v>
      </c>
      <c r="B136" t="s">
        <v>33</v>
      </c>
      <c r="C136" t="s">
        <v>13</v>
      </c>
      <c r="D136" s="3">
        <v>62</v>
      </c>
      <c r="E136" t="s">
        <v>609</v>
      </c>
      <c r="F136" t="s">
        <v>609</v>
      </c>
      <c r="G136" t="s">
        <v>609</v>
      </c>
      <c r="H136" t="s">
        <v>19</v>
      </c>
      <c r="I136" s="3">
        <v>0</v>
      </c>
      <c r="K136" s="3">
        <v>2</v>
      </c>
    </row>
    <row r="137" spans="1:11">
      <c r="A137" s="5">
        <v>124</v>
      </c>
      <c r="B137" t="s">
        <v>52</v>
      </c>
      <c r="C137" t="s">
        <v>48</v>
      </c>
      <c r="D137" s="3">
        <v>62</v>
      </c>
      <c r="E137" t="s">
        <v>609</v>
      </c>
      <c r="F137" t="s">
        <v>609</v>
      </c>
      <c r="G137" t="s">
        <v>609</v>
      </c>
      <c r="H137" t="s">
        <v>19</v>
      </c>
      <c r="I137" s="3">
        <v>4</v>
      </c>
      <c r="K137" s="3">
        <v>0</v>
      </c>
    </row>
    <row r="138" spans="1:11">
      <c r="A138" s="5">
        <v>125</v>
      </c>
      <c r="B138" s="169" t="s">
        <v>77</v>
      </c>
      <c r="C138" s="169" t="s">
        <v>23</v>
      </c>
      <c r="D138" s="3">
        <v>63</v>
      </c>
      <c r="E138" t="s">
        <v>609</v>
      </c>
      <c r="F138" t="s">
        <v>609</v>
      </c>
      <c r="G138" t="s">
        <v>609</v>
      </c>
      <c r="H138" t="s">
        <v>19</v>
      </c>
      <c r="I138" s="3">
        <v>4</v>
      </c>
      <c r="K138" s="3">
        <v>0</v>
      </c>
    </row>
    <row r="139" spans="1:11">
      <c r="A139" s="5">
        <v>126</v>
      </c>
      <c r="B139" t="s">
        <v>230</v>
      </c>
      <c r="C139" t="s">
        <v>184</v>
      </c>
      <c r="D139" s="3">
        <v>63</v>
      </c>
      <c r="E139" t="s">
        <v>609</v>
      </c>
      <c r="F139" t="s">
        <v>609</v>
      </c>
      <c r="G139" t="s">
        <v>609</v>
      </c>
      <c r="H139" t="s">
        <v>19</v>
      </c>
      <c r="I139" s="3">
        <v>0</v>
      </c>
      <c r="K139" s="3">
        <v>3</v>
      </c>
    </row>
    <row r="140" spans="1:11">
      <c r="A140" s="5">
        <v>127</v>
      </c>
      <c r="B140" t="s">
        <v>153</v>
      </c>
      <c r="C140" t="s">
        <v>103</v>
      </c>
      <c r="D140" s="3">
        <v>64</v>
      </c>
      <c r="E140" t="s">
        <v>609</v>
      </c>
      <c r="F140" t="s">
        <v>609</v>
      </c>
      <c r="G140" t="s">
        <v>609</v>
      </c>
      <c r="H140" t="s">
        <v>19</v>
      </c>
      <c r="I140" s="3">
        <v>0</v>
      </c>
      <c r="K140" s="3">
        <v>2</v>
      </c>
    </row>
    <row r="141" spans="1:11">
      <c r="A141" s="5">
        <v>128</v>
      </c>
      <c r="B141" t="s">
        <v>166</v>
      </c>
      <c r="C141" t="s">
        <v>161</v>
      </c>
      <c r="D141" s="3">
        <v>64</v>
      </c>
      <c r="E141" t="s">
        <v>609</v>
      </c>
      <c r="F141" t="s">
        <v>609</v>
      </c>
      <c r="G141" t="s">
        <v>609</v>
      </c>
      <c r="H141" t="s">
        <v>19</v>
      </c>
      <c r="I141" s="3">
        <v>5</v>
      </c>
      <c r="K141" s="3">
        <v>0</v>
      </c>
    </row>
    <row r="142" spans="1:11">
      <c r="A142" s="5">
        <v>129</v>
      </c>
      <c r="B142" t="s">
        <v>47</v>
      </c>
      <c r="C142" t="s">
        <v>41</v>
      </c>
      <c r="D142" s="3">
        <v>65</v>
      </c>
      <c r="E142" t="s">
        <v>609</v>
      </c>
      <c r="F142" t="s">
        <v>609</v>
      </c>
      <c r="G142" t="s">
        <v>609</v>
      </c>
      <c r="H142" t="s">
        <v>19</v>
      </c>
      <c r="I142" s="3">
        <v>3</v>
      </c>
      <c r="K142" s="3">
        <v>0</v>
      </c>
    </row>
    <row r="143" spans="1:11">
      <c r="A143" s="5">
        <v>130</v>
      </c>
      <c r="B143" s="168" t="s">
        <v>1046</v>
      </c>
      <c r="C143" s="168" t="s">
        <v>564</v>
      </c>
      <c r="D143" s="3">
        <v>65</v>
      </c>
      <c r="E143" t="s">
        <v>609</v>
      </c>
      <c r="F143" t="s">
        <v>609</v>
      </c>
      <c r="G143" t="s">
        <v>609</v>
      </c>
      <c r="H143" t="s">
        <v>19</v>
      </c>
      <c r="I143" s="3">
        <v>0</v>
      </c>
      <c r="K143" s="3">
        <v>4</v>
      </c>
    </row>
    <row r="144" spans="1:11">
      <c r="A144" s="5">
        <v>131</v>
      </c>
      <c r="B144" t="s">
        <v>178</v>
      </c>
      <c r="C144" t="s">
        <v>179</v>
      </c>
      <c r="D144" s="3">
        <v>66</v>
      </c>
      <c r="E144" t="s">
        <v>609</v>
      </c>
      <c r="F144" t="s">
        <v>609</v>
      </c>
      <c r="G144" t="s">
        <v>609</v>
      </c>
      <c r="H144" t="s">
        <v>19</v>
      </c>
      <c r="I144" s="3">
        <v>0</v>
      </c>
      <c r="K144" s="3">
        <v>0</v>
      </c>
    </row>
    <row r="145" spans="1:11">
      <c r="A145" s="5">
        <v>132</v>
      </c>
      <c r="B145" t="s">
        <v>147</v>
      </c>
      <c r="C145" t="s">
        <v>142</v>
      </c>
      <c r="D145" s="3">
        <v>66</v>
      </c>
      <c r="E145" t="s">
        <v>609</v>
      </c>
      <c r="F145" t="s">
        <v>609</v>
      </c>
      <c r="G145" t="s">
        <v>609</v>
      </c>
      <c r="H145" t="s">
        <v>19</v>
      </c>
      <c r="I145" s="3">
        <v>6</v>
      </c>
      <c r="K145" s="3">
        <v>4</v>
      </c>
    </row>
    <row r="146" spans="1:11">
      <c r="A146" s="5">
        <v>133</v>
      </c>
      <c r="B146" t="s">
        <v>66</v>
      </c>
      <c r="C146" t="s">
        <v>62</v>
      </c>
      <c r="D146" s="3">
        <v>67</v>
      </c>
      <c r="E146" t="s">
        <v>609</v>
      </c>
      <c r="F146" t="s">
        <v>609</v>
      </c>
      <c r="G146" t="s">
        <v>609</v>
      </c>
      <c r="H146" t="s">
        <v>19</v>
      </c>
      <c r="I146" s="3">
        <v>0</v>
      </c>
      <c r="K146" s="3">
        <v>5</v>
      </c>
    </row>
    <row r="147" spans="1:11">
      <c r="A147" s="5">
        <v>134</v>
      </c>
      <c r="B147" t="s">
        <v>226</v>
      </c>
      <c r="C147" t="s">
        <v>182</v>
      </c>
      <c r="D147" s="3">
        <v>67</v>
      </c>
      <c r="E147" t="s">
        <v>609</v>
      </c>
      <c r="F147" t="s">
        <v>609</v>
      </c>
      <c r="G147" t="s">
        <v>609</v>
      </c>
      <c r="H147" t="s">
        <v>19</v>
      </c>
      <c r="I147" s="3">
        <v>1</v>
      </c>
      <c r="K147" s="3">
        <v>0</v>
      </c>
    </row>
    <row r="148" spans="1:11">
      <c r="A148" s="5">
        <v>135</v>
      </c>
      <c r="B148" t="s">
        <v>195</v>
      </c>
      <c r="C148" t="s">
        <v>192</v>
      </c>
      <c r="D148" s="3">
        <v>68</v>
      </c>
      <c r="E148" t="s">
        <v>609</v>
      </c>
      <c r="F148" t="s">
        <v>609</v>
      </c>
      <c r="G148" t="s">
        <v>609</v>
      </c>
      <c r="H148" t="s">
        <v>19</v>
      </c>
      <c r="I148" s="3">
        <v>0</v>
      </c>
      <c r="K148" s="3">
        <v>0</v>
      </c>
    </row>
    <row r="149" spans="1:11">
      <c r="A149" s="5">
        <v>136</v>
      </c>
      <c r="B149" t="s">
        <v>211</v>
      </c>
      <c r="C149" t="s">
        <v>628</v>
      </c>
      <c r="D149" s="3">
        <v>68</v>
      </c>
      <c r="E149" t="s">
        <v>609</v>
      </c>
      <c r="F149" t="s">
        <v>609</v>
      </c>
      <c r="G149" t="s">
        <v>609</v>
      </c>
      <c r="H149" t="s">
        <v>19</v>
      </c>
      <c r="I149" s="3">
        <v>3</v>
      </c>
      <c r="K149" s="3">
        <v>4</v>
      </c>
    </row>
    <row r="150" spans="1:11">
      <c r="A150" s="5">
        <v>137</v>
      </c>
      <c r="B150" t="s">
        <v>260</v>
      </c>
      <c r="C150" t="s">
        <v>258</v>
      </c>
      <c r="D150" s="3">
        <v>69</v>
      </c>
      <c r="E150" t="s">
        <v>609</v>
      </c>
      <c r="F150" t="s">
        <v>609</v>
      </c>
      <c r="G150" t="s">
        <v>609</v>
      </c>
      <c r="H150" t="s">
        <v>19</v>
      </c>
      <c r="I150" s="3">
        <v>4</v>
      </c>
      <c r="K150" s="3">
        <v>0</v>
      </c>
    </row>
    <row r="151" spans="1:11">
      <c r="A151" s="5">
        <v>138</v>
      </c>
      <c r="B151" t="s">
        <v>251</v>
      </c>
      <c r="C151" t="s">
        <v>197</v>
      </c>
      <c r="D151" s="3">
        <v>69</v>
      </c>
      <c r="E151" t="s">
        <v>609</v>
      </c>
      <c r="F151" t="s">
        <v>609</v>
      </c>
      <c r="G151" t="s">
        <v>609</v>
      </c>
      <c r="H151" t="s">
        <v>19</v>
      </c>
      <c r="I151" s="3">
        <v>0</v>
      </c>
      <c r="K151" s="3">
        <v>5</v>
      </c>
    </row>
    <row r="152" spans="1:11">
      <c r="A152" s="5">
        <v>139</v>
      </c>
      <c r="B152" t="s">
        <v>347</v>
      </c>
      <c r="C152" t="s">
        <v>266</v>
      </c>
      <c r="D152" s="3">
        <v>70</v>
      </c>
      <c r="E152" t="s">
        <v>609</v>
      </c>
      <c r="F152" t="s">
        <v>609</v>
      </c>
      <c r="G152" t="s">
        <v>609</v>
      </c>
      <c r="H152" t="s">
        <v>19</v>
      </c>
      <c r="I152" s="3">
        <v>0</v>
      </c>
      <c r="K152" s="3">
        <v>2</v>
      </c>
    </row>
    <row r="153" spans="1:11">
      <c r="A153" s="5">
        <v>140</v>
      </c>
      <c r="B153" t="s">
        <v>343</v>
      </c>
      <c r="C153" t="s">
        <v>155</v>
      </c>
      <c r="D153" s="3">
        <v>70</v>
      </c>
      <c r="E153" t="s">
        <v>609</v>
      </c>
      <c r="F153" t="s">
        <v>609</v>
      </c>
      <c r="G153" t="s">
        <v>609</v>
      </c>
      <c r="H153" t="s">
        <v>19</v>
      </c>
      <c r="I153" s="3">
        <v>3</v>
      </c>
      <c r="K153" s="3">
        <v>0</v>
      </c>
    </row>
    <row r="154" spans="1:11">
      <c r="A154" s="5">
        <v>141</v>
      </c>
      <c r="B154" t="s">
        <v>99</v>
      </c>
      <c r="C154" t="s">
        <v>445</v>
      </c>
      <c r="D154" s="3">
        <v>71</v>
      </c>
      <c r="E154" t="s">
        <v>609</v>
      </c>
      <c r="F154" t="s">
        <v>609</v>
      </c>
      <c r="G154" t="s">
        <v>609</v>
      </c>
      <c r="H154" t="s">
        <v>19</v>
      </c>
      <c r="I154" s="3">
        <v>6</v>
      </c>
      <c r="K154" s="3">
        <v>5</v>
      </c>
    </row>
    <row r="155" spans="1:11">
      <c r="A155" s="5">
        <v>142</v>
      </c>
      <c r="B155" t="s">
        <v>159</v>
      </c>
      <c r="C155" t="s">
        <v>155</v>
      </c>
      <c r="D155" s="3">
        <v>71</v>
      </c>
      <c r="E155" t="s">
        <v>609</v>
      </c>
      <c r="F155" t="s">
        <v>609</v>
      </c>
      <c r="G155" t="s">
        <v>609</v>
      </c>
      <c r="H155" t="s">
        <v>19</v>
      </c>
      <c r="I155" s="3">
        <v>0</v>
      </c>
      <c r="K155" s="3">
        <v>0</v>
      </c>
    </row>
    <row r="156" spans="1:11">
      <c r="A156" s="5">
        <v>143</v>
      </c>
      <c r="B156" t="s">
        <v>128</v>
      </c>
      <c r="C156" t="s">
        <v>125</v>
      </c>
      <c r="D156" s="3">
        <v>72</v>
      </c>
      <c r="E156" t="s">
        <v>609</v>
      </c>
      <c r="F156" t="s">
        <v>609</v>
      </c>
      <c r="G156" t="s">
        <v>609</v>
      </c>
      <c r="H156" t="s">
        <v>19</v>
      </c>
      <c r="I156" s="3">
        <v>5</v>
      </c>
      <c r="K156" s="3">
        <v>2</v>
      </c>
    </row>
    <row r="157" spans="1:11">
      <c r="A157" s="5">
        <v>144</v>
      </c>
      <c r="B157" t="s">
        <v>309</v>
      </c>
      <c r="C157" t="s">
        <v>306</v>
      </c>
      <c r="D157" s="3">
        <v>72</v>
      </c>
      <c r="E157" t="s">
        <v>609</v>
      </c>
      <c r="F157" t="s">
        <v>609</v>
      </c>
      <c r="G157" t="s">
        <v>609</v>
      </c>
      <c r="H157" t="s">
        <v>19</v>
      </c>
      <c r="I157" s="3">
        <v>0</v>
      </c>
      <c r="K157" s="3">
        <v>0</v>
      </c>
    </row>
    <row r="158" spans="1:11">
      <c r="A158" s="5">
        <v>145</v>
      </c>
      <c r="B158" t="s">
        <v>85</v>
      </c>
      <c r="C158" t="s">
        <v>27</v>
      </c>
      <c r="D158" s="3">
        <v>73</v>
      </c>
      <c r="E158" t="s">
        <v>609</v>
      </c>
      <c r="F158" t="s">
        <v>609</v>
      </c>
      <c r="G158" t="s">
        <v>609</v>
      </c>
      <c r="H158" t="s">
        <v>19</v>
      </c>
      <c r="I158" s="3">
        <v>4</v>
      </c>
      <c r="K158" s="3">
        <v>5</v>
      </c>
    </row>
    <row r="159" spans="1:11">
      <c r="A159" s="5">
        <v>146</v>
      </c>
      <c r="B159" t="s">
        <v>247</v>
      </c>
      <c r="C159" t="s">
        <v>244</v>
      </c>
      <c r="D159" s="3">
        <v>73</v>
      </c>
      <c r="E159" t="s">
        <v>609</v>
      </c>
      <c r="F159" t="s">
        <v>609</v>
      </c>
      <c r="G159" t="s">
        <v>609</v>
      </c>
      <c r="H159" t="s">
        <v>19</v>
      </c>
      <c r="I159" s="3">
        <v>0</v>
      </c>
      <c r="K159" s="3">
        <v>0</v>
      </c>
    </row>
    <row r="160" spans="1:11">
      <c r="A160" s="5">
        <v>147</v>
      </c>
      <c r="B160" t="s">
        <v>68</v>
      </c>
      <c r="C160" t="s">
        <v>62</v>
      </c>
      <c r="D160" s="3">
        <v>74</v>
      </c>
      <c r="E160" t="s">
        <v>609</v>
      </c>
      <c r="F160" t="s">
        <v>609</v>
      </c>
      <c r="G160" t="s">
        <v>609</v>
      </c>
      <c r="H160" t="s">
        <v>19</v>
      </c>
      <c r="I160" s="3">
        <v>2</v>
      </c>
      <c r="K160" s="3">
        <v>4</v>
      </c>
    </row>
    <row r="161" spans="1:11">
      <c r="A161" s="5">
        <v>148</v>
      </c>
      <c r="B161" t="s">
        <v>264</v>
      </c>
      <c r="C161" t="s">
        <v>546</v>
      </c>
      <c r="D161" s="3">
        <v>74</v>
      </c>
      <c r="E161" t="s">
        <v>609</v>
      </c>
      <c r="F161" t="s">
        <v>609</v>
      </c>
      <c r="G161" t="s">
        <v>609</v>
      </c>
      <c r="H161" t="s">
        <v>19</v>
      </c>
      <c r="I161" s="3">
        <v>0</v>
      </c>
      <c r="K161" s="3">
        <v>0</v>
      </c>
    </row>
    <row r="162" spans="1:11">
      <c r="A162" s="5">
        <v>149</v>
      </c>
      <c r="B162" t="s">
        <v>221</v>
      </c>
      <c r="C162" t="s">
        <v>217</v>
      </c>
      <c r="D162" s="3">
        <v>75</v>
      </c>
      <c r="E162" t="s">
        <v>609</v>
      </c>
      <c r="F162" t="s">
        <v>609</v>
      </c>
      <c r="G162" t="s">
        <v>609</v>
      </c>
      <c r="H162" t="s">
        <v>19</v>
      </c>
      <c r="I162" s="3">
        <v>0</v>
      </c>
      <c r="K162" s="3">
        <v>0</v>
      </c>
    </row>
    <row r="163" spans="1:11">
      <c r="A163" s="5">
        <v>150</v>
      </c>
      <c r="B163" t="s">
        <v>1047</v>
      </c>
      <c r="C163" t="s">
        <v>564</v>
      </c>
      <c r="D163" s="3">
        <v>75</v>
      </c>
      <c r="E163" t="s">
        <v>609</v>
      </c>
      <c r="F163" t="s">
        <v>609</v>
      </c>
      <c r="G163" t="s">
        <v>609</v>
      </c>
      <c r="H163" t="s">
        <v>19</v>
      </c>
      <c r="I163" s="3">
        <v>5</v>
      </c>
      <c r="K163" s="3">
        <v>5</v>
      </c>
    </row>
    <row r="164" spans="1:11">
      <c r="A164" s="5">
        <v>151</v>
      </c>
      <c r="B164" t="s">
        <v>51</v>
      </c>
      <c r="C164" t="s">
        <v>48</v>
      </c>
      <c r="D164" s="3">
        <v>76</v>
      </c>
      <c r="E164" t="s">
        <v>609</v>
      </c>
      <c r="F164" t="s">
        <v>609</v>
      </c>
      <c r="G164" t="s">
        <v>609</v>
      </c>
      <c r="H164" t="s">
        <v>19</v>
      </c>
      <c r="I164" s="3">
        <v>0</v>
      </c>
      <c r="K164" s="3">
        <v>4</v>
      </c>
    </row>
    <row r="165" spans="1:11">
      <c r="A165" s="5">
        <v>152</v>
      </c>
      <c r="B165" t="s">
        <v>348</v>
      </c>
      <c r="C165" t="s">
        <v>29</v>
      </c>
      <c r="D165" s="3">
        <v>76</v>
      </c>
      <c r="E165" t="s">
        <v>609</v>
      </c>
      <c r="F165" t="s">
        <v>609</v>
      </c>
      <c r="G165" t="s">
        <v>609</v>
      </c>
      <c r="H165" t="s">
        <v>19</v>
      </c>
      <c r="I165" s="3">
        <v>2</v>
      </c>
      <c r="K165" s="3">
        <v>0</v>
      </c>
    </row>
    <row r="166" spans="1:11">
      <c r="A166" s="5">
        <v>153</v>
      </c>
      <c r="B166" t="s">
        <v>339</v>
      </c>
      <c r="C166" t="s">
        <v>48</v>
      </c>
      <c r="D166" s="3">
        <v>77</v>
      </c>
      <c r="E166" t="s">
        <v>609</v>
      </c>
      <c r="F166" t="s">
        <v>609</v>
      </c>
      <c r="G166" t="s">
        <v>609</v>
      </c>
      <c r="H166" t="s">
        <v>19</v>
      </c>
      <c r="I166" s="3">
        <v>0</v>
      </c>
      <c r="K166" s="3">
        <v>5</v>
      </c>
    </row>
    <row r="167" spans="1:11">
      <c r="A167" s="5">
        <v>154</v>
      </c>
      <c r="B167" t="s">
        <v>122</v>
      </c>
      <c r="C167" t="s">
        <v>117</v>
      </c>
      <c r="D167" s="3">
        <v>77</v>
      </c>
      <c r="E167" t="s">
        <v>609</v>
      </c>
      <c r="F167" t="s">
        <v>609</v>
      </c>
      <c r="G167" t="s">
        <v>609</v>
      </c>
      <c r="H167" t="s">
        <v>19</v>
      </c>
      <c r="I167" s="3">
        <v>5</v>
      </c>
      <c r="K167" s="3">
        <v>0</v>
      </c>
    </row>
    <row r="168" spans="1:11">
      <c r="A168" s="5">
        <v>155</v>
      </c>
      <c r="B168" t="s">
        <v>87</v>
      </c>
      <c r="C168" t="s">
        <v>27</v>
      </c>
      <c r="D168" s="3">
        <v>78</v>
      </c>
      <c r="E168" t="s">
        <v>609</v>
      </c>
      <c r="F168" t="s">
        <v>609</v>
      </c>
      <c r="G168" t="s">
        <v>609</v>
      </c>
      <c r="H168" t="s">
        <v>19</v>
      </c>
      <c r="I168" s="3">
        <v>1</v>
      </c>
      <c r="K168" s="3">
        <v>0</v>
      </c>
    </row>
    <row r="169" spans="1:11">
      <c r="A169" s="5">
        <v>156</v>
      </c>
      <c r="B169" t="s">
        <v>279</v>
      </c>
      <c r="C169" t="s">
        <v>566</v>
      </c>
      <c r="D169" s="3">
        <v>78</v>
      </c>
      <c r="E169" t="s">
        <v>609</v>
      </c>
      <c r="F169" t="s">
        <v>609</v>
      </c>
      <c r="G169" t="s">
        <v>609</v>
      </c>
      <c r="H169" t="s">
        <v>19</v>
      </c>
      <c r="I169" s="3">
        <v>0</v>
      </c>
      <c r="K169" s="3">
        <v>3</v>
      </c>
    </row>
    <row r="170" spans="1:11">
      <c r="A170" s="5">
        <v>157</v>
      </c>
      <c r="B170" t="s">
        <v>176</v>
      </c>
      <c r="C170" t="s">
        <v>113</v>
      </c>
      <c r="D170" s="3">
        <v>79</v>
      </c>
      <c r="E170" t="s">
        <v>609</v>
      </c>
      <c r="F170" t="s">
        <v>609</v>
      </c>
      <c r="G170" t="s">
        <v>609</v>
      </c>
      <c r="H170" t="s">
        <v>19</v>
      </c>
      <c r="I170" s="3">
        <v>3</v>
      </c>
      <c r="K170" s="3">
        <v>2</v>
      </c>
    </row>
    <row r="171" spans="1:11">
      <c r="A171" s="5">
        <v>158</v>
      </c>
      <c r="B171" t="s">
        <v>353</v>
      </c>
      <c r="C171" t="s">
        <v>234</v>
      </c>
      <c r="D171" s="3">
        <v>79</v>
      </c>
      <c r="E171" t="s">
        <v>609</v>
      </c>
      <c r="F171" t="s">
        <v>609</v>
      </c>
      <c r="G171" t="s">
        <v>609</v>
      </c>
      <c r="H171" t="s">
        <v>19</v>
      </c>
      <c r="I171" s="3">
        <v>0</v>
      </c>
      <c r="K171" s="3">
        <v>0</v>
      </c>
    </row>
    <row r="172" spans="1:11">
      <c r="A172" s="5">
        <v>159</v>
      </c>
      <c r="B172" t="s">
        <v>275</v>
      </c>
      <c r="C172" t="s">
        <v>269</v>
      </c>
      <c r="D172" s="3">
        <v>80</v>
      </c>
      <c r="E172" t="s">
        <v>609</v>
      </c>
      <c r="F172" t="s">
        <v>609</v>
      </c>
      <c r="G172" t="s">
        <v>609</v>
      </c>
      <c r="H172" t="s">
        <v>19</v>
      </c>
      <c r="I172" s="3">
        <v>4</v>
      </c>
      <c r="K172" s="3">
        <v>2</v>
      </c>
    </row>
    <row r="173" spans="1:11">
      <c r="A173" s="5">
        <v>160</v>
      </c>
      <c r="B173" t="s">
        <v>233</v>
      </c>
      <c r="C173" t="s">
        <v>184</v>
      </c>
      <c r="D173" s="3">
        <v>80</v>
      </c>
      <c r="E173" t="s">
        <v>609</v>
      </c>
      <c r="F173" t="s">
        <v>609</v>
      </c>
      <c r="G173" t="s">
        <v>609</v>
      </c>
      <c r="H173" t="s">
        <v>19</v>
      </c>
      <c r="I173" s="3">
        <v>0</v>
      </c>
      <c r="K173" s="3">
        <v>0</v>
      </c>
    </row>
    <row r="174" spans="1:11">
      <c r="A174" s="5">
        <v>161</v>
      </c>
      <c r="B174" t="s">
        <v>336</v>
      </c>
      <c r="C174" t="s">
        <v>192</v>
      </c>
      <c r="D174" s="3">
        <v>81</v>
      </c>
      <c r="E174" t="s">
        <v>609</v>
      </c>
      <c r="F174" t="s">
        <v>609</v>
      </c>
      <c r="G174" t="s">
        <v>609</v>
      </c>
      <c r="H174" t="s">
        <v>19</v>
      </c>
      <c r="I174" s="3">
        <v>0</v>
      </c>
      <c r="K174" s="3">
        <v>4</v>
      </c>
    </row>
    <row r="175" spans="1:11">
      <c r="A175" s="5">
        <v>162</v>
      </c>
      <c r="B175" t="s">
        <v>38</v>
      </c>
      <c r="C175" t="s">
        <v>16</v>
      </c>
      <c r="D175" s="3">
        <v>81</v>
      </c>
      <c r="E175" t="s">
        <v>609</v>
      </c>
      <c r="F175" t="s">
        <v>609</v>
      </c>
      <c r="G175" t="s">
        <v>609</v>
      </c>
      <c r="H175" t="s">
        <v>19</v>
      </c>
      <c r="I175" s="3">
        <v>2</v>
      </c>
      <c r="K175" s="3">
        <v>0</v>
      </c>
    </row>
    <row r="176" spans="1:11">
      <c r="A176" s="5">
        <v>163</v>
      </c>
      <c r="B176" t="s">
        <v>201</v>
      </c>
      <c r="C176" t="s">
        <v>197</v>
      </c>
      <c r="D176" s="3">
        <v>82</v>
      </c>
      <c r="E176" t="s">
        <v>609</v>
      </c>
      <c r="F176" t="s">
        <v>609</v>
      </c>
      <c r="G176" t="s">
        <v>609</v>
      </c>
      <c r="H176" t="s">
        <v>19</v>
      </c>
      <c r="I176" s="3">
        <v>3</v>
      </c>
      <c r="K176" s="3">
        <v>0</v>
      </c>
    </row>
    <row r="177" spans="1:11">
      <c r="A177" s="5">
        <v>164</v>
      </c>
      <c r="B177" t="s">
        <v>167</v>
      </c>
      <c r="C177" t="s">
        <v>161</v>
      </c>
      <c r="D177" s="3">
        <v>82</v>
      </c>
      <c r="E177" t="s">
        <v>609</v>
      </c>
      <c r="F177" t="s">
        <v>609</v>
      </c>
      <c r="G177" t="s">
        <v>609</v>
      </c>
      <c r="H177" t="s">
        <v>19</v>
      </c>
      <c r="I177" s="3">
        <v>0</v>
      </c>
      <c r="K177" s="3">
        <v>3</v>
      </c>
    </row>
    <row r="178" spans="1:11">
      <c r="A178" s="5">
        <v>165</v>
      </c>
      <c r="B178" t="s">
        <v>1048</v>
      </c>
      <c r="C178" t="s">
        <v>445</v>
      </c>
      <c r="D178" s="3">
        <v>83</v>
      </c>
      <c r="E178" t="s">
        <v>609</v>
      </c>
      <c r="F178" t="s">
        <v>609</v>
      </c>
      <c r="G178" t="s">
        <v>609</v>
      </c>
      <c r="H178" t="s">
        <v>19</v>
      </c>
      <c r="I178" s="3">
        <v>0</v>
      </c>
      <c r="K178" s="3">
        <v>0</v>
      </c>
    </row>
    <row r="179" spans="1:11">
      <c r="A179" s="5">
        <v>166</v>
      </c>
      <c r="B179" t="s">
        <v>242</v>
      </c>
      <c r="C179" t="s">
        <v>238</v>
      </c>
      <c r="D179" s="3">
        <v>83</v>
      </c>
      <c r="E179" t="s">
        <v>609</v>
      </c>
      <c r="F179" t="s">
        <v>609</v>
      </c>
      <c r="G179" t="s">
        <v>609</v>
      </c>
      <c r="H179" t="s">
        <v>19</v>
      </c>
      <c r="I179" s="3">
        <v>4</v>
      </c>
      <c r="K179" s="3">
        <v>4</v>
      </c>
    </row>
    <row r="180" spans="1:11">
      <c r="A180" s="5">
        <v>167</v>
      </c>
      <c r="B180" t="s">
        <v>46</v>
      </c>
      <c r="C180" t="s">
        <v>41</v>
      </c>
      <c r="D180" s="3">
        <v>84</v>
      </c>
      <c r="E180" t="s">
        <v>609</v>
      </c>
      <c r="F180" t="s">
        <v>609</v>
      </c>
      <c r="G180" t="s">
        <v>609</v>
      </c>
      <c r="H180" t="s">
        <v>19</v>
      </c>
      <c r="I180" s="3">
        <v>0</v>
      </c>
      <c r="K180" s="3">
        <v>0</v>
      </c>
    </row>
    <row r="181" spans="1:11">
      <c r="A181" s="5">
        <v>168</v>
      </c>
      <c r="B181" t="s">
        <v>317</v>
      </c>
      <c r="C181" t="s">
        <v>313</v>
      </c>
      <c r="D181" s="3">
        <v>84</v>
      </c>
      <c r="E181" t="s">
        <v>609</v>
      </c>
      <c r="F181" t="s">
        <v>609</v>
      </c>
      <c r="G181" t="s">
        <v>609</v>
      </c>
      <c r="H181" t="s">
        <v>19</v>
      </c>
      <c r="I181" s="3">
        <v>2</v>
      </c>
      <c r="K181" s="3">
        <v>5</v>
      </c>
    </row>
    <row r="182" spans="1:11">
      <c r="A182" s="5">
        <v>169</v>
      </c>
      <c r="B182" t="s">
        <v>171</v>
      </c>
      <c r="C182" t="s">
        <v>568</v>
      </c>
      <c r="D182" s="3">
        <v>85</v>
      </c>
      <c r="E182" t="s">
        <v>609</v>
      </c>
      <c r="F182" t="s">
        <v>609</v>
      </c>
      <c r="G182" t="s">
        <v>609</v>
      </c>
      <c r="H182" t="s">
        <v>19</v>
      </c>
      <c r="I182" s="3">
        <v>0</v>
      </c>
      <c r="K182" s="3">
        <v>4</v>
      </c>
    </row>
    <row r="183" spans="1:11">
      <c r="A183" s="5">
        <v>170</v>
      </c>
      <c r="B183" t="s">
        <v>28</v>
      </c>
      <c r="C183" t="s">
        <v>567</v>
      </c>
      <c r="D183" s="3">
        <v>85</v>
      </c>
      <c r="E183" t="s">
        <v>609</v>
      </c>
      <c r="F183" t="s">
        <v>609</v>
      </c>
      <c r="G183" t="s">
        <v>609</v>
      </c>
      <c r="H183" t="s">
        <v>19</v>
      </c>
      <c r="I183" s="3">
        <v>5</v>
      </c>
      <c r="K183" s="3">
        <v>0</v>
      </c>
    </row>
    <row r="184" spans="1:11">
      <c r="A184" s="5">
        <v>171</v>
      </c>
      <c r="B184" t="s">
        <v>133</v>
      </c>
      <c r="C184" t="s">
        <v>130</v>
      </c>
      <c r="D184" s="3">
        <v>86</v>
      </c>
      <c r="E184" t="s">
        <v>609</v>
      </c>
      <c r="F184" t="s">
        <v>609</v>
      </c>
      <c r="G184" t="s">
        <v>609</v>
      </c>
      <c r="H184" t="s">
        <v>19</v>
      </c>
      <c r="I184" s="3">
        <v>0</v>
      </c>
      <c r="K184" s="3">
        <v>2</v>
      </c>
    </row>
    <row r="185" spans="1:11">
      <c r="A185" s="5">
        <v>172</v>
      </c>
      <c r="B185" t="s">
        <v>1049</v>
      </c>
      <c r="C185" t="s">
        <v>564</v>
      </c>
      <c r="D185" s="3">
        <v>86</v>
      </c>
      <c r="E185" t="s">
        <v>609</v>
      </c>
      <c r="F185" t="s">
        <v>609</v>
      </c>
      <c r="G185" t="s">
        <v>609</v>
      </c>
      <c r="H185" t="s">
        <v>19</v>
      </c>
      <c r="I185" s="3">
        <v>1</v>
      </c>
      <c r="K185" s="3">
        <v>0</v>
      </c>
    </row>
    <row r="186" spans="1:11">
      <c r="A186" s="5">
        <v>173</v>
      </c>
      <c r="B186" t="s">
        <v>102</v>
      </c>
      <c r="C186" t="s">
        <v>103</v>
      </c>
      <c r="D186" s="3">
        <v>87</v>
      </c>
      <c r="E186" t="s">
        <v>609</v>
      </c>
      <c r="F186" t="s">
        <v>609</v>
      </c>
      <c r="G186" t="s">
        <v>609</v>
      </c>
      <c r="H186" t="s">
        <v>19</v>
      </c>
      <c r="I186" s="3">
        <v>0</v>
      </c>
      <c r="K186" s="3">
        <v>0</v>
      </c>
    </row>
    <row r="187" spans="1:11">
      <c r="A187" s="5">
        <v>174</v>
      </c>
      <c r="B187" t="s">
        <v>93</v>
      </c>
      <c r="C187" t="s">
        <v>29</v>
      </c>
      <c r="D187" s="3">
        <v>87</v>
      </c>
      <c r="E187" t="s">
        <v>609</v>
      </c>
      <c r="F187" t="s">
        <v>609</v>
      </c>
      <c r="G187" t="s">
        <v>609</v>
      </c>
      <c r="H187" t="s">
        <v>19</v>
      </c>
      <c r="I187" s="3">
        <v>1</v>
      </c>
      <c r="K187" s="3">
        <v>2</v>
      </c>
    </row>
    <row r="188" spans="1:11">
      <c r="A188" s="5">
        <v>175</v>
      </c>
      <c r="B188" t="s">
        <v>334</v>
      </c>
      <c r="C188" t="s">
        <v>566</v>
      </c>
      <c r="D188" s="3">
        <v>88</v>
      </c>
      <c r="E188" t="s">
        <v>609</v>
      </c>
      <c r="F188" t="s">
        <v>609</v>
      </c>
      <c r="G188" t="s">
        <v>609</v>
      </c>
      <c r="H188" t="s">
        <v>19</v>
      </c>
      <c r="I188" s="3">
        <v>0</v>
      </c>
      <c r="K188" s="3">
        <v>2</v>
      </c>
    </row>
    <row r="189" spans="1:11">
      <c r="A189" s="5">
        <v>176</v>
      </c>
      <c r="B189" t="s">
        <v>1050</v>
      </c>
      <c r="C189" t="s">
        <v>244</v>
      </c>
      <c r="D189" s="3">
        <v>88</v>
      </c>
      <c r="E189" t="s">
        <v>609</v>
      </c>
      <c r="F189" t="s">
        <v>609</v>
      </c>
      <c r="G189" t="s">
        <v>609</v>
      </c>
      <c r="H189" t="s">
        <v>19</v>
      </c>
      <c r="I189" s="3">
        <v>3</v>
      </c>
      <c r="K189" s="3">
        <v>0</v>
      </c>
    </row>
    <row r="190" spans="1:11">
      <c r="A190" s="5">
        <v>177</v>
      </c>
      <c r="B190" t="s">
        <v>267</v>
      </c>
      <c r="C190" t="s">
        <v>266</v>
      </c>
      <c r="D190" s="3">
        <v>89</v>
      </c>
      <c r="E190" t="s">
        <v>609</v>
      </c>
      <c r="F190" t="s">
        <v>609</v>
      </c>
      <c r="G190" t="s">
        <v>609</v>
      </c>
      <c r="H190" t="s">
        <v>19</v>
      </c>
      <c r="I190" s="3">
        <v>0</v>
      </c>
      <c r="K190" s="3">
        <v>3</v>
      </c>
    </row>
    <row r="191" spans="1:11">
      <c r="A191" s="5">
        <v>178</v>
      </c>
      <c r="B191" t="s">
        <v>81</v>
      </c>
      <c r="C191" t="s">
        <v>445</v>
      </c>
      <c r="D191" s="3">
        <v>89</v>
      </c>
      <c r="E191" t="s">
        <v>609</v>
      </c>
      <c r="F191" t="s">
        <v>609</v>
      </c>
      <c r="G191" t="s">
        <v>609</v>
      </c>
      <c r="H191" t="s">
        <v>19</v>
      </c>
      <c r="I191" s="3">
        <v>1</v>
      </c>
      <c r="K191" s="3">
        <v>0</v>
      </c>
    </row>
    <row r="192" spans="1:11">
      <c r="A192" s="5">
        <v>179</v>
      </c>
      <c r="B192" t="s">
        <v>181</v>
      </c>
      <c r="C192" t="s">
        <v>182</v>
      </c>
      <c r="D192" s="3">
        <v>90</v>
      </c>
      <c r="E192" t="s">
        <v>609</v>
      </c>
      <c r="F192" t="s">
        <v>609</v>
      </c>
      <c r="G192" t="s">
        <v>609</v>
      </c>
      <c r="H192" t="s">
        <v>19</v>
      </c>
      <c r="I192" s="3">
        <v>0</v>
      </c>
      <c r="K192" s="3">
        <v>5</v>
      </c>
    </row>
    <row r="193" spans="1:11">
      <c r="A193" s="5">
        <v>180</v>
      </c>
      <c r="B193" t="s">
        <v>292</v>
      </c>
      <c r="C193" t="s">
        <v>289</v>
      </c>
      <c r="D193" s="3">
        <v>90</v>
      </c>
      <c r="E193" t="s">
        <v>609</v>
      </c>
      <c r="F193" t="s">
        <v>609</v>
      </c>
      <c r="G193" t="s">
        <v>609</v>
      </c>
      <c r="H193" t="s">
        <v>19</v>
      </c>
      <c r="I193" s="3">
        <v>2</v>
      </c>
      <c r="K193" s="3">
        <v>0</v>
      </c>
    </row>
    <row r="194" spans="1:11">
      <c r="A194" s="5">
        <v>181</v>
      </c>
      <c r="B194" t="s">
        <v>261</v>
      </c>
      <c r="C194" t="s">
        <v>258</v>
      </c>
      <c r="D194" s="3">
        <v>91</v>
      </c>
      <c r="E194" t="s">
        <v>609</v>
      </c>
      <c r="F194" t="s">
        <v>609</v>
      </c>
      <c r="G194" t="s">
        <v>609</v>
      </c>
      <c r="H194" t="s">
        <v>19</v>
      </c>
      <c r="I194" s="3">
        <v>0</v>
      </c>
      <c r="K194" s="3">
        <v>0</v>
      </c>
    </row>
    <row r="195" spans="1:11">
      <c r="A195" s="5">
        <v>182</v>
      </c>
      <c r="B195" t="s">
        <v>69</v>
      </c>
      <c r="C195" t="s">
        <v>62</v>
      </c>
      <c r="D195" s="3">
        <v>91</v>
      </c>
      <c r="E195" t="s">
        <v>609</v>
      </c>
      <c r="F195" t="s">
        <v>609</v>
      </c>
      <c r="G195" t="s">
        <v>609</v>
      </c>
      <c r="H195" t="s">
        <v>19</v>
      </c>
      <c r="I195" s="3">
        <v>3</v>
      </c>
      <c r="K195" s="3">
        <v>3</v>
      </c>
    </row>
    <row r="196" spans="1:11">
      <c r="A196" s="5">
        <v>183</v>
      </c>
      <c r="B196" t="s">
        <v>216</v>
      </c>
      <c r="C196" t="s">
        <v>180</v>
      </c>
      <c r="D196" s="3">
        <v>92</v>
      </c>
      <c r="E196" t="s">
        <v>609</v>
      </c>
      <c r="F196" t="s">
        <v>609</v>
      </c>
      <c r="G196" t="s">
        <v>609</v>
      </c>
      <c r="H196" t="s">
        <v>19</v>
      </c>
      <c r="I196" s="3">
        <v>4</v>
      </c>
      <c r="K196" s="3">
        <v>0</v>
      </c>
    </row>
    <row r="197" spans="1:11">
      <c r="A197" s="5">
        <v>184</v>
      </c>
      <c r="B197" t="s">
        <v>134</v>
      </c>
      <c r="C197" t="s">
        <v>130</v>
      </c>
      <c r="D197" s="3">
        <v>92</v>
      </c>
      <c r="E197" t="s">
        <v>609</v>
      </c>
      <c r="F197" t="s">
        <v>609</v>
      </c>
      <c r="G197" t="s">
        <v>609</v>
      </c>
      <c r="H197" t="s">
        <v>19</v>
      </c>
      <c r="I197" s="3">
        <v>0</v>
      </c>
      <c r="K197" s="3">
        <v>5</v>
      </c>
    </row>
    <row r="198" spans="1:11">
      <c r="A198" s="5">
        <v>185</v>
      </c>
      <c r="B198" t="s">
        <v>123</v>
      </c>
      <c r="C198" t="s">
        <v>117</v>
      </c>
      <c r="D198" s="3">
        <v>93</v>
      </c>
      <c r="E198" t="s">
        <v>609</v>
      </c>
      <c r="F198" t="s">
        <v>609</v>
      </c>
      <c r="G198" t="s">
        <v>609</v>
      </c>
      <c r="H198" t="s">
        <v>19</v>
      </c>
      <c r="I198" s="3">
        <v>0</v>
      </c>
      <c r="K198" s="3">
        <v>2</v>
      </c>
    </row>
    <row r="199" spans="1:11">
      <c r="A199" s="5">
        <v>186</v>
      </c>
      <c r="B199" t="s">
        <v>151</v>
      </c>
      <c r="C199" t="s">
        <v>103</v>
      </c>
      <c r="D199" s="3">
        <v>93</v>
      </c>
      <c r="E199" t="s">
        <v>609</v>
      </c>
      <c r="F199" t="s">
        <v>609</v>
      </c>
      <c r="G199" t="s">
        <v>609</v>
      </c>
      <c r="H199" t="s">
        <v>19</v>
      </c>
      <c r="I199" s="3">
        <v>1</v>
      </c>
      <c r="K199" s="3">
        <v>0</v>
      </c>
    </row>
    <row r="200" spans="1:11">
      <c r="A200" s="5">
        <v>187</v>
      </c>
      <c r="B200" t="s">
        <v>349</v>
      </c>
      <c r="C200" t="s">
        <v>282</v>
      </c>
      <c r="D200" s="3">
        <v>94</v>
      </c>
      <c r="E200" t="s">
        <v>609</v>
      </c>
      <c r="F200" t="s">
        <v>609</v>
      </c>
      <c r="G200" t="s">
        <v>609</v>
      </c>
      <c r="H200" t="s">
        <v>19</v>
      </c>
      <c r="I200" s="3">
        <v>0</v>
      </c>
      <c r="K200" s="3">
        <v>0</v>
      </c>
    </row>
    <row r="201" spans="1:11">
      <c r="A201" s="5">
        <v>188</v>
      </c>
      <c r="B201" t="s">
        <v>256</v>
      </c>
      <c r="C201" t="s">
        <v>234</v>
      </c>
      <c r="D201" s="3">
        <v>94</v>
      </c>
      <c r="E201" t="s">
        <v>609</v>
      </c>
      <c r="F201" t="s">
        <v>609</v>
      </c>
      <c r="G201" t="s">
        <v>609</v>
      </c>
      <c r="H201" t="s">
        <v>19</v>
      </c>
      <c r="I201" s="3">
        <v>1</v>
      </c>
      <c r="K201" s="3">
        <v>3</v>
      </c>
    </row>
    <row r="202" spans="1:11">
      <c r="A202" s="5">
        <v>189</v>
      </c>
      <c r="B202" t="s">
        <v>327</v>
      </c>
      <c r="C202" t="s">
        <v>258</v>
      </c>
      <c r="D202" s="3">
        <v>95</v>
      </c>
      <c r="E202" t="s">
        <v>609</v>
      </c>
      <c r="F202" t="s">
        <v>609</v>
      </c>
      <c r="G202" t="s">
        <v>609</v>
      </c>
      <c r="H202" t="s">
        <v>19</v>
      </c>
      <c r="I202" s="3">
        <v>0</v>
      </c>
      <c r="K202" s="3">
        <v>0</v>
      </c>
    </row>
    <row r="203" spans="1:11">
      <c r="A203" s="5">
        <v>190</v>
      </c>
      <c r="B203" t="s">
        <v>227</v>
      </c>
      <c r="C203" t="s">
        <v>182</v>
      </c>
      <c r="D203" s="3">
        <v>95</v>
      </c>
      <c r="E203" t="s">
        <v>609</v>
      </c>
      <c r="F203" t="s">
        <v>609</v>
      </c>
      <c r="G203" t="s">
        <v>609</v>
      </c>
      <c r="H203" t="s">
        <v>19</v>
      </c>
      <c r="I203" s="3">
        <v>2</v>
      </c>
      <c r="K203" s="3">
        <v>2</v>
      </c>
    </row>
    <row r="204" spans="1:11">
      <c r="A204" s="5">
        <v>191</v>
      </c>
      <c r="B204" t="s">
        <v>274</v>
      </c>
      <c r="C204" t="s">
        <v>269</v>
      </c>
      <c r="D204" s="3">
        <v>96</v>
      </c>
      <c r="E204" t="s">
        <v>609</v>
      </c>
      <c r="F204" t="s">
        <v>609</v>
      </c>
      <c r="G204" t="s">
        <v>609</v>
      </c>
      <c r="H204" t="s">
        <v>19</v>
      </c>
      <c r="I204" s="3">
        <v>0</v>
      </c>
      <c r="K204" s="3">
        <v>5</v>
      </c>
    </row>
    <row r="205" spans="1:11">
      <c r="A205" s="5">
        <v>192</v>
      </c>
      <c r="B205" s="169" t="s">
        <v>97</v>
      </c>
      <c r="C205" s="169" t="s">
        <v>23</v>
      </c>
      <c r="D205" s="3">
        <v>96</v>
      </c>
      <c r="E205" t="s">
        <v>609</v>
      </c>
      <c r="F205" t="s">
        <v>609</v>
      </c>
      <c r="G205" t="s">
        <v>609</v>
      </c>
      <c r="H205" t="s">
        <v>19</v>
      </c>
      <c r="I205" s="3">
        <v>4</v>
      </c>
      <c r="K205" s="3">
        <v>0</v>
      </c>
    </row>
    <row r="206" spans="1:11">
      <c r="A206" s="5">
        <v>193</v>
      </c>
      <c r="B206" t="s">
        <v>96</v>
      </c>
      <c r="C206" t="s">
        <v>22</v>
      </c>
      <c r="D206" s="3">
        <v>97</v>
      </c>
      <c r="E206" t="s">
        <v>609</v>
      </c>
      <c r="F206" t="s">
        <v>609</v>
      </c>
      <c r="G206" t="s">
        <v>609</v>
      </c>
      <c r="H206" t="s">
        <v>12</v>
      </c>
      <c r="I206" s="3">
        <v>0</v>
      </c>
      <c r="K206" s="3">
        <v>2</v>
      </c>
    </row>
    <row r="207" spans="1:11">
      <c r="A207" s="5">
        <v>194</v>
      </c>
      <c r="B207" t="s">
        <v>307</v>
      </c>
      <c r="C207" t="s">
        <v>306</v>
      </c>
      <c r="D207" s="3">
        <v>97</v>
      </c>
      <c r="E207" t="s">
        <v>609</v>
      </c>
      <c r="F207" t="s">
        <v>609</v>
      </c>
      <c r="G207" t="s">
        <v>609</v>
      </c>
      <c r="H207" t="s">
        <v>12</v>
      </c>
      <c r="I207" s="3">
        <v>6</v>
      </c>
      <c r="K207" s="3">
        <v>0</v>
      </c>
    </row>
    <row r="208" spans="1:11">
      <c r="A208" s="5">
        <v>195</v>
      </c>
      <c r="B208" t="s">
        <v>31</v>
      </c>
      <c r="C208" t="s">
        <v>13</v>
      </c>
      <c r="D208" s="3">
        <v>98</v>
      </c>
      <c r="E208" t="s">
        <v>609</v>
      </c>
      <c r="F208" t="s">
        <v>609</v>
      </c>
      <c r="G208" t="s">
        <v>609</v>
      </c>
      <c r="H208" t="s">
        <v>12</v>
      </c>
      <c r="I208" s="3">
        <v>1</v>
      </c>
      <c r="K208" s="3">
        <v>0</v>
      </c>
    </row>
    <row r="209" spans="1:11">
      <c r="A209" s="5">
        <v>196</v>
      </c>
      <c r="B209" t="s">
        <v>203</v>
      </c>
      <c r="C209" t="s">
        <v>179</v>
      </c>
      <c r="D209" s="3">
        <v>98</v>
      </c>
      <c r="E209" t="s">
        <v>609</v>
      </c>
      <c r="F209" t="s">
        <v>609</v>
      </c>
      <c r="G209" t="s">
        <v>609</v>
      </c>
      <c r="H209" t="s">
        <v>12</v>
      </c>
      <c r="I209" s="3">
        <v>0</v>
      </c>
      <c r="K209" s="3">
        <v>3</v>
      </c>
    </row>
    <row r="210" spans="1:11">
      <c r="A210" s="5">
        <v>197</v>
      </c>
      <c r="B210" t="s">
        <v>1051</v>
      </c>
      <c r="C210" t="s">
        <v>48</v>
      </c>
      <c r="D210" s="3">
        <v>99</v>
      </c>
      <c r="E210" t="s">
        <v>609</v>
      </c>
      <c r="F210" t="s">
        <v>609</v>
      </c>
      <c r="G210" t="s">
        <v>609</v>
      </c>
      <c r="H210" t="s">
        <v>12</v>
      </c>
      <c r="I210" s="3">
        <v>2</v>
      </c>
      <c r="K210" s="3">
        <v>4</v>
      </c>
    </row>
    <row r="211" spans="1:11">
      <c r="A211" s="5">
        <v>198</v>
      </c>
      <c r="B211" t="s">
        <v>150</v>
      </c>
      <c r="C211" t="s">
        <v>103</v>
      </c>
      <c r="D211" s="3">
        <v>99</v>
      </c>
      <c r="E211" t="s">
        <v>609</v>
      </c>
      <c r="F211" t="s">
        <v>609</v>
      </c>
      <c r="G211" t="s">
        <v>609</v>
      </c>
      <c r="H211" t="s">
        <v>12</v>
      </c>
      <c r="I211" s="3">
        <v>0</v>
      </c>
      <c r="K211" s="3">
        <v>0</v>
      </c>
    </row>
    <row r="212" spans="1:11">
      <c r="A212" s="5">
        <v>199</v>
      </c>
      <c r="B212" t="s">
        <v>296</v>
      </c>
      <c r="C212" t="s">
        <v>563</v>
      </c>
      <c r="D212" s="3">
        <v>100</v>
      </c>
      <c r="E212" t="s">
        <v>609</v>
      </c>
      <c r="F212" t="s">
        <v>609</v>
      </c>
      <c r="G212" t="s">
        <v>609</v>
      </c>
      <c r="H212" t="s">
        <v>12</v>
      </c>
      <c r="I212" s="3">
        <v>0</v>
      </c>
      <c r="K212" s="3">
        <v>4</v>
      </c>
    </row>
    <row r="213" spans="1:11">
      <c r="A213" s="5">
        <v>200</v>
      </c>
      <c r="B213" t="s">
        <v>83</v>
      </c>
      <c r="C213" t="s">
        <v>27</v>
      </c>
      <c r="D213" s="3">
        <v>100</v>
      </c>
      <c r="E213" t="s">
        <v>609</v>
      </c>
      <c r="F213" t="s">
        <v>609</v>
      </c>
      <c r="G213" t="s">
        <v>609</v>
      </c>
      <c r="H213" t="s">
        <v>12</v>
      </c>
      <c r="I213" s="3">
        <v>5</v>
      </c>
      <c r="K213" s="3">
        <v>0</v>
      </c>
    </row>
    <row r="214" spans="1:11">
      <c r="A214" s="5">
        <v>201</v>
      </c>
      <c r="B214" t="s">
        <v>332</v>
      </c>
      <c r="C214" t="s">
        <v>269</v>
      </c>
      <c r="D214" s="3">
        <v>101</v>
      </c>
      <c r="E214" t="s">
        <v>609</v>
      </c>
      <c r="F214" t="s">
        <v>609</v>
      </c>
      <c r="G214" t="s">
        <v>609</v>
      </c>
      <c r="H214" t="s">
        <v>12</v>
      </c>
      <c r="I214" s="3">
        <v>0</v>
      </c>
      <c r="K214" s="3">
        <v>0</v>
      </c>
    </row>
    <row r="215" spans="1:11">
      <c r="A215" s="5">
        <v>202</v>
      </c>
      <c r="B215" t="s">
        <v>144</v>
      </c>
      <c r="C215" t="s">
        <v>142</v>
      </c>
      <c r="D215" s="3">
        <v>101</v>
      </c>
      <c r="E215" t="s">
        <v>609</v>
      </c>
      <c r="F215" t="s">
        <v>609</v>
      </c>
      <c r="G215" t="s">
        <v>609</v>
      </c>
      <c r="H215" t="s">
        <v>12</v>
      </c>
      <c r="I215" s="3">
        <v>2</v>
      </c>
      <c r="K215" s="3">
        <v>4</v>
      </c>
    </row>
    <row r="216" spans="1:11">
      <c r="A216" s="5">
        <v>203</v>
      </c>
      <c r="B216" t="s">
        <v>191</v>
      </c>
      <c r="C216" t="s">
        <v>192</v>
      </c>
      <c r="D216" s="3">
        <v>102</v>
      </c>
      <c r="E216" t="s">
        <v>609</v>
      </c>
      <c r="F216" t="s">
        <v>609</v>
      </c>
      <c r="G216" t="s">
        <v>609</v>
      </c>
      <c r="H216" t="s">
        <v>12</v>
      </c>
      <c r="I216" s="3">
        <v>4</v>
      </c>
      <c r="K216" s="3">
        <v>0</v>
      </c>
    </row>
    <row r="217" spans="1:11">
      <c r="A217" s="5">
        <v>204</v>
      </c>
      <c r="B217" t="s">
        <v>254</v>
      </c>
      <c r="C217" t="s">
        <v>234</v>
      </c>
      <c r="D217" s="3">
        <v>102</v>
      </c>
      <c r="E217" t="s">
        <v>609</v>
      </c>
      <c r="F217" t="s">
        <v>609</v>
      </c>
      <c r="G217" t="s">
        <v>609</v>
      </c>
      <c r="H217" t="s">
        <v>12</v>
      </c>
      <c r="I217" s="3">
        <v>0</v>
      </c>
      <c r="K217" s="3">
        <v>4</v>
      </c>
    </row>
    <row r="218" spans="1:11">
      <c r="A218" s="5">
        <v>205</v>
      </c>
      <c r="B218" t="s">
        <v>43</v>
      </c>
      <c r="C218" t="s">
        <v>41</v>
      </c>
      <c r="D218" s="3">
        <v>103</v>
      </c>
      <c r="E218" t="s">
        <v>609</v>
      </c>
      <c r="F218" t="s">
        <v>609</v>
      </c>
      <c r="G218" t="s">
        <v>609</v>
      </c>
      <c r="H218" t="s">
        <v>12</v>
      </c>
      <c r="I218" s="3">
        <v>0</v>
      </c>
      <c r="K218" s="3">
        <v>0</v>
      </c>
    </row>
    <row r="219" spans="1:11">
      <c r="A219" s="5">
        <v>206</v>
      </c>
      <c r="B219" s="168" t="s">
        <v>1052</v>
      </c>
      <c r="C219" s="168" t="s">
        <v>180</v>
      </c>
      <c r="D219" s="3">
        <v>103</v>
      </c>
      <c r="E219" t="s">
        <v>609</v>
      </c>
      <c r="F219" t="s">
        <v>609</v>
      </c>
      <c r="G219" t="s">
        <v>609</v>
      </c>
      <c r="H219" t="s">
        <v>12</v>
      </c>
      <c r="I219" s="3">
        <v>2</v>
      </c>
      <c r="K219" s="3">
        <v>4</v>
      </c>
    </row>
    <row r="220" spans="1:11">
      <c r="A220" s="5">
        <v>207</v>
      </c>
      <c r="B220" t="s">
        <v>367</v>
      </c>
      <c r="C220" t="s">
        <v>628</v>
      </c>
      <c r="D220" s="3">
        <v>104</v>
      </c>
      <c r="E220" t="s">
        <v>609</v>
      </c>
      <c r="F220" t="s">
        <v>609</v>
      </c>
      <c r="G220" t="s">
        <v>609</v>
      </c>
      <c r="H220" t="s">
        <v>12</v>
      </c>
      <c r="I220" s="3">
        <v>2</v>
      </c>
      <c r="K220" s="3">
        <v>0</v>
      </c>
    </row>
    <row r="221" spans="1:11">
      <c r="A221" s="5">
        <v>208</v>
      </c>
      <c r="B221" t="s">
        <v>283</v>
      </c>
      <c r="C221" t="s">
        <v>282</v>
      </c>
      <c r="D221" s="3">
        <v>104</v>
      </c>
      <c r="E221" t="s">
        <v>609</v>
      </c>
      <c r="F221" t="s">
        <v>609</v>
      </c>
      <c r="G221" t="s">
        <v>609</v>
      </c>
      <c r="H221" t="s">
        <v>12</v>
      </c>
      <c r="I221" s="3">
        <v>0</v>
      </c>
      <c r="K221" s="3">
        <v>3</v>
      </c>
    </row>
    <row r="222" spans="1:11">
      <c r="A222" s="5">
        <v>209</v>
      </c>
      <c r="B222" t="s">
        <v>196</v>
      </c>
      <c r="C222" t="s">
        <v>197</v>
      </c>
      <c r="D222" s="3">
        <v>105</v>
      </c>
      <c r="E222" t="s">
        <v>609</v>
      </c>
      <c r="F222" t="s">
        <v>609</v>
      </c>
      <c r="G222" t="s">
        <v>609</v>
      </c>
      <c r="H222" t="s">
        <v>12</v>
      </c>
      <c r="I222" s="3">
        <v>4</v>
      </c>
      <c r="K222" s="3">
        <v>3</v>
      </c>
    </row>
    <row r="223" spans="1:11">
      <c r="A223" s="5">
        <v>210</v>
      </c>
      <c r="B223" t="s">
        <v>360</v>
      </c>
      <c r="C223" t="s">
        <v>182</v>
      </c>
      <c r="D223" s="3">
        <v>105</v>
      </c>
      <c r="E223" t="s">
        <v>609</v>
      </c>
      <c r="F223" t="s">
        <v>609</v>
      </c>
      <c r="G223" t="s">
        <v>609</v>
      </c>
      <c r="H223" t="s">
        <v>12</v>
      </c>
      <c r="I223" s="3">
        <v>0</v>
      </c>
      <c r="K223" s="3">
        <v>0</v>
      </c>
    </row>
    <row r="224" spans="1:11">
      <c r="A224" s="5">
        <v>211</v>
      </c>
      <c r="B224" s="170" t="s">
        <v>257</v>
      </c>
      <c r="C224" s="170" t="s">
        <v>258</v>
      </c>
      <c r="D224" s="3">
        <v>106</v>
      </c>
      <c r="E224" t="s">
        <v>609</v>
      </c>
      <c r="F224" t="s">
        <v>609</v>
      </c>
      <c r="G224" t="s">
        <v>609</v>
      </c>
      <c r="H224" t="s">
        <v>12</v>
      </c>
      <c r="I224" s="3">
        <v>4</v>
      </c>
      <c r="K224" s="3">
        <v>0</v>
      </c>
    </row>
    <row r="225" spans="1:11">
      <c r="A225" s="5">
        <v>212</v>
      </c>
      <c r="B225" t="s">
        <v>262</v>
      </c>
      <c r="C225" t="s">
        <v>546</v>
      </c>
      <c r="D225" s="3">
        <v>106</v>
      </c>
      <c r="E225" t="s">
        <v>609</v>
      </c>
      <c r="F225" t="s">
        <v>609</v>
      </c>
      <c r="G225" t="s">
        <v>609</v>
      </c>
      <c r="H225" t="s">
        <v>12</v>
      </c>
      <c r="I225" s="3">
        <v>0</v>
      </c>
      <c r="K225" s="3">
        <v>3</v>
      </c>
    </row>
    <row r="226" spans="1:11">
      <c r="A226" s="5">
        <v>213</v>
      </c>
      <c r="B226" t="s">
        <v>145</v>
      </c>
      <c r="C226" t="s">
        <v>142</v>
      </c>
      <c r="D226" s="3">
        <v>107</v>
      </c>
      <c r="E226" t="s">
        <v>609</v>
      </c>
      <c r="F226" t="s">
        <v>609</v>
      </c>
      <c r="G226" t="s">
        <v>609</v>
      </c>
      <c r="H226" t="s">
        <v>12</v>
      </c>
      <c r="I226" s="3">
        <v>2</v>
      </c>
      <c r="K226" s="3">
        <v>3</v>
      </c>
    </row>
    <row r="227" spans="1:11">
      <c r="A227" s="5">
        <v>214</v>
      </c>
      <c r="B227" t="s">
        <v>1053</v>
      </c>
      <c r="C227" t="s">
        <v>567</v>
      </c>
      <c r="D227" s="3">
        <v>107</v>
      </c>
      <c r="E227" t="s">
        <v>609</v>
      </c>
      <c r="F227" t="s">
        <v>609</v>
      </c>
      <c r="G227" t="s">
        <v>609</v>
      </c>
      <c r="H227" t="s">
        <v>12</v>
      </c>
      <c r="I227" s="3">
        <v>0</v>
      </c>
      <c r="K227" s="3">
        <v>0</v>
      </c>
    </row>
    <row r="228" spans="1:11">
      <c r="A228" s="5">
        <v>215</v>
      </c>
      <c r="B228" s="169" t="s">
        <v>321</v>
      </c>
      <c r="C228" s="169" t="s">
        <v>320</v>
      </c>
      <c r="D228" s="3">
        <v>108</v>
      </c>
      <c r="E228" t="s">
        <v>609</v>
      </c>
      <c r="F228" t="s">
        <v>609</v>
      </c>
      <c r="G228" t="s">
        <v>609</v>
      </c>
      <c r="H228" t="s">
        <v>12</v>
      </c>
      <c r="I228" s="3">
        <v>5</v>
      </c>
      <c r="K228" s="3">
        <v>0</v>
      </c>
    </row>
    <row r="229" spans="1:11">
      <c r="A229" s="5">
        <v>216</v>
      </c>
      <c r="B229" t="s">
        <v>1054</v>
      </c>
      <c r="C229" t="s">
        <v>564</v>
      </c>
      <c r="D229" s="3">
        <v>108</v>
      </c>
      <c r="E229" t="s">
        <v>609</v>
      </c>
      <c r="F229" t="s">
        <v>609</v>
      </c>
      <c r="G229" t="s">
        <v>609</v>
      </c>
      <c r="H229" t="s">
        <v>12</v>
      </c>
      <c r="I229" s="3">
        <v>0</v>
      </c>
      <c r="K229" s="3">
        <v>3</v>
      </c>
    </row>
    <row r="230" spans="1:11">
      <c r="A230" s="5">
        <v>217</v>
      </c>
      <c r="B230" t="s">
        <v>194</v>
      </c>
      <c r="C230" t="s">
        <v>192</v>
      </c>
      <c r="D230" s="3">
        <v>109</v>
      </c>
      <c r="E230" t="s">
        <v>609</v>
      </c>
      <c r="F230" t="s">
        <v>609</v>
      </c>
      <c r="G230" t="s">
        <v>609</v>
      </c>
      <c r="H230" t="s">
        <v>12</v>
      </c>
      <c r="I230" s="3">
        <v>2</v>
      </c>
      <c r="K230" s="3">
        <v>2</v>
      </c>
    </row>
    <row r="231" spans="1:11">
      <c r="A231" s="5">
        <v>218</v>
      </c>
      <c r="B231" t="s">
        <v>243</v>
      </c>
      <c r="C231" t="s">
        <v>244</v>
      </c>
      <c r="D231" s="3">
        <v>109</v>
      </c>
      <c r="E231" t="s">
        <v>609</v>
      </c>
      <c r="F231" t="s">
        <v>609</v>
      </c>
      <c r="G231" t="s">
        <v>609</v>
      </c>
      <c r="H231" t="s">
        <v>12</v>
      </c>
      <c r="I231" s="3">
        <v>0</v>
      </c>
      <c r="K231" s="3">
        <v>0</v>
      </c>
    </row>
    <row r="232" spans="1:11">
      <c r="A232" s="5">
        <v>219</v>
      </c>
      <c r="B232" t="s">
        <v>308</v>
      </c>
      <c r="C232" t="s">
        <v>306</v>
      </c>
      <c r="D232" s="3">
        <v>110</v>
      </c>
      <c r="E232" t="s">
        <v>609</v>
      </c>
      <c r="F232" t="s">
        <v>609</v>
      </c>
      <c r="G232" t="s">
        <v>609</v>
      </c>
      <c r="H232" t="s">
        <v>12</v>
      </c>
      <c r="I232" s="3">
        <v>0</v>
      </c>
      <c r="K232" s="3">
        <v>0</v>
      </c>
    </row>
    <row r="233" spans="1:11">
      <c r="A233" s="5">
        <v>220</v>
      </c>
      <c r="B233" t="s">
        <v>1055</v>
      </c>
      <c r="C233" t="s">
        <v>234</v>
      </c>
      <c r="D233" s="3">
        <v>110</v>
      </c>
      <c r="E233" t="s">
        <v>609</v>
      </c>
      <c r="F233" t="s">
        <v>609</v>
      </c>
      <c r="G233" t="s">
        <v>609</v>
      </c>
      <c r="H233" t="s">
        <v>12</v>
      </c>
      <c r="I233" s="3">
        <v>6</v>
      </c>
      <c r="K233" s="3">
        <v>3</v>
      </c>
    </row>
    <row r="234" spans="1:11">
      <c r="A234" s="5">
        <v>221</v>
      </c>
      <c r="B234" t="s">
        <v>104</v>
      </c>
      <c r="C234" t="s">
        <v>105</v>
      </c>
      <c r="D234" s="3">
        <v>111</v>
      </c>
      <c r="E234" t="s">
        <v>609</v>
      </c>
      <c r="F234" t="s">
        <v>609</v>
      </c>
      <c r="G234" t="s">
        <v>609</v>
      </c>
      <c r="H234" t="s">
        <v>12</v>
      </c>
      <c r="I234" s="3">
        <v>0</v>
      </c>
      <c r="K234" s="3">
        <v>0</v>
      </c>
    </row>
    <row r="235" spans="1:11">
      <c r="A235" s="5">
        <v>222</v>
      </c>
      <c r="B235" t="s">
        <v>370</v>
      </c>
      <c r="C235" t="s">
        <v>238</v>
      </c>
      <c r="D235" s="3">
        <v>111</v>
      </c>
      <c r="E235" t="s">
        <v>609</v>
      </c>
      <c r="F235" t="s">
        <v>609</v>
      </c>
      <c r="G235" t="s">
        <v>609</v>
      </c>
      <c r="H235" t="s">
        <v>12</v>
      </c>
      <c r="I235" s="3">
        <v>4</v>
      </c>
      <c r="K235" s="3">
        <v>4</v>
      </c>
    </row>
    <row r="236" spans="1:11">
      <c r="A236" s="5">
        <v>223</v>
      </c>
      <c r="B236" t="s">
        <v>40</v>
      </c>
      <c r="C236" t="s">
        <v>41</v>
      </c>
      <c r="D236" s="3">
        <v>112</v>
      </c>
      <c r="E236" t="s">
        <v>609</v>
      </c>
      <c r="F236" t="s">
        <v>609</v>
      </c>
      <c r="G236" t="s">
        <v>609</v>
      </c>
      <c r="H236" t="s">
        <v>12</v>
      </c>
      <c r="I236" s="3">
        <v>6</v>
      </c>
      <c r="K236" s="3">
        <v>0</v>
      </c>
    </row>
    <row r="237" spans="1:11">
      <c r="A237" s="5">
        <v>224</v>
      </c>
      <c r="B237" t="s">
        <v>129</v>
      </c>
      <c r="C237" t="s">
        <v>130</v>
      </c>
      <c r="D237" s="3">
        <v>112</v>
      </c>
      <c r="E237" t="s">
        <v>609</v>
      </c>
      <c r="F237" t="s">
        <v>609</v>
      </c>
      <c r="G237" t="s">
        <v>609</v>
      </c>
      <c r="H237" t="s">
        <v>12</v>
      </c>
      <c r="I237" s="3">
        <v>0</v>
      </c>
      <c r="K237" s="3">
        <v>4</v>
      </c>
    </row>
    <row r="238" spans="1:11">
      <c r="A238" s="5">
        <v>225</v>
      </c>
      <c r="B238" t="s">
        <v>198</v>
      </c>
      <c r="C238" t="s">
        <v>197</v>
      </c>
      <c r="D238" s="3">
        <v>113</v>
      </c>
      <c r="E238" t="s">
        <v>609</v>
      </c>
      <c r="F238" t="s">
        <v>609</v>
      </c>
      <c r="G238" t="s">
        <v>609</v>
      </c>
      <c r="H238" t="s">
        <v>12</v>
      </c>
      <c r="I238" s="3">
        <v>0</v>
      </c>
      <c r="K238" s="3">
        <v>4</v>
      </c>
    </row>
    <row r="239" spans="1:11">
      <c r="A239" s="5">
        <v>226</v>
      </c>
      <c r="B239" t="s">
        <v>364</v>
      </c>
      <c r="C239" t="s">
        <v>62</v>
      </c>
      <c r="D239" s="3">
        <v>113</v>
      </c>
      <c r="E239" t="s">
        <v>609</v>
      </c>
      <c r="F239" t="s">
        <v>609</v>
      </c>
      <c r="G239" t="s">
        <v>609</v>
      </c>
      <c r="H239" t="s">
        <v>12</v>
      </c>
      <c r="I239" s="3">
        <v>4</v>
      </c>
      <c r="K239" s="3">
        <v>0</v>
      </c>
    </row>
    <row r="240" spans="1:11">
      <c r="A240" s="5">
        <v>227</v>
      </c>
      <c r="B240" t="s">
        <v>358</v>
      </c>
      <c r="C240" t="s">
        <v>258</v>
      </c>
      <c r="D240" s="3">
        <v>114</v>
      </c>
      <c r="E240" t="s">
        <v>609</v>
      </c>
      <c r="F240" t="s">
        <v>609</v>
      </c>
      <c r="G240" t="s">
        <v>609</v>
      </c>
      <c r="H240" t="s">
        <v>12</v>
      </c>
      <c r="I240" s="3">
        <v>1</v>
      </c>
      <c r="K240" s="3">
        <v>0</v>
      </c>
    </row>
    <row r="241" spans="1:11">
      <c r="A241" s="5">
        <v>228</v>
      </c>
      <c r="B241" t="s">
        <v>50</v>
      </c>
      <c r="C241" t="s">
        <v>48</v>
      </c>
      <c r="D241" s="3">
        <v>114</v>
      </c>
      <c r="E241" t="s">
        <v>609</v>
      </c>
      <c r="F241" t="s">
        <v>609</v>
      </c>
      <c r="G241" t="s">
        <v>609</v>
      </c>
      <c r="H241" t="s">
        <v>12</v>
      </c>
      <c r="I241" s="3">
        <v>0</v>
      </c>
      <c r="K241" s="3">
        <v>2</v>
      </c>
    </row>
    <row r="242" spans="1:11">
      <c r="A242" s="5">
        <v>229</v>
      </c>
      <c r="B242" t="s">
        <v>362</v>
      </c>
      <c r="C242" t="s">
        <v>125</v>
      </c>
      <c r="D242" s="3">
        <v>115</v>
      </c>
      <c r="E242" t="s">
        <v>609</v>
      </c>
      <c r="F242" t="s">
        <v>609</v>
      </c>
      <c r="G242" t="s">
        <v>609</v>
      </c>
      <c r="H242" t="s">
        <v>12</v>
      </c>
      <c r="I242" s="3">
        <v>1</v>
      </c>
      <c r="K242" s="3">
        <v>2</v>
      </c>
    </row>
    <row r="243" spans="1:11">
      <c r="A243" s="5">
        <v>230</v>
      </c>
      <c r="B243" t="s">
        <v>218</v>
      </c>
      <c r="C243" t="s">
        <v>217</v>
      </c>
      <c r="D243" s="3">
        <v>115</v>
      </c>
      <c r="E243" t="s">
        <v>609</v>
      </c>
      <c r="F243" t="s">
        <v>609</v>
      </c>
      <c r="G243" t="s">
        <v>609</v>
      </c>
      <c r="H243" t="s">
        <v>12</v>
      </c>
      <c r="I243" s="3">
        <v>0</v>
      </c>
      <c r="K243" s="3">
        <v>0</v>
      </c>
    </row>
    <row r="244" spans="1:11">
      <c r="A244" s="5">
        <v>231</v>
      </c>
      <c r="B244" t="s">
        <v>11</v>
      </c>
      <c r="C244" t="s">
        <v>13</v>
      </c>
      <c r="D244" s="3">
        <v>116</v>
      </c>
      <c r="E244" t="s">
        <v>609</v>
      </c>
      <c r="F244" t="s">
        <v>609</v>
      </c>
      <c r="G244" t="s">
        <v>609</v>
      </c>
      <c r="H244" t="s">
        <v>12</v>
      </c>
      <c r="I244" s="3">
        <v>6</v>
      </c>
      <c r="K244" s="3">
        <v>4</v>
      </c>
    </row>
    <row r="245" spans="1:11">
      <c r="A245" s="5">
        <v>232</v>
      </c>
      <c r="B245" t="s">
        <v>148</v>
      </c>
      <c r="C245" t="s">
        <v>103</v>
      </c>
      <c r="D245" s="3">
        <v>116</v>
      </c>
      <c r="E245" t="s">
        <v>609</v>
      </c>
      <c r="F245" t="s">
        <v>609</v>
      </c>
      <c r="G245" t="s">
        <v>609</v>
      </c>
      <c r="H245" t="s">
        <v>12</v>
      </c>
      <c r="I245" s="3">
        <v>0</v>
      </c>
      <c r="K245" s="3">
        <v>0</v>
      </c>
    </row>
    <row r="246" spans="1:11">
      <c r="A246" s="5">
        <v>233</v>
      </c>
      <c r="B246" t="s">
        <v>136</v>
      </c>
      <c r="C246" t="s">
        <v>135</v>
      </c>
      <c r="D246" s="3">
        <v>117</v>
      </c>
      <c r="E246" t="s">
        <v>609</v>
      </c>
      <c r="F246" t="s">
        <v>609</v>
      </c>
      <c r="G246" t="s">
        <v>609</v>
      </c>
      <c r="H246" t="s">
        <v>12</v>
      </c>
      <c r="I246" s="3">
        <v>0</v>
      </c>
      <c r="K246" s="3">
        <v>2</v>
      </c>
    </row>
    <row r="247" spans="1:11">
      <c r="A247" s="5">
        <v>234</v>
      </c>
      <c r="B247" t="s">
        <v>88</v>
      </c>
      <c r="C247" t="s">
        <v>567</v>
      </c>
      <c r="D247" s="3">
        <v>117</v>
      </c>
      <c r="E247" t="s">
        <v>609</v>
      </c>
      <c r="F247" t="s">
        <v>609</v>
      </c>
      <c r="G247" t="s">
        <v>609</v>
      </c>
      <c r="H247" t="s">
        <v>12</v>
      </c>
      <c r="I247" s="3">
        <v>6</v>
      </c>
      <c r="K247" s="3">
        <v>0</v>
      </c>
    </row>
    <row r="248" spans="1:11">
      <c r="A248" s="5">
        <v>235</v>
      </c>
      <c r="B248" t="s">
        <v>363</v>
      </c>
      <c r="C248" t="s">
        <v>302</v>
      </c>
      <c r="D248" s="3">
        <v>118</v>
      </c>
      <c r="E248" t="s">
        <v>609</v>
      </c>
      <c r="F248" t="s">
        <v>609</v>
      </c>
      <c r="G248" t="s">
        <v>609</v>
      </c>
      <c r="H248" t="s">
        <v>12</v>
      </c>
      <c r="I248" s="3">
        <v>4</v>
      </c>
      <c r="K248" s="3">
        <v>0</v>
      </c>
    </row>
    <row r="249" spans="1:11">
      <c r="A249" s="5">
        <v>236</v>
      </c>
      <c r="B249" s="169" t="s">
        <v>75</v>
      </c>
      <c r="C249" s="169" t="s">
        <v>23</v>
      </c>
      <c r="D249" s="3">
        <v>118</v>
      </c>
      <c r="E249" t="s">
        <v>609</v>
      </c>
      <c r="F249" t="s">
        <v>609</v>
      </c>
      <c r="G249" t="s">
        <v>609</v>
      </c>
      <c r="H249" t="s">
        <v>12</v>
      </c>
      <c r="I249" s="3">
        <v>0</v>
      </c>
      <c r="K249" s="3">
        <v>2</v>
      </c>
    </row>
    <row r="250" spans="1:11">
      <c r="A250" s="5">
        <v>239</v>
      </c>
      <c r="B250" t="s">
        <v>37</v>
      </c>
      <c r="C250" t="s">
        <v>16</v>
      </c>
      <c r="D250" s="3">
        <v>119</v>
      </c>
      <c r="E250" t="s">
        <v>609</v>
      </c>
      <c r="F250" t="s">
        <v>609</v>
      </c>
      <c r="G250" t="s">
        <v>609</v>
      </c>
      <c r="H250" t="s">
        <v>12</v>
      </c>
      <c r="I250" s="3">
        <v>6</v>
      </c>
      <c r="K250" s="3">
        <v>4</v>
      </c>
    </row>
    <row r="251" spans="1:11">
      <c r="A251" s="5">
        <v>240</v>
      </c>
      <c r="B251" t="s">
        <v>119</v>
      </c>
      <c r="C251" t="s">
        <v>117</v>
      </c>
      <c r="D251" s="3">
        <f>D250</f>
        <v>119</v>
      </c>
      <c r="E251" t="s">
        <v>609</v>
      </c>
      <c r="F251" t="s">
        <v>609</v>
      </c>
      <c r="G251" t="s">
        <v>609</v>
      </c>
      <c r="H251" t="s">
        <v>12</v>
      </c>
      <c r="I251" s="3">
        <v>0</v>
      </c>
      <c r="K251" s="3">
        <v>0</v>
      </c>
    </row>
    <row r="252" spans="1:11">
      <c r="A252" s="5">
        <v>241</v>
      </c>
      <c r="B252" t="s">
        <v>70</v>
      </c>
      <c r="C252" t="s">
        <v>22</v>
      </c>
      <c r="D252" s="3">
        <v>121</v>
      </c>
      <c r="E252" t="s">
        <v>609</v>
      </c>
      <c r="F252" t="s">
        <v>609</v>
      </c>
      <c r="G252" t="s">
        <v>609</v>
      </c>
      <c r="H252" t="s">
        <v>12</v>
      </c>
      <c r="I252" s="3">
        <v>6</v>
      </c>
      <c r="K252" s="3">
        <v>4</v>
      </c>
    </row>
    <row r="253" spans="1:11">
      <c r="A253" s="5">
        <v>242</v>
      </c>
      <c r="B253" t="s">
        <v>245</v>
      </c>
      <c r="C253" t="s">
        <v>244</v>
      </c>
      <c r="D253" s="3">
        <v>121</v>
      </c>
      <c r="E253" t="s">
        <v>609</v>
      </c>
      <c r="F253" t="s">
        <v>609</v>
      </c>
      <c r="G253" t="s">
        <v>609</v>
      </c>
      <c r="H253" t="s">
        <v>12</v>
      </c>
      <c r="I253" s="3">
        <v>0</v>
      </c>
      <c r="K253" s="3">
        <v>0</v>
      </c>
    </row>
    <row r="254" spans="1:11">
      <c r="A254" s="5">
        <v>243</v>
      </c>
      <c r="B254" t="s">
        <v>259</v>
      </c>
      <c r="C254" t="s">
        <v>258</v>
      </c>
      <c r="D254" s="3">
        <v>122</v>
      </c>
      <c r="E254" t="s">
        <v>609</v>
      </c>
      <c r="F254" t="s">
        <v>609</v>
      </c>
      <c r="G254" t="s">
        <v>609</v>
      </c>
      <c r="H254" t="s">
        <v>12</v>
      </c>
      <c r="I254" s="3">
        <v>0</v>
      </c>
      <c r="K254" s="3">
        <v>0</v>
      </c>
    </row>
    <row r="255" spans="1:11">
      <c r="A255" s="5">
        <v>244</v>
      </c>
      <c r="B255" t="s">
        <v>149</v>
      </c>
      <c r="C255" t="s">
        <v>103</v>
      </c>
      <c r="D255" s="3">
        <v>122</v>
      </c>
      <c r="E255" t="s">
        <v>609</v>
      </c>
      <c r="F255" t="s">
        <v>609</v>
      </c>
      <c r="G255" t="s">
        <v>609</v>
      </c>
      <c r="H255" t="s">
        <v>12</v>
      </c>
      <c r="I255" s="3">
        <v>6</v>
      </c>
      <c r="K255" s="3">
        <v>2</v>
      </c>
    </row>
    <row r="256" spans="1:11">
      <c r="A256" s="5">
        <v>245</v>
      </c>
      <c r="B256" t="s">
        <v>169</v>
      </c>
      <c r="C256" t="s">
        <v>568</v>
      </c>
      <c r="D256" s="3">
        <v>123</v>
      </c>
      <c r="E256" t="s">
        <v>609</v>
      </c>
      <c r="F256" t="s">
        <v>609</v>
      </c>
      <c r="G256" t="s">
        <v>609</v>
      </c>
      <c r="H256" t="s">
        <v>12</v>
      </c>
      <c r="I256" s="3">
        <v>4</v>
      </c>
      <c r="K256" s="3">
        <v>0</v>
      </c>
    </row>
    <row r="257" spans="1:11">
      <c r="A257" s="5">
        <v>246</v>
      </c>
      <c r="B257" t="s">
        <v>1056</v>
      </c>
      <c r="C257" t="s">
        <v>125</v>
      </c>
      <c r="D257" s="3">
        <v>123</v>
      </c>
      <c r="E257" t="s">
        <v>609</v>
      </c>
      <c r="F257" t="s">
        <v>609</v>
      </c>
      <c r="G257" t="s">
        <v>609</v>
      </c>
      <c r="H257" t="s">
        <v>12</v>
      </c>
      <c r="I257" s="3">
        <v>0</v>
      </c>
      <c r="K257" s="3">
        <v>4</v>
      </c>
    </row>
    <row r="258" spans="1:11">
      <c r="A258" s="5">
        <v>247</v>
      </c>
      <c r="B258" t="s">
        <v>175</v>
      </c>
      <c r="C258" t="s">
        <v>113</v>
      </c>
      <c r="D258" s="3">
        <v>124</v>
      </c>
      <c r="E258" t="s">
        <v>609</v>
      </c>
      <c r="F258" t="s">
        <v>609</v>
      </c>
      <c r="G258" t="s">
        <v>609</v>
      </c>
      <c r="H258" t="s">
        <v>12</v>
      </c>
      <c r="I258" s="3">
        <v>0</v>
      </c>
      <c r="K258" s="3">
        <v>0</v>
      </c>
    </row>
    <row r="259" spans="1:11">
      <c r="A259" s="5">
        <v>248</v>
      </c>
      <c r="B259" t="s">
        <v>366</v>
      </c>
      <c r="C259" t="s">
        <v>155</v>
      </c>
      <c r="D259" s="3">
        <v>124</v>
      </c>
      <c r="E259" t="s">
        <v>609</v>
      </c>
      <c r="F259" t="s">
        <v>609</v>
      </c>
      <c r="G259" t="s">
        <v>609</v>
      </c>
      <c r="H259" t="s">
        <v>12</v>
      </c>
      <c r="I259" s="3">
        <v>1</v>
      </c>
      <c r="K259" s="3">
        <v>2</v>
      </c>
    </row>
    <row r="260" spans="1:11">
      <c r="A260" s="5">
        <v>249</v>
      </c>
      <c r="B260" t="s">
        <v>277</v>
      </c>
      <c r="C260" t="s">
        <v>566</v>
      </c>
      <c r="D260" s="3">
        <v>125</v>
      </c>
      <c r="E260" t="s">
        <v>609</v>
      </c>
      <c r="F260" t="s">
        <v>609</v>
      </c>
      <c r="G260" t="s">
        <v>609</v>
      </c>
      <c r="H260" t="s">
        <v>12</v>
      </c>
      <c r="I260" s="3">
        <v>0</v>
      </c>
      <c r="K260" s="3">
        <v>0</v>
      </c>
    </row>
    <row r="261" spans="1:11">
      <c r="A261" s="5">
        <v>250</v>
      </c>
      <c r="B261" t="s">
        <v>228</v>
      </c>
      <c r="C261" t="s">
        <v>184</v>
      </c>
      <c r="D261" s="3">
        <v>125</v>
      </c>
      <c r="E261" t="s">
        <v>609</v>
      </c>
      <c r="F261" t="s">
        <v>609</v>
      </c>
      <c r="G261" t="s">
        <v>609</v>
      </c>
      <c r="H261" t="s">
        <v>12</v>
      </c>
      <c r="I261" s="3">
        <v>3</v>
      </c>
      <c r="K261" s="3">
        <v>3</v>
      </c>
    </row>
    <row r="262" spans="1:11">
      <c r="A262" s="5">
        <v>251</v>
      </c>
      <c r="B262" t="s">
        <v>314</v>
      </c>
      <c r="C262" t="s">
        <v>313</v>
      </c>
      <c r="D262" s="3">
        <v>126</v>
      </c>
      <c r="E262" t="s">
        <v>609</v>
      </c>
      <c r="F262" t="s">
        <v>609</v>
      </c>
      <c r="G262" t="s">
        <v>609</v>
      </c>
      <c r="H262" t="s">
        <v>12</v>
      </c>
      <c r="I262" s="3">
        <v>4</v>
      </c>
      <c r="K262" s="3">
        <v>0</v>
      </c>
    </row>
    <row r="263" spans="1:11">
      <c r="A263" s="5">
        <v>252</v>
      </c>
      <c r="B263" t="s">
        <v>1057</v>
      </c>
      <c r="C263" t="s">
        <v>564</v>
      </c>
      <c r="D263" s="3">
        <v>126</v>
      </c>
      <c r="E263" t="s">
        <v>609</v>
      </c>
      <c r="F263" t="s">
        <v>609</v>
      </c>
      <c r="G263" t="s">
        <v>609</v>
      </c>
      <c r="H263" t="s">
        <v>12</v>
      </c>
      <c r="I263" s="3">
        <v>0</v>
      </c>
      <c r="K263" s="3">
        <v>4</v>
      </c>
    </row>
    <row r="264" spans="1:11">
      <c r="A264" s="5">
        <v>253</v>
      </c>
      <c r="B264" t="s">
        <v>295</v>
      </c>
      <c r="C264" t="s">
        <v>563</v>
      </c>
      <c r="D264" s="3">
        <v>127</v>
      </c>
      <c r="E264" t="s">
        <v>609</v>
      </c>
      <c r="F264" t="s">
        <v>609</v>
      </c>
      <c r="G264" t="s">
        <v>609</v>
      </c>
      <c r="H264" t="s">
        <v>12</v>
      </c>
      <c r="I264" s="3">
        <v>3</v>
      </c>
      <c r="K264" s="3">
        <v>3</v>
      </c>
    </row>
    <row r="265" spans="1:11">
      <c r="A265" s="5">
        <v>254</v>
      </c>
      <c r="B265" t="s">
        <v>290</v>
      </c>
      <c r="C265" t="s">
        <v>289</v>
      </c>
      <c r="D265" s="3">
        <v>127</v>
      </c>
      <c r="E265" t="s">
        <v>609</v>
      </c>
      <c r="F265" t="s">
        <v>609</v>
      </c>
      <c r="G265" t="s">
        <v>609</v>
      </c>
      <c r="H265" t="s">
        <v>12</v>
      </c>
      <c r="I265" s="3">
        <v>0</v>
      </c>
      <c r="K265" s="3">
        <v>0</v>
      </c>
    </row>
    <row r="266" spans="1:11">
      <c r="A266" s="5">
        <v>255</v>
      </c>
      <c r="B266" t="s">
        <v>21</v>
      </c>
      <c r="C266" t="s">
        <v>22</v>
      </c>
      <c r="D266" s="3">
        <v>128</v>
      </c>
      <c r="E266" t="s">
        <v>609</v>
      </c>
      <c r="F266" t="s">
        <v>609</v>
      </c>
      <c r="G266" t="s">
        <v>609</v>
      </c>
      <c r="H266" t="s">
        <v>12</v>
      </c>
      <c r="I266" s="3">
        <v>0</v>
      </c>
      <c r="K266" s="3">
        <v>3</v>
      </c>
    </row>
    <row r="267" spans="1:11">
      <c r="A267" s="5">
        <v>256</v>
      </c>
      <c r="B267" t="s">
        <v>82</v>
      </c>
      <c r="C267" t="s">
        <v>27</v>
      </c>
      <c r="D267" s="3">
        <v>128</v>
      </c>
      <c r="E267" t="s">
        <v>609</v>
      </c>
      <c r="F267" t="s">
        <v>609</v>
      </c>
      <c r="G267" t="s">
        <v>609</v>
      </c>
      <c r="H267" t="s">
        <v>12</v>
      </c>
      <c r="I267" s="3">
        <v>2</v>
      </c>
      <c r="K267" s="3">
        <v>0</v>
      </c>
    </row>
    <row r="268" spans="1:11">
      <c r="A268" s="5">
        <v>257</v>
      </c>
      <c r="B268" t="s">
        <v>56</v>
      </c>
      <c r="C268" t="s">
        <v>54</v>
      </c>
      <c r="D268" s="3">
        <v>129</v>
      </c>
      <c r="E268" t="s">
        <v>609</v>
      </c>
      <c r="F268" t="s">
        <v>609</v>
      </c>
      <c r="G268" t="s">
        <v>609</v>
      </c>
      <c r="H268" t="s">
        <v>12</v>
      </c>
      <c r="I268" s="3">
        <v>1</v>
      </c>
      <c r="K268" s="3">
        <v>0</v>
      </c>
    </row>
    <row r="269" spans="1:11">
      <c r="A269" s="5">
        <v>258</v>
      </c>
      <c r="B269" t="s">
        <v>361</v>
      </c>
      <c r="C269" t="s">
        <v>445</v>
      </c>
      <c r="D269" s="3">
        <v>129</v>
      </c>
      <c r="E269" t="s">
        <v>609</v>
      </c>
      <c r="F269" t="s">
        <v>609</v>
      </c>
      <c r="G269" t="s">
        <v>609</v>
      </c>
      <c r="H269" t="s">
        <v>12</v>
      </c>
      <c r="I269" s="3">
        <v>0</v>
      </c>
      <c r="K269" s="3">
        <v>3</v>
      </c>
    </row>
    <row r="270" spans="1:11">
      <c r="A270" s="5">
        <v>259</v>
      </c>
      <c r="B270" t="s">
        <v>131</v>
      </c>
      <c r="C270" t="s">
        <v>130</v>
      </c>
      <c r="D270" s="3">
        <v>130</v>
      </c>
      <c r="E270" t="s">
        <v>609</v>
      </c>
      <c r="F270" t="s">
        <v>609</v>
      </c>
      <c r="G270" t="s">
        <v>609</v>
      </c>
      <c r="H270" t="s">
        <v>12</v>
      </c>
      <c r="I270" s="3">
        <v>2</v>
      </c>
      <c r="K270" s="3">
        <v>0</v>
      </c>
    </row>
    <row r="271" spans="1:11">
      <c r="A271" s="5">
        <v>260</v>
      </c>
      <c r="B271" t="s">
        <v>239</v>
      </c>
      <c r="C271" t="s">
        <v>238</v>
      </c>
      <c r="D271" s="3">
        <v>130</v>
      </c>
      <c r="E271" t="s">
        <v>609</v>
      </c>
      <c r="F271" t="s">
        <v>609</v>
      </c>
      <c r="G271" t="s">
        <v>609</v>
      </c>
      <c r="H271" t="s">
        <v>12</v>
      </c>
      <c r="I271" s="3">
        <v>0</v>
      </c>
      <c r="K271" s="3">
        <v>2</v>
      </c>
    </row>
    <row r="272" spans="1:11">
      <c r="A272" s="5">
        <v>261</v>
      </c>
      <c r="B272" s="169" t="s">
        <v>76</v>
      </c>
      <c r="C272" s="169" t="s">
        <v>23</v>
      </c>
      <c r="D272" s="3">
        <v>131</v>
      </c>
      <c r="E272" t="s">
        <v>609</v>
      </c>
      <c r="F272" t="s">
        <v>609</v>
      </c>
      <c r="G272" t="s">
        <v>609</v>
      </c>
      <c r="H272" t="s">
        <v>12</v>
      </c>
      <c r="I272" s="3">
        <v>0</v>
      </c>
      <c r="K272" s="3">
        <v>0</v>
      </c>
    </row>
    <row r="273" spans="1:11">
      <c r="A273" s="5">
        <v>262</v>
      </c>
      <c r="B273" t="s">
        <v>354</v>
      </c>
      <c r="C273" t="s">
        <v>135</v>
      </c>
      <c r="D273" s="3">
        <v>131</v>
      </c>
      <c r="E273" t="s">
        <v>609</v>
      </c>
      <c r="F273" t="s">
        <v>609</v>
      </c>
      <c r="G273" t="s">
        <v>609</v>
      </c>
      <c r="H273" t="s">
        <v>12</v>
      </c>
      <c r="I273" s="3">
        <v>3</v>
      </c>
      <c r="K273" s="3">
        <v>4</v>
      </c>
    </row>
    <row r="274" spans="1:11">
      <c r="A274" s="5">
        <v>263</v>
      </c>
      <c r="B274" s="170" t="s">
        <v>210</v>
      </c>
      <c r="C274" s="170" t="s">
        <v>628</v>
      </c>
      <c r="D274" s="3">
        <v>132</v>
      </c>
      <c r="E274" t="s">
        <v>609</v>
      </c>
      <c r="F274" t="s">
        <v>609</v>
      </c>
      <c r="G274" t="s">
        <v>609</v>
      </c>
      <c r="H274" t="s">
        <v>12</v>
      </c>
      <c r="I274" s="3">
        <v>0</v>
      </c>
      <c r="K274" s="3">
        <v>0</v>
      </c>
    </row>
    <row r="275" spans="1:11">
      <c r="A275" s="5">
        <v>264</v>
      </c>
      <c r="B275" t="s">
        <v>160</v>
      </c>
      <c r="C275" t="s">
        <v>161</v>
      </c>
      <c r="D275" s="3">
        <v>132</v>
      </c>
      <c r="E275" t="s">
        <v>609</v>
      </c>
      <c r="F275" t="s">
        <v>609</v>
      </c>
      <c r="G275" t="s">
        <v>609</v>
      </c>
      <c r="H275" t="s">
        <v>12</v>
      </c>
      <c r="I275" s="3">
        <v>3</v>
      </c>
      <c r="K275" s="3">
        <v>3</v>
      </c>
    </row>
    <row r="276" spans="1:11">
      <c r="A276" s="5">
        <v>265</v>
      </c>
      <c r="B276" t="s">
        <v>32</v>
      </c>
      <c r="C276" t="s">
        <v>13</v>
      </c>
      <c r="D276" s="3">
        <v>133</v>
      </c>
      <c r="E276" t="s">
        <v>609</v>
      </c>
      <c r="F276" t="s">
        <v>609</v>
      </c>
      <c r="G276" t="s">
        <v>609</v>
      </c>
      <c r="H276" t="s">
        <v>12</v>
      </c>
      <c r="I276" s="3">
        <v>0</v>
      </c>
      <c r="K276" s="3">
        <v>0</v>
      </c>
    </row>
    <row r="277" spans="1:11">
      <c r="A277" s="5">
        <v>266</v>
      </c>
      <c r="B277" t="s">
        <v>369</v>
      </c>
      <c r="C277" t="s">
        <v>313</v>
      </c>
      <c r="D277" s="3">
        <v>133</v>
      </c>
      <c r="E277" t="s">
        <v>609</v>
      </c>
      <c r="F277" t="s">
        <v>609</v>
      </c>
      <c r="G277" t="s">
        <v>609</v>
      </c>
      <c r="H277" t="s">
        <v>12</v>
      </c>
      <c r="I277" s="3">
        <v>6</v>
      </c>
      <c r="K277" s="3">
        <v>4</v>
      </c>
    </row>
    <row r="278" spans="1:11">
      <c r="A278" s="5">
        <v>267</v>
      </c>
      <c r="B278" t="s">
        <v>185</v>
      </c>
      <c r="C278" t="s">
        <v>186</v>
      </c>
      <c r="D278" s="3">
        <v>134</v>
      </c>
      <c r="E278" t="s">
        <v>609</v>
      </c>
      <c r="F278" t="s">
        <v>609</v>
      </c>
      <c r="G278" t="s">
        <v>609</v>
      </c>
      <c r="H278" t="s">
        <v>12</v>
      </c>
      <c r="I278" s="3">
        <v>5</v>
      </c>
      <c r="K278" s="3">
        <v>4</v>
      </c>
    </row>
    <row r="279" spans="1:11">
      <c r="A279" s="5">
        <v>268</v>
      </c>
      <c r="B279" t="s">
        <v>368</v>
      </c>
      <c r="C279" t="s">
        <v>567</v>
      </c>
      <c r="D279" s="3">
        <v>134</v>
      </c>
      <c r="E279" t="s">
        <v>609</v>
      </c>
      <c r="F279" t="s">
        <v>609</v>
      </c>
      <c r="G279" t="s">
        <v>609</v>
      </c>
      <c r="H279" t="s">
        <v>12</v>
      </c>
      <c r="I279" s="3">
        <v>0</v>
      </c>
      <c r="K279" s="3">
        <v>0</v>
      </c>
    </row>
    <row r="280" spans="1:11">
      <c r="A280" s="5">
        <v>269</v>
      </c>
      <c r="B280" t="s">
        <v>356</v>
      </c>
      <c r="C280" t="s">
        <v>217</v>
      </c>
      <c r="D280" s="3">
        <v>135</v>
      </c>
      <c r="E280" t="s">
        <v>609</v>
      </c>
      <c r="F280" t="s">
        <v>609</v>
      </c>
      <c r="G280" t="s">
        <v>609</v>
      </c>
      <c r="H280" t="s">
        <v>12</v>
      </c>
      <c r="I280" s="3">
        <v>2</v>
      </c>
      <c r="K280" s="3">
        <v>3</v>
      </c>
    </row>
    <row r="281" spans="1:11">
      <c r="A281" s="5">
        <v>270</v>
      </c>
      <c r="B281" t="s">
        <v>141</v>
      </c>
      <c r="C281" t="s">
        <v>142</v>
      </c>
      <c r="D281" s="3">
        <v>135</v>
      </c>
      <c r="E281" t="s">
        <v>609</v>
      </c>
      <c r="F281" t="s">
        <v>609</v>
      </c>
      <c r="G281" t="s">
        <v>609</v>
      </c>
      <c r="H281" t="s">
        <v>12</v>
      </c>
      <c r="I281" s="3">
        <v>0</v>
      </c>
      <c r="K281" s="3">
        <v>0</v>
      </c>
    </row>
    <row r="282" spans="1:11">
      <c r="A282" s="5">
        <v>271</v>
      </c>
      <c r="B282" t="s">
        <v>297</v>
      </c>
      <c r="C282" t="s">
        <v>563</v>
      </c>
      <c r="D282" s="3">
        <v>136</v>
      </c>
      <c r="E282" t="s">
        <v>609</v>
      </c>
      <c r="F282" t="s">
        <v>609</v>
      </c>
      <c r="G282" t="s">
        <v>609</v>
      </c>
      <c r="H282" t="s">
        <v>12</v>
      </c>
      <c r="I282" s="3">
        <v>1</v>
      </c>
      <c r="K282" s="3">
        <v>0</v>
      </c>
    </row>
    <row r="283" spans="1:11">
      <c r="A283" s="5">
        <v>272</v>
      </c>
      <c r="B283" t="s">
        <v>100</v>
      </c>
      <c r="C283" t="s">
        <v>29</v>
      </c>
      <c r="D283" s="3">
        <v>136</v>
      </c>
      <c r="E283" t="s">
        <v>609</v>
      </c>
      <c r="F283" t="s">
        <v>609</v>
      </c>
      <c r="G283" t="s">
        <v>609</v>
      </c>
      <c r="H283" t="s">
        <v>12</v>
      </c>
      <c r="I283" s="3">
        <v>0</v>
      </c>
      <c r="K283" s="3">
        <v>3</v>
      </c>
    </row>
    <row r="284" spans="1:11">
      <c r="A284" s="5">
        <v>273</v>
      </c>
      <c r="B284" t="s">
        <v>359</v>
      </c>
      <c r="C284" t="s">
        <v>113</v>
      </c>
      <c r="D284" s="3">
        <v>137</v>
      </c>
      <c r="E284" t="s">
        <v>609</v>
      </c>
      <c r="F284" t="s">
        <v>609</v>
      </c>
      <c r="G284" t="s">
        <v>609</v>
      </c>
      <c r="H284" t="s">
        <v>12</v>
      </c>
      <c r="I284" s="3">
        <v>0</v>
      </c>
      <c r="K284" s="3">
        <v>4</v>
      </c>
    </row>
    <row r="285" spans="1:11">
      <c r="A285" s="5">
        <v>274</v>
      </c>
      <c r="B285" t="s">
        <v>281</v>
      </c>
      <c r="C285" t="s">
        <v>282</v>
      </c>
      <c r="D285" s="3">
        <v>137</v>
      </c>
      <c r="E285" t="s">
        <v>609</v>
      </c>
      <c r="F285" t="s">
        <v>609</v>
      </c>
      <c r="G285" t="s">
        <v>609</v>
      </c>
      <c r="H285" t="s">
        <v>12</v>
      </c>
      <c r="I285" s="3">
        <v>3</v>
      </c>
      <c r="K285" s="3">
        <v>0</v>
      </c>
    </row>
    <row r="286" spans="1:11">
      <c r="A286" s="5">
        <v>275</v>
      </c>
      <c r="B286" t="s">
        <v>270</v>
      </c>
      <c r="C286" t="s">
        <v>269</v>
      </c>
      <c r="D286" s="3">
        <v>138</v>
      </c>
      <c r="E286" t="s">
        <v>609</v>
      </c>
      <c r="F286" t="s">
        <v>609</v>
      </c>
      <c r="G286" t="s">
        <v>609</v>
      </c>
      <c r="H286" t="s">
        <v>12</v>
      </c>
      <c r="I286" s="3">
        <v>5</v>
      </c>
      <c r="K286" s="3">
        <v>0</v>
      </c>
    </row>
    <row r="287" spans="1:11">
      <c r="A287" s="5">
        <v>276</v>
      </c>
      <c r="B287" t="s">
        <v>80</v>
      </c>
      <c r="C287" t="s">
        <v>445</v>
      </c>
      <c r="D287" s="3">
        <v>138</v>
      </c>
      <c r="E287" t="s">
        <v>609</v>
      </c>
      <c r="F287" t="s">
        <v>609</v>
      </c>
      <c r="G287" t="s">
        <v>609</v>
      </c>
      <c r="H287" t="s">
        <v>12</v>
      </c>
      <c r="I287" s="3">
        <v>0</v>
      </c>
      <c r="K287" s="3">
        <v>4</v>
      </c>
    </row>
    <row r="288" spans="1:11">
      <c r="A288" s="5">
        <v>277</v>
      </c>
      <c r="B288" t="s">
        <v>124</v>
      </c>
      <c r="C288" t="s">
        <v>125</v>
      </c>
      <c r="D288" s="3">
        <v>139</v>
      </c>
      <c r="E288" t="s">
        <v>609</v>
      </c>
      <c r="F288" t="s">
        <v>609</v>
      </c>
      <c r="G288" t="s">
        <v>609</v>
      </c>
      <c r="H288" t="s">
        <v>12</v>
      </c>
      <c r="I288" s="3">
        <v>5</v>
      </c>
      <c r="K288" s="3">
        <v>0</v>
      </c>
    </row>
    <row r="289" spans="1:11">
      <c r="A289" s="5">
        <v>278</v>
      </c>
      <c r="B289" t="s">
        <v>92</v>
      </c>
      <c r="C289" t="s">
        <v>29</v>
      </c>
      <c r="D289" s="3">
        <v>139</v>
      </c>
      <c r="E289" t="s">
        <v>609</v>
      </c>
      <c r="F289" t="s">
        <v>609</v>
      </c>
      <c r="G289" t="s">
        <v>609</v>
      </c>
      <c r="H289" t="s">
        <v>12</v>
      </c>
      <c r="I289" s="3">
        <v>0</v>
      </c>
      <c r="K289" s="3">
        <v>2</v>
      </c>
    </row>
    <row r="290" spans="1:11">
      <c r="A290" s="5">
        <v>279</v>
      </c>
      <c r="B290" t="s">
        <v>107</v>
      </c>
      <c r="C290" t="s">
        <v>105</v>
      </c>
      <c r="D290" s="3">
        <v>140</v>
      </c>
      <c r="E290" t="s">
        <v>609</v>
      </c>
      <c r="F290" t="s">
        <v>609</v>
      </c>
      <c r="G290" t="s">
        <v>609</v>
      </c>
      <c r="H290" t="s">
        <v>12</v>
      </c>
      <c r="I290" s="3">
        <v>2</v>
      </c>
      <c r="K290" s="3">
        <v>0</v>
      </c>
    </row>
    <row r="291" spans="1:11">
      <c r="A291" s="5">
        <v>280</v>
      </c>
      <c r="B291" t="s">
        <v>1058</v>
      </c>
      <c r="C291" t="s">
        <v>266</v>
      </c>
      <c r="D291" s="3">
        <v>140</v>
      </c>
      <c r="E291" t="s">
        <v>609</v>
      </c>
      <c r="F291" t="s">
        <v>609</v>
      </c>
      <c r="G291" t="s">
        <v>609</v>
      </c>
      <c r="H291" t="s">
        <v>12</v>
      </c>
      <c r="I291" s="3">
        <v>0</v>
      </c>
      <c r="K291" s="3">
        <v>4</v>
      </c>
    </row>
    <row r="292" spans="1:11">
      <c r="A292" s="5">
        <v>281</v>
      </c>
      <c r="B292" t="s">
        <v>98</v>
      </c>
      <c r="C292" t="s">
        <v>445</v>
      </c>
      <c r="D292" s="3">
        <v>141</v>
      </c>
      <c r="E292" t="s">
        <v>609</v>
      </c>
      <c r="F292" t="s">
        <v>609</v>
      </c>
      <c r="G292" t="s">
        <v>609</v>
      </c>
      <c r="H292" t="s">
        <v>12</v>
      </c>
      <c r="I292" s="3">
        <v>5</v>
      </c>
      <c r="K292" s="3">
        <v>3</v>
      </c>
    </row>
    <row r="293" spans="1:11">
      <c r="A293" s="5">
        <v>282</v>
      </c>
      <c r="B293" t="s">
        <v>246</v>
      </c>
      <c r="C293" t="s">
        <v>244</v>
      </c>
      <c r="D293" s="3">
        <v>141</v>
      </c>
      <c r="E293" t="s">
        <v>609</v>
      </c>
      <c r="F293" t="s">
        <v>609</v>
      </c>
      <c r="G293" t="s">
        <v>609</v>
      </c>
      <c r="H293" t="s">
        <v>12</v>
      </c>
      <c r="I293" s="3">
        <v>0</v>
      </c>
      <c r="K293" s="3">
        <v>0</v>
      </c>
    </row>
    <row r="294" spans="1:11">
      <c r="A294" s="5">
        <v>283</v>
      </c>
      <c r="B294" t="s">
        <v>53</v>
      </c>
      <c r="C294" t="s">
        <v>54</v>
      </c>
      <c r="D294" s="3">
        <v>142</v>
      </c>
      <c r="E294" t="s">
        <v>609</v>
      </c>
      <c r="F294" t="s">
        <v>609</v>
      </c>
      <c r="G294" t="s">
        <v>609</v>
      </c>
      <c r="H294" t="s">
        <v>12</v>
      </c>
      <c r="I294" s="3">
        <v>3</v>
      </c>
      <c r="K294" s="3">
        <v>2</v>
      </c>
    </row>
    <row r="295" spans="1:11">
      <c r="A295" s="5">
        <v>284</v>
      </c>
      <c r="B295" t="s">
        <v>162</v>
      </c>
      <c r="C295" t="s">
        <v>161</v>
      </c>
      <c r="D295" s="3">
        <v>142</v>
      </c>
      <c r="E295" t="s">
        <v>609</v>
      </c>
      <c r="F295" t="s">
        <v>609</v>
      </c>
      <c r="G295" t="s">
        <v>609</v>
      </c>
      <c r="H295" t="s">
        <v>12</v>
      </c>
      <c r="I295" s="3">
        <v>0</v>
      </c>
      <c r="K295" s="3">
        <v>0</v>
      </c>
    </row>
    <row r="296" spans="1:11">
      <c r="A296" s="5">
        <v>285</v>
      </c>
      <c r="B296" t="s">
        <v>1059</v>
      </c>
      <c r="C296" t="s">
        <v>302</v>
      </c>
      <c r="D296" s="3">
        <v>143</v>
      </c>
      <c r="E296" t="s">
        <v>609</v>
      </c>
      <c r="F296" t="s">
        <v>609</v>
      </c>
      <c r="G296" t="s">
        <v>609</v>
      </c>
      <c r="H296" t="s">
        <v>12</v>
      </c>
      <c r="I296" s="3">
        <v>0</v>
      </c>
      <c r="K296" s="3">
        <v>4</v>
      </c>
    </row>
    <row r="297" spans="1:11">
      <c r="A297" s="5">
        <v>286</v>
      </c>
      <c r="B297" t="s">
        <v>1060</v>
      </c>
      <c r="C297" t="s">
        <v>306</v>
      </c>
      <c r="D297" s="3">
        <v>143</v>
      </c>
      <c r="E297" t="s">
        <v>609</v>
      </c>
      <c r="F297" t="s">
        <v>609</v>
      </c>
      <c r="G297" t="s">
        <v>609</v>
      </c>
      <c r="H297" t="s">
        <v>12</v>
      </c>
      <c r="I297" s="3">
        <v>1</v>
      </c>
      <c r="K297" s="3">
        <v>0</v>
      </c>
    </row>
    <row r="298" spans="1:11">
      <c r="A298" s="5">
        <v>287</v>
      </c>
      <c r="B298" t="s">
        <v>137</v>
      </c>
      <c r="C298" t="s">
        <v>135</v>
      </c>
      <c r="D298" s="3">
        <v>144</v>
      </c>
      <c r="E298" t="s">
        <v>609</v>
      </c>
      <c r="F298" t="s">
        <v>609</v>
      </c>
      <c r="G298" t="s">
        <v>609</v>
      </c>
      <c r="H298" t="s">
        <v>12</v>
      </c>
      <c r="I298" s="3">
        <v>6</v>
      </c>
      <c r="K298" s="3">
        <v>3</v>
      </c>
    </row>
    <row r="299" spans="1:11">
      <c r="A299" s="5">
        <v>288</v>
      </c>
      <c r="B299" t="s">
        <v>225</v>
      </c>
      <c r="C299" t="s">
        <v>182</v>
      </c>
      <c r="D299" s="3">
        <v>144</v>
      </c>
      <c r="E299" t="s">
        <v>609</v>
      </c>
      <c r="F299" t="s">
        <v>609</v>
      </c>
      <c r="G299" t="s">
        <v>609</v>
      </c>
      <c r="H299" t="s">
        <v>12</v>
      </c>
      <c r="I299" s="3">
        <v>0</v>
      </c>
      <c r="K299" s="3">
        <v>0</v>
      </c>
    </row>
    <row r="300" spans="1:11">
      <c r="A300" s="5">
        <v>289</v>
      </c>
      <c r="B300" t="s">
        <v>49</v>
      </c>
      <c r="C300" t="s">
        <v>48</v>
      </c>
      <c r="D300" s="3">
        <v>145</v>
      </c>
      <c r="E300" t="s">
        <v>609</v>
      </c>
      <c r="F300" t="s">
        <v>609</v>
      </c>
      <c r="G300" t="s">
        <v>609</v>
      </c>
      <c r="H300" t="s">
        <v>12</v>
      </c>
      <c r="I300" s="3">
        <v>0</v>
      </c>
      <c r="K300" s="3">
        <v>0</v>
      </c>
    </row>
    <row r="301" spans="1:11">
      <c r="A301" s="5">
        <v>290</v>
      </c>
      <c r="B301" s="170" t="s">
        <v>214</v>
      </c>
      <c r="C301" s="170" t="s">
        <v>180</v>
      </c>
      <c r="D301" s="3">
        <v>145</v>
      </c>
      <c r="E301" t="s">
        <v>609</v>
      </c>
      <c r="F301" t="s">
        <v>609</v>
      </c>
      <c r="G301" t="s">
        <v>609</v>
      </c>
      <c r="H301" t="s">
        <v>12</v>
      </c>
      <c r="I301" s="3">
        <v>5</v>
      </c>
      <c r="K301" s="3">
        <v>2</v>
      </c>
    </row>
    <row r="302" spans="1:11">
      <c r="A302" s="5">
        <v>291</v>
      </c>
      <c r="B302" t="s">
        <v>168</v>
      </c>
      <c r="C302" t="s">
        <v>568</v>
      </c>
      <c r="D302" s="3">
        <v>146</v>
      </c>
      <c r="E302" t="s">
        <v>609</v>
      </c>
      <c r="F302" t="s">
        <v>609</v>
      </c>
      <c r="G302" t="s">
        <v>609</v>
      </c>
      <c r="H302" t="s">
        <v>12</v>
      </c>
      <c r="I302" s="3">
        <v>0</v>
      </c>
      <c r="K302" s="3">
        <v>2</v>
      </c>
    </row>
    <row r="303" spans="1:11">
      <c r="A303" s="5">
        <v>292</v>
      </c>
      <c r="B303" t="s">
        <v>64</v>
      </c>
      <c r="C303" t="s">
        <v>62</v>
      </c>
      <c r="D303" s="3">
        <v>146</v>
      </c>
      <c r="E303" t="s">
        <v>609</v>
      </c>
      <c r="F303" t="s">
        <v>609</v>
      </c>
      <c r="G303" t="s">
        <v>609</v>
      </c>
      <c r="H303" t="s">
        <v>12</v>
      </c>
      <c r="I303" s="3">
        <v>3</v>
      </c>
      <c r="K303" s="3">
        <v>0</v>
      </c>
    </row>
    <row r="304" spans="1:11">
      <c r="A304" s="5">
        <v>293</v>
      </c>
      <c r="B304" t="s">
        <v>204</v>
      </c>
      <c r="C304" t="s">
        <v>179</v>
      </c>
      <c r="D304" s="3">
        <v>147</v>
      </c>
      <c r="E304" t="s">
        <v>609</v>
      </c>
      <c r="F304" t="s">
        <v>609</v>
      </c>
      <c r="G304" t="s">
        <v>609</v>
      </c>
      <c r="H304" t="s">
        <v>12</v>
      </c>
      <c r="I304" s="3">
        <v>0</v>
      </c>
      <c r="K304" s="3">
        <v>0</v>
      </c>
    </row>
    <row r="305" spans="1:11">
      <c r="A305" s="5">
        <v>294</v>
      </c>
      <c r="B305" t="s">
        <v>312</v>
      </c>
      <c r="C305" t="s">
        <v>313</v>
      </c>
      <c r="D305" s="3">
        <v>147</v>
      </c>
      <c r="E305" t="s">
        <v>609</v>
      </c>
      <c r="F305" t="s">
        <v>609</v>
      </c>
      <c r="G305" t="s">
        <v>609</v>
      </c>
      <c r="H305" t="s">
        <v>12</v>
      </c>
      <c r="I305" s="3">
        <v>5</v>
      </c>
      <c r="K305" s="3">
        <v>2</v>
      </c>
    </row>
    <row r="306" spans="1:11">
      <c r="A306" s="5">
        <v>295</v>
      </c>
      <c r="B306" t="s">
        <v>288</v>
      </c>
      <c r="C306" t="s">
        <v>289</v>
      </c>
      <c r="D306" s="3">
        <v>148</v>
      </c>
      <c r="E306" t="s">
        <v>609</v>
      </c>
      <c r="F306" t="s">
        <v>609</v>
      </c>
      <c r="G306" t="s">
        <v>609</v>
      </c>
      <c r="H306" t="s">
        <v>12</v>
      </c>
      <c r="I306" s="3">
        <v>1</v>
      </c>
      <c r="K306" s="3">
        <v>3</v>
      </c>
    </row>
    <row r="307" spans="1:11">
      <c r="A307" s="5">
        <v>296</v>
      </c>
      <c r="B307" t="s">
        <v>183</v>
      </c>
      <c r="C307" t="s">
        <v>184</v>
      </c>
      <c r="D307" s="3">
        <v>148</v>
      </c>
      <c r="E307" t="s">
        <v>609</v>
      </c>
      <c r="F307" t="s">
        <v>609</v>
      </c>
      <c r="G307" t="s">
        <v>609</v>
      </c>
      <c r="H307" t="s">
        <v>12</v>
      </c>
      <c r="I307" s="3">
        <v>0</v>
      </c>
      <c r="K307" s="3">
        <v>0</v>
      </c>
    </row>
    <row r="308" spans="1:11">
      <c r="A308" s="5">
        <v>297</v>
      </c>
      <c r="B308" t="s">
        <v>276</v>
      </c>
      <c r="C308" t="s">
        <v>566</v>
      </c>
      <c r="D308" s="3">
        <v>149</v>
      </c>
      <c r="E308" t="s">
        <v>609</v>
      </c>
      <c r="F308" t="s">
        <v>609</v>
      </c>
      <c r="G308" t="s">
        <v>609</v>
      </c>
      <c r="H308" t="s">
        <v>12</v>
      </c>
      <c r="I308" s="3">
        <v>4</v>
      </c>
      <c r="K308" s="3">
        <v>0</v>
      </c>
    </row>
    <row r="309" spans="1:11">
      <c r="A309" s="5">
        <v>298</v>
      </c>
      <c r="B309" s="169" t="s">
        <v>319</v>
      </c>
      <c r="C309" s="169" t="s">
        <v>320</v>
      </c>
      <c r="D309" s="3">
        <v>149</v>
      </c>
      <c r="E309" t="s">
        <v>609</v>
      </c>
      <c r="F309" t="s">
        <v>609</v>
      </c>
      <c r="G309" t="s">
        <v>609</v>
      </c>
      <c r="H309" t="s">
        <v>12</v>
      </c>
      <c r="I309" s="3">
        <v>0</v>
      </c>
      <c r="K309" s="3">
        <v>4</v>
      </c>
    </row>
    <row r="310" spans="1:11">
      <c r="A310" s="5">
        <v>299</v>
      </c>
      <c r="B310" t="s">
        <v>265</v>
      </c>
      <c r="C310" t="s">
        <v>266</v>
      </c>
      <c r="D310" s="3">
        <v>150</v>
      </c>
      <c r="E310" t="s">
        <v>609</v>
      </c>
      <c r="F310" t="s">
        <v>609</v>
      </c>
      <c r="G310" t="s">
        <v>609</v>
      </c>
      <c r="H310" t="s">
        <v>12</v>
      </c>
      <c r="I310" s="3">
        <v>0</v>
      </c>
      <c r="K310" s="3">
        <v>3</v>
      </c>
    </row>
    <row r="311" spans="1:11">
      <c r="A311" s="5">
        <v>300</v>
      </c>
      <c r="B311" t="s">
        <v>209</v>
      </c>
      <c r="C311" t="s">
        <v>628</v>
      </c>
      <c r="D311" s="3">
        <v>150</v>
      </c>
      <c r="E311" t="s">
        <v>609</v>
      </c>
      <c r="F311" t="s">
        <v>609</v>
      </c>
      <c r="G311" t="s">
        <v>609</v>
      </c>
      <c r="H311" t="s">
        <v>12</v>
      </c>
      <c r="I311" s="3">
        <v>5</v>
      </c>
      <c r="K311" s="3">
        <v>0</v>
      </c>
    </row>
    <row r="312" spans="1:11">
      <c r="A312" s="5">
        <v>301</v>
      </c>
      <c r="B312" t="s">
        <v>36</v>
      </c>
      <c r="C312" t="s">
        <v>16</v>
      </c>
      <c r="D312" s="3">
        <v>151</v>
      </c>
      <c r="E312" t="s">
        <v>609</v>
      </c>
      <c r="F312" t="s">
        <v>609</v>
      </c>
      <c r="G312" t="s">
        <v>609</v>
      </c>
      <c r="H312" t="s">
        <v>12</v>
      </c>
      <c r="I312" s="3">
        <v>5</v>
      </c>
      <c r="K312" s="3">
        <v>0</v>
      </c>
    </row>
    <row r="313" spans="1:11">
      <c r="A313" s="5">
        <v>302</v>
      </c>
      <c r="B313" t="s">
        <v>255</v>
      </c>
      <c r="C313" t="s">
        <v>234</v>
      </c>
      <c r="D313" s="3">
        <v>151</v>
      </c>
      <c r="E313" t="s">
        <v>609</v>
      </c>
      <c r="F313" t="s">
        <v>609</v>
      </c>
      <c r="G313" t="s">
        <v>609</v>
      </c>
      <c r="H313" t="s">
        <v>12</v>
      </c>
      <c r="I313" s="3">
        <v>0</v>
      </c>
      <c r="K313" s="3">
        <v>2</v>
      </c>
    </row>
    <row r="314" spans="1:11">
      <c r="A314" s="5">
        <v>303</v>
      </c>
      <c r="B314" s="169" t="s">
        <v>74</v>
      </c>
      <c r="C314" s="169" t="s">
        <v>23</v>
      </c>
      <c r="D314" s="3">
        <v>152</v>
      </c>
      <c r="E314" t="s">
        <v>609</v>
      </c>
      <c r="F314" t="s">
        <v>609</v>
      </c>
      <c r="G314" t="s">
        <v>609</v>
      </c>
      <c r="H314" t="s">
        <v>12</v>
      </c>
      <c r="I314" s="3">
        <v>0</v>
      </c>
      <c r="K314" s="3">
        <v>0</v>
      </c>
    </row>
    <row r="315" spans="1:11">
      <c r="A315" s="5">
        <v>304</v>
      </c>
      <c r="B315" t="s">
        <v>1061</v>
      </c>
      <c r="C315" t="s">
        <v>546</v>
      </c>
      <c r="D315" s="3">
        <v>152</v>
      </c>
      <c r="E315" t="s">
        <v>609</v>
      </c>
      <c r="F315" t="s">
        <v>609</v>
      </c>
      <c r="G315" t="s">
        <v>609</v>
      </c>
      <c r="H315" t="s">
        <v>12</v>
      </c>
      <c r="I315" s="3">
        <v>4</v>
      </c>
      <c r="K315" s="3">
        <v>2</v>
      </c>
    </row>
    <row r="316" spans="1:11">
      <c r="A316" s="5">
        <v>305</v>
      </c>
      <c r="B316" t="s">
        <v>365</v>
      </c>
      <c r="C316" t="s">
        <v>41</v>
      </c>
      <c r="D316" s="3">
        <v>153</v>
      </c>
      <c r="E316" t="s">
        <v>609</v>
      </c>
      <c r="F316" t="s">
        <v>609</v>
      </c>
      <c r="G316" t="s">
        <v>609</v>
      </c>
      <c r="H316" t="s">
        <v>12</v>
      </c>
      <c r="I316" s="3">
        <v>0</v>
      </c>
      <c r="K316" s="3">
        <v>3</v>
      </c>
    </row>
    <row r="317" spans="1:11">
      <c r="A317" s="5">
        <v>306</v>
      </c>
      <c r="B317" t="s">
        <v>219</v>
      </c>
      <c r="C317" t="s">
        <v>217</v>
      </c>
      <c r="D317" s="3">
        <v>153</v>
      </c>
      <c r="E317" t="s">
        <v>609</v>
      </c>
      <c r="F317" t="s">
        <v>609</v>
      </c>
      <c r="G317" t="s">
        <v>609</v>
      </c>
      <c r="H317" t="s">
        <v>12</v>
      </c>
      <c r="I317" s="3">
        <v>2</v>
      </c>
      <c r="K317" s="3">
        <v>0</v>
      </c>
    </row>
    <row r="318" spans="1:11">
      <c r="A318" s="5">
        <v>307</v>
      </c>
      <c r="B318" t="s">
        <v>57</v>
      </c>
      <c r="C318" t="s">
        <v>54</v>
      </c>
      <c r="D318" s="3">
        <v>154</v>
      </c>
      <c r="E318" t="s">
        <v>609</v>
      </c>
      <c r="F318" t="s">
        <v>609</v>
      </c>
      <c r="G318" t="s">
        <v>609</v>
      </c>
      <c r="H318" t="s">
        <v>12</v>
      </c>
      <c r="I318" s="3">
        <v>0</v>
      </c>
      <c r="K318" s="3">
        <v>0</v>
      </c>
    </row>
    <row r="319" spans="1:11">
      <c r="A319" s="5">
        <v>308</v>
      </c>
      <c r="B319" t="s">
        <v>156</v>
      </c>
      <c r="C319" t="s">
        <v>155</v>
      </c>
      <c r="D319" s="3">
        <v>154</v>
      </c>
      <c r="E319" t="s">
        <v>609</v>
      </c>
      <c r="F319" t="s">
        <v>609</v>
      </c>
      <c r="G319" t="s">
        <v>609</v>
      </c>
      <c r="H319" t="s">
        <v>12</v>
      </c>
      <c r="I319" s="3">
        <v>5</v>
      </c>
      <c r="K319" s="3">
        <v>4</v>
      </c>
    </row>
    <row r="320" spans="1:11">
      <c r="A320" s="5">
        <v>309</v>
      </c>
      <c r="B320" t="s">
        <v>116</v>
      </c>
      <c r="C320" t="s">
        <v>117</v>
      </c>
      <c r="D320" s="3">
        <v>155</v>
      </c>
      <c r="E320" t="s">
        <v>609</v>
      </c>
      <c r="F320" t="s">
        <v>609</v>
      </c>
      <c r="G320" t="s">
        <v>609</v>
      </c>
      <c r="H320" t="s">
        <v>12</v>
      </c>
      <c r="I320" s="3">
        <v>0</v>
      </c>
      <c r="K320" s="3">
        <v>0</v>
      </c>
    </row>
    <row r="321" spans="1:11">
      <c r="A321" s="5">
        <v>310</v>
      </c>
      <c r="B321" s="170" t="s">
        <v>1062</v>
      </c>
      <c r="C321" s="170" t="s">
        <v>180</v>
      </c>
      <c r="D321" s="3">
        <v>155</v>
      </c>
      <c r="E321" t="s">
        <v>609</v>
      </c>
      <c r="F321" t="s">
        <v>609</v>
      </c>
      <c r="G321" t="s">
        <v>609</v>
      </c>
      <c r="H321" t="s">
        <v>12</v>
      </c>
      <c r="I321" s="3">
        <v>2</v>
      </c>
      <c r="K321" s="3">
        <v>4</v>
      </c>
    </row>
    <row r="322" spans="1:11">
      <c r="A322" s="5">
        <v>311</v>
      </c>
      <c r="B322" t="s">
        <v>205</v>
      </c>
      <c r="C322" t="s">
        <v>179</v>
      </c>
      <c r="D322" s="3">
        <v>156</v>
      </c>
      <c r="E322" t="s">
        <v>609</v>
      </c>
      <c r="F322" t="s">
        <v>609</v>
      </c>
      <c r="G322" t="s">
        <v>609</v>
      </c>
      <c r="H322" t="s">
        <v>12</v>
      </c>
      <c r="I322" s="3">
        <v>4</v>
      </c>
      <c r="K322" s="3">
        <v>4</v>
      </c>
    </row>
    <row r="323" spans="1:11">
      <c r="A323" s="5">
        <v>312</v>
      </c>
      <c r="B323" t="s">
        <v>229</v>
      </c>
      <c r="C323" t="s">
        <v>184</v>
      </c>
      <c r="D323" s="3">
        <v>156</v>
      </c>
      <c r="E323" t="s">
        <v>609</v>
      </c>
      <c r="F323" t="s">
        <v>609</v>
      </c>
      <c r="G323" t="s">
        <v>609</v>
      </c>
      <c r="H323" t="s">
        <v>12</v>
      </c>
      <c r="I323" s="3">
        <v>0</v>
      </c>
      <c r="K323" s="3">
        <v>0</v>
      </c>
    </row>
    <row r="324" spans="1:11">
      <c r="A324" s="5">
        <v>313</v>
      </c>
      <c r="B324" t="s">
        <v>15</v>
      </c>
      <c r="C324" t="s">
        <v>16</v>
      </c>
      <c r="D324" s="3">
        <v>157</v>
      </c>
      <c r="E324" t="s">
        <v>609</v>
      </c>
      <c r="F324" t="s">
        <v>609</v>
      </c>
      <c r="G324" t="s">
        <v>609</v>
      </c>
      <c r="H324" t="s">
        <v>12</v>
      </c>
      <c r="I324" s="3">
        <v>2</v>
      </c>
      <c r="K324" s="3">
        <v>3</v>
      </c>
    </row>
    <row r="325" spans="1:11">
      <c r="A325" s="5">
        <v>314</v>
      </c>
      <c r="B325" s="169" t="s">
        <v>322</v>
      </c>
      <c r="C325" s="169" t="s">
        <v>320</v>
      </c>
      <c r="D325" s="3">
        <v>157</v>
      </c>
      <c r="E325" t="s">
        <v>609</v>
      </c>
      <c r="F325" t="s">
        <v>609</v>
      </c>
      <c r="G325" t="s">
        <v>609</v>
      </c>
      <c r="H325" t="s">
        <v>12</v>
      </c>
      <c r="I325" s="3">
        <v>0</v>
      </c>
      <c r="K325" s="3">
        <v>0</v>
      </c>
    </row>
    <row r="326" spans="1:11">
      <c r="A326" s="5">
        <v>315</v>
      </c>
      <c r="B326" t="s">
        <v>1063</v>
      </c>
      <c r="C326" t="s">
        <v>266</v>
      </c>
      <c r="D326" s="3">
        <v>158</v>
      </c>
      <c r="E326" t="s">
        <v>609</v>
      </c>
      <c r="F326" t="s">
        <v>609</v>
      </c>
      <c r="G326" t="s">
        <v>609</v>
      </c>
      <c r="H326" t="s">
        <v>12</v>
      </c>
      <c r="I326" s="3">
        <v>3</v>
      </c>
      <c r="K326" s="3">
        <v>2</v>
      </c>
    </row>
    <row r="327" spans="1:11">
      <c r="A327" s="5">
        <v>316</v>
      </c>
      <c r="B327" t="s">
        <v>65</v>
      </c>
      <c r="C327" t="s">
        <v>62</v>
      </c>
      <c r="D327" s="3">
        <v>158</v>
      </c>
      <c r="E327" t="s">
        <v>609</v>
      </c>
      <c r="F327" t="s">
        <v>609</v>
      </c>
      <c r="G327" t="s">
        <v>609</v>
      </c>
      <c r="H327" t="s">
        <v>12</v>
      </c>
      <c r="I327" s="3">
        <v>0</v>
      </c>
      <c r="K327" s="3">
        <v>0</v>
      </c>
    </row>
    <row r="328" spans="1:11">
      <c r="A328" s="5">
        <v>317</v>
      </c>
      <c r="B328" t="s">
        <v>193</v>
      </c>
      <c r="C328" t="s">
        <v>192</v>
      </c>
      <c r="D328" s="3">
        <v>159</v>
      </c>
      <c r="E328" t="s">
        <v>609</v>
      </c>
      <c r="F328" t="s">
        <v>609</v>
      </c>
      <c r="G328" t="s">
        <v>609</v>
      </c>
      <c r="H328" t="s">
        <v>12</v>
      </c>
      <c r="I328" s="3">
        <v>1</v>
      </c>
      <c r="K328" s="3">
        <v>0</v>
      </c>
    </row>
    <row r="329" spans="1:11">
      <c r="A329" s="5">
        <v>318</v>
      </c>
      <c r="B329" t="s">
        <v>271</v>
      </c>
      <c r="C329" t="s">
        <v>269</v>
      </c>
      <c r="D329" s="3">
        <v>159</v>
      </c>
      <c r="E329" t="s">
        <v>609</v>
      </c>
      <c r="F329" t="s">
        <v>609</v>
      </c>
      <c r="G329" t="s">
        <v>609</v>
      </c>
      <c r="H329" t="s">
        <v>12</v>
      </c>
      <c r="I329" s="3">
        <v>0</v>
      </c>
      <c r="K329" s="3">
        <v>2</v>
      </c>
    </row>
    <row r="330" spans="1:11">
      <c r="A330" s="5">
        <v>319</v>
      </c>
      <c r="B330" t="s">
        <v>224</v>
      </c>
      <c r="C330" t="s">
        <v>182</v>
      </c>
      <c r="D330" s="3">
        <v>160</v>
      </c>
      <c r="E330" t="s">
        <v>609</v>
      </c>
      <c r="F330" t="s">
        <v>609</v>
      </c>
      <c r="G330" t="s">
        <v>609</v>
      </c>
      <c r="H330" t="s">
        <v>12</v>
      </c>
      <c r="I330" s="3">
        <v>1</v>
      </c>
      <c r="K330" s="3">
        <v>2</v>
      </c>
    </row>
    <row r="331" spans="1:11">
      <c r="A331" s="5">
        <v>320</v>
      </c>
      <c r="B331" t="s">
        <v>278</v>
      </c>
      <c r="C331" t="s">
        <v>566</v>
      </c>
      <c r="D331" s="3">
        <v>160</v>
      </c>
      <c r="E331" t="s">
        <v>609</v>
      </c>
      <c r="F331" t="s">
        <v>609</v>
      </c>
      <c r="G331" t="s">
        <v>609</v>
      </c>
      <c r="H331" t="s">
        <v>12</v>
      </c>
      <c r="I331" s="3">
        <v>0</v>
      </c>
      <c r="K331" s="3">
        <v>0</v>
      </c>
    </row>
    <row r="332" spans="1:11">
      <c r="A332" s="5">
        <v>321</v>
      </c>
      <c r="B332" t="s">
        <v>118</v>
      </c>
      <c r="C332" t="s">
        <v>117</v>
      </c>
      <c r="D332" s="3">
        <v>161</v>
      </c>
      <c r="E332" t="s">
        <v>609</v>
      </c>
      <c r="F332" t="s">
        <v>609</v>
      </c>
      <c r="G332" t="s">
        <v>609</v>
      </c>
      <c r="H332" t="s">
        <v>12</v>
      </c>
      <c r="I332" s="3">
        <v>3</v>
      </c>
      <c r="K332" s="3">
        <v>3</v>
      </c>
    </row>
    <row r="333" spans="1:11">
      <c r="A333" s="5">
        <v>322</v>
      </c>
      <c r="B333" t="s">
        <v>237</v>
      </c>
      <c r="C333" t="s">
        <v>238</v>
      </c>
      <c r="D333" s="3">
        <v>161</v>
      </c>
      <c r="E333" t="s">
        <v>609</v>
      </c>
      <c r="F333" t="s">
        <v>609</v>
      </c>
      <c r="G333" t="s">
        <v>609</v>
      </c>
      <c r="H333" t="s">
        <v>12</v>
      </c>
      <c r="I333" s="3">
        <v>0</v>
      </c>
      <c r="K333" s="3">
        <v>0</v>
      </c>
    </row>
    <row r="334" spans="1:11">
      <c r="A334" s="5">
        <v>323</v>
      </c>
      <c r="B334" t="s">
        <v>329</v>
      </c>
      <c r="C334" t="s">
        <v>546</v>
      </c>
      <c r="D334" s="3">
        <v>162</v>
      </c>
      <c r="E334" t="s">
        <v>609</v>
      </c>
      <c r="F334" t="s">
        <v>609</v>
      </c>
      <c r="G334" t="s">
        <v>609</v>
      </c>
      <c r="H334" t="s">
        <v>12</v>
      </c>
      <c r="I334" s="3">
        <v>2</v>
      </c>
      <c r="K334" s="3">
        <v>4</v>
      </c>
    </row>
    <row r="335" spans="1:11">
      <c r="A335" s="5">
        <v>324</v>
      </c>
      <c r="B335" t="s">
        <v>291</v>
      </c>
      <c r="C335" t="s">
        <v>289</v>
      </c>
      <c r="D335" s="3">
        <v>162</v>
      </c>
      <c r="E335" t="s">
        <v>609</v>
      </c>
      <c r="F335" t="s">
        <v>609</v>
      </c>
      <c r="G335" t="s">
        <v>609</v>
      </c>
      <c r="H335" t="s">
        <v>12</v>
      </c>
      <c r="I335" s="3">
        <v>0</v>
      </c>
      <c r="K335" s="3">
        <v>0</v>
      </c>
    </row>
    <row r="336" spans="1:11">
      <c r="A336" s="5">
        <v>325</v>
      </c>
      <c r="B336" t="s">
        <v>187</v>
      </c>
      <c r="C336" t="s">
        <v>186</v>
      </c>
      <c r="D336" s="3">
        <v>163</v>
      </c>
      <c r="E336" t="s">
        <v>609</v>
      </c>
      <c r="F336" t="s">
        <v>609</v>
      </c>
      <c r="G336" t="s">
        <v>609</v>
      </c>
      <c r="H336" t="s">
        <v>12</v>
      </c>
      <c r="I336" s="3">
        <v>4</v>
      </c>
      <c r="K336" s="3">
        <v>2</v>
      </c>
    </row>
    <row r="337" spans="1:11">
      <c r="A337" s="5">
        <v>326</v>
      </c>
      <c r="B337" t="s">
        <v>174</v>
      </c>
      <c r="C337" t="s">
        <v>113</v>
      </c>
      <c r="D337" s="3">
        <v>163</v>
      </c>
      <c r="E337" t="s">
        <v>609</v>
      </c>
      <c r="F337" t="s">
        <v>609</v>
      </c>
      <c r="G337" t="s">
        <v>609</v>
      </c>
      <c r="H337" t="s">
        <v>12</v>
      </c>
      <c r="I337" s="3">
        <v>0</v>
      </c>
      <c r="K337" s="3">
        <v>0</v>
      </c>
    </row>
    <row r="338" spans="1:11">
      <c r="A338" s="5">
        <v>327</v>
      </c>
      <c r="B338" t="s">
        <v>101</v>
      </c>
      <c r="C338" t="s">
        <v>29</v>
      </c>
      <c r="D338" s="3">
        <v>164</v>
      </c>
      <c r="E338" t="s">
        <v>609</v>
      </c>
      <c r="F338" t="s">
        <v>609</v>
      </c>
      <c r="G338" t="s">
        <v>609</v>
      </c>
      <c r="H338" t="s">
        <v>12</v>
      </c>
      <c r="I338" s="3">
        <v>2</v>
      </c>
      <c r="K338" s="3">
        <v>4</v>
      </c>
    </row>
    <row r="339" spans="1:11">
      <c r="A339" s="5">
        <v>328</v>
      </c>
      <c r="B339" t="s">
        <v>163</v>
      </c>
      <c r="C339" t="s">
        <v>161</v>
      </c>
      <c r="D339" s="3">
        <v>164</v>
      </c>
      <c r="E339" t="s">
        <v>609</v>
      </c>
      <c r="F339" t="s">
        <v>609</v>
      </c>
      <c r="G339" t="s">
        <v>609</v>
      </c>
      <c r="H339" t="s">
        <v>12</v>
      </c>
      <c r="I339" s="3">
        <v>0</v>
      </c>
      <c r="K339" s="3">
        <v>0</v>
      </c>
    </row>
    <row r="340" spans="1:11">
      <c r="A340" s="5">
        <v>329</v>
      </c>
      <c r="B340" t="s">
        <v>333</v>
      </c>
      <c r="C340" t="s">
        <v>302</v>
      </c>
      <c r="D340" s="3">
        <v>165</v>
      </c>
      <c r="E340" t="s">
        <v>609</v>
      </c>
      <c r="F340" t="s">
        <v>609</v>
      </c>
      <c r="G340" t="s">
        <v>609</v>
      </c>
      <c r="H340" t="s">
        <v>12</v>
      </c>
      <c r="I340" s="3">
        <v>0</v>
      </c>
      <c r="K340" s="3">
        <v>0</v>
      </c>
    </row>
    <row r="341" spans="1:11">
      <c r="A341" s="5">
        <v>330</v>
      </c>
      <c r="B341" t="s">
        <v>26</v>
      </c>
      <c r="C341" t="s">
        <v>27</v>
      </c>
      <c r="D341" s="3">
        <v>165</v>
      </c>
      <c r="E341" t="s">
        <v>609</v>
      </c>
      <c r="F341" t="s">
        <v>609</v>
      </c>
      <c r="G341" t="s">
        <v>609</v>
      </c>
      <c r="H341" t="s">
        <v>12</v>
      </c>
      <c r="I341" s="3">
        <v>5</v>
      </c>
      <c r="K341" s="3">
        <v>2</v>
      </c>
    </row>
    <row r="342" spans="1:11">
      <c r="A342" s="5">
        <v>331</v>
      </c>
      <c r="B342" t="s">
        <v>357</v>
      </c>
      <c r="C342" t="s">
        <v>568</v>
      </c>
      <c r="D342" s="3">
        <v>166</v>
      </c>
      <c r="E342" t="s">
        <v>609</v>
      </c>
      <c r="F342" t="s">
        <v>609</v>
      </c>
      <c r="G342" t="s">
        <v>609</v>
      </c>
      <c r="H342" t="s">
        <v>12</v>
      </c>
      <c r="I342" s="3">
        <v>5</v>
      </c>
      <c r="K342" s="3">
        <v>0</v>
      </c>
    </row>
    <row r="343" spans="1:11">
      <c r="A343" s="5">
        <v>332</v>
      </c>
      <c r="B343" t="s">
        <v>108</v>
      </c>
      <c r="C343" t="s">
        <v>105</v>
      </c>
      <c r="D343" s="3">
        <v>166</v>
      </c>
      <c r="E343" t="s">
        <v>609</v>
      </c>
      <c r="F343" t="s">
        <v>609</v>
      </c>
      <c r="G343" t="s">
        <v>609</v>
      </c>
      <c r="H343" t="s">
        <v>12</v>
      </c>
      <c r="I343" s="3">
        <v>0</v>
      </c>
      <c r="K343" s="3">
        <v>2</v>
      </c>
    </row>
    <row r="344" spans="1:11">
      <c r="A344" s="5">
        <v>333</v>
      </c>
      <c r="B344" t="s">
        <v>355</v>
      </c>
      <c r="C344" t="s">
        <v>186</v>
      </c>
      <c r="D344" s="3">
        <v>167</v>
      </c>
      <c r="E344" t="s">
        <v>609</v>
      </c>
      <c r="F344" t="s">
        <v>609</v>
      </c>
      <c r="G344" t="s">
        <v>609</v>
      </c>
      <c r="H344" t="s">
        <v>12</v>
      </c>
      <c r="I344" s="3">
        <v>2</v>
      </c>
      <c r="K344" s="3">
        <v>0</v>
      </c>
    </row>
    <row r="345" spans="1:11">
      <c r="A345" s="5">
        <v>334</v>
      </c>
      <c r="B345" t="s">
        <v>154</v>
      </c>
      <c r="C345" t="s">
        <v>155</v>
      </c>
      <c r="D345" s="3">
        <v>167</v>
      </c>
      <c r="E345" t="s">
        <v>609</v>
      </c>
      <c r="F345" t="s">
        <v>609</v>
      </c>
      <c r="G345" t="s">
        <v>609</v>
      </c>
      <c r="H345" t="s">
        <v>12</v>
      </c>
      <c r="I345" s="3">
        <v>0</v>
      </c>
      <c r="K345" s="3">
        <v>3</v>
      </c>
    </row>
    <row r="346" spans="1:11">
      <c r="A346" s="5">
        <v>335</v>
      </c>
      <c r="B346" t="s">
        <v>328</v>
      </c>
      <c r="C346" t="s">
        <v>130</v>
      </c>
      <c r="D346" s="3">
        <v>168</v>
      </c>
      <c r="E346" t="s">
        <v>609</v>
      </c>
      <c r="F346" t="s">
        <v>609</v>
      </c>
      <c r="G346" t="s">
        <v>609</v>
      </c>
      <c r="H346" t="s">
        <v>12</v>
      </c>
      <c r="I346" s="3">
        <v>5</v>
      </c>
      <c r="K346" s="3">
        <v>2</v>
      </c>
    </row>
    <row r="347" spans="1:11">
      <c r="A347" s="5">
        <v>336</v>
      </c>
      <c r="B347" s="168" t="s">
        <v>1064</v>
      </c>
      <c r="C347" s="168" t="s">
        <v>564</v>
      </c>
      <c r="D347" s="3">
        <v>168</v>
      </c>
      <c r="E347" t="s">
        <v>609</v>
      </c>
      <c r="F347" t="s">
        <v>609</v>
      </c>
      <c r="G347" t="s">
        <v>609</v>
      </c>
      <c r="H347" t="s">
        <v>12</v>
      </c>
      <c r="I347" s="3">
        <v>0</v>
      </c>
      <c r="K347" s="3">
        <v>0</v>
      </c>
    </row>
    <row r="348" spans="1:11">
      <c r="A348" s="5">
        <v>337</v>
      </c>
      <c r="B348" t="s">
        <v>199</v>
      </c>
      <c r="C348" t="s">
        <v>197</v>
      </c>
      <c r="D348" s="3">
        <v>169</v>
      </c>
      <c r="E348" t="s">
        <v>609</v>
      </c>
      <c r="F348" t="s">
        <v>609</v>
      </c>
      <c r="G348" t="s">
        <v>609</v>
      </c>
      <c r="H348" t="s">
        <v>12</v>
      </c>
      <c r="I348" s="3">
        <v>0</v>
      </c>
      <c r="K348" s="3">
        <v>2</v>
      </c>
    </row>
    <row r="349" spans="1:11">
      <c r="A349" s="5">
        <v>338</v>
      </c>
      <c r="B349" t="s">
        <v>284</v>
      </c>
      <c r="C349" t="s">
        <v>282</v>
      </c>
      <c r="D349" s="3">
        <v>169</v>
      </c>
      <c r="E349" t="s">
        <v>609</v>
      </c>
      <c r="F349" t="s">
        <v>609</v>
      </c>
      <c r="G349" t="s">
        <v>609</v>
      </c>
      <c r="H349" t="s">
        <v>12</v>
      </c>
      <c r="I349" s="3">
        <v>4</v>
      </c>
      <c r="K349" s="3">
        <v>0</v>
      </c>
    </row>
    <row r="350" spans="1:11">
      <c r="A350" s="5"/>
    </row>
    <row r="351" spans="1:11">
      <c r="D351" s="10" t="s">
        <v>410</v>
      </c>
      <c r="I351" s="10" t="s">
        <v>410</v>
      </c>
      <c r="K351" s="10" t="s">
        <v>410</v>
      </c>
    </row>
    <row r="352" spans="1:11">
      <c r="A352" s="1" t="s">
        <v>414</v>
      </c>
      <c r="D352" s="3" t="e">
        <f>SUM(D19,D43,D58,D98,D107,D115,D305,#REF!,#REF!,#REF!,#REF!)</f>
        <v>#REF!</v>
      </c>
      <c r="F352" t="s">
        <v>412</v>
      </c>
      <c r="G352" s="6" t="s">
        <v>143</v>
      </c>
      <c r="H352" s="7" t="s">
        <v>186</v>
      </c>
      <c r="I352" s="3">
        <f>SUM(I24,I90,I102,I132,I278,I336,I344)</f>
        <v>16</v>
      </c>
      <c r="K352" s="3">
        <f>SUM(K24,K90,K102,K132,K278,K336,K344)</f>
        <v>11</v>
      </c>
    </row>
    <row r="353" spans="4:11">
      <c r="D353" s="3" t="e">
        <f>SUM(D21,D116,D199,D230,D239,D255,D307,#REF!,#REF!,#REF!,#REF!)</f>
        <v>#REF!</v>
      </c>
      <c r="G353" s="6" t="s">
        <v>143</v>
      </c>
      <c r="H353" s="7" t="s">
        <v>306</v>
      </c>
      <c r="I353" s="3">
        <f>SUM(I25,I76,I117,I157,I207,I232,I297)</f>
        <v>18</v>
      </c>
      <c r="K353" s="3">
        <f>SUM(K25,K76,K117,K157,K207,K232,K297)</f>
        <v>0</v>
      </c>
    </row>
    <row r="354" spans="4:11">
      <c r="D354" s="3" t="e">
        <f>SUM(D25,D118,D203,D261,D266,D288,D311,#REF!,#REF!,#REF!,#REF!)</f>
        <v>#REF!</v>
      </c>
      <c r="G354" s="6" t="s">
        <v>143</v>
      </c>
      <c r="H354" s="7" t="s">
        <v>142</v>
      </c>
      <c r="I354" s="3">
        <f>SUM(I45,I111,I118,I145,I215,I226,I281)</f>
        <v>14</v>
      </c>
      <c r="K354" s="3">
        <f>SUM(K45,K111,K118,K145,K215,K226,K281)</f>
        <v>21</v>
      </c>
    </row>
    <row r="355" spans="4:11">
      <c r="D355" s="3" t="e">
        <f>SUM(D29,D37,D44,D84,D93,D109,D306,D315,D339,D347,#REF!)</f>
        <v>#REF!</v>
      </c>
      <c r="G355" t="s">
        <v>680</v>
      </c>
      <c r="H355" s="2" t="s">
        <v>546</v>
      </c>
      <c r="I355" s="3">
        <f>SUM(I23,I97,I134,I161,I225,I315,I334)</f>
        <v>9</v>
      </c>
      <c r="K355" s="3">
        <f>SUM(K23,K97,K134,K161,K225,K315,K334)</f>
        <v>12</v>
      </c>
    </row>
    <row r="356" spans="4:11">
      <c r="D356" s="3" t="e">
        <f>SUM(D14,D39,D70,D86,D103,D110,D300,D332,D348,#REF!,#REF!)</f>
        <v>#REF!</v>
      </c>
      <c r="G356" t="s">
        <v>680</v>
      </c>
      <c r="H356" s="2" t="s">
        <v>22</v>
      </c>
      <c r="I356" s="3">
        <f>SUM(I14,I31,I68,I88,I206,I252,I266)</f>
        <v>20</v>
      </c>
      <c r="K356" s="3">
        <f>SUM(K14,K31,K68,K88,K206,K252,K266)</f>
        <v>16</v>
      </c>
    </row>
    <row r="357" spans="4:11">
      <c r="D357" s="3" t="e">
        <f>SUM(D16,D112,D197,D289,D290,D294,D303,#REF!,#REF!,#REF!,#REF!)</f>
        <v>#REF!</v>
      </c>
      <c r="G357" t="s">
        <v>680</v>
      </c>
      <c r="H357" s="2" t="s">
        <v>161</v>
      </c>
      <c r="I357" s="3">
        <f>SUM(I53,I95,I141,I177,I275,I295,I339)</f>
        <v>11</v>
      </c>
      <c r="K357" s="3">
        <f>SUM(K53,K95,K141,K177,K275,K295,K339)</f>
        <v>6</v>
      </c>
    </row>
    <row r="358" spans="4:11">
      <c r="D358" s="3" t="e">
        <f>SUM(D15,D22,D30,D46,D62,D94,D308,D341,#REF!,#REF!,#REF!)</f>
        <v>#REF!</v>
      </c>
      <c r="G358" s="6" t="s">
        <v>682</v>
      </c>
      <c r="H358" s="7" t="s">
        <v>48</v>
      </c>
      <c r="I358" s="3">
        <f>SUM(I22,I137,I164,I166,I210,I241,I300)</f>
        <v>8</v>
      </c>
      <c r="K358" s="3">
        <f>SUM(K22,K137,K164,K166,K210,K241,K300)</f>
        <v>15</v>
      </c>
    </row>
    <row r="359" spans="4:11">
      <c r="D359" s="3" t="e">
        <f>SUM(D26,D91,D121,D114,D164,D172,D312,D344,#REF!,#REF!,#REF!)</f>
        <v>#REF!</v>
      </c>
      <c r="G359" s="6" t="s">
        <v>682</v>
      </c>
      <c r="H359" s="7" t="s">
        <v>179</v>
      </c>
      <c r="I359" s="3">
        <f>SUM(I26,I48,I112,I144,I209,I304,I322)</f>
        <v>11</v>
      </c>
      <c r="K359" s="3">
        <f>SUM(K26,K48,K112,K144,K209,K304,K322)</f>
        <v>12</v>
      </c>
    </row>
    <row r="360" spans="4:11">
      <c r="D360" s="3" t="e">
        <f>SUM(D45,D137,D189,D198,D209,D214,D331,#REF!,#REF!,#REF!,#REF!)</f>
        <v>#REF!</v>
      </c>
      <c r="G360" s="6" t="s">
        <v>682</v>
      </c>
      <c r="H360" s="7" t="s">
        <v>563</v>
      </c>
      <c r="I360" s="3">
        <f>SUM(I30,I66,I86,I100,I212,I264,I282)</f>
        <v>15</v>
      </c>
      <c r="K360" s="3">
        <f>SUM(K30,K66,K86,K100,K212,K264,K282)</f>
        <v>14</v>
      </c>
    </row>
    <row r="361" spans="4:11">
      <c r="D361" s="3" t="e">
        <f>SUM(D102,D190,D251,D256,D257,D296,D319,#REF!,#REF!,#REF!,#REF!)</f>
        <v>#REF!</v>
      </c>
      <c r="G361" t="s">
        <v>42</v>
      </c>
      <c r="H361" s="2" t="s">
        <v>41</v>
      </c>
      <c r="I361" s="3">
        <f>SUM(I36,I94,I142,I180,I218,I236,I316)</f>
        <v>9</v>
      </c>
      <c r="K361" s="3">
        <f>SUM(K36,K94,K142,K180,K218,K236,K316)</f>
        <v>10</v>
      </c>
    </row>
    <row r="362" spans="4:11">
      <c r="D362" s="3" t="e">
        <f>SUM(D32,D41,D119,D125,D155,D184,#REF!,#REF!,#REF!,#REF!,#REF!)</f>
        <v>#REF!</v>
      </c>
      <c r="G362" t="s">
        <v>42</v>
      </c>
      <c r="H362" s="2" t="s">
        <v>113</v>
      </c>
      <c r="I362" s="3">
        <f>SUM(I42,I63,I83,I170,I258,I284,I337)</f>
        <v>12</v>
      </c>
      <c r="K362" s="3">
        <f>SUM(K42,K63,K83,K170,K258,K284,K337)</f>
        <v>6</v>
      </c>
    </row>
    <row r="363" spans="4:11">
      <c r="D363" s="3" t="e">
        <f>SUM(D42,D135,D207,D265,D270,D274,D329,#REF!,#REF!,#REF!,#REF!)</f>
        <v>#REF!</v>
      </c>
      <c r="G363" t="s">
        <v>42</v>
      </c>
      <c r="H363" s="2" t="s">
        <v>238</v>
      </c>
      <c r="I363" s="3">
        <f>SUM(I41,I55,I93,I179,I235,I271,I333)</f>
        <v>8</v>
      </c>
      <c r="K363" s="3">
        <f>SUM(K41,K55,K93,K179,K235,K271,K333)</f>
        <v>18</v>
      </c>
    </row>
    <row r="364" spans="4:11">
      <c r="D364" s="3" t="e">
        <f>SUM(D79,D111,D122,D131,D152,D182,D309,D318,D324,#REF!,#REF!)</f>
        <v>#REF!</v>
      </c>
      <c r="G364" s="6" t="s">
        <v>24</v>
      </c>
      <c r="H364" s="7" t="s">
        <v>399</v>
      </c>
      <c r="I364" s="3">
        <f>SUM(I49,I110,I138,I205,I249,I272,I314)</f>
        <v>12</v>
      </c>
      <c r="K364" s="3">
        <f>SUM(K49,K110,K138,K205,K249,K272,K314)</f>
        <v>2</v>
      </c>
    </row>
    <row r="365" spans="4:11">
      <c r="D365" s="3" t="e">
        <f>SUM(D59,D126,D148,D157,D220,D229,D336,D345,#REF!,#REF!,#REF!)</f>
        <v>#REF!</v>
      </c>
      <c r="G365" s="6" t="s">
        <v>24</v>
      </c>
      <c r="H365" s="7" t="s">
        <v>180</v>
      </c>
      <c r="I365" s="3">
        <f>SUM(I46,I78,I124,I196,I219,I301,I321)</f>
        <v>17</v>
      </c>
      <c r="K365" s="3">
        <f>SUM(K46,K78,K124,K196,K219,K301,K321)</f>
        <v>10</v>
      </c>
    </row>
    <row r="366" spans="4:11">
      <c r="D366" s="3" t="e">
        <f>SUM(D40,D105,D132,D204,D263,D291,D326,#REF!,#REF!,#REF!,#REF!)</f>
        <v>#REF!</v>
      </c>
      <c r="G366" s="6" t="s">
        <v>24</v>
      </c>
      <c r="H366" s="7" t="s">
        <v>564</v>
      </c>
      <c r="I366" s="3">
        <f>SUM(I47,I143,I163,I185,I229,I263,I347)</f>
        <v>11</v>
      </c>
      <c r="K366" s="3">
        <f>SUM(K47,K143,K163,K185,K229,K263,K347)</f>
        <v>19</v>
      </c>
    </row>
    <row r="367" spans="4:11">
      <c r="D367" s="3" t="e">
        <f>SUM(D47,D130,D138,D210,D240,D250,D316,D333,#REF!,#REF!,#REF!)</f>
        <v>#REF!</v>
      </c>
      <c r="G367" t="s">
        <v>17</v>
      </c>
      <c r="H367" s="2" t="s">
        <v>16</v>
      </c>
      <c r="I367" s="3">
        <f>SUM(I38,I62,I114,I175,I250,I312,I324)</f>
        <v>15</v>
      </c>
      <c r="K367" s="3">
        <f>SUM(K38,K62,K114,K175,K250,K312,K324)</f>
        <v>12</v>
      </c>
    </row>
    <row r="368" spans="4:11">
      <c r="D368" s="3" t="e">
        <f>SUM(D56,D147,D205,D218,D247,D260,D343,#REF!,#REF!,#REF!,#REF!)</f>
        <v>#REF!</v>
      </c>
      <c r="G368" t="s">
        <v>17</v>
      </c>
      <c r="H368" s="2" t="s">
        <v>135</v>
      </c>
      <c r="I368" s="3">
        <f>SUM(I27,I44,I75,I104,I246,I273,I298)</f>
        <v>16</v>
      </c>
      <c r="K368" s="3">
        <f>SUM(K27,K44,K75,K104,K246,K273,K298)</f>
        <v>14</v>
      </c>
    </row>
    <row r="369" spans="4:11">
      <c r="D369" s="3" t="e">
        <f>SUM(D67,D120,D156,D224,D252,D264,#REF!,#REF!,#REF!,#REF!,#REF!)</f>
        <v>#REF!</v>
      </c>
      <c r="G369" t="s">
        <v>17</v>
      </c>
      <c r="H369" s="2" t="s">
        <v>217</v>
      </c>
      <c r="I369" s="3">
        <f>SUM(I16,I79,I99,I162,I243,I280,I317)</f>
        <v>7</v>
      </c>
      <c r="K369" s="3">
        <f>SUM(K16,K79,K99,K162,K243,K280,K317)</f>
        <v>6</v>
      </c>
    </row>
    <row r="370" spans="4:11">
      <c r="D370" s="3" t="e">
        <f>SUM(D65,D154,D170,D196,D213,D219,#REF!,#REF!,#REF!,#REF!,#REF!)</f>
        <v>#REF!</v>
      </c>
      <c r="G370" s="6" t="s">
        <v>63</v>
      </c>
      <c r="H370" s="7" t="s">
        <v>130</v>
      </c>
      <c r="I370" s="3">
        <f>SUM(I58,I98,I184,I197,I237,I270,I346)</f>
        <v>10</v>
      </c>
      <c r="K370" s="3">
        <f>SUM(K58,K98,K184,K197,K237,K270,K346)</f>
        <v>20</v>
      </c>
    </row>
    <row r="371" spans="4:11">
      <c r="D371" s="3" t="e">
        <f>SUM(D38,D54,D139,D145,D169,D217,D325,D340,#REF!,#REF!,#REF!)</f>
        <v>#REF!</v>
      </c>
      <c r="G371" s="6" t="s">
        <v>63</v>
      </c>
      <c r="H371" s="7" t="s">
        <v>62</v>
      </c>
      <c r="I371" s="3">
        <f>SUM(I72,I146,I160,I195,I239,I303,I327)</f>
        <v>12</v>
      </c>
      <c r="K371" s="3">
        <f>SUM(K72,K146,K160,K195,K239,K303,K327)</f>
        <v>14</v>
      </c>
    </row>
    <row r="372" spans="4:11">
      <c r="D372" s="3" t="e">
        <f>SUM(D74,D165,D228,D248,D271,D299,#REF!,#REF!,#REF!,#REF!,#REF!)</f>
        <v>#REF!</v>
      </c>
      <c r="G372" s="6" t="s">
        <v>63</v>
      </c>
      <c r="H372" s="7" t="s">
        <v>244</v>
      </c>
      <c r="I372" s="3">
        <f>SUM(I67,I123,I159,I189,I231,I253,I293)</f>
        <v>8</v>
      </c>
      <c r="K372" s="3">
        <f>SUM(K67,K123,K159,K189,K231,K253,K293)</f>
        <v>3</v>
      </c>
    </row>
    <row r="373" spans="4:11">
      <c r="D373" s="3" t="e">
        <f>SUM(D27,D35,D127,D134,D187,D192,D304,#REF!,#REF!,#REF!,#REF!)</f>
        <v>#REF!</v>
      </c>
      <c r="G373" t="s">
        <v>475</v>
      </c>
      <c r="H373" s="2" t="s">
        <v>197</v>
      </c>
      <c r="I373" s="3">
        <f>SUM(I50,I96,I151,I176,I222,I238,I348)</f>
        <v>7</v>
      </c>
      <c r="K373" s="3">
        <f>SUM(K50,K96,K151,K176,K222,K238,K348)</f>
        <v>17</v>
      </c>
    </row>
    <row r="374" spans="4:11">
      <c r="D374" s="3" t="e">
        <f>SUM(D73,D113,D124,D141,D146,D162,D320,#REF!,#REF!,#REF!,#REF!)</f>
        <v>#REF!</v>
      </c>
      <c r="G374" t="s">
        <v>475</v>
      </c>
      <c r="H374" s="2" t="s">
        <v>117</v>
      </c>
      <c r="I374" s="3">
        <f>SUM(I32,I109,I167,I198,I251,I320,I332)</f>
        <v>11</v>
      </c>
      <c r="K374" s="3">
        <f>SUM(K32,K109,K167,K198,K251,K320,K332)</f>
        <v>5</v>
      </c>
    </row>
    <row r="375" spans="4:11">
      <c r="D375" s="3" t="e">
        <f>SUM(D60,D151,D167,D175,D195,D208,D346,#REF!,#REF!,#REF!,#REF!)</f>
        <v>#REF!</v>
      </c>
      <c r="G375" t="s">
        <v>475</v>
      </c>
      <c r="H375" s="2" t="s">
        <v>302</v>
      </c>
      <c r="I375" s="3">
        <f>SUM(I60,I107,I121,I133,I248,I296,I340)</f>
        <v>15</v>
      </c>
      <c r="K375" s="3">
        <f>SUM(K60,K107,K121,K133,K248,K296,K340)</f>
        <v>11</v>
      </c>
    </row>
    <row r="376" spans="4:11">
      <c r="D376" s="3" t="e">
        <f>SUM(D69,D76,D129,D136,D158,D201,D314,#REF!,#REF!,#REF!,#REF!)</f>
        <v>#REF!</v>
      </c>
      <c r="G376" s="6" t="s">
        <v>461</v>
      </c>
      <c r="H376" s="7" t="s">
        <v>269</v>
      </c>
      <c r="I376" s="3">
        <f>SUM(I74,I113,I172,I204,I214,I286,I329)</f>
        <v>9</v>
      </c>
      <c r="K376" s="3">
        <f>SUM(K74,K113,K172,K204,K214,K286,K329)</f>
        <v>16</v>
      </c>
    </row>
    <row r="377" spans="4:11">
      <c r="D377" s="3" t="e">
        <f>SUM(D80,D133,D163,D171,D202,D235,#REF!,#REF!,#REF!,#REF!,#REF!)</f>
        <v>#REF!</v>
      </c>
      <c r="G377" s="6" t="s">
        <v>461</v>
      </c>
      <c r="H377" s="7" t="s">
        <v>125</v>
      </c>
      <c r="I377" s="3">
        <f>SUM(I103,I120,I126,I156,I242,I257,I288)</f>
        <v>18</v>
      </c>
      <c r="K377" s="3">
        <f>SUM(K103,K120,K126,K156,K242,K257,K288)</f>
        <v>20</v>
      </c>
    </row>
    <row r="378" spans="4:11">
      <c r="D378" s="3" t="e">
        <f>SUM(D71,D161,D211,D222,D227,D232,#REF!,#REF!,#REF!,#REF!,#REF!)</f>
        <v>#REF!</v>
      </c>
      <c r="G378" s="6" t="s">
        <v>461</v>
      </c>
      <c r="H378" s="7" t="s">
        <v>445</v>
      </c>
      <c r="I378" s="3">
        <f>SUM(I71,I154,I178,I191,I269,I287,I292)</f>
        <v>18</v>
      </c>
      <c r="K378" s="3">
        <f>SUM(K71,K154,K178,K191,K269,K287,K292)</f>
        <v>15</v>
      </c>
    </row>
    <row r="379" spans="4:11">
      <c r="D379" s="3" t="e">
        <f>SUM(D63,D144,D153,D223,D279,D293,D349,#REF!,#REF!,#REF!,#REF!)</f>
        <v>#REF!</v>
      </c>
      <c r="G379" t="s">
        <v>571</v>
      </c>
      <c r="H379" s="2" t="s">
        <v>27</v>
      </c>
      <c r="I379" s="3">
        <f>SUM(I15,I130,I158,I168,I213,I267,I341)</f>
        <v>20</v>
      </c>
      <c r="K379" s="3">
        <f>SUM(K15,K130,K158,K168,K213,K267,K341)</f>
        <v>10</v>
      </c>
    </row>
    <row r="380" spans="4:11">
      <c r="D380" s="3" t="e">
        <f>SUM(D49,D140,D212,D262,D267,D281,D334,#REF!,#REF!,#REF!,#REF!)</f>
        <v>#REF!</v>
      </c>
      <c r="G380" t="s">
        <v>571</v>
      </c>
      <c r="H380" s="2" t="s">
        <v>103</v>
      </c>
      <c r="I380" s="3">
        <f>SUM(I37,I140,I186,I199,I211,I245,I255)</f>
        <v>13</v>
      </c>
      <c r="K380" s="3">
        <f>SUM(K37,K140,K186,K199,K211,K245,K255)</f>
        <v>4</v>
      </c>
    </row>
    <row r="381" spans="4:11">
      <c r="D381" s="3" t="e">
        <f>SUM(D83,D173,D221,D237,D275,D284,#REF!,#REF!,#REF!,#REF!,#REF!,#REF!)</f>
        <v>#REF!</v>
      </c>
      <c r="G381" t="s">
        <v>571</v>
      </c>
      <c r="H381" s="2" t="s">
        <v>184</v>
      </c>
      <c r="I381" s="3">
        <f>SUM(I105,I119,I139,I173,I261,I307,I323)</f>
        <v>3</v>
      </c>
      <c r="K381" s="3">
        <f>SUM(K105,K119,K139,K173,K261,K307,K323)</f>
        <v>6</v>
      </c>
    </row>
    <row r="382" spans="4:11">
      <c r="D382" s="3" t="e">
        <f>SUM(D50,D90,D149,D179,D206,D243,#REF!,#REF!,#REF!,#REF!,#REF!)</f>
        <v>#REF!</v>
      </c>
      <c r="G382" s="6" t="s">
        <v>570</v>
      </c>
      <c r="H382" s="7" t="s">
        <v>565</v>
      </c>
      <c r="I382" s="3">
        <f>SUM(I43,I84,I115,I149,I220,I274,I311)</f>
        <v>17</v>
      </c>
      <c r="K382" s="3">
        <f>SUM(K43,K84,K115,K149,K220,K274,K311)</f>
        <v>9</v>
      </c>
    </row>
    <row r="383" spans="4:11">
      <c r="D383" s="3" t="e">
        <f>SUM(D28,D77,D166,D231,#REF!,D268,#REF!,#REF!,#REF!,#REF!,#REF!)</f>
        <v>#REF!</v>
      </c>
      <c r="G383" s="6" t="s">
        <v>570</v>
      </c>
      <c r="H383" s="7" t="s">
        <v>566</v>
      </c>
      <c r="I383" s="3">
        <f>SUM(I69,I87,I169,I188,I260,I308,I331)</f>
        <v>6</v>
      </c>
      <c r="K383" s="3">
        <f>SUM(K69,K87,K169,K188,K260,K308,K331)</f>
        <v>14</v>
      </c>
    </row>
    <row r="384" spans="4:11">
      <c r="D384" s="3" t="e">
        <f>SUM(D23,D78,D168,D233,D273,D292,#REF!,#REF!,#REF!,#REF!,#REF!)</f>
        <v>#REF!</v>
      </c>
      <c r="G384" s="6" t="s">
        <v>570</v>
      </c>
      <c r="H384" s="7" t="s">
        <v>567</v>
      </c>
      <c r="I384" s="3">
        <f>SUM(I61,I77,I127,I183,I227,I247,I279)</f>
        <v>19</v>
      </c>
      <c r="K384" s="3">
        <f>SUM(K61,K77,K127,K183,K227,K247,K279)</f>
        <v>7</v>
      </c>
    </row>
    <row r="385" spans="4:11">
      <c r="D385" s="3" t="e">
        <f>SUM(D17,D33,D48,D57,D81,D88,D310,D321,D327,#REF!,#REF!)</f>
        <v>#REF!</v>
      </c>
      <c r="G385" t="s">
        <v>106</v>
      </c>
      <c r="H385" s="2" t="s">
        <v>105</v>
      </c>
      <c r="I385" s="3">
        <f>SUM(I20,I35,I56,I70,I234,I290,I343)</f>
        <v>11</v>
      </c>
      <c r="K385" s="3">
        <f>SUM(K20,K35,K56,K70,K234,K290,K343)</f>
        <v>14</v>
      </c>
    </row>
    <row r="386" spans="4:11">
      <c r="D386" s="3" t="e">
        <f>SUM(D99,D178,D186,D225,D236,D249,#REF!,#REF!,#REF!,#REF!,#REF!)</f>
        <v>#REF!</v>
      </c>
      <c r="G386" t="s">
        <v>106</v>
      </c>
      <c r="H386" s="2" t="s">
        <v>182</v>
      </c>
      <c r="I386" s="3">
        <f>SUM(I135,I147,I192,I203,I223,I299,I330)</f>
        <v>7</v>
      </c>
      <c r="K386" s="3">
        <f>SUM(K135,K147,K192,K203,K223,K299,K330)</f>
        <v>13</v>
      </c>
    </row>
    <row r="387" spans="4:11">
      <c r="D387" s="3" t="e">
        <f>SUM(D85,D159,D174,D238,D277,D282,#REF!,#REF!,#REF!,#REF!,#REF!)</f>
        <v>#REF!</v>
      </c>
      <c r="G387" t="s">
        <v>106</v>
      </c>
      <c r="H387" s="2" t="s">
        <v>313</v>
      </c>
      <c r="I387" s="3">
        <f>SUM(I17,I59,I125,I181,I262,I277,I305)</f>
        <v>19</v>
      </c>
      <c r="K387" s="3">
        <f>SUM(K17,K59,K125,K181,K262,K277,K305)</f>
        <v>18</v>
      </c>
    </row>
    <row r="388" spans="4:11">
      <c r="D388" s="3" t="e">
        <f>SUM(D68,D92,D117,D142,D150,D181,D322,#REF!,#REF!,#REF!,#REF!)</f>
        <v>#REF!</v>
      </c>
      <c r="G388" s="6" t="s">
        <v>30</v>
      </c>
      <c r="H388" s="7" t="s">
        <v>266</v>
      </c>
      <c r="I388" s="3">
        <f>SUM(I54,I64,I152,I190,I291,I310,I326)</f>
        <v>9</v>
      </c>
      <c r="K388" s="3">
        <f>SUM(K54,K64,K152,K190,K291,K310,K326)</f>
        <v>14</v>
      </c>
    </row>
    <row r="389" spans="4:11">
      <c r="D389" s="3" t="e">
        <f>SUM(D87,D177,D241,D244,D272,D278,#REF!,#REF!,#REF!,#REF!,#REF!)</f>
        <v>#REF!</v>
      </c>
      <c r="G389" s="6" t="s">
        <v>30</v>
      </c>
      <c r="H389" s="7" t="s">
        <v>29</v>
      </c>
      <c r="I389" s="3">
        <f>SUM(I33,I81,I165,I187,I283,I289,I338)</f>
        <v>12</v>
      </c>
      <c r="K389" s="3">
        <f>SUM(K33,K81,K165,K187,K283,K289,K338)</f>
        <v>20</v>
      </c>
    </row>
    <row r="390" spans="4:11">
      <c r="D390" s="3" t="e">
        <f>SUM(D97,D185,D234,D246,D280,D295,#REF!,#REF!,#REF!,#REF!,#REF!)</f>
        <v>#REF!</v>
      </c>
      <c r="G390" s="6" t="s">
        <v>30</v>
      </c>
      <c r="H390" s="7" t="s">
        <v>155</v>
      </c>
      <c r="I390" s="3">
        <f>SUM(I21,I40,I153,I155,I259,I319,I345)</f>
        <v>12</v>
      </c>
      <c r="K390" s="3">
        <f>SUM(K21,K40,K153,K155,K259,K319,K345)</f>
        <v>12</v>
      </c>
    </row>
    <row r="391" spans="4:11">
      <c r="D391" s="3" t="e">
        <f>SUM(D101,D180,D188,#REF!,D276,D287,#REF!,#REF!,#REF!,#REF!,#REF!)</f>
        <v>#REF!</v>
      </c>
      <c r="G391" t="s">
        <v>462</v>
      </c>
      <c r="H391" t="s">
        <v>320</v>
      </c>
      <c r="I391" s="3">
        <f>SUM(I34,I89,I101,I122,I228,I309,I325)</f>
        <v>5</v>
      </c>
      <c r="K391" s="3">
        <f>SUM(K34,K89,K101,K122,K228,K309,K325)</f>
        <v>8</v>
      </c>
    </row>
    <row r="392" spans="4:11">
      <c r="D392" s="3" t="e">
        <f>SUM(D108,D194,D200,D254,D259,D286,#REF!,#REF!,#REF!,#REF!,#REF!)</f>
        <v>#REF!</v>
      </c>
      <c r="G392" t="s">
        <v>462</v>
      </c>
      <c r="H392" s="2" t="s">
        <v>282</v>
      </c>
      <c r="I392" s="3">
        <f>SUM(I19,I39,I129,I200,I221,I285,I349)</f>
        <v>14</v>
      </c>
      <c r="K392" s="3">
        <f>SUM(K19,K39,K129,K200,K221,K285,K349)</f>
        <v>12</v>
      </c>
    </row>
    <row r="393" spans="4:11">
      <c r="D393" s="3" t="e">
        <f>SUM(D20,D36,D53,D61,D100,D128,D323,D330,#REF!,#REF!,#REF!)</f>
        <v>#REF!</v>
      </c>
      <c r="G393" t="s">
        <v>462</v>
      </c>
      <c r="H393" s="2" t="s">
        <v>258</v>
      </c>
      <c r="I393" s="3">
        <f>SUM(I28,I150,I194,I202,I224,I240,I254)</f>
        <v>9</v>
      </c>
      <c r="K393" s="3">
        <f>SUM(K28,K150,K194,K202,K224,K240,K254)</f>
        <v>5</v>
      </c>
    </row>
    <row r="394" spans="4:11">
      <c r="D394" s="3" t="e">
        <f>SUM(D24,D64,D72,D89,D96,D104,D302,D335,D342,#REF!,#REF!)</f>
        <v>#REF!</v>
      </c>
      <c r="G394" s="6" t="s">
        <v>465</v>
      </c>
      <c r="H394" s="7" t="s">
        <v>568</v>
      </c>
      <c r="I394" s="3">
        <f>SUM(I91,I106,I116,I182,I256,I302,I342)</f>
        <v>9</v>
      </c>
      <c r="K394" s="3">
        <f>SUM(K91,K106,K116,K182,K256,K302,K342)</f>
        <v>11</v>
      </c>
    </row>
    <row r="395" spans="4:11">
      <c r="D395" s="3" t="e">
        <f>SUM(D95,D183,D216,D226,D245,D297,#REF!,#REF!,#REF!,#REF!,#REF!)</f>
        <v>#REF!</v>
      </c>
      <c r="G395" s="6" t="s">
        <v>465</v>
      </c>
      <c r="H395" s="7" t="s">
        <v>54</v>
      </c>
      <c r="I395" s="3">
        <f>SUM(I18,I65,I92,I131,I268,I294,I318)</f>
        <v>5</v>
      </c>
      <c r="K395" s="3">
        <f>SUM(K18,K65,K92,K131,K268,K294,K318)</f>
        <v>12</v>
      </c>
    </row>
    <row r="396" spans="4:11">
      <c r="D396" s="3" t="e">
        <f>SUM(D106,D193,D242,D253,D285,D298,#REF!,#REF!,#REF!,#REF!,#REF!)</f>
        <v>#REF!</v>
      </c>
      <c r="G396" s="6" t="s">
        <v>465</v>
      </c>
      <c r="H396" s="7" t="s">
        <v>401</v>
      </c>
      <c r="I396" s="3">
        <f>SUM(I57,I85,I171,I201,I217,I233,I313)</f>
        <v>14</v>
      </c>
      <c r="K396" s="3">
        <f>SUM(K57,K85,K171,K201,K217,K233,K313)</f>
        <v>17</v>
      </c>
    </row>
    <row r="397" spans="4:11">
      <c r="D397" s="3" t="e">
        <f>SUM(D18,D34,D51,D66,D75,D82,D313,D328,D337,#REF!,#REF!)</f>
        <v>#REF!</v>
      </c>
      <c r="G397" s="8" t="s">
        <v>14</v>
      </c>
      <c r="H397" s="9" t="s">
        <v>192</v>
      </c>
      <c r="I397" s="3">
        <f>SUM(I82,I128,I148,I174,I216,I230,I328)</f>
        <v>11</v>
      </c>
      <c r="K397" s="3">
        <f>SUM(K82,K128,K148,K174,K216,K230,K328)</f>
        <v>11</v>
      </c>
    </row>
    <row r="398" spans="4:11">
      <c r="D398" s="3" t="e">
        <f>SUM(D31,D55,D123,D160,D176,D191,D301,D317,#REF!,#REF!,#REF!)</f>
        <v>#REF!</v>
      </c>
      <c r="G398" s="8" t="s">
        <v>14</v>
      </c>
      <c r="H398" s="9" t="s">
        <v>400</v>
      </c>
      <c r="I398" s="3">
        <f>SUM(I52,I80,I108,I136,I208,I244,I276)</f>
        <v>8</v>
      </c>
      <c r="K398" s="3">
        <f>SUM(K52,K80,K108,K136,K208,K244,K276)</f>
        <v>14</v>
      </c>
    </row>
    <row r="399" spans="4:11">
      <c r="D399" s="3" t="e">
        <f>SUM(D52,D143,D215,D258,D269,D283,D338,#REF!,#REF!,#REF!)</f>
        <v>#REF!</v>
      </c>
      <c r="G399" s="8" t="s">
        <v>14</v>
      </c>
      <c r="H399" s="9" t="s">
        <v>289</v>
      </c>
      <c r="I399" s="3">
        <f>SUM(I29,I51,I73,I193,I265,I306,I335)</f>
        <v>10</v>
      </c>
      <c r="K399" s="3">
        <f>SUM(K29,K51,K73,K193,K265,K306,K335)</f>
        <v>6</v>
      </c>
    </row>
    <row r="400" spans="4:11">
      <c r="D400" s="3"/>
      <c r="I400" s="3" t="s">
        <v>459</v>
      </c>
      <c r="K400" s="3" t="s">
        <v>459</v>
      </c>
    </row>
    <row r="401" spans="1:11">
      <c r="A401" s="1" t="s">
        <v>413</v>
      </c>
      <c r="G401" t="s">
        <v>620</v>
      </c>
      <c r="H401" s="2" t="s">
        <v>563</v>
      </c>
      <c r="I401" s="3">
        <f>I360</f>
        <v>15</v>
      </c>
      <c r="K401" s="3">
        <f>K360</f>
        <v>14</v>
      </c>
    </row>
    <row r="402" spans="1:11">
      <c r="G402" t="s">
        <v>620</v>
      </c>
      <c r="H402" s="2" t="s">
        <v>415</v>
      </c>
      <c r="I402" s="3">
        <f>I376</f>
        <v>9</v>
      </c>
      <c r="K402" s="3">
        <f>K376</f>
        <v>16</v>
      </c>
    </row>
    <row r="403" spans="1:11">
      <c r="G403" t="s">
        <v>620</v>
      </c>
      <c r="H403" s="2" t="s">
        <v>577</v>
      </c>
      <c r="I403" s="3">
        <f>I394</f>
        <v>9</v>
      </c>
      <c r="K403" s="3">
        <f>K394</f>
        <v>11</v>
      </c>
    </row>
    <row r="404" spans="1:11">
      <c r="G404" s="6" t="s">
        <v>416</v>
      </c>
      <c r="H404" s="7" t="s">
        <v>417</v>
      </c>
      <c r="I404" s="3">
        <f>I357</f>
        <v>11</v>
      </c>
      <c r="K404" s="3">
        <f>K357</f>
        <v>6</v>
      </c>
    </row>
    <row r="405" spans="1:11">
      <c r="G405" s="6" t="s">
        <v>416</v>
      </c>
      <c r="H405" s="7" t="s">
        <v>418</v>
      </c>
      <c r="I405" s="3">
        <f>I372</f>
        <v>8</v>
      </c>
      <c r="K405" s="3">
        <f>K372</f>
        <v>3</v>
      </c>
    </row>
    <row r="406" spans="1:11">
      <c r="G406" s="6" t="s">
        <v>416</v>
      </c>
      <c r="H406" s="7" t="s">
        <v>419</v>
      </c>
      <c r="I406" s="3">
        <f>I358</f>
        <v>8</v>
      </c>
      <c r="K406" s="3">
        <f>K358</f>
        <v>15</v>
      </c>
    </row>
    <row r="407" spans="1:11">
      <c r="G407" t="s">
        <v>578</v>
      </c>
      <c r="H407" s="2" t="s">
        <v>420</v>
      </c>
      <c r="I407" s="3">
        <f>I380</f>
        <v>13</v>
      </c>
      <c r="K407" s="3">
        <f>K380</f>
        <v>4</v>
      </c>
    </row>
    <row r="408" spans="1:11">
      <c r="G408" t="s">
        <v>578</v>
      </c>
      <c r="H408" s="2" t="s">
        <v>567</v>
      </c>
      <c r="I408" s="3">
        <f>I384</f>
        <v>19</v>
      </c>
      <c r="K408" s="3">
        <f>K384</f>
        <v>7</v>
      </c>
    </row>
    <row r="409" spans="1:11">
      <c r="G409" t="s">
        <v>578</v>
      </c>
      <c r="H409" s="2" t="s">
        <v>421</v>
      </c>
      <c r="I409" s="3">
        <f>I354</f>
        <v>14</v>
      </c>
      <c r="K409" s="3">
        <f>K354</f>
        <v>21</v>
      </c>
    </row>
    <row r="410" spans="1:11">
      <c r="G410" s="6" t="s">
        <v>422</v>
      </c>
      <c r="H410" s="7" t="s">
        <v>423</v>
      </c>
      <c r="I410" s="3">
        <f>I385</f>
        <v>11</v>
      </c>
      <c r="K410" s="3">
        <f>K385</f>
        <v>14</v>
      </c>
    </row>
    <row r="411" spans="1:11">
      <c r="G411" s="6" t="s">
        <v>422</v>
      </c>
      <c r="H411" s="7" t="s">
        <v>565</v>
      </c>
      <c r="I411" s="3">
        <f>I382</f>
        <v>17</v>
      </c>
      <c r="K411" s="3">
        <f>K382</f>
        <v>9</v>
      </c>
    </row>
    <row r="412" spans="1:11">
      <c r="G412" s="6" t="s">
        <v>422</v>
      </c>
      <c r="H412" s="7" t="s">
        <v>424</v>
      </c>
      <c r="I412" s="3">
        <f>I352</f>
        <v>16</v>
      </c>
      <c r="K412" s="3">
        <f>K352</f>
        <v>11</v>
      </c>
    </row>
    <row r="413" spans="1:11">
      <c r="G413" t="s">
        <v>594</v>
      </c>
      <c r="H413" s="2" t="s">
        <v>564</v>
      </c>
      <c r="I413" s="3">
        <f>I366</f>
        <v>11</v>
      </c>
      <c r="K413" s="3">
        <f>K366</f>
        <v>19</v>
      </c>
    </row>
    <row r="414" spans="1:11">
      <c r="G414" t="s">
        <v>594</v>
      </c>
      <c r="H414" s="2" t="s">
        <v>426</v>
      </c>
      <c r="I414" s="3">
        <f>I353</f>
        <v>18</v>
      </c>
      <c r="K414" s="3">
        <f>K353</f>
        <v>0</v>
      </c>
    </row>
    <row r="415" spans="1:11">
      <c r="G415" t="s">
        <v>594</v>
      </c>
      <c r="H415" s="2" t="s">
        <v>427</v>
      </c>
      <c r="I415" s="3">
        <f>I379</f>
        <v>20</v>
      </c>
      <c r="K415" s="3">
        <f>K379</f>
        <v>10</v>
      </c>
    </row>
    <row r="416" spans="1:11">
      <c r="G416" s="6" t="s">
        <v>428</v>
      </c>
      <c r="H416" s="7" t="s">
        <v>429</v>
      </c>
      <c r="I416" s="3">
        <f>I367</f>
        <v>15</v>
      </c>
      <c r="K416" s="3">
        <f>K367</f>
        <v>12</v>
      </c>
    </row>
    <row r="417" spans="7:11">
      <c r="G417" s="6" t="s">
        <v>428</v>
      </c>
      <c r="H417" s="7" t="s">
        <v>430</v>
      </c>
      <c r="I417" s="3">
        <f>I374</f>
        <v>11</v>
      </c>
      <c r="K417" s="3">
        <f>K374</f>
        <v>5</v>
      </c>
    </row>
    <row r="418" spans="7:11">
      <c r="G418" s="6" t="s">
        <v>428</v>
      </c>
      <c r="H418" s="7" t="s">
        <v>431</v>
      </c>
      <c r="I418" s="3">
        <f>I387</f>
        <v>19</v>
      </c>
      <c r="K418" s="3">
        <f>K387</f>
        <v>18</v>
      </c>
    </row>
    <row r="419" spans="7:11">
      <c r="G419" t="s">
        <v>432</v>
      </c>
      <c r="H419" s="2" t="s">
        <v>433</v>
      </c>
      <c r="I419" s="3">
        <f>I399</f>
        <v>10</v>
      </c>
      <c r="K419" s="3">
        <f>K399</f>
        <v>6</v>
      </c>
    </row>
    <row r="420" spans="7:11">
      <c r="G420" t="s">
        <v>432</v>
      </c>
      <c r="H420" s="2" t="s">
        <v>434</v>
      </c>
      <c r="I420" s="3">
        <f>I386</f>
        <v>7</v>
      </c>
      <c r="K420" s="3">
        <f>K386</f>
        <v>13</v>
      </c>
    </row>
    <row r="421" spans="7:11">
      <c r="G421" t="s">
        <v>432</v>
      </c>
      <c r="H421" s="2" t="s">
        <v>566</v>
      </c>
      <c r="I421" s="3">
        <f>I383</f>
        <v>6</v>
      </c>
      <c r="K421" s="3">
        <f>K383</f>
        <v>14</v>
      </c>
    </row>
    <row r="422" spans="7:11">
      <c r="G422" s="6" t="s">
        <v>547</v>
      </c>
      <c r="H422" s="7" t="s">
        <v>435</v>
      </c>
      <c r="I422" s="3">
        <f>I388</f>
        <v>9</v>
      </c>
      <c r="K422" s="3">
        <f>K388</f>
        <v>14</v>
      </c>
    </row>
    <row r="423" spans="7:11">
      <c r="G423" s="6" t="s">
        <v>547</v>
      </c>
      <c r="H423" s="7" t="s">
        <v>546</v>
      </c>
      <c r="I423" s="3">
        <f>I355</f>
        <v>9</v>
      </c>
      <c r="K423" s="3">
        <f>K355</f>
        <v>12</v>
      </c>
    </row>
    <row r="424" spans="7:11">
      <c r="G424" s="6" t="s">
        <v>547</v>
      </c>
      <c r="H424" s="7" t="s">
        <v>436</v>
      </c>
      <c r="I424" s="3">
        <f>I359</f>
        <v>11</v>
      </c>
      <c r="K424" s="3">
        <f>K359</f>
        <v>12</v>
      </c>
    </row>
    <row r="425" spans="7:11">
      <c r="G425" t="s">
        <v>468</v>
      </c>
      <c r="H425" s="2" t="s">
        <v>437</v>
      </c>
      <c r="I425" s="3">
        <f>I375</f>
        <v>15</v>
      </c>
      <c r="K425" s="3">
        <f>K375</f>
        <v>11</v>
      </c>
    </row>
    <row r="426" spans="7:11">
      <c r="G426" t="s">
        <v>468</v>
      </c>
      <c r="H426" s="2" t="s">
        <v>258</v>
      </c>
      <c r="I426" s="3">
        <f>I393</f>
        <v>9</v>
      </c>
      <c r="K426" s="3">
        <f>K393</f>
        <v>5</v>
      </c>
    </row>
    <row r="427" spans="7:11">
      <c r="G427" t="s">
        <v>468</v>
      </c>
      <c r="H427" s="2" t="s">
        <v>438</v>
      </c>
      <c r="I427" s="3">
        <f>I381</f>
        <v>3</v>
      </c>
      <c r="K427" s="3">
        <f>K381</f>
        <v>6</v>
      </c>
    </row>
    <row r="428" spans="7:11">
      <c r="G428" s="6" t="s">
        <v>621</v>
      </c>
      <c r="H428" s="7" t="s">
        <v>439</v>
      </c>
      <c r="I428" s="3">
        <f>I389</f>
        <v>12</v>
      </c>
      <c r="K428" s="3">
        <f>K389</f>
        <v>20</v>
      </c>
    </row>
    <row r="429" spans="7:11">
      <c r="G429" s="6" t="s">
        <v>621</v>
      </c>
      <c r="H429" s="7" t="s">
        <v>418</v>
      </c>
      <c r="I429" s="3">
        <f>I372</f>
        <v>8</v>
      </c>
      <c r="K429" s="3">
        <f>K372</f>
        <v>3</v>
      </c>
    </row>
    <row r="430" spans="7:11">
      <c r="G430" s="6" t="s">
        <v>621</v>
      </c>
      <c r="H430" s="7" t="s">
        <v>415</v>
      </c>
      <c r="I430" s="3">
        <f>I376</f>
        <v>9</v>
      </c>
      <c r="K430" s="3">
        <f>K376</f>
        <v>16</v>
      </c>
    </row>
    <row r="431" spans="7:11">
      <c r="G431" t="s">
        <v>442</v>
      </c>
      <c r="H431" s="2" t="s">
        <v>563</v>
      </c>
      <c r="I431" s="3">
        <f>I360</f>
        <v>15</v>
      </c>
      <c r="K431" s="3">
        <f>K360</f>
        <v>14</v>
      </c>
    </row>
    <row r="432" spans="7:11">
      <c r="G432" t="s">
        <v>442</v>
      </c>
      <c r="H432" s="2" t="s">
        <v>423</v>
      </c>
      <c r="I432" s="3">
        <f>I385</f>
        <v>11</v>
      </c>
      <c r="K432" s="3">
        <f>K385</f>
        <v>14</v>
      </c>
    </row>
    <row r="433" spans="7:11">
      <c r="G433" t="s">
        <v>442</v>
      </c>
      <c r="H433" s="2" t="s">
        <v>566</v>
      </c>
      <c r="I433" s="3">
        <f>I383</f>
        <v>6</v>
      </c>
      <c r="K433" s="3">
        <f>K383</f>
        <v>14</v>
      </c>
    </row>
    <row r="434" spans="7:11">
      <c r="G434" s="31" t="s">
        <v>469</v>
      </c>
      <c r="H434" s="32" t="s">
        <v>180</v>
      </c>
      <c r="I434" s="33">
        <f>I365</f>
        <v>17</v>
      </c>
      <c r="K434" s="33">
        <f>K365</f>
        <v>10</v>
      </c>
    </row>
    <row r="435" spans="7:11">
      <c r="G435" s="31" t="s">
        <v>469</v>
      </c>
      <c r="H435" s="32" t="s">
        <v>113</v>
      </c>
      <c r="I435" s="33">
        <f>I362</f>
        <v>12</v>
      </c>
      <c r="K435" s="33">
        <f>K362</f>
        <v>6</v>
      </c>
    </row>
    <row r="436" spans="7:11">
      <c r="G436" s="31" t="s">
        <v>469</v>
      </c>
      <c r="H436" s="32" t="s">
        <v>192</v>
      </c>
      <c r="I436" s="33">
        <f>I397</f>
        <v>11</v>
      </c>
      <c r="K436" s="33">
        <f>K397</f>
        <v>11</v>
      </c>
    </row>
    <row r="437" spans="7:11">
      <c r="G437" t="s">
        <v>515</v>
      </c>
      <c r="H437" s="2" t="s">
        <v>471</v>
      </c>
      <c r="I437" s="3">
        <f>I356</f>
        <v>20</v>
      </c>
      <c r="K437" s="3">
        <f>K356</f>
        <v>16</v>
      </c>
    </row>
    <row r="438" spans="7:11">
      <c r="G438" t="s">
        <v>515</v>
      </c>
      <c r="H438" s="2" t="s">
        <v>135</v>
      </c>
      <c r="I438" s="3">
        <f>I368</f>
        <v>16</v>
      </c>
      <c r="K438" s="3">
        <f>K368</f>
        <v>14</v>
      </c>
    </row>
    <row r="439" spans="7:11">
      <c r="G439" t="s">
        <v>515</v>
      </c>
      <c r="H439" s="2" t="s">
        <v>197</v>
      </c>
      <c r="I439" s="3">
        <f>I373</f>
        <v>7</v>
      </c>
      <c r="K439" s="3">
        <f>K373</f>
        <v>17</v>
      </c>
    </row>
    <row r="440" spans="7:11">
      <c r="G440" t="s">
        <v>472</v>
      </c>
      <c r="H440" s="2" t="s">
        <v>258</v>
      </c>
      <c r="I440" s="3">
        <f>I393</f>
        <v>9</v>
      </c>
      <c r="K440" s="3">
        <f>K393</f>
        <v>5</v>
      </c>
    </row>
    <row r="441" spans="7:11">
      <c r="G441" t="s">
        <v>472</v>
      </c>
      <c r="H441" s="2" t="s">
        <v>565</v>
      </c>
      <c r="I441" s="3">
        <f>I382</f>
        <v>17</v>
      </c>
      <c r="K441" s="3">
        <f>K382</f>
        <v>9</v>
      </c>
    </row>
    <row r="442" spans="7:11">
      <c r="G442" t="s">
        <v>472</v>
      </c>
      <c r="H442" s="2" t="s">
        <v>464</v>
      </c>
      <c r="I442" s="3">
        <f>I354</f>
        <v>14</v>
      </c>
      <c r="K442" s="3">
        <f>K354</f>
        <v>21</v>
      </c>
    </row>
    <row r="443" spans="7:11">
      <c r="G443" s="6" t="s">
        <v>1070</v>
      </c>
      <c r="H443" s="7" t="s">
        <v>440</v>
      </c>
      <c r="I443" s="3">
        <f>I396</f>
        <v>14</v>
      </c>
      <c r="K443" s="3">
        <f>K396</f>
        <v>17</v>
      </c>
    </row>
    <row r="444" spans="7:11">
      <c r="G444" s="6" t="s">
        <v>1070</v>
      </c>
      <c r="H444" s="7" t="s">
        <v>441</v>
      </c>
      <c r="I444" s="3">
        <f>I368</f>
        <v>16</v>
      </c>
      <c r="K444" s="3">
        <f>K368</f>
        <v>14</v>
      </c>
    </row>
    <row r="445" spans="7:11">
      <c r="G445" s="6" t="s">
        <v>1070</v>
      </c>
      <c r="H445" s="7" t="s">
        <v>429</v>
      </c>
      <c r="I445" s="3">
        <f>I367</f>
        <v>15</v>
      </c>
      <c r="K445" s="3">
        <f>K367</f>
        <v>12</v>
      </c>
    </row>
    <row r="446" spans="7:11">
      <c r="G446" s="6" t="s">
        <v>1070</v>
      </c>
      <c r="H446" s="7" t="s">
        <v>418</v>
      </c>
      <c r="I446" s="3">
        <f>I372</f>
        <v>8</v>
      </c>
      <c r="K446" s="3">
        <f>K372</f>
        <v>3</v>
      </c>
    </row>
    <row r="447" spans="7:11">
      <c r="G447" t="s">
        <v>443</v>
      </c>
      <c r="H447" s="2" t="s">
        <v>426</v>
      </c>
      <c r="I447" s="3">
        <f>I353</f>
        <v>18</v>
      </c>
      <c r="K447" s="3">
        <f>K353</f>
        <v>0</v>
      </c>
    </row>
    <row r="448" spans="7:11">
      <c r="G448" t="s">
        <v>443</v>
      </c>
      <c r="H448" s="2" t="s">
        <v>434</v>
      </c>
      <c r="I448" s="3">
        <f>I386</f>
        <v>7</v>
      </c>
      <c r="K448" s="3">
        <f>K386</f>
        <v>13</v>
      </c>
    </row>
    <row r="449" spans="7:11">
      <c r="G449" t="s">
        <v>443</v>
      </c>
      <c r="H449" s="2" t="s">
        <v>438</v>
      </c>
      <c r="I449" s="3">
        <f>I381</f>
        <v>3</v>
      </c>
      <c r="K449" s="3">
        <f>K381</f>
        <v>6</v>
      </c>
    </row>
    <row r="450" spans="7:11">
      <c r="G450" t="s">
        <v>443</v>
      </c>
      <c r="H450" s="2" t="s">
        <v>444</v>
      </c>
      <c r="I450" s="3">
        <f>I377</f>
        <v>18</v>
      </c>
      <c r="K450" s="3">
        <f>K377</f>
        <v>20</v>
      </c>
    </row>
    <row r="451" spans="7:11">
      <c r="G451" s="6" t="s">
        <v>446</v>
      </c>
      <c r="H451" s="7" t="s">
        <v>440</v>
      </c>
      <c r="I451" s="3">
        <f>I396</f>
        <v>14</v>
      </c>
      <c r="K451" s="3">
        <f>K396</f>
        <v>17</v>
      </c>
    </row>
    <row r="452" spans="7:11">
      <c r="G452" s="6" t="s">
        <v>446</v>
      </c>
      <c r="H452" s="7" t="s">
        <v>448</v>
      </c>
      <c r="I452" s="3">
        <f>I398</f>
        <v>8</v>
      </c>
      <c r="K452" s="3">
        <f>K398</f>
        <v>14</v>
      </c>
    </row>
    <row r="453" spans="7:11">
      <c r="G453" s="6" t="s">
        <v>446</v>
      </c>
      <c r="H453" s="7" t="s">
        <v>435</v>
      </c>
      <c r="I453" s="3">
        <f>I388</f>
        <v>9</v>
      </c>
      <c r="K453" s="3">
        <f>K388</f>
        <v>14</v>
      </c>
    </row>
    <row r="454" spans="7:11">
      <c r="G454" s="6" t="s">
        <v>446</v>
      </c>
      <c r="H454" s="7" t="s">
        <v>433</v>
      </c>
      <c r="I454" s="3">
        <f>I399</f>
        <v>10</v>
      </c>
      <c r="K454" s="3">
        <f>K399</f>
        <v>6</v>
      </c>
    </row>
    <row r="455" spans="7:11">
      <c r="G455" t="s">
        <v>466</v>
      </c>
      <c r="H455" s="2" t="s">
        <v>415</v>
      </c>
      <c r="I455" s="3">
        <f>I376</f>
        <v>9</v>
      </c>
      <c r="K455" s="3">
        <f>K376</f>
        <v>16</v>
      </c>
    </row>
    <row r="456" spans="7:11">
      <c r="G456" t="s">
        <v>466</v>
      </c>
      <c r="H456" s="2" t="s">
        <v>450</v>
      </c>
      <c r="I456" s="3">
        <f>I390</f>
        <v>12</v>
      </c>
      <c r="K456" s="3">
        <f>K390</f>
        <v>12</v>
      </c>
    </row>
    <row r="457" spans="7:11">
      <c r="G457" t="s">
        <v>466</v>
      </c>
      <c r="H457" s="2" t="s">
        <v>418</v>
      </c>
      <c r="I457" s="3">
        <f>I372</f>
        <v>8</v>
      </c>
      <c r="K457" s="3">
        <f>K372</f>
        <v>3</v>
      </c>
    </row>
    <row r="458" spans="7:11">
      <c r="G458" t="s">
        <v>466</v>
      </c>
      <c r="H458" s="2" t="s">
        <v>451</v>
      </c>
      <c r="I458" s="3">
        <f>I389</f>
        <v>12</v>
      </c>
      <c r="K458" s="3">
        <f>K389</f>
        <v>20</v>
      </c>
    </row>
    <row r="459" spans="7:11">
      <c r="G459" s="6" t="s">
        <v>452</v>
      </c>
      <c r="H459" s="7" t="s">
        <v>453</v>
      </c>
      <c r="I459" s="3">
        <f>I391</f>
        <v>5</v>
      </c>
      <c r="K459" s="3">
        <f>K391</f>
        <v>8</v>
      </c>
    </row>
    <row r="460" spans="7:11">
      <c r="G460" s="6" t="s">
        <v>452</v>
      </c>
      <c r="H460" s="7" t="s">
        <v>282</v>
      </c>
      <c r="I460" s="3">
        <f>I392</f>
        <v>14</v>
      </c>
      <c r="K460" s="3">
        <f>K392</f>
        <v>12</v>
      </c>
    </row>
    <row r="461" spans="7:11">
      <c r="H461" s="2"/>
      <c r="I461" s="11" t="s">
        <v>459</v>
      </c>
      <c r="K461" s="11" t="s">
        <v>459</v>
      </c>
    </row>
    <row r="462" spans="7:11">
      <c r="G462" s="24" t="s">
        <v>446</v>
      </c>
      <c r="H462" s="98" t="s">
        <v>446</v>
      </c>
      <c r="I462" s="11">
        <f>SUM(I451,I452,I453,I454)/4</f>
        <v>10.25</v>
      </c>
      <c r="K462" s="11">
        <f>SUM(K451,K452,K453,K454)/4</f>
        <v>12.75</v>
      </c>
    </row>
    <row r="463" spans="7:11">
      <c r="G463" s="24" t="s">
        <v>1070</v>
      </c>
      <c r="H463" s="98" t="s">
        <v>1070</v>
      </c>
      <c r="I463" s="11">
        <f>SUM(I443,I444,I445,I446)/4</f>
        <v>13.25</v>
      </c>
      <c r="K463" s="11">
        <f>SUM(K443,K444,K445,K446)/4</f>
        <v>11.5</v>
      </c>
    </row>
    <row r="464" spans="7:11">
      <c r="G464" s="24" t="s">
        <v>394</v>
      </c>
      <c r="H464" s="98" t="s">
        <v>394</v>
      </c>
      <c r="I464" s="11">
        <f>SUM(I447,I448,I449,I450)/4</f>
        <v>11.5</v>
      </c>
      <c r="K464" s="11">
        <f>SUM(K447,K448,K449,K450)/4</f>
        <v>9.75</v>
      </c>
    </row>
    <row r="465" spans="1:11">
      <c r="G465" s="24" t="s">
        <v>466</v>
      </c>
      <c r="H465" s="98" t="s">
        <v>466</v>
      </c>
      <c r="I465" s="11">
        <f>SUM(I363,I353,I375)/3</f>
        <v>13.666666666666666</v>
      </c>
      <c r="K465" s="11">
        <f>SUM(K363,K353,K375)/3</f>
        <v>9.6666666666666661</v>
      </c>
    </row>
    <row r="466" spans="1:11">
      <c r="I466" s="3" t="s">
        <v>459</v>
      </c>
      <c r="K466" s="3" t="s">
        <v>459</v>
      </c>
    </row>
    <row r="467" spans="1:11">
      <c r="A467" s="1" t="s">
        <v>460</v>
      </c>
      <c r="E467" t="s">
        <v>540</v>
      </c>
      <c r="G467" s="12"/>
      <c r="H467" s="73" t="s">
        <v>143</v>
      </c>
      <c r="I467" s="11">
        <f>AVERAGE(I352:I354)</f>
        <v>16</v>
      </c>
      <c r="K467" s="11">
        <f>AVERAGE(K352:K354)</f>
        <v>10.666666666666666</v>
      </c>
    </row>
    <row r="468" spans="1:11">
      <c r="E468" t="s">
        <v>537</v>
      </c>
      <c r="G468" s="12"/>
      <c r="H468" s="96" t="s">
        <v>680</v>
      </c>
      <c r="I468" s="11">
        <f t="shared" ref="I468:K468" si="0">AVERAGE(I355:I357)</f>
        <v>13.333333333333334</v>
      </c>
      <c r="K468" s="11">
        <f t="shared" si="0"/>
        <v>11.333333333333334</v>
      </c>
    </row>
    <row r="469" spans="1:11">
      <c r="G469" s="12"/>
      <c r="H469" s="73" t="s">
        <v>1071</v>
      </c>
      <c r="I469" s="11">
        <f t="shared" ref="I469:K469" si="1">AVERAGE(I358:I360)</f>
        <v>11.333333333333334</v>
      </c>
      <c r="K469" s="11">
        <f t="shared" si="1"/>
        <v>13.666666666666666</v>
      </c>
    </row>
    <row r="470" spans="1:11">
      <c r="G470" s="12"/>
      <c r="H470" s="73" t="s">
        <v>42</v>
      </c>
      <c r="I470" s="11">
        <f t="shared" ref="I470:K470" si="2">AVERAGE(I361:I363)</f>
        <v>9.6666666666666661</v>
      </c>
      <c r="K470" s="11">
        <f t="shared" si="2"/>
        <v>11.333333333333334</v>
      </c>
    </row>
    <row r="471" spans="1:11">
      <c r="G471" s="12"/>
      <c r="H471" s="73" t="s">
        <v>24</v>
      </c>
      <c r="I471" s="11">
        <f t="shared" ref="I471:K471" si="3">AVERAGE(I364:I366)</f>
        <v>13.333333333333334</v>
      </c>
      <c r="K471" s="11">
        <f t="shared" si="3"/>
        <v>10.333333333333334</v>
      </c>
    </row>
    <row r="472" spans="1:11">
      <c r="G472" s="12"/>
      <c r="H472" s="73" t="s">
        <v>17</v>
      </c>
      <c r="I472" s="11">
        <f t="shared" ref="I472:K472" si="4">AVERAGE(I367:I369)</f>
        <v>12.666666666666666</v>
      </c>
      <c r="K472" s="11">
        <f t="shared" si="4"/>
        <v>10.666666666666666</v>
      </c>
    </row>
    <row r="473" spans="1:11">
      <c r="G473" s="12"/>
      <c r="H473" s="12" t="s">
        <v>63</v>
      </c>
      <c r="I473" s="11">
        <f t="shared" ref="I473:K473" si="5">AVERAGE(I370:I372)</f>
        <v>10</v>
      </c>
      <c r="K473" s="11">
        <f t="shared" si="5"/>
        <v>12.333333333333334</v>
      </c>
    </row>
    <row r="474" spans="1:11">
      <c r="G474" s="12"/>
      <c r="H474" s="73" t="s">
        <v>475</v>
      </c>
      <c r="I474" s="11">
        <f t="shared" ref="I474:K474" si="6">AVERAGE(I373:I375)</f>
        <v>11</v>
      </c>
      <c r="K474" s="11">
        <f t="shared" si="6"/>
        <v>11</v>
      </c>
    </row>
    <row r="475" spans="1:11">
      <c r="G475" s="73"/>
      <c r="H475" s="73" t="s">
        <v>461</v>
      </c>
      <c r="I475" s="11">
        <f t="shared" ref="I475:K475" si="7">AVERAGE(I376:I378)</f>
        <v>15</v>
      </c>
      <c r="K475" s="11">
        <f t="shared" si="7"/>
        <v>17</v>
      </c>
    </row>
    <row r="476" spans="1:11">
      <c r="G476" s="12"/>
      <c r="H476" s="73" t="s">
        <v>571</v>
      </c>
      <c r="I476" s="11">
        <f t="shared" ref="I476:K476" si="8">AVERAGE(I379:I381)</f>
        <v>12</v>
      </c>
      <c r="K476" s="11">
        <f t="shared" si="8"/>
        <v>6.666666666666667</v>
      </c>
    </row>
    <row r="477" spans="1:11">
      <c r="G477" s="12"/>
      <c r="H477" s="73" t="s">
        <v>570</v>
      </c>
      <c r="I477" s="11">
        <f t="shared" ref="I477:K477" si="9">AVERAGE(I382:I384)</f>
        <v>14</v>
      </c>
      <c r="K477" s="11">
        <f t="shared" si="9"/>
        <v>10</v>
      </c>
    </row>
    <row r="478" spans="1:11">
      <c r="G478" s="12"/>
      <c r="H478" s="73" t="s">
        <v>106</v>
      </c>
      <c r="I478" s="11">
        <f t="shared" ref="I478:K478" si="10">AVERAGE(I385:I387)</f>
        <v>12.333333333333334</v>
      </c>
      <c r="K478" s="11">
        <f t="shared" si="10"/>
        <v>15</v>
      </c>
    </row>
    <row r="479" spans="1:11">
      <c r="G479" s="12"/>
      <c r="H479" s="73" t="s">
        <v>30</v>
      </c>
      <c r="I479" s="11">
        <f t="shared" ref="I479:K479" si="11">AVERAGE(I388:I390)</f>
        <v>11</v>
      </c>
      <c r="K479" s="11">
        <f t="shared" si="11"/>
        <v>15.333333333333334</v>
      </c>
    </row>
    <row r="480" spans="1:11">
      <c r="G480" s="12"/>
      <c r="H480" s="73" t="s">
        <v>462</v>
      </c>
      <c r="I480" s="11">
        <f t="shared" ref="I480:K480" si="12">AVERAGE(I391:I393)</f>
        <v>9.3333333333333339</v>
      </c>
      <c r="K480" s="11">
        <f t="shared" si="12"/>
        <v>8.3333333333333339</v>
      </c>
    </row>
    <row r="481" spans="7:12">
      <c r="G481" s="12"/>
      <c r="H481" s="73" t="s">
        <v>465</v>
      </c>
      <c r="I481" s="11">
        <f>AVERAGE(I394:I396)</f>
        <v>9.3333333333333339</v>
      </c>
      <c r="K481" s="11">
        <f>AVERAGE(K394:K396)</f>
        <v>13.333333333333334</v>
      </c>
    </row>
    <row r="482" spans="7:12">
      <c r="G482" s="12"/>
      <c r="H482" s="73" t="s">
        <v>14</v>
      </c>
      <c r="I482" s="11">
        <f>AVERAGE(I397:I399)</f>
        <v>9.6666666666666661</v>
      </c>
      <c r="K482" s="11">
        <f>AVERAGE(K397:K399)</f>
        <v>10.333333333333334</v>
      </c>
    </row>
    <row r="483" spans="7:12">
      <c r="G483" s="12"/>
      <c r="H483" s="73"/>
      <c r="I483" s="11" t="s">
        <v>459</v>
      </c>
      <c r="K483" s="11" t="s">
        <v>459</v>
      </c>
    </row>
    <row r="484" spans="7:12">
      <c r="G484" s="73"/>
      <c r="H484" s="73" t="s">
        <v>620</v>
      </c>
      <c r="I484" s="11">
        <f>AVERAGE(I401:I403)</f>
        <v>11</v>
      </c>
      <c r="K484" s="11">
        <f>AVERAGE(K401:K403)</f>
        <v>13.666666666666666</v>
      </c>
    </row>
    <row r="485" spans="7:12">
      <c r="G485" s="73"/>
      <c r="H485" s="73" t="s">
        <v>416</v>
      </c>
      <c r="I485" s="11">
        <f>AVERAGE(I404:I406)</f>
        <v>9</v>
      </c>
      <c r="K485" s="11">
        <f>AVERAGE(K404:K406)</f>
        <v>8</v>
      </c>
    </row>
    <row r="486" spans="7:12">
      <c r="G486" s="12"/>
      <c r="H486" s="73" t="s">
        <v>578</v>
      </c>
      <c r="I486" s="11">
        <f>AVERAGE(I407:I409)</f>
        <v>15.333333333333334</v>
      </c>
      <c r="K486" s="11">
        <f>AVERAGE(K407:K409)</f>
        <v>10.666666666666666</v>
      </c>
    </row>
    <row r="487" spans="7:12">
      <c r="G487" s="12"/>
      <c r="H487" s="73" t="s">
        <v>422</v>
      </c>
      <c r="I487" s="11">
        <f>AVERAGE(I410:I412)</f>
        <v>14.666666666666666</v>
      </c>
      <c r="K487" s="11">
        <f>AVERAGE(K410:K412)</f>
        <v>11.333333333333334</v>
      </c>
    </row>
    <row r="488" spans="7:12">
      <c r="G488" s="12"/>
      <c r="H488" s="73" t="s">
        <v>536</v>
      </c>
      <c r="I488" s="11">
        <f>AVERAGE(I413:I415)</f>
        <v>16.333333333333332</v>
      </c>
      <c r="K488" s="11">
        <f>AVERAGE(K413:K415)</f>
        <v>9.6666666666666661</v>
      </c>
    </row>
    <row r="489" spans="7:12">
      <c r="G489" s="12"/>
      <c r="H489" s="73" t="s">
        <v>428</v>
      </c>
      <c r="I489" s="11">
        <f t="shared" ref="I489:K489" si="13">AVERAGE(I416:I418)</f>
        <v>15</v>
      </c>
      <c r="K489" s="11">
        <f t="shared" si="13"/>
        <v>11.666666666666666</v>
      </c>
    </row>
    <row r="490" spans="7:12">
      <c r="G490" s="12"/>
      <c r="H490" s="73" t="s">
        <v>432</v>
      </c>
      <c r="I490" s="11">
        <f t="shared" ref="I490:K490" si="14">AVERAGE(I419:I421)</f>
        <v>7.666666666666667</v>
      </c>
      <c r="K490" s="11">
        <f t="shared" si="14"/>
        <v>11</v>
      </c>
    </row>
    <row r="491" spans="7:12">
      <c r="G491" s="73"/>
      <c r="H491" s="73" t="s">
        <v>547</v>
      </c>
      <c r="I491" s="11">
        <f t="shared" ref="I491:K491" si="15">AVERAGE(I422:I424)</f>
        <v>9.6666666666666661</v>
      </c>
      <c r="K491" s="11">
        <f t="shared" si="15"/>
        <v>12.666666666666666</v>
      </c>
    </row>
    <row r="492" spans="7:12">
      <c r="G492" s="73"/>
      <c r="H492" s="73" t="s">
        <v>468</v>
      </c>
      <c r="I492" s="11">
        <f t="shared" ref="I492:K492" si="16">AVERAGE(I425:I427)</f>
        <v>9</v>
      </c>
      <c r="J492" s="11"/>
      <c r="K492" s="11">
        <f t="shared" si="16"/>
        <v>7.333333333333333</v>
      </c>
      <c r="L492" s="11"/>
    </row>
    <row r="493" spans="7:12">
      <c r="G493" s="73"/>
      <c r="H493" s="73" t="s">
        <v>621</v>
      </c>
      <c r="I493" s="11">
        <f>AVERAGE(I428:I430)</f>
        <v>9.6666666666666661</v>
      </c>
      <c r="K493" s="11">
        <f>AVERAGE(K428:K430)</f>
        <v>13</v>
      </c>
    </row>
    <row r="494" spans="7:12">
      <c r="G494" s="12"/>
      <c r="H494" s="73" t="s">
        <v>442</v>
      </c>
      <c r="I494" s="11">
        <f t="shared" ref="I494:K494" si="17">AVERAGE(I431:I433)</f>
        <v>10.666666666666666</v>
      </c>
      <c r="K494" s="11">
        <f t="shared" si="17"/>
        <v>14</v>
      </c>
    </row>
    <row r="495" spans="7:12">
      <c r="G495" s="12"/>
      <c r="H495" s="73" t="s">
        <v>469</v>
      </c>
      <c r="I495" s="11">
        <f t="shared" ref="I495:K495" si="18">AVERAGE(I434:I436)</f>
        <v>13.333333333333334</v>
      </c>
      <c r="K495" s="11">
        <f t="shared" si="18"/>
        <v>9</v>
      </c>
    </row>
    <row r="496" spans="7:12">
      <c r="H496" s="2" t="s">
        <v>515</v>
      </c>
      <c r="I496" s="11">
        <f t="shared" ref="I496:K496" si="19">AVERAGE(I437:I439)</f>
        <v>14.333333333333334</v>
      </c>
      <c r="K496" s="11">
        <f t="shared" si="19"/>
        <v>15.666666666666666</v>
      </c>
    </row>
    <row r="497" spans="7:11">
      <c r="H497" t="s">
        <v>472</v>
      </c>
      <c r="I497" s="11">
        <f>AVERAGE(I440:I442)</f>
        <v>13.333333333333334</v>
      </c>
      <c r="K497" s="11">
        <f>AVERAGE(K440:K442)</f>
        <v>11.666666666666666</v>
      </c>
    </row>
    <row r="498" spans="7:11">
      <c r="H498" t="s">
        <v>1070</v>
      </c>
      <c r="I498" s="11">
        <f>AVERAGE(I443:I446)</f>
        <v>13.25</v>
      </c>
      <c r="K498" s="11">
        <f>AVERAGE(K443:K446)</f>
        <v>11.5</v>
      </c>
    </row>
    <row r="499" spans="7:11">
      <c r="H499" t="s">
        <v>443</v>
      </c>
      <c r="I499" s="11">
        <f t="shared" ref="I499:K499" si="20">AVERAGE(I447:I450)</f>
        <v>11.5</v>
      </c>
      <c r="K499" s="11">
        <f t="shared" si="20"/>
        <v>9.75</v>
      </c>
    </row>
    <row r="500" spans="7:11">
      <c r="H500" t="s">
        <v>446</v>
      </c>
      <c r="I500" s="11">
        <f t="shared" ref="I500:K500" si="21">AVERAGE(I451:I454)</f>
        <v>10.25</v>
      </c>
      <c r="K500" s="11">
        <f t="shared" si="21"/>
        <v>12.75</v>
      </c>
    </row>
    <row r="501" spans="7:11">
      <c r="H501" t="s">
        <v>466</v>
      </c>
      <c r="I501" s="11">
        <f>I465</f>
        <v>13.666666666666666</v>
      </c>
      <c r="K501" s="11">
        <f>K465</f>
        <v>9.6666666666666661</v>
      </c>
    </row>
    <row r="502" spans="7:11">
      <c r="H502" t="s">
        <v>452</v>
      </c>
      <c r="I502" s="11">
        <f>AVERAGE(I459:I460)</f>
        <v>9.5</v>
      </c>
      <c r="K502" s="11">
        <f>AVERAGE(K459:K460)</f>
        <v>10</v>
      </c>
    </row>
    <row r="503" spans="7:11">
      <c r="I503" s="11" t="s">
        <v>459</v>
      </c>
      <c r="K503" s="11" t="s">
        <v>459</v>
      </c>
    </row>
    <row r="504" spans="7:11">
      <c r="I504" s="3">
        <f>I2</f>
        <v>0</v>
      </c>
      <c r="K504" s="3" t="str">
        <f>K2</f>
        <v>jsperezvazquez@gmail.com</v>
      </c>
    </row>
    <row r="505" spans="7:11">
      <c r="I505" s="5" t="s">
        <v>447</v>
      </c>
      <c r="K505" s="5" t="s">
        <v>447</v>
      </c>
    </row>
    <row r="506" spans="7:11">
      <c r="I506" s="3" t="s">
        <v>459</v>
      </c>
      <c r="K506" s="3" t="s">
        <v>459</v>
      </c>
    </row>
    <row r="507" spans="7:11">
      <c r="G507" s="6" t="s">
        <v>143</v>
      </c>
      <c r="H507" s="7" t="s">
        <v>186</v>
      </c>
      <c r="I507" s="3" t="e">
        <f>LOOKUP(VLOOKUP($H507,$H$352:J$460,4,0),Equivalencias!$V$3:$W$12)</f>
        <v>#REF!</v>
      </c>
      <c r="K507" s="3">
        <f>LOOKUP(VLOOKUP($H507,$H$352:L$460,4,0),Equivalencias!$V$3:$W$12)</f>
        <v>4</v>
      </c>
    </row>
    <row r="508" spans="7:11">
      <c r="G508" s="6" t="s">
        <v>143</v>
      </c>
      <c r="H508" s="7" t="s">
        <v>306</v>
      </c>
      <c r="I508" s="3" t="e">
        <f>LOOKUP(VLOOKUP($H508,$H$352:J$460,4,0),Equivalencias!$X$3:$Y$12)</f>
        <v>#REF!</v>
      </c>
      <c r="K508" s="3">
        <f>LOOKUP(VLOOKUP($H508,$H$352:L$460,4,0),Equivalencias!$X$3:$Y$12)</f>
        <v>1</v>
      </c>
    </row>
    <row r="509" spans="7:11">
      <c r="G509" s="6" t="s">
        <v>143</v>
      </c>
      <c r="H509" s="7" t="s">
        <v>142</v>
      </c>
      <c r="I509" s="3" t="e">
        <f>LOOKUP(VLOOKUP($H509,$H$352:J$460,4,0),Equivalencias!$Z$3:$AA$12)</f>
        <v>#REF!</v>
      </c>
      <c r="K509" s="3">
        <f>LOOKUP(VLOOKUP($H509,$H$352:L$460,4,0),Equivalencias!$Z$3:$AA$12)</f>
        <v>10</v>
      </c>
    </row>
    <row r="510" spans="7:11">
      <c r="G510" t="s">
        <v>680</v>
      </c>
      <c r="H510" s="2" t="s">
        <v>546</v>
      </c>
      <c r="I510" s="3" t="e">
        <f>LOOKUP(VLOOKUP($H510,$H$352:J$460,4,0),Equivalencias!$AB$3:$AC$12)</f>
        <v>#REF!</v>
      </c>
      <c r="K510" s="3">
        <f>LOOKUP(VLOOKUP($H510,$H$352:L$460,4,0),Equivalencias!$AB$3:$AC$12)</f>
        <v>4</v>
      </c>
    </row>
    <row r="511" spans="7:11">
      <c r="G511" t="s">
        <v>680</v>
      </c>
      <c r="H511" s="2" t="s">
        <v>22</v>
      </c>
      <c r="I511" s="3" t="e">
        <f>LOOKUP(VLOOKUP($H511,$H$352:J$460,4,0),Equivalencias!$AD$3:$AE$12)</f>
        <v>#REF!</v>
      </c>
      <c r="K511" s="3">
        <f>LOOKUP(VLOOKUP($H511,$H$352:L$460,4,0),Equivalencias!$AD$3:$AE$12)</f>
        <v>9</v>
      </c>
    </row>
    <row r="512" spans="7:11">
      <c r="G512" t="s">
        <v>680</v>
      </c>
      <c r="H512" s="2" t="s">
        <v>161</v>
      </c>
      <c r="I512" s="3" t="e">
        <f>LOOKUP(VLOOKUP($H512,$H$352:J$460,4,0),Equivalencias!$AF$3:$AG$12)</f>
        <v>#REF!</v>
      </c>
      <c r="K512" s="3">
        <f>LOOKUP(VLOOKUP($H512,$H$352:L$460,4,0),Equivalencias!$AF$3:$AG$12)</f>
        <v>2</v>
      </c>
    </row>
    <row r="513" spans="7:11">
      <c r="G513" s="6" t="s">
        <v>422</v>
      </c>
      <c r="H513" s="7" t="s">
        <v>424</v>
      </c>
      <c r="I513" s="3" t="e">
        <f>LOOKUP(VLOOKUP($H513,$H$352:J$460,4,0),Equivalencias!$V$3:$W$12)</f>
        <v>#REF!</v>
      </c>
      <c r="K513" s="3">
        <f>LOOKUP(VLOOKUP($H513,$H$352:L$460,4,0),Equivalencias!$V$3:$W$12)</f>
        <v>4</v>
      </c>
    </row>
    <row r="514" spans="7:11">
      <c r="G514" s="6" t="s">
        <v>422</v>
      </c>
      <c r="H514" s="7" t="s">
        <v>423</v>
      </c>
      <c r="I514" s="3" t="e">
        <f>LOOKUP(VLOOKUP($H514,$H$352:J$460,4,0),Equivalencias!$CJ$3:$CK$12)</f>
        <v>#REF!</v>
      </c>
      <c r="K514" s="3">
        <f>LOOKUP(VLOOKUP($H514,$H$352:L$460,4,0),Equivalencias!$CJ$3:$CK$12)</f>
        <v>7</v>
      </c>
    </row>
    <row r="515" spans="7:11">
      <c r="G515" s="6" t="s">
        <v>422</v>
      </c>
      <c r="H515" s="7" t="s">
        <v>1072</v>
      </c>
      <c r="I515" s="3" t="e">
        <f>LOOKUP(VLOOKUP($H515,$H$352:J$460,4,0),Equivalencias!$CD$3:$CE$12)</f>
        <v>#REF!</v>
      </c>
      <c r="K515" s="3">
        <f>LOOKUP(VLOOKUP($H515,$H$352:L$460,4,0),Equivalencias!$CD$3:$CE$12)</f>
        <v>6</v>
      </c>
    </row>
    <row r="516" spans="7:11">
      <c r="G516" t="s">
        <v>42</v>
      </c>
      <c r="H516" s="2" t="s">
        <v>41</v>
      </c>
      <c r="I516" s="3" t="e">
        <f>LOOKUP(VLOOKUP($H516,$H$352:J$460,4,0),Equivalencias!$AN$3:$AO$12)</f>
        <v>#REF!</v>
      </c>
      <c r="K516" s="3">
        <f>LOOKUP(VLOOKUP($H516,$H$352:L$460,4,0),Equivalencias!$AN$3:$AO$12)</f>
        <v>6</v>
      </c>
    </row>
    <row r="517" spans="7:11">
      <c r="G517" t="s">
        <v>42</v>
      </c>
      <c r="H517" s="2" t="s">
        <v>113</v>
      </c>
      <c r="I517" s="3" t="e">
        <f>LOOKUP(VLOOKUP($H517,$H$352:J$460,4,0),Equivalencias!$AP$3:$AQ$12)</f>
        <v>#REF!</v>
      </c>
      <c r="K517" s="3">
        <f>LOOKUP(VLOOKUP($H517,$H$352:L$460,4,0),Equivalencias!$AP$3:$AQ$12)</f>
        <v>3</v>
      </c>
    </row>
    <row r="518" spans="7:11">
      <c r="G518" t="s">
        <v>42</v>
      </c>
      <c r="H518" s="2" t="s">
        <v>238</v>
      </c>
      <c r="I518" s="3" t="e">
        <f>LOOKUP(VLOOKUP($H518,$H$352:J$460,4,0),Equivalencias!$AR$3:$AS$12)</f>
        <v>#REF!</v>
      </c>
      <c r="K518" s="3">
        <f>LOOKUP(VLOOKUP($H518,$H$352:L$460,4,0),Equivalencias!$AR$3:$AS$12)</f>
        <v>9</v>
      </c>
    </row>
    <row r="519" spans="7:11">
      <c r="G519" s="6" t="s">
        <v>24</v>
      </c>
      <c r="H519" s="7" t="s">
        <v>180</v>
      </c>
      <c r="I519" s="3" t="e">
        <f>LOOKUP(VLOOKUP($H519,$H$352:J$460,4,0),Equivalencias!$AV$3:$AW$12)</f>
        <v>#REF!</v>
      </c>
      <c r="K519" s="3">
        <f>LOOKUP(VLOOKUP($H519,$H$352:L$460,4,0),Equivalencias!$AV$3:$AW$12)</f>
        <v>2</v>
      </c>
    </row>
    <row r="520" spans="7:11">
      <c r="G520" s="6" t="s">
        <v>24</v>
      </c>
      <c r="H520" s="7" t="s">
        <v>399</v>
      </c>
      <c r="I520" s="3" t="e">
        <f>LOOKUP(VLOOKUP($H520,$H$352:J$460,4,0),Equivalencias!$AT$3:$AU$12)</f>
        <v>#REF!</v>
      </c>
      <c r="K520" s="3">
        <f>LOOKUP(VLOOKUP($H520,$H$352:L$460,4,0),Equivalencias!$AT$3:$AU$12)</f>
        <v>2</v>
      </c>
    </row>
    <row r="521" spans="7:11">
      <c r="G521" s="6" t="s">
        <v>24</v>
      </c>
      <c r="H521" s="7" t="s">
        <v>627</v>
      </c>
      <c r="I521" s="3" t="e">
        <f>LOOKUP(VLOOKUP($H521,$H$352:J$460,4,0),Equivalencias!$AX$3:$AY$12)</f>
        <v>#REF!</v>
      </c>
      <c r="K521" s="3">
        <f>LOOKUP(VLOOKUP($H521,$H$352:L$460,4,0),Equivalencias!$AX$3:$AY$12)</f>
        <v>10</v>
      </c>
    </row>
    <row r="522" spans="7:11">
      <c r="G522" t="s">
        <v>620</v>
      </c>
      <c r="H522" s="2" t="s">
        <v>568</v>
      </c>
      <c r="I522" s="3" t="e">
        <f>LOOKUP(VLOOKUP($H522,$H$352:J$460,4,0),Equivalencias!$DB$3:$DC$12)</f>
        <v>#REF!</v>
      </c>
      <c r="K522" s="3">
        <f>LOOKUP(VLOOKUP($H522,$H$352:L$460,4,0),Equivalencias!$DB$3:$DC$12)</f>
        <v>7</v>
      </c>
    </row>
    <row r="523" spans="7:11">
      <c r="G523" t="s">
        <v>620</v>
      </c>
      <c r="H523" s="2" t="s">
        <v>269</v>
      </c>
      <c r="I523" s="3" t="e">
        <f>LOOKUP(VLOOKUP($H523,$H$352:J$460,4,0),Equivalencias!$BR$3:$BS$12)</f>
        <v>#REF!</v>
      </c>
      <c r="K523" s="3">
        <f>LOOKUP(VLOOKUP($H523,$H$352:L$460,4,0),Equivalencias!$BR$3:$BS$12)</f>
        <v>8</v>
      </c>
    </row>
    <row r="524" spans="7:11">
      <c r="G524" t="s">
        <v>620</v>
      </c>
      <c r="H524" s="2" t="s">
        <v>563</v>
      </c>
      <c r="I524" s="3" t="e">
        <f>LOOKUP(VLOOKUP($H524,$H$352:J$460,4,0),Equivalencias!$AL$3:$AM$12)</f>
        <v>#REF!</v>
      </c>
      <c r="K524" s="3">
        <f>LOOKUP(VLOOKUP($H524,$H$352:L$460,4,0),Equivalencias!$AL$3:$AM$12)</f>
        <v>5</v>
      </c>
    </row>
    <row r="525" spans="7:11">
      <c r="G525" s="6" t="s">
        <v>682</v>
      </c>
      <c r="H525" s="7" t="s">
        <v>48</v>
      </c>
      <c r="I525" s="3" t="e">
        <f>LOOKUP(VLOOKUP($H525,$H$352:J$460,4,0),Equivalencias!$AH$3:$AI$12)</f>
        <v>#REF!</v>
      </c>
      <c r="K525" s="3">
        <f>LOOKUP(VLOOKUP($H525,$H$352:L$460,4,0),Equivalencias!$AH$3:$AI$12)</f>
        <v>6</v>
      </c>
    </row>
    <row r="526" spans="7:11">
      <c r="G526" s="6" t="s">
        <v>682</v>
      </c>
      <c r="H526" s="7" t="s">
        <v>179</v>
      </c>
      <c r="I526" s="3" t="e">
        <f>LOOKUP(VLOOKUP($H526,$H$352:J$460,4,0),Equivalencias!$AJ$3:$AK$12)</f>
        <v>#REF!</v>
      </c>
      <c r="K526" s="3">
        <f>LOOKUP(VLOOKUP($H526,$H$352:L$460,4,0),Equivalencias!$AJ$3:$AK$12)</f>
        <v>7</v>
      </c>
    </row>
    <row r="527" spans="7:11">
      <c r="G527" s="6" t="s">
        <v>682</v>
      </c>
      <c r="H527" s="7" t="s">
        <v>563</v>
      </c>
      <c r="I527" s="3" t="e">
        <f>LOOKUP(VLOOKUP($H527,$H$352:J$460,4,0),Equivalencias!$AL$3:$AM$12)</f>
        <v>#REF!</v>
      </c>
      <c r="K527" s="3">
        <f>LOOKUP(VLOOKUP($H527,$H$352:L$460,4,0),Equivalencias!$AL$3:$AM$12)</f>
        <v>5</v>
      </c>
    </row>
    <row r="528" spans="7:11">
      <c r="G528" t="s">
        <v>17</v>
      </c>
      <c r="H528" s="2" t="s">
        <v>16</v>
      </c>
      <c r="I528" s="3" t="e">
        <f>LOOKUP(VLOOKUP($H528,$H$352:J$460,4,0),Equivalencias!$AZ$3:$BA$12)</f>
        <v>#REF!</v>
      </c>
      <c r="K528" s="3">
        <f>LOOKUP(VLOOKUP($H528,$H$352:L$460,4,0),Equivalencias!$AZ$3:$BA$12)</f>
        <v>4</v>
      </c>
    </row>
    <row r="529" spans="7:11">
      <c r="G529" t="s">
        <v>17</v>
      </c>
      <c r="H529" s="2" t="s">
        <v>135</v>
      </c>
      <c r="I529" s="3" t="e">
        <f>LOOKUP(VLOOKUP($H529,$H$352:J$460,4,0),Equivalencias!$BB$3:$BC$12)</f>
        <v>#REF!</v>
      </c>
      <c r="K529" s="3">
        <f>LOOKUP(VLOOKUP($H529,$H$352:L$460,4,0),Equivalencias!$BB$3:$BC$12)</f>
        <v>6</v>
      </c>
    </row>
    <row r="530" spans="7:11">
      <c r="G530" t="s">
        <v>17</v>
      </c>
      <c r="H530" s="2" t="s">
        <v>217</v>
      </c>
      <c r="I530" s="3" t="e">
        <f>LOOKUP(VLOOKUP($H530,$H$352:J$460,4,0),Equivalencias!$BD$3:$BE$12)</f>
        <v>#REF!</v>
      </c>
      <c r="K530" s="3">
        <f>LOOKUP(VLOOKUP($H530,$H$352:L$460,4,0),Equivalencias!$BD$3:$BE$12)</f>
        <v>4</v>
      </c>
    </row>
    <row r="531" spans="7:11">
      <c r="G531" s="6" t="s">
        <v>63</v>
      </c>
      <c r="H531" s="7" t="s">
        <v>130</v>
      </c>
      <c r="I531" s="3" t="e">
        <f>LOOKUP(VLOOKUP($H531,$H$352:J$460,4,0),Equivalencias!$BF$3:$BG$12)</f>
        <v>#REF!</v>
      </c>
      <c r="K531" s="3">
        <f>LOOKUP(VLOOKUP($H531,$H$352:L$460,4,0),Equivalencias!$BF$3:$BG$12)</f>
        <v>10</v>
      </c>
    </row>
    <row r="532" spans="7:11">
      <c r="G532" s="6" t="s">
        <v>63</v>
      </c>
      <c r="H532" s="7" t="s">
        <v>62</v>
      </c>
      <c r="I532" s="3" t="e">
        <f>LOOKUP(VLOOKUP($H532,$H$352:J$460,4,0),Equivalencias!$BH$3:$BI$12)</f>
        <v>#REF!</v>
      </c>
      <c r="K532" s="3">
        <f>LOOKUP(VLOOKUP($H532,$H$352:L$460,4,0),Equivalencias!$BH$3:$BI$12)</f>
        <v>5</v>
      </c>
    </row>
    <row r="533" spans="7:11">
      <c r="G533" s="6" t="s">
        <v>63</v>
      </c>
      <c r="H533" s="7" t="s">
        <v>244</v>
      </c>
      <c r="I533" s="3" t="e">
        <f>LOOKUP(VLOOKUP($H533,$H$352:J$460,4,0),Equivalencias!$BJ$3:$BK$12)</f>
        <v>#REF!</v>
      </c>
      <c r="K533" s="3">
        <f>LOOKUP(VLOOKUP($H533,$H$352:L$460,4,0),Equivalencias!$BJ$3:$BK$12)</f>
        <v>1</v>
      </c>
    </row>
    <row r="534" spans="7:11">
      <c r="G534" t="s">
        <v>461</v>
      </c>
      <c r="H534" s="2" t="s">
        <v>269</v>
      </c>
      <c r="I534" s="3" t="e">
        <f>LOOKUP(VLOOKUP($H534,$H$352:J$460,4,0),Equivalencias!$BR$3:$BS$12)</f>
        <v>#REF!</v>
      </c>
      <c r="K534" s="3">
        <f>LOOKUP(VLOOKUP($H534,$H$352:L$460,4,0),Equivalencias!$BR$3:$BS$12)</f>
        <v>8</v>
      </c>
    </row>
    <row r="535" spans="7:11">
      <c r="G535" t="s">
        <v>461</v>
      </c>
      <c r="H535" s="2" t="s">
        <v>125</v>
      </c>
      <c r="I535" s="3" t="e">
        <f>LOOKUP(VLOOKUP($H535,$H$352:J$460,4,0),Equivalencias!$BT$3:$BU$12)</f>
        <v>#REF!</v>
      </c>
      <c r="K535" s="3">
        <f>LOOKUP(VLOOKUP($H535,$H$352:L$460,4,0),Equivalencias!$BT$3:$BU$12)</f>
        <v>9</v>
      </c>
    </row>
    <row r="536" spans="7:11">
      <c r="G536" t="s">
        <v>461</v>
      </c>
      <c r="H536" s="2" t="s">
        <v>445</v>
      </c>
      <c r="I536" s="3" t="e">
        <f>LOOKUP(VLOOKUP($H536,$H$352:J$460,4,0),Equivalencias!$BV$3:$BW$12)</f>
        <v>#REF!</v>
      </c>
      <c r="K536" s="3">
        <f>LOOKUP(VLOOKUP($H536,$H$352:L$460,4,0),Equivalencias!$BV$3:$BW$12)</f>
        <v>7</v>
      </c>
    </row>
    <row r="537" spans="7:11">
      <c r="G537" s="6" t="s">
        <v>547</v>
      </c>
      <c r="H537" s="7" t="s">
        <v>546</v>
      </c>
      <c r="I537" s="3" t="e">
        <f>LOOKUP(VLOOKUP($H537,$H$352:J$460,4,0),Equivalencias!$AB$3:$AC$12)</f>
        <v>#REF!</v>
      </c>
      <c r="K537" s="3">
        <f>LOOKUP(VLOOKUP($H537,$H$352:L$460,4,0),Equivalencias!$AB$3:$AC$12)</f>
        <v>4</v>
      </c>
    </row>
    <row r="538" spans="7:11">
      <c r="G538" s="6" t="s">
        <v>547</v>
      </c>
      <c r="H538" s="7" t="s">
        <v>435</v>
      </c>
      <c r="I538" s="3" t="e">
        <f>LOOKUP(VLOOKUP($H538,$H$352:J$460,4,0),Equivalencias!$CP$3:$CQ$12)</f>
        <v>#REF!</v>
      </c>
      <c r="K538" s="3">
        <f>LOOKUP(VLOOKUP($H538,$H$352:L$460,4,0),Equivalencias!$CP$3:$CQ$12)</f>
        <v>6</v>
      </c>
    </row>
    <row r="539" spans="7:11">
      <c r="G539" s="6" t="s">
        <v>547</v>
      </c>
      <c r="H539" s="7" t="s">
        <v>436</v>
      </c>
      <c r="I539" s="3" t="e">
        <f>LOOKUP(VLOOKUP($H539,$H$352:J$460,4,0),Equivalencias!$AJ$3:$AK$12)</f>
        <v>#REF!</v>
      </c>
      <c r="K539" s="3">
        <f>LOOKUP(VLOOKUP($H539,$H$352:L$460,4,0),Equivalencias!$AJ$3:$AK$12)</f>
        <v>7</v>
      </c>
    </row>
    <row r="540" spans="7:11">
      <c r="G540" t="s">
        <v>425</v>
      </c>
      <c r="H540" s="2" t="s">
        <v>427</v>
      </c>
      <c r="I540" s="3" t="e">
        <f>LOOKUP(VLOOKUP($H540,$H$352:J$460,4,0),Equivalencias!$BX$3:$BY$12)</f>
        <v>#REF!</v>
      </c>
      <c r="K540" s="3">
        <f>LOOKUP(VLOOKUP($H540,$H$352:L$460,4,0),Equivalencias!$BX$3:$BY$12)</f>
        <v>6</v>
      </c>
    </row>
    <row r="541" spans="7:11">
      <c r="G541" t="s">
        <v>425</v>
      </c>
      <c r="H541" s="2" t="s">
        <v>426</v>
      </c>
      <c r="I541" s="3" t="e">
        <f>LOOKUP(VLOOKUP($H541,$H$352:J$460,4,0),Equivalencias!$X$3:$Y$12)</f>
        <v>#REF!</v>
      </c>
      <c r="K541" s="3">
        <f>LOOKUP(VLOOKUP($H541,$H$352:L$460,4,0),Equivalencias!$X$3:$Y$12)</f>
        <v>1</v>
      </c>
    </row>
    <row r="542" spans="7:11">
      <c r="G542" t="s">
        <v>425</v>
      </c>
      <c r="H542" s="2" t="s">
        <v>1073</v>
      </c>
      <c r="I542" s="3" t="e">
        <f>LOOKUP(VLOOKUP($H542,$H$352:J$460,4,0),Equivalencias!$AX$3:$AY$12)</f>
        <v>#REF!</v>
      </c>
      <c r="K542" s="3">
        <f>LOOKUP(VLOOKUP($H542,$H$352:L$460,4,0),Equivalencias!$AX$3:$AY$12)</f>
        <v>10</v>
      </c>
    </row>
    <row r="543" spans="7:11">
      <c r="G543" s="6" t="s">
        <v>428</v>
      </c>
      <c r="H543" s="7" t="s">
        <v>429</v>
      </c>
      <c r="I543" s="3" t="e">
        <f>LOOKUP(VLOOKUP($H543,$H$352:J$460,4,0),Equivalencias!$AZ$3:$BA$12)</f>
        <v>#REF!</v>
      </c>
      <c r="K543" s="3">
        <f>LOOKUP(VLOOKUP($H543,$H$352:L$460,4,0),Equivalencias!$AZ$3:$BA$12)</f>
        <v>4</v>
      </c>
    </row>
    <row r="544" spans="7:11">
      <c r="G544" s="6" t="s">
        <v>428</v>
      </c>
      <c r="H544" s="7" t="s">
        <v>430</v>
      </c>
      <c r="I544" s="3" t="e">
        <f>LOOKUP(VLOOKUP($H544,$H$352:J$460,4,0),Equivalencias!$BN$3:$BO$12)</f>
        <v>#REF!</v>
      </c>
      <c r="K544" s="3">
        <f>LOOKUP(VLOOKUP($H544,$H$352:L$460,4,0),Equivalencias!$BN$3:$BO$12)</f>
        <v>3</v>
      </c>
    </row>
    <row r="545" spans="7:11">
      <c r="G545" s="6" t="s">
        <v>428</v>
      </c>
      <c r="H545" s="7" t="s">
        <v>431</v>
      </c>
      <c r="I545" s="3" t="e">
        <f>LOOKUP(VLOOKUP($H545,$H$352:J$460,4,0),Equivalencias!$CN$3:$CO$12)</f>
        <v>#REF!</v>
      </c>
      <c r="K545" s="3">
        <f>LOOKUP(VLOOKUP($H545,$H$352:L$460,4,0),Equivalencias!$CN$3:$CO$12)</f>
        <v>9</v>
      </c>
    </row>
    <row r="546" spans="7:11">
      <c r="G546" t="s">
        <v>475</v>
      </c>
      <c r="H546" s="2" t="s">
        <v>197</v>
      </c>
      <c r="I546" s="3" t="e">
        <f>LOOKUP(VLOOKUP($H546,$H$352:J$460,4,0),Equivalencias!$BL$3:$BM$12)</f>
        <v>#REF!</v>
      </c>
      <c r="K546" s="3">
        <f>LOOKUP(VLOOKUP($H546,$H$352:L$460,4,0),Equivalencias!$BL$3:$BM$12)</f>
        <v>9</v>
      </c>
    </row>
    <row r="547" spans="7:11">
      <c r="G547" t="s">
        <v>475</v>
      </c>
      <c r="H547" s="2" t="s">
        <v>117</v>
      </c>
      <c r="I547" s="3" t="e">
        <f>LOOKUP(VLOOKUP($H547,$H$352:J$460,4,0),Equivalencias!$BN$3:$BO$12)</f>
        <v>#REF!</v>
      </c>
      <c r="K547" s="3">
        <f>LOOKUP(VLOOKUP($H547,$H$352:L$460,4,0),Equivalencias!$BN$3:$BO$12)</f>
        <v>3</v>
      </c>
    </row>
    <row r="548" spans="7:11">
      <c r="G548" t="s">
        <v>475</v>
      </c>
      <c r="H548" s="2" t="s">
        <v>302</v>
      </c>
      <c r="I548" s="3" t="e">
        <f>LOOKUP(VLOOKUP($H548,$H$352:J$460,4,0),Equivalencias!$BP$3:$BQ$12)</f>
        <v>#REF!</v>
      </c>
      <c r="K548" s="3">
        <f>LOOKUP(VLOOKUP($H548,$H$352:L$460,4,0),Equivalencias!$BP$3:$BQ$12)</f>
        <v>8</v>
      </c>
    </row>
    <row r="549" spans="7:11">
      <c r="G549" s="6" t="s">
        <v>571</v>
      </c>
      <c r="H549" s="7" t="s">
        <v>27</v>
      </c>
      <c r="I549" s="3" t="e">
        <f>LOOKUP(VLOOKUP($H549,$H$352:J$460,4,0),Equivalencias!$BX$2:$BY$12)</f>
        <v>#REF!</v>
      </c>
      <c r="K549" s="3">
        <f>LOOKUP(VLOOKUP($H549,$H$352:L$460,4,0),Equivalencias!$BX$2:$BY$12)</f>
        <v>6</v>
      </c>
    </row>
    <row r="550" spans="7:11">
      <c r="G550" s="6" t="s">
        <v>571</v>
      </c>
      <c r="H550" s="7" t="s">
        <v>103</v>
      </c>
      <c r="I550" s="3" t="e">
        <f>LOOKUP(VLOOKUP($H550,$H$352:J$460,4,0),Equivalencias!$BZ$3:$CA$12)</f>
        <v>#REF!</v>
      </c>
      <c r="K550" s="3">
        <f>LOOKUP(VLOOKUP($H550,$H$352:L$460,4,0),Equivalencias!$BZ$3:$CA$12)</f>
        <v>4</v>
      </c>
    </row>
    <row r="551" spans="7:11">
      <c r="G551" s="6" t="s">
        <v>571</v>
      </c>
      <c r="H551" s="7" t="s">
        <v>184</v>
      </c>
      <c r="I551" s="3" t="e">
        <f>LOOKUP(VLOOKUP($H551,$H$352:J$460,4,0),Equivalencias!$CB$3:$CC$12)</f>
        <v>#REF!</v>
      </c>
      <c r="K551" s="3">
        <f>LOOKUP(VLOOKUP($H551,$H$352:L$460,4,0),Equivalencias!$CB$3:$CC$12)</f>
        <v>3</v>
      </c>
    </row>
    <row r="552" spans="7:11">
      <c r="G552" t="s">
        <v>432</v>
      </c>
      <c r="H552" s="2" t="s">
        <v>1074</v>
      </c>
      <c r="I552" s="3" t="e">
        <f>LOOKUP(VLOOKUP($H552,$H$352:J$460,4,0),Equivalencias!$CF$3:$CG$12)</f>
        <v>#REF!</v>
      </c>
      <c r="K552" s="3">
        <f>LOOKUP(VLOOKUP($H552,$H$352:L$460,4,0),Equivalencias!$CF$3:$CG$12)</f>
        <v>8</v>
      </c>
    </row>
    <row r="553" spans="7:11">
      <c r="G553" t="s">
        <v>432</v>
      </c>
      <c r="H553" s="2" t="s">
        <v>434</v>
      </c>
      <c r="I553" s="3" t="e">
        <f>LOOKUP(VLOOKUP($H553,$H$352:J$460,4,0),Equivalencias!$CL$3:$CM$12)</f>
        <v>#REF!</v>
      </c>
      <c r="K553" s="3">
        <f>LOOKUP(VLOOKUP($H553,$H$352:L$460,4,0),Equivalencias!$CL$3:$CM$12)</f>
        <v>7</v>
      </c>
    </row>
    <row r="554" spans="7:11">
      <c r="G554" t="s">
        <v>432</v>
      </c>
      <c r="H554" s="2" t="s">
        <v>433</v>
      </c>
      <c r="I554" s="3" t="e">
        <f>LOOKUP(VLOOKUP($H554,$H$352:J$460,4,0),Equivalencias!$DL$3:$DM$12)</f>
        <v>#REF!</v>
      </c>
      <c r="K554" s="3">
        <f>LOOKUP(VLOOKUP($H554,$H$352:L$460,4,0),Equivalencias!$DL$3:$DM$12)</f>
        <v>4</v>
      </c>
    </row>
    <row r="555" spans="7:11">
      <c r="G555" s="6" t="s">
        <v>569</v>
      </c>
      <c r="H555" s="7" t="s">
        <v>1075</v>
      </c>
      <c r="I555" s="3" t="e">
        <f>LOOKUP(VLOOKUP($H555,$H$352:J$460,4,0),Equivalencias!$CH$3:$CI$12)</f>
        <v>#REF!</v>
      </c>
      <c r="K555" s="3">
        <f>LOOKUP(VLOOKUP($H555,$H$352:L$460,4,0),Equivalencias!$CH$3:$CI$12)</f>
        <v>3</v>
      </c>
    </row>
    <row r="556" spans="7:11">
      <c r="G556" s="6" t="s">
        <v>569</v>
      </c>
      <c r="H556" s="7" t="s">
        <v>421</v>
      </c>
      <c r="I556" s="3" t="e">
        <f>LOOKUP(VLOOKUP($H556,$H$352:J$460,4,0),Equivalencias!$Z$3:$AA$12)</f>
        <v>#REF!</v>
      </c>
      <c r="K556" s="3">
        <f>LOOKUP(VLOOKUP($H556,$H$352:L$460,4,0),Equivalencias!$Z$3:$AA$12)</f>
        <v>10</v>
      </c>
    </row>
    <row r="557" spans="7:11">
      <c r="G557" s="6" t="s">
        <v>569</v>
      </c>
      <c r="H557" s="7" t="s">
        <v>420</v>
      </c>
      <c r="I557" s="3" t="e">
        <f>LOOKUP(VLOOKUP($H557,$H$352:J$460,4,0),Equivalencias!$BZ$3:$CA$12)</f>
        <v>#REF!</v>
      </c>
      <c r="K557" s="3">
        <f>LOOKUP(VLOOKUP($H557,$H$352:L$460,4,0),Equivalencias!$BZ$3:$CA$12)</f>
        <v>4</v>
      </c>
    </row>
    <row r="558" spans="7:11">
      <c r="G558" t="s">
        <v>468</v>
      </c>
      <c r="H558" s="2" t="s">
        <v>258</v>
      </c>
      <c r="I558" s="3" t="e">
        <f>LOOKUP(VLOOKUP($H558,$H$352:J$460,4,0),Equivalencias!$CZ$3:$DA$12)</f>
        <v>#REF!</v>
      </c>
      <c r="K558" s="3">
        <f>LOOKUP(VLOOKUP($H558,$H$352:L$460,4,0),Equivalencias!$CZ$3:$DA$12)</f>
        <v>3</v>
      </c>
    </row>
    <row r="559" spans="7:11">
      <c r="G559" t="s">
        <v>468</v>
      </c>
      <c r="H559" s="2" t="s">
        <v>437</v>
      </c>
      <c r="I559" s="3" t="e">
        <f>LOOKUP(VLOOKUP($H559,$H$352:J$460,4,0),Equivalencias!$BP$3:$BQ$12)</f>
        <v>#REF!</v>
      </c>
      <c r="K559" s="3">
        <f>LOOKUP(VLOOKUP($H559,$H$352:L$460,4,0),Equivalencias!$BP$3:$BQ$12)</f>
        <v>8</v>
      </c>
    </row>
    <row r="560" spans="7:11">
      <c r="G560" t="s">
        <v>468</v>
      </c>
      <c r="H560" s="2" t="s">
        <v>438</v>
      </c>
      <c r="I560" s="3" t="e">
        <f>LOOKUP(VLOOKUP($H560,$H$352:J$460,4,0),Equivalencias!$CB$3:$CC$12)</f>
        <v>#REF!</v>
      </c>
      <c r="K560" s="3">
        <f>LOOKUP(VLOOKUP($H560,$H$352:L$460,4,0),Equivalencias!$CB$3:$CC$12)</f>
        <v>3</v>
      </c>
    </row>
    <row r="561" spans="7:11">
      <c r="G561" s="6" t="s">
        <v>686</v>
      </c>
      <c r="H561" s="7" t="s">
        <v>628</v>
      </c>
      <c r="I561" s="3" t="e">
        <f>LOOKUP(VLOOKUP($H561,$H$352:J$460,4,0),Equivalencias!$CD$3:$CE$12)</f>
        <v>#REF!</v>
      </c>
      <c r="K561" s="3">
        <f>LOOKUP(VLOOKUP($H561,$H$352:L$460,4,0),Equivalencias!$CD$3:$CE$12)</f>
        <v>6</v>
      </c>
    </row>
    <row r="562" spans="7:11">
      <c r="G562" s="6" t="s">
        <v>686</v>
      </c>
      <c r="H562" s="7" t="s">
        <v>1066</v>
      </c>
      <c r="I562" s="3" t="e">
        <f>LOOKUP(VLOOKUP($H562,$H$352:J$460,4,0),Equivalencias!$CF$3:$CG$12)</f>
        <v>#REF!</v>
      </c>
      <c r="K562" s="3">
        <f>LOOKUP(VLOOKUP($H562,$H$352:L$460,4,0),Equivalencias!$CF$3:$CG$12)</f>
        <v>8</v>
      </c>
    </row>
    <row r="563" spans="7:11">
      <c r="G563" s="6" t="s">
        <v>686</v>
      </c>
      <c r="H563" s="7" t="s">
        <v>673</v>
      </c>
      <c r="I563" s="3" t="e">
        <f>LOOKUP(VLOOKUP($H563,$H$352:J$460,4,0),Equivalencias!$CH$3:$CI$12)</f>
        <v>#REF!</v>
      </c>
      <c r="K563" s="3">
        <f>LOOKUP(VLOOKUP($H563,$H$352:L$460,4,0),Equivalencias!$CH$3:$CI$12)</f>
        <v>3</v>
      </c>
    </row>
    <row r="564" spans="7:11">
      <c r="G564" t="s">
        <v>621</v>
      </c>
      <c r="H564" s="2" t="s">
        <v>415</v>
      </c>
      <c r="I564" s="3" t="e">
        <f>LOOKUP(VLOOKUP($H564,$H$352:J$460,4,0),Equivalencias!$BR$3:$BS$12)</f>
        <v>#REF!</v>
      </c>
      <c r="K564" s="3">
        <f>LOOKUP(VLOOKUP($H564,$H$352:L$460,4,0),Equivalencias!$BR$3:$BS$12)</f>
        <v>8</v>
      </c>
    </row>
    <row r="565" spans="7:11">
      <c r="G565" t="s">
        <v>621</v>
      </c>
      <c r="H565" s="2" t="s">
        <v>451</v>
      </c>
      <c r="I565" s="3" t="e">
        <f>LOOKUP(VLOOKUP($H565,$H$352:J$460,4,0),Equivalencias!$GR$3:$GS$12)</f>
        <v>#REF!</v>
      </c>
      <c r="K565" s="3">
        <f>LOOKUP(VLOOKUP($H565,$H$352:L$460,4,0),Equivalencias!$GR$3:$GS$12)</f>
        <v>10</v>
      </c>
    </row>
    <row r="566" spans="7:11">
      <c r="G566" t="s">
        <v>621</v>
      </c>
      <c r="H566" s="2" t="s">
        <v>418</v>
      </c>
      <c r="I566" s="3" t="e">
        <f>LOOKUP(VLOOKUP($H566,$H$352:J$460,4,0),Equivalencias!$BJ$3:$BK$12)</f>
        <v>#REF!</v>
      </c>
      <c r="K566" s="3">
        <f>LOOKUP(VLOOKUP($H566,$H$352:L$460,4,0),Equivalencias!$BJ$3:$BK$12)</f>
        <v>1</v>
      </c>
    </row>
    <row r="567" spans="7:11">
      <c r="G567" s="6" t="s">
        <v>442</v>
      </c>
      <c r="H567" s="7" t="s">
        <v>423</v>
      </c>
      <c r="I567" s="3" t="e">
        <f>LOOKUP(VLOOKUP($H567,$H$352:J$460,4,0),Equivalencias!$CJ$3:$CK$12)</f>
        <v>#REF!</v>
      </c>
      <c r="K567" s="3">
        <f>LOOKUP(VLOOKUP($H567,$H$352:L$460,4,0),Equivalencias!$CJ$3:$CK$12)</f>
        <v>7</v>
      </c>
    </row>
    <row r="568" spans="7:11">
      <c r="G568" s="6" t="s">
        <v>442</v>
      </c>
      <c r="H568" s="7" t="s">
        <v>563</v>
      </c>
      <c r="I568" s="3" t="e">
        <f>LOOKUP(VLOOKUP($H568,$H$352:J$460,4,0),Equivalencias!$AL$3:$AM$12)</f>
        <v>#REF!</v>
      </c>
      <c r="K568" s="3">
        <f>LOOKUP(VLOOKUP($H568,$H$352:L$460,4,0),Equivalencias!$AL$3:$AM$12)</f>
        <v>5</v>
      </c>
    </row>
    <row r="569" spans="7:11">
      <c r="G569" s="6" t="s">
        <v>442</v>
      </c>
      <c r="H569" s="7" t="s">
        <v>1074</v>
      </c>
      <c r="I569" s="3" t="e">
        <f>LOOKUP(VLOOKUP($H569,$H$352:J$460,4,0),Equivalencias!$CF$3:$CG$12)</f>
        <v>#REF!</v>
      </c>
      <c r="K569" s="3">
        <f>LOOKUP(VLOOKUP($H569,$H$352:L$460,4,0),Equivalencias!$CF$3:$CG$12)</f>
        <v>8</v>
      </c>
    </row>
    <row r="570" spans="7:11">
      <c r="G570" t="s">
        <v>106</v>
      </c>
      <c r="H570" s="2" t="s">
        <v>105</v>
      </c>
      <c r="I570" s="3" t="e">
        <f>LOOKUP(VLOOKUP($H570,$H$352:J$460,4,0),Equivalencias!$CJ$3:$CK$12)</f>
        <v>#REF!</v>
      </c>
      <c r="K570" s="3">
        <f>LOOKUP(VLOOKUP($H570,$H$352:L$460,4,0),Equivalencias!$CJ$3:$CK$12)</f>
        <v>7</v>
      </c>
    </row>
    <row r="571" spans="7:11">
      <c r="G571" t="s">
        <v>106</v>
      </c>
      <c r="H571" s="2" t="s">
        <v>182</v>
      </c>
      <c r="I571" s="3" t="e">
        <f>LOOKUP(VLOOKUP($H571,$H$352:J$460,4,0),Equivalencias!$CL$3:$CM$12)</f>
        <v>#REF!</v>
      </c>
      <c r="K571" s="3">
        <f>LOOKUP(VLOOKUP($H571,$H$352:L$460,4,0),Equivalencias!$CL$3:$CM$12)</f>
        <v>7</v>
      </c>
    </row>
    <row r="572" spans="7:11">
      <c r="G572" t="s">
        <v>106</v>
      </c>
      <c r="H572" s="2" t="s">
        <v>313</v>
      </c>
      <c r="I572" s="3" t="e">
        <f>LOOKUP(VLOOKUP($H572,$H$352:J$460,4,0),Equivalencias!$CN$3:$CO$12)</f>
        <v>#REF!</v>
      </c>
      <c r="K572" s="3">
        <f>LOOKUP(VLOOKUP($H572,$H$352:L$460,4,0),Equivalencias!$CN$3:$CO$12)</f>
        <v>9</v>
      </c>
    </row>
    <row r="573" spans="7:11">
      <c r="G573" s="6" t="s">
        <v>30</v>
      </c>
      <c r="H573" s="7" t="s">
        <v>266</v>
      </c>
      <c r="I573" s="3" t="e">
        <f>LOOKUP(VLOOKUP($H573,$H$352:J$460,4,0),Equivalencias!$CP$3:$CQ$12)</f>
        <v>#REF!</v>
      </c>
      <c r="K573" s="3">
        <f>LOOKUP(VLOOKUP($H573,$H$352:L$460,4,0),Equivalencias!$CP$3:$CQ$12)</f>
        <v>6</v>
      </c>
    </row>
    <row r="574" spans="7:11">
      <c r="G574" s="6" t="s">
        <v>30</v>
      </c>
      <c r="H574" s="7" t="s">
        <v>29</v>
      </c>
      <c r="I574" s="3" t="e">
        <f>LOOKUP(VLOOKUP($H574,$H$352:J$460,4,0),Equivalencias!$CR$3:$CS$12)</f>
        <v>#REF!</v>
      </c>
      <c r="K574" s="3">
        <f>LOOKUP(VLOOKUP($H574,$H$352:L$460,4,0),Equivalencias!$CR$3:$CS$12)</f>
        <v>10</v>
      </c>
    </row>
    <row r="575" spans="7:11">
      <c r="G575" s="6" t="s">
        <v>30</v>
      </c>
      <c r="H575" s="7" t="s">
        <v>155</v>
      </c>
      <c r="I575" s="3" t="e">
        <f>LOOKUP(VLOOKUP($H575,$H$352:J$460,4,0),Equivalencias!$CT$3:$CU$12)</f>
        <v>#REF!</v>
      </c>
      <c r="K575" s="3">
        <f>LOOKUP(VLOOKUP($H575,$H$352:L$460,4,0),Equivalencias!$CT$3:$CU$12)</f>
        <v>4</v>
      </c>
    </row>
    <row r="576" spans="7:11">
      <c r="G576" t="s">
        <v>549</v>
      </c>
      <c r="H576" s="2" t="s">
        <v>258</v>
      </c>
      <c r="I576" s="3" t="e">
        <f>LOOKUP(VLOOKUP($H576,$H$352:J$460,4,0),Equivalencias!$CZ$3:$DA$12)</f>
        <v>#REF!</v>
      </c>
      <c r="K576" s="3">
        <f>LOOKUP(VLOOKUP($H576,$H$352:L$460,4,0),Equivalencias!$CZ$3:$DA$12)</f>
        <v>3</v>
      </c>
    </row>
    <row r="577" spans="7:11">
      <c r="G577" t="s">
        <v>549</v>
      </c>
      <c r="H577" t="s">
        <v>320</v>
      </c>
      <c r="I577" s="3" t="e">
        <f>LOOKUP(VLOOKUP($H577,$H$352:J$460,4,0),Equivalencias!$CV$3:$CW$12)</f>
        <v>#REF!</v>
      </c>
      <c r="K577" s="3">
        <f>LOOKUP(VLOOKUP($H577,$H$352:L$460,4,0),Equivalencias!$CV$3:$CW$12)</f>
        <v>5</v>
      </c>
    </row>
    <row r="578" spans="7:11">
      <c r="G578" t="s">
        <v>549</v>
      </c>
      <c r="H578" s="2" t="s">
        <v>282</v>
      </c>
      <c r="I578" s="3" t="e">
        <f>LOOKUP(VLOOKUP($H578,$H$352:J$460,4,0),Equivalencias!$CX$3:$CY$12)</f>
        <v>#REF!</v>
      </c>
      <c r="K578" s="3">
        <f>LOOKUP(VLOOKUP($H578,$H$352:L$460,4,0),Equivalencias!$CX$3:$CY$12)</f>
        <v>7</v>
      </c>
    </row>
    <row r="579" spans="7:11">
      <c r="G579" s="6" t="s">
        <v>416</v>
      </c>
      <c r="H579" s="7" t="s">
        <v>419</v>
      </c>
      <c r="I579" s="3" t="e">
        <f>LOOKUP(VLOOKUP($H579,$H$352:J$460,4,0),Equivalencias!$AH$3:$AI$12)</f>
        <v>#REF!</v>
      </c>
      <c r="K579" s="3">
        <f>LOOKUP(VLOOKUP($H579,$H$352:L$460,4,0),Equivalencias!$AH$3:$AI$12)</f>
        <v>6</v>
      </c>
    </row>
    <row r="580" spans="7:11">
      <c r="G580" s="6" t="s">
        <v>416</v>
      </c>
      <c r="H580" s="7" t="s">
        <v>417</v>
      </c>
      <c r="I580" s="3" t="e">
        <f>LOOKUP(VLOOKUP($H580,$H$352:J$460,4,0),Equivalencias!$AF$3:$AG$12)</f>
        <v>#REF!</v>
      </c>
      <c r="K580" s="3">
        <f>LOOKUP(VLOOKUP($H580,$H$352:L$460,4,0),Equivalencias!$AF$3:$AG$12)</f>
        <v>2</v>
      </c>
    </row>
    <row r="581" spans="7:11">
      <c r="G581" s="6" t="s">
        <v>416</v>
      </c>
      <c r="H581" s="7" t="s">
        <v>418</v>
      </c>
      <c r="I581" s="3" t="e">
        <f>LOOKUP(VLOOKUP($H581,$H$352:J$460,4,0),Equivalencias!$BJ$3:$BK$12)</f>
        <v>#REF!</v>
      </c>
      <c r="K581" s="3">
        <f>LOOKUP(VLOOKUP($H581,$H$352:L$460,4,0),Equivalencias!$BJ$3:$BK$12)</f>
        <v>1</v>
      </c>
    </row>
    <row r="582" spans="7:11">
      <c r="G582" t="s">
        <v>55</v>
      </c>
      <c r="H582" s="2" t="s">
        <v>568</v>
      </c>
      <c r="I582" s="3" t="e">
        <f>LOOKUP(VLOOKUP($H582,$H$352:J$460,4,0),Equivalencias!$DB$3:$DC$12)</f>
        <v>#REF!</v>
      </c>
      <c r="K582" s="3">
        <f>LOOKUP(VLOOKUP($H582,$H$352:L$460,4,0),Equivalencias!$DB$3:$DC$12)</f>
        <v>7</v>
      </c>
    </row>
    <row r="583" spans="7:11">
      <c r="G583" t="s">
        <v>55</v>
      </c>
      <c r="H583" s="2" t="s">
        <v>54</v>
      </c>
      <c r="I583" s="3" t="e">
        <f>LOOKUP(VLOOKUP($H583,$H$352:J$460,4,0),Equivalencias!$DD$3:$DE$12)</f>
        <v>#REF!</v>
      </c>
      <c r="K583" s="3">
        <f>LOOKUP(VLOOKUP($H583,$H$352:L$460,4,0),Equivalencias!$DD$3:$DE$12)</f>
        <v>8</v>
      </c>
    </row>
    <row r="584" spans="7:11">
      <c r="G584" t="s">
        <v>55</v>
      </c>
      <c r="H584" s="2" t="s">
        <v>401</v>
      </c>
      <c r="I584" s="3" t="e">
        <f>LOOKUP(VLOOKUP($H584,$H$352:J$460,4,0),Equivalencias!$DF$3:$DG$12)</f>
        <v>#REF!</v>
      </c>
      <c r="K584" s="3">
        <f>LOOKUP(VLOOKUP($H584,$H$352:L$460,4,0),Equivalencias!$DF$3:$DG$12)</f>
        <v>9</v>
      </c>
    </row>
    <row r="585" spans="7:11">
      <c r="G585" s="6" t="s">
        <v>469</v>
      </c>
      <c r="H585" s="7" t="s">
        <v>180</v>
      </c>
      <c r="I585" s="3" t="e">
        <f>LOOKUP(VLOOKUP($H585,$H$352:J$460,4,0),Equivalencias!$AV$3:$AW$12)</f>
        <v>#REF!</v>
      </c>
      <c r="K585" s="3">
        <f>LOOKUP(VLOOKUP($H585,$H$352:L$460,4,0),Equivalencias!$AV$3:$AW$12)</f>
        <v>2</v>
      </c>
    </row>
    <row r="586" spans="7:11">
      <c r="G586" s="6" t="s">
        <v>469</v>
      </c>
      <c r="H586" s="7" t="s">
        <v>113</v>
      </c>
      <c r="I586" s="3" t="e">
        <f>LOOKUP(VLOOKUP($H586,$H$352:J$460,4,0),Equivalencias!$AP$3:$AQ$12)</f>
        <v>#REF!</v>
      </c>
      <c r="K586" s="3">
        <f>LOOKUP(VLOOKUP($H586,$H$352:L$460,4,0),Equivalencias!$AP$3:$AQ$12)</f>
        <v>3</v>
      </c>
    </row>
    <row r="587" spans="7:11">
      <c r="G587" s="6" t="s">
        <v>469</v>
      </c>
      <c r="H587" s="7" t="s">
        <v>470</v>
      </c>
      <c r="I587" s="3" t="e">
        <f>LOOKUP(VLOOKUP($H587,$H$352:J$460,4,0),Equivalencias!$DH$3:$DI$12)</f>
        <v>#REF!</v>
      </c>
      <c r="K587" s="3">
        <f>LOOKUP(VLOOKUP($H587,$H$352:L$460,4,0),Equivalencias!$DH$3:$DI$12)</f>
        <v>8</v>
      </c>
    </row>
    <row r="588" spans="7:11">
      <c r="G588" t="s">
        <v>515</v>
      </c>
      <c r="H588" s="2" t="s">
        <v>22</v>
      </c>
      <c r="I588" s="3" t="e">
        <f>LOOKUP(VLOOKUP($H588,$H$352:J$460,4,0),Equivalencias!$AD$3:$AE$12)</f>
        <v>#REF!</v>
      </c>
      <c r="K588" s="3">
        <f>LOOKUP(VLOOKUP($H588,$H$352:L$460,4,0),Equivalencias!$AD$3:$AE$12)</f>
        <v>9</v>
      </c>
    </row>
    <row r="589" spans="7:11">
      <c r="G589" t="s">
        <v>515</v>
      </c>
      <c r="H589" s="2" t="s">
        <v>135</v>
      </c>
      <c r="I589" s="3" t="e">
        <f>LOOKUP(VLOOKUP($H589,$H$352:J$460,4,0),Equivalencias!$BB$3:$BC$12)</f>
        <v>#REF!</v>
      </c>
      <c r="K589" s="3">
        <f>LOOKUP(VLOOKUP($H589,$H$352:L$460,4,0),Equivalencias!$BB$3:$BC$12)</f>
        <v>6</v>
      </c>
    </row>
    <row r="590" spans="7:11">
      <c r="G590" t="s">
        <v>515</v>
      </c>
      <c r="H590" s="2" t="s">
        <v>197</v>
      </c>
      <c r="I590" s="3" t="e">
        <f>LOOKUP(VLOOKUP($H590,$H$352:J$460,4,0),Equivalencias!$BL$3:$BM$12)</f>
        <v>#REF!</v>
      </c>
      <c r="K590" s="3">
        <f>LOOKUP(VLOOKUP($H590,$H$352:L$460,4,0),Equivalencias!$BL$3:$BM$12)</f>
        <v>9</v>
      </c>
    </row>
    <row r="591" spans="7:11">
      <c r="G591" s="6" t="s">
        <v>472</v>
      </c>
      <c r="H591" s="7" t="s">
        <v>258</v>
      </c>
      <c r="I591" s="3" t="e">
        <f>LOOKUP(VLOOKUP($H591,$H$352:J$460,4,0),Equivalencias!$CZ$3:$DA$12)</f>
        <v>#REF!</v>
      </c>
      <c r="K591" s="3">
        <f>LOOKUP(VLOOKUP($H591,$H$352:L$460,4,0),Equivalencias!$CZ$3:$DA$12)</f>
        <v>3</v>
      </c>
    </row>
    <row r="592" spans="7:11">
      <c r="G592" s="6" t="s">
        <v>472</v>
      </c>
      <c r="H592" s="7" t="s">
        <v>628</v>
      </c>
      <c r="I592" s="3" t="e">
        <f>LOOKUP(VLOOKUP($H592,$H$352:J$460,4,0),Equivalencias!$CD$3:$CE$12)</f>
        <v>#REF!</v>
      </c>
      <c r="K592" s="3">
        <f>LOOKUP(VLOOKUP($H592,$H$352:L$460,4,0),Equivalencias!$CD$3:$CE$12)</f>
        <v>6</v>
      </c>
    </row>
    <row r="593" spans="7:11">
      <c r="G593" s="6" t="s">
        <v>472</v>
      </c>
      <c r="H593" s="7" t="s">
        <v>464</v>
      </c>
      <c r="I593" s="3" t="e">
        <f>LOOKUP(VLOOKUP($H593,$H$352:J$460,4,0),Equivalencias!$Z$3:$AA$12)</f>
        <v>#REF!</v>
      </c>
      <c r="K593" s="3">
        <f>LOOKUP(VLOOKUP($H593,$H$352:L$460,4,0),Equivalencias!$Z$3:$AA$12)</f>
        <v>10</v>
      </c>
    </row>
    <row r="594" spans="7:11">
      <c r="H594" s="2"/>
      <c r="K594" s="3"/>
    </row>
    <row r="595" spans="7:11">
      <c r="G595" s="6" t="s">
        <v>626</v>
      </c>
      <c r="H595" s="7" t="s">
        <v>440</v>
      </c>
      <c r="I595" s="3" t="e">
        <f>LOOKUP(VLOOKUP($H595,$H$352:J$460,4,0),Equivalencias!$DF$3:$DG$12)</f>
        <v>#REF!</v>
      </c>
      <c r="K595" s="3">
        <f>LOOKUP(VLOOKUP($H595,$H$352:L$460,4,0),Equivalencias!$DF$3:$DG$12)</f>
        <v>9</v>
      </c>
    </row>
    <row r="596" spans="7:11">
      <c r="G596" s="6" t="s">
        <v>626</v>
      </c>
      <c r="H596" s="7" t="s">
        <v>441</v>
      </c>
      <c r="I596" s="3" t="e">
        <f>LOOKUP(VLOOKUP($H596,$H$352:J$460,4,0),Equivalencias!$BB$3:$BC$12)</f>
        <v>#REF!</v>
      </c>
      <c r="K596" s="3">
        <f>LOOKUP(VLOOKUP($H596,$H$352:L$460,4,0),Equivalencias!$BB$3:$BC$12)</f>
        <v>6</v>
      </c>
    </row>
    <row r="597" spans="7:11">
      <c r="G597" s="6" t="s">
        <v>626</v>
      </c>
      <c r="H597" s="7" t="s">
        <v>429</v>
      </c>
      <c r="I597" s="3" t="e">
        <f>LOOKUP(VLOOKUP($H597,$H$352:J$460,4,0),Equivalencias!$AZ$3:$BA$12)</f>
        <v>#REF!</v>
      </c>
      <c r="K597" s="3">
        <f>LOOKUP(VLOOKUP($H597,$H$352:L$460,4,0),Equivalencias!$AZ$3:$BA$12)</f>
        <v>4</v>
      </c>
    </row>
    <row r="598" spans="7:11">
      <c r="G598" s="6" t="s">
        <v>626</v>
      </c>
      <c r="H598" s="7" t="s">
        <v>418</v>
      </c>
      <c r="I598" s="3" t="e">
        <f>LOOKUP(VLOOKUP($H598,$H$352:J$460,4,0),Equivalencias!$BJ$3:$BK$12)</f>
        <v>#REF!</v>
      </c>
      <c r="K598" s="3">
        <f>LOOKUP(VLOOKUP($H598,$H$352:L$460,4,0),Equivalencias!$BJ$3:$BK$12)</f>
        <v>1</v>
      </c>
    </row>
    <row r="599" spans="7:11">
      <c r="G599" t="s">
        <v>443</v>
      </c>
      <c r="H599" s="2" t="s">
        <v>426</v>
      </c>
      <c r="I599" s="3" t="e">
        <f>LOOKUP(VLOOKUP($H599,$H$352:J$460,4,0),Equivalencias!$X$3:$Y$12)</f>
        <v>#REF!</v>
      </c>
      <c r="K599" s="3">
        <f>LOOKUP(VLOOKUP($H599,$H$352:L$460,4,0),Equivalencias!$X$3:$Y$12)</f>
        <v>1</v>
      </c>
    </row>
    <row r="600" spans="7:11">
      <c r="G600" t="s">
        <v>443</v>
      </c>
      <c r="H600" s="2" t="s">
        <v>434</v>
      </c>
      <c r="I600" s="3" t="e">
        <f>LOOKUP(VLOOKUP($H600,$H$352:J$460,4,0),Equivalencias!$CL$3:$CM$12)</f>
        <v>#REF!</v>
      </c>
      <c r="K600" s="3">
        <f>LOOKUP(VLOOKUP($H600,$H$352:L$460,4,0),Equivalencias!$CL$3:$CM$12)</f>
        <v>7</v>
      </c>
    </row>
    <row r="601" spans="7:11">
      <c r="G601" t="s">
        <v>443</v>
      </c>
      <c r="H601" s="2" t="s">
        <v>438</v>
      </c>
      <c r="I601" s="3" t="e">
        <f>LOOKUP(VLOOKUP($H601,$H$352:J$460,4,0),Equivalencias!$CB$3:$CC$12)</f>
        <v>#REF!</v>
      </c>
      <c r="K601" s="3">
        <f>LOOKUP(VLOOKUP($H601,$H$352:L$460,4,0),Equivalencias!$CB$3:$CC$12)</f>
        <v>3</v>
      </c>
    </row>
    <row r="602" spans="7:11">
      <c r="G602" t="s">
        <v>443</v>
      </c>
      <c r="H602" s="2" t="s">
        <v>444</v>
      </c>
      <c r="I602" s="3" t="e">
        <f>LOOKUP(VLOOKUP($H602,$H$352:J$460,4,0),Equivalencias!$BT$3:$BU$12)</f>
        <v>#REF!</v>
      </c>
      <c r="K602" s="3">
        <f>LOOKUP(VLOOKUP($H602,$H$352:L$460,4,0),Equivalencias!$BT$3:$BU$12)</f>
        <v>9</v>
      </c>
    </row>
    <row r="603" spans="7:11">
      <c r="G603" s="6" t="s">
        <v>446</v>
      </c>
      <c r="H603" s="7" t="s">
        <v>440</v>
      </c>
      <c r="I603" s="3" t="e">
        <f>LOOKUP(VLOOKUP($H603,$H$352:J$460,4,0),Equivalencias!$DF$3:$DG$12)</f>
        <v>#REF!</v>
      </c>
      <c r="K603" s="3">
        <f>LOOKUP(VLOOKUP($H603,$H$352:L$460,4,0),Equivalencias!$DF$3:$DG$12)</f>
        <v>9</v>
      </c>
    </row>
    <row r="604" spans="7:11">
      <c r="G604" s="6" t="s">
        <v>446</v>
      </c>
      <c r="H604" s="7" t="s">
        <v>448</v>
      </c>
      <c r="I604" s="3" t="e">
        <f>LOOKUP(VLOOKUP($H604,$H$352:J$460,4,0),Equivalencias!$DJ$3:$DK$12)</f>
        <v>#REF!</v>
      </c>
      <c r="K604" s="3">
        <f>LOOKUP(VLOOKUP($H604,$H$352:L$460,4,0),Equivalencias!$DJ$3:$DK$12)</f>
        <v>7</v>
      </c>
    </row>
    <row r="605" spans="7:11">
      <c r="G605" s="6" t="s">
        <v>446</v>
      </c>
      <c r="H605" s="7" t="s">
        <v>435</v>
      </c>
      <c r="I605" s="3" t="e">
        <f>LOOKUP(VLOOKUP($H605,$H$352:J$460,4,0),Equivalencias!$CP$3:$CQ$12)</f>
        <v>#REF!</v>
      </c>
      <c r="K605" s="3">
        <f>LOOKUP(VLOOKUP($H605,$H$352:L$460,4,0),Equivalencias!$CP$3:$CQ$12)</f>
        <v>6</v>
      </c>
    </row>
    <row r="606" spans="7:11">
      <c r="G606" s="6" t="s">
        <v>446</v>
      </c>
      <c r="H606" s="7" t="s">
        <v>433</v>
      </c>
      <c r="I606" s="3" t="e">
        <f>LOOKUP(VLOOKUP($H606,$H$352:J$460,4,0),Equivalencias!$DL$3:$DM$12)</f>
        <v>#REF!</v>
      </c>
      <c r="K606" s="3">
        <f>LOOKUP(VLOOKUP($H606,$H$352:L$460,4,0),Equivalencias!$DL$3:$DM$12)</f>
        <v>4</v>
      </c>
    </row>
    <row r="607" spans="7:11">
      <c r="G607" t="s">
        <v>449</v>
      </c>
      <c r="H607" s="2" t="s">
        <v>415</v>
      </c>
      <c r="I607" s="3" t="e">
        <f>LOOKUP(VLOOKUP($H607,$H$352:J$460,4,0),Equivalencias!$BR$3:$BS$12)</f>
        <v>#REF!</v>
      </c>
      <c r="K607" s="3">
        <f>LOOKUP(VLOOKUP($H607,$H$352:L$460,4,0),Equivalencias!$BR$3:$BS$12)</f>
        <v>8</v>
      </c>
    </row>
    <row r="608" spans="7:11">
      <c r="G608" t="s">
        <v>449</v>
      </c>
      <c r="H608" s="2" t="s">
        <v>450</v>
      </c>
      <c r="I608" s="3" t="e">
        <f>LOOKUP(VLOOKUP($H608,$H$352:J$460,4,0),Equivalencias!$CT$3:$CU$12)</f>
        <v>#REF!</v>
      </c>
      <c r="K608" s="3">
        <f>LOOKUP(VLOOKUP($H608,$H$352:L$460,4,0),Equivalencias!$CT$3:$CU$12)</f>
        <v>4</v>
      </c>
    </row>
    <row r="609" spans="1:11">
      <c r="G609" t="s">
        <v>449</v>
      </c>
      <c r="H609" s="2" t="s">
        <v>418</v>
      </c>
      <c r="I609" s="3" t="e">
        <f>LOOKUP(VLOOKUP($H609,$H$352:J$460,4,0),Equivalencias!$BJ$3:$BK$12)</f>
        <v>#REF!</v>
      </c>
      <c r="K609" s="3">
        <f>LOOKUP(VLOOKUP($H609,$H$352:L$460,4,0),Equivalencias!$BJ$3:$BK$12)</f>
        <v>1</v>
      </c>
    </row>
    <row r="610" spans="1:11">
      <c r="G610" t="s">
        <v>449</v>
      </c>
      <c r="H610" s="2" t="s">
        <v>451</v>
      </c>
      <c r="I610" s="3" t="e">
        <f>LOOKUP(VLOOKUP($H610,$H$352:J$460,4,0),Equivalencias!$CR$3:$CS$12)</f>
        <v>#REF!</v>
      </c>
      <c r="K610" s="3">
        <f>LOOKUP(VLOOKUP($H610,$H$352:L$460,4,0),Equivalencias!$CR$3:$CS$12)</f>
        <v>10</v>
      </c>
    </row>
    <row r="611" spans="1:11">
      <c r="H611" s="2"/>
      <c r="K611" s="3"/>
    </row>
    <row r="612" spans="1:11">
      <c r="G612" s="6" t="s">
        <v>452</v>
      </c>
      <c r="H612" s="7" t="s">
        <v>320</v>
      </c>
      <c r="I612" s="3" t="e">
        <f>LOOKUP(VLOOKUP($H612,$H$352:J$460,4,0),Equivalencias!$CV$3:$CW$12)</f>
        <v>#REF!</v>
      </c>
      <c r="K612" s="3">
        <f>LOOKUP(VLOOKUP($H612,$H$352:L$460,4,0),Equivalencias!$CV$3:$CW$12)</f>
        <v>5</v>
      </c>
    </row>
    <row r="613" spans="1:11">
      <c r="G613" s="6" t="s">
        <v>452</v>
      </c>
      <c r="H613" s="7" t="s">
        <v>282</v>
      </c>
      <c r="I613" s="3" t="e">
        <f>LOOKUP(VLOOKUP($H613,$H$352:J$460,4,0),Equivalencias!$CX$3:$CY$12)</f>
        <v>#REF!</v>
      </c>
      <c r="K613" s="3">
        <f>LOOKUP(VLOOKUP($H613,$H$352:L$460,4,0),Equivalencias!$CX$3:$CY$12)</f>
        <v>7</v>
      </c>
    </row>
    <row r="614" spans="1:11">
      <c r="K614" s="3"/>
    </row>
    <row r="615" spans="1:11">
      <c r="K615" s="3"/>
    </row>
    <row r="616" spans="1:11">
      <c r="A616" s="1" t="s">
        <v>460</v>
      </c>
      <c r="E616" s="80" t="s">
        <v>505</v>
      </c>
      <c r="G616" s="17" t="s">
        <v>527</v>
      </c>
      <c r="H616" s="97" t="s">
        <v>143</v>
      </c>
      <c r="I616" s="11">
        <f>AVERAGE(I352:I354)</f>
        <v>16</v>
      </c>
      <c r="K616" s="11">
        <f>AVERAGE(K352:K354)</f>
        <v>10.666666666666666</v>
      </c>
    </row>
    <row r="617" spans="1:11">
      <c r="E617" s="80" t="s">
        <v>506</v>
      </c>
      <c r="G617" s="17" t="s">
        <v>527</v>
      </c>
      <c r="H617" s="97" t="s">
        <v>17</v>
      </c>
      <c r="I617" s="3">
        <f>AVERAGE(I367:I369)</f>
        <v>12.666666666666666</v>
      </c>
      <c r="K617" s="3">
        <f>AVERAGE(K367:K369)</f>
        <v>10.666666666666666</v>
      </c>
    </row>
    <row r="618" spans="1:11">
      <c r="G618" s="12" t="s">
        <v>523</v>
      </c>
      <c r="H618" s="73" t="s">
        <v>686</v>
      </c>
      <c r="I618" s="11">
        <f>AVERAGE(I382:I384)</f>
        <v>14</v>
      </c>
      <c r="K618" s="11">
        <f>AVERAGE(K382:K384)</f>
        <v>10</v>
      </c>
    </row>
    <row r="619" spans="1:11">
      <c r="G619" s="12" t="s">
        <v>523</v>
      </c>
      <c r="H619" s="73" t="s">
        <v>391</v>
      </c>
      <c r="I619" s="11">
        <f>AVERAGE(I410:I412)</f>
        <v>14.666666666666666</v>
      </c>
      <c r="K619" s="11">
        <f>AVERAGE(K410:K412)</f>
        <v>11.333333333333334</v>
      </c>
    </row>
    <row r="620" spans="1:11">
      <c r="G620" s="17" t="s">
        <v>524</v>
      </c>
      <c r="H620" s="97" t="s">
        <v>569</v>
      </c>
      <c r="I620" s="11">
        <f>AVERAGE(I407:I409)</f>
        <v>15.333333333333334</v>
      </c>
      <c r="K620" s="11">
        <f>AVERAGE(K407:K409)</f>
        <v>10.666666666666666</v>
      </c>
    </row>
    <row r="621" spans="1:11">
      <c r="G621" s="17" t="s">
        <v>524</v>
      </c>
      <c r="H621" s="97" t="s">
        <v>465</v>
      </c>
      <c r="I621" s="11">
        <f>AVERAGE(I394:I396)</f>
        <v>9.3333333333333339</v>
      </c>
      <c r="K621" s="11">
        <f>AVERAGE(K394:K396)</f>
        <v>13.333333333333334</v>
      </c>
    </row>
    <row r="622" spans="1:11">
      <c r="G622" s="12" t="s">
        <v>528</v>
      </c>
      <c r="H622" s="73" t="s">
        <v>106</v>
      </c>
      <c r="I622" s="11">
        <f>AVERAGE(I385:I387)</f>
        <v>12.333333333333334</v>
      </c>
      <c r="K622" s="11">
        <f>AVERAGE(K385:K387)</f>
        <v>15</v>
      </c>
    </row>
    <row r="623" spans="1:11">
      <c r="G623" s="12" t="s">
        <v>528</v>
      </c>
      <c r="H623" s="73" t="s">
        <v>393</v>
      </c>
      <c r="I623" s="11">
        <f>AVERAGE(I419:I421)</f>
        <v>7.666666666666667</v>
      </c>
      <c r="K623" s="11">
        <f>AVERAGE(K419:K421)</f>
        <v>11</v>
      </c>
    </row>
    <row r="624" spans="1:11">
      <c r="G624" s="17" t="s">
        <v>529</v>
      </c>
      <c r="H624" s="97" t="s">
        <v>474</v>
      </c>
      <c r="I624" s="11">
        <f>AVERAGE(I376:I378)</f>
        <v>15</v>
      </c>
      <c r="K624" s="11">
        <f>AVERAGE(K376:K378)</f>
        <v>17</v>
      </c>
    </row>
    <row r="625" spans="7:11">
      <c r="G625" s="17" t="s">
        <v>529</v>
      </c>
      <c r="H625" s="97" t="s">
        <v>469</v>
      </c>
      <c r="I625" s="11">
        <f>AVERAGE(I434:I436)</f>
        <v>13.333333333333334</v>
      </c>
      <c r="K625" s="11">
        <f>AVERAGE(K434:K436)</f>
        <v>9</v>
      </c>
    </row>
    <row r="626" spans="7:11">
      <c r="G626" s="12" t="s">
        <v>526</v>
      </c>
      <c r="H626" s="73" t="s">
        <v>63</v>
      </c>
      <c r="I626" s="11">
        <f>AVERAGE(I370:I372)</f>
        <v>10</v>
      </c>
      <c r="K626" s="11">
        <f>AVERAGE(K370:K372)</f>
        <v>12.333333333333334</v>
      </c>
    </row>
    <row r="627" spans="7:11">
      <c r="G627" s="12" t="s">
        <v>526</v>
      </c>
      <c r="H627" s="73" t="s">
        <v>621</v>
      </c>
      <c r="I627" s="11">
        <f>AVERAGE(I428:I430)</f>
        <v>9.6666666666666661</v>
      </c>
      <c r="K627" s="11">
        <f>AVERAGE(K428:K430)</f>
        <v>13</v>
      </c>
    </row>
    <row r="628" spans="7:11">
      <c r="G628" s="17" t="s">
        <v>525</v>
      </c>
      <c r="H628" s="97" t="s">
        <v>475</v>
      </c>
      <c r="I628" s="11">
        <f>AVERAGE(I373:I375)</f>
        <v>11</v>
      </c>
      <c r="K628" s="11">
        <f>AVERAGE(K373:K375)</f>
        <v>11</v>
      </c>
    </row>
    <row r="629" spans="7:11">
      <c r="G629" s="17" t="s">
        <v>525</v>
      </c>
      <c r="H629" s="97" t="s">
        <v>392</v>
      </c>
      <c r="I629" s="11">
        <f>AVERAGE(I416:I418)</f>
        <v>15</v>
      </c>
      <c r="K629" s="11">
        <f>AVERAGE(K416:K418)</f>
        <v>11.666666666666666</v>
      </c>
    </row>
    <row r="630" spans="7:11">
      <c r="G630" s="12" t="s">
        <v>530</v>
      </c>
      <c r="H630" s="73" t="s">
        <v>442</v>
      </c>
      <c r="I630" s="79">
        <f>AVERAGE(I431:I433)</f>
        <v>10.666666666666666</v>
      </c>
      <c r="K630" s="79">
        <f>AVERAGE(K431:K433)</f>
        <v>14</v>
      </c>
    </row>
    <row r="631" spans="7:11">
      <c r="G631" s="12" t="s">
        <v>530</v>
      </c>
      <c r="H631" s="96" t="s">
        <v>620</v>
      </c>
      <c r="I631" s="11">
        <f>AVERAGE(I401:I403)</f>
        <v>11</v>
      </c>
      <c r="K631" s="11">
        <f>AVERAGE(K401:K403)</f>
        <v>13.666666666666666</v>
      </c>
    </row>
    <row r="632" spans="7:11">
      <c r="H632" s="2"/>
      <c r="I632" s="11" t="s">
        <v>459</v>
      </c>
      <c r="K632" s="11" t="s">
        <v>459</v>
      </c>
    </row>
    <row r="633" spans="7:11">
      <c r="H633" s="2"/>
      <c r="I633" s="11" t="s">
        <v>459</v>
      </c>
      <c r="K633" s="11" t="s">
        <v>459</v>
      </c>
    </row>
    <row r="634" spans="7:11">
      <c r="G634" s="24" t="s">
        <v>446</v>
      </c>
      <c r="H634" s="98" t="s">
        <v>446</v>
      </c>
      <c r="I634" s="11">
        <f>AVERAGE(I451:I454)</f>
        <v>10.25</v>
      </c>
      <c r="K634" s="11">
        <f>AVERAGE(K451:K454)</f>
        <v>12.75</v>
      </c>
    </row>
    <row r="635" spans="7:11">
      <c r="G635" s="24" t="s">
        <v>625</v>
      </c>
      <c r="H635" s="98" t="s">
        <v>625</v>
      </c>
      <c r="I635" s="11">
        <f>AVERAGE(I443:I446)</f>
        <v>13.25</v>
      </c>
      <c r="K635" s="11">
        <f>AVERAGE(K443:K446)</f>
        <v>11.5</v>
      </c>
    </row>
    <row r="636" spans="7:11">
      <c r="G636" s="24" t="s">
        <v>394</v>
      </c>
      <c r="H636" s="98" t="s">
        <v>394</v>
      </c>
      <c r="I636" s="11">
        <f>AVERAGE(I447:I450)</f>
        <v>11.5</v>
      </c>
      <c r="K636" s="11">
        <f>AVERAGE(K447:K450)</f>
        <v>9.75</v>
      </c>
    </row>
    <row r="637" spans="7:11">
      <c r="G637" s="24" t="s">
        <v>466</v>
      </c>
      <c r="H637" s="98" t="s">
        <v>466</v>
      </c>
      <c r="I637" s="11">
        <f>I465</f>
        <v>13.666666666666666</v>
      </c>
      <c r="K637" s="11">
        <f>AVERAGE(K455:K458)</f>
        <v>12.75</v>
      </c>
    </row>
    <row r="638" spans="7:11">
      <c r="H638" s="2"/>
      <c r="I638" s="11" t="s">
        <v>459</v>
      </c>
      <c r="K638" s="11" t="s">
        <v>459</v>
      </c>
    </row>
    <row r="639" spans="7:11">
      <c r="G639" s="34" t="s">
        <v>531</v>
      </c>
      <c r="H639" s="34" t="s">
        <v>531</v>
      </c>
      <c r="I639" s="11">
        <f>AVERAGE(I361:I363)</f>
        <v>9.6666666666666661</v>
      </c>
      <c r="K639" s="11">
        <f>AVERAGE(K361:K363)</f>
        <v>11.333333333333334</v>
      </c>
    </row>
    <row r="640" spans="7:11">
      <c r="G640" s="34" t="s">
        <v>682</v>
      </c>
      <c r="H640" s="99" t="s">
        <v>682</v>
      </c>
      <c r="I640" s="11">
        <f>AVERAGE(I358:I360)</f>
        <v>11.333333333333334</v>
      </c>
      <c r="K640" s="11">
        <f>AVERAGE(K358:K360)</f>
        <v>13.666666666666666</v>
      </c>
    </row>
    <row r="641" spans="7:12">
      <c r="G641" s="34" t="s">
        <v>536</v>
      </c>
      <c r="H641" s="99" t="s">
        <v>536</v>
      </c>
      <c r="I641" s="11">
        <f>AVERAGE(I413:I415)</f>
        <v>16.333333333333332</v>
      </c>
      <c r="K641" s="11">
        <f>AVERAGE(K413:K415)</f>
        <v>9.6666666666666661</v>
      </c>
    </row>
    <row r="642" spans="7:12">
      <c r="G642" s="34" t="s">
        <v>571</v>
      </c>
      <c r="H642" s="99" t="s">
        <v>571</v>
      </c>
      <c r="I642" s="11">
        <f>AVERAGE(I379:I381)</f>
        <v>12</v>
      </c>
      <c r="K642" s="11">
        <f>AVERAGE(K379:K381)</f>
        <v>6.666666666666667</v>
      </c>
    </row>
    <row r="643" spans="7:12">
      <c r="G643" s="99" t="s">
        <v>549</v>
      </c>
      <c r="H643" s="99" t="s">
        <v>549</v>
      </c>
      <c r="I643" s="11">
        <f>AVERAGE(I391:I393)</f>
        <v>9.3333333333333339</v>
      </c>
      <c r="K643" s="11">
        <f>AVERAGE(K391:K393)</f>
        <v>8.3333333333333339</v>
      </c>
    </row>
    <row r="644" spans="7:12">
      <c r="G644" s="99" t="s">
        <v>390</v>
      </c>
      <c r="H644" s="99" t="s">
        <v>390</v>
      </c>
      <c r="I644" s="11">
        <f>AVERAGE(I404:I406)</f>
        <v>9</v>
      </c>
      <c r="J644" s="11"/>
      <c r="K644" s="11">
        <f>AVERAGE(K404:K406)</f>
        <v>8</v>
      </c>
      <c r="L644" s="11"/>
    </row>
    <row r="645" spans="7:12">
      <c r="G645" s="99" t="s">
        <v>515</v>
      </c>
      <c r="H645" s="99" t="s">
        <v>515</v>
      </c>
      <c r="I645" s="11">
        <f>AVERAGE(I437:I439)</f>
        <v>14.333333333333334</v>
      </c>
      <c r="K645" s="11">
        <f>AVERAGE(K437:K439)</f>
        <v>15.666666666666666</v>
      </c>
    </row>
    <row r="646" spans="7:12">
      <c r="G646" s="99" t="s">
        <v>467</v>
      </c>
      <c r="H646" s="99" t="s">
        <v>467</v>
      </c>
      <c r="I646" s="11">
        <f>AVERAGE(I425:I427)</f>
        <v>9</v>
      </c>
      <c r="K646" s="11">
        <f>AVERAGE(K425:K427)</f>
        <v>7.333333333333333</v>
      </c>
    </row>
    <row r="647" spans="7:12">
      <c r="G647" s="34" t="s">
        <v>680</v>
      </c>
      <c r="H647" s="99" t="s">
        <v>1079</v>
      </c>
      <c r="I647" s="11">
        <f>AVERAGE(I355:I357)</f>
        <v>13.333333333333334</v>
      </c>
      <c r="K647" s="11">
        <f>AVERAGE(K355:K357)</f>
        <v>11.333333333333334</v>
      </c>
    </row>
    <row r="648" spans="7:12">
      <c r="G648" s="99" t="s">
        <v>472</v>
      </c>
      <c r="H648" s="99" t="s">
        <v>472</v>
      </c>
      <c r="I648" s="11">
        <f>AVERAGE(I440:I442)</f>
        <v>13.333333333333334</v>
      </c>
      <c r="K648" s="11">
        <f>AVERAGE(K440:K442)</f>
        <v>11.666666666666666</v>
      </c>
    </row>
    <row r="649" spans="7:12">
      <c r="G649" s="99" t="s">
        <v>24</v>
      </c>
      <c r="H649" s="99" t="s">
        <v>24</v>
      </c>
      <c r="I649" s="11">
        <f>AVERAGE(I364:I366)</f>
        <v>13.333333333333334</v>
      </c>
      <c r="K649" s="11">
        <f>AVERAGE(K364:K366)</f>
        <v>10.333333333333334</v>
      </c>
    </row>
    <row r="650" spans="7:12">
      <c r="G650" s="34" t="s">
        <v>547</v>
      </c>
      <c r="H650" s="99" t="s">
        <v>547</v>
      </c>
      <c r="I650" s="11">
        <f>AVERAGE(I422:I424)</f>
        <v>9.6666666666666661</v>
      </c>
      <c r="K650" s="11">
        <f>AVERAGE(K422:K424)</f>
        <v>12.666666666666666</v>
      </c>
    </row>
    <row r="651" spans="7:12">
      <c r="G651" s="99" t="s">
        <v>30</v>
      </c>
      <c r="H651" s="99" t="s">
        <v>30</v>
      </c>
      <c r="I651" s="11">
        <f>AVERAGE(I388:I390)</f>
        <v>11</v>
      </c>
      <c r="K651" s="11">
        <f>AVERAGE(K388:K390)</f>
        <v>15.333333333333334</v>
      </c>
    </row>
    <row r="652" spans="7:12">
      <c r="K652" s="3"/>
    </row>
    <row r="653" spans="7:12">
      <c r="K653" s="3"/>
    </row>
    <row r="654" spans="7:12">
      <c r="G654">
        <v>0</v>
      </c>
      <c r="H654" s="2">
        <v>1</v>
      </c>
      <c r="I654" s="11">
        <f>MIN(I616:I651)</f>
        <v>7.666666666666667</v>
      </c>
      <c r="J654" s="3">
        <v>1</v>
      </c>
      <c r="K654" s="11">
        <f>MIN(K616:K651)</f>
        <v>6.666666666666667</v>
      </c>
      <c r="L654" s="3">
        <v>1</v>
      </c>
    </row>
    <row r="655" spans="7:12">
      <c r="G655">
        <v>0.1</v>
      </c>
      <c r="H655" s="2">
        <v>2</v>
      </c>
      <c r="I655" s="11" t="e">
        <f t="shared" ref="I655:K663" si="22">_xlfn.PERCENTILE.EXC(I$752:I$787,$G655)</f>
        <v>#NUM!</v>
      </c>
      <c r="J655" s="3">
        <v>2</v>
      </c>
      <c r="K655" s="11" t="e">
        <f t="shared" si="22"/>
        <v>#NUM!</v>
      </c>
      <c r="L655" s="3">
        <v>2</v>
      </c>
    </row>
    <row r="656" spans="7:12">
      <c r="G656">
        <v>0.2</v>
      </c>
      <c r="H656" s="2">
        <v>3</v>
      </c>
      <c r="I656" s="11" t="e">
        <f t="shared" si="22"/>
        <v>#NUM!</v>
      </c>
      <c r="J656" s="3">
        <v>3</v>
      </c>
      <c r="K656" s="11" t="e">
        <f t="shared" si="22"/>
        <v>#NUM!</v>
      </c>
      <c r="L656" s="3">
        <v>3</v>
      </c>
    </row>
    <row r="657" spans="3:12">
      <c r="G657">
        <v>0.3</v>
      </c>
      <c r="H657" s="2">
        <v>4</v>
      </c>
      <c r="I657" s="11" t="e">
        <f t="shared" si="22"/>
        <v>#NUM!</v>
      </c>
      <c r="J657" s="3">
        <v>4</v>
      </c>
      <c r="K657" s="11" t="e">
        <f t="shared" si="22"/>
        <v>#NUM!</v>
      </c>
      <c r="L657" s="3">
        <v>4</v>
      </c>
    </row>
    <row r="658" spans="3:12">
      <c r="G658">
        <v>0.4</v>
      </c>
      <c r="H658" s="2">
        <v>5</v>
      </c>
      <c r="I658" s="11" t="e">
        <f t="shared" si="22"/>
        <v>#NUM!</v>
      </c>
      <c r="J658" s="3">
        <v>5</v>
      </c>
      <c r="K658" s="11" t="e">
        <f t="shared" si="22"/>
        <v>#NUM!</v>
      </c>
      <c r="L658" s="3">
        <v>5</v>
      </c>
    </row>
    <row r="659" spans="3:12">
      <c r="G659">
        <v>0.5</v>
      </c>
      <c r="H659" s="2">
        <v>6</v>
      </c>
      <c r="I659" s="11" t="e">
        <f t="shared" si="22"/>
        <v>#NUM!</v>
      </c>
      <c r="J659" s="3">
        <v>6</v>
      </c>
      <c r="K659" s="11" t="e">
        <f t="shared" si="22"/>
        <v>#NUM!</v>
      </c>
      <c r="L659" s="3">
        <v>6</v>
      </c>
    </row>
    <row r="660" spans="3:12">
      <c r="G660">
        <v>0.6</v>
      </c>
      <c r="H660" s="2">
        <v>7</v>
      </c>
      <c r="I660" s="11" t="e">
        <f t="shared" si="22"/>
        <v>#NUM!</v>
      </c>
      <c r="J660" s="3">
        <v>7</v>
      </c>
      <c r="K660" s="11" t="e">
        <f t="shared" si="22"/>
        <v>#NUM!</v>
      </c>
      <c r="L660" s="3">
        <v>7</v>
      </c>
    </row>
    <row r="661" spans="3:12">
      <c r="G661">
        <v>0.7</v>
      </c>
      <c r="H661" s="2">
        <v>8</v>
      </c>
      <c r="I661" s="11" t="e">
        <f t="shared" si="22"/>
        <v>#NUM!</v>
      </c>
      <c r="J661" s="3">
        <v>8</v>
      </c>
      <c r="K661" s="11" t="e">
        <f t="shared" si="22"/>
        <v>#NUM!</v>
      </c>
      <c r="L661" s="3">
        <v>8</v>
      </c>
    </row>
    <row r="662" spans="3:12">
      <c r="G662">
        <v>0.8</v>
      </c>
      <c r="H662" s="2">
        <v>9</v>
      </c>
      <c r="I662" s="11" t="e">
        <f t="shared" si="22"/>
        <v>#NUM!</v>
      </c>
      <c r="J662" s="3">
        <v>9</v>
      </c>
      <c r="K662" s="11" t="e">
        <f t="shared" si="22"/>
        <v>#NUM!</v>
      </c>
      <c r="L662" s="3">
        <v>9</v>
      </c>
    </row>
    <row r="663" spans="3:12">
      <c r="G663">
        <v>0.9</v>
      </c>
      <c r="H663" s="2">
        <v>10</v>
      </c>
      <c r="I663" s="11" t="e">
        <f t="shared" si="22"/>
        <v>#NUM!</v>
      </c>
      <c r="J663" s="3">
        <v>10</v>
      </c>
      <c r="K663" s="11" t="e">
        <f t="shared" si="22"/>
        <v>#NUM!</v>
      </c>
      <c r="L663" s="3">
        <v>10</v>
      </c>
    </row>
    <row r="664" spans="3:12">
      <c r="K664" s="3"/>
    </row>
    <row r="665" spans="3:12">
      <c r="K665" s="3"/>
    </row>
    <row r="666" spans="3:12">
      <c r="G666" s="17" t="s">
        <v>527</v>
      </c>
      <c r="H666" s="97" t="s">
        <v>143</v>
      </c>
      <c r="I666" s="3" t="e">
        <f>LOOKUP(VLOOKUP($H666,$H$616:J$651,4,0),Equivalencias!$AX$16:$AY$25)</f>
        <v>#REF!</v>
      </c>
      <c r="K666" s="3">
        <f>LOOKUP(VLOOKUP($H666,$H$616:L$651,4,0),Equivalencias!$AX$16:$AY$25)</f>
        <v>6</v>
      </c>
    </row>
    <row r="667" spans="3:12">
      <c r="G667" s="17" t="s">
        <v>527</v>
      </c>
      <c r="H667" s="97" t="s">
        <v>17</v>
      </c>
      <c r="I667" s="3" t="e">
        <f>LOOKUP(VLOOKUP($H667,$H$616:J$651,4,0),Equivalencias!$BZ$16:$CA$25)</f>
        <v>#REF!</v>
      </c>
      <c r="K667" s="3">
        <f>LOOKUP(VLOOKUP($H667,$H$616:L$651,4,0),Equivalencias!$BZ$16:$CA$25)</f>
        <v>4</v>
      </c>
    </row>
    <row r="668" spans="3:12">
      <c r="G668" s="12" t="s">
        <v>523</v>
      </c>
      <c r="H668" s="73" t="s">
        <v>686</v>
      </c>
      <c r="I668" s="3" t="e">
        <f>LOOKUP(VLOOKUP($H668,$H$616:J$651,4,0),Equivalencias!$AN$16:$AO$25)</f>
        <v>#REF!</v>
      </c>
      <c r="K668" s="3">
        <f>LOOKUP(VLOOKUP($H668,$H$616:L$651,4,0),Equivalencias!$AN$16:$AO$25)</f>
        <v>5</v>
      </c>
    </row>
    <row r="669" spans="3:12">
      <c r="G669" s="12" t="s">
        <v>523</v>
      </c>
      <c r="H669" s="73" t="s">
        <v>391</v>
      </c>
      <c r="I669" s="3" t="e">
        <f>LOOKUP(VLOOKUP($H669,$H$616:J$651,4,0),Equivalencias!$AZ$16:$BA$25)</f>
        <v>#REF!</v>
      </c>
      <c r="K669" s="3">
        <f>LOOKUP(VLOOKUP($H669,$H$616:L$651,4,0),Equivalencias!$AZ$16:$BA$25)</f>
        <v>5</v>
      </c>
    </row>
    <row r="670" spans="3:12">
      <c r="E670" t="s">
        <v>532</v>
      </c>
      <c r="G670" s="17" t="s">
        <v>524</v>
      </c>
      <c r="H670" s="97" t="s">
        <v>569</v>
      </c>
      <c r="I670" s="3" t="e">
        <f>LOOKUP(VLOOKUP($H670,$H$616:J$651,4,0),Equivalencias!$AL$16:$AM$25)</f>
        <v>#REF!</v>
      </c>
      <c r="K670" s="3">
        <f>LOOKUP(VLOOKUP($H670,$H$616:L$651,4,0),Equivalencias!$AL$16:$AM$25)</f>
        <v>7</v>
      </c>
    </row>
    <row r="671" spans="3:12">
      <c r="C671" t="s">
        <v>533</v>
      </c>
      <c r="G671" s="17" t="s">
        <v>524</v>
      </c>
      <c r="H671" s="97" t="s">
        <v>465</v>
      </c>
      <c r="I671" s="3" t="e">
        <f>LOOKUP(VLOOKUP($H671,$H$616:J$651,4,0),Equivalencias!$AV$16:$AW$25)</f>
        <v>#REF!</v>
      </c>
      <c r="K671" s="3">
        <f>LOOKUP(VLOOKUP($H671,$H$616:L$651,4,0),Equivalencias!$AV$16:$AW$25)</f>
        <v>9</v>
      </c>
    </row>
    <row r="672" spans="3:12">
      <c r="C672" t="s">
        <v>534</v>
      </c>
      <c r="G672" s="12" t="s">
        <v>528</v>
      </c>
      <c r="H672" s="73" t="s">
        <v>106</v>
      </c>
      <c r="I672" s="3" t="e">
        <f>LOOKUP(VLOOKUP($H672,$H$616:J$651,4,0),Equivalencias!$V$16:$W$25)</f>
        <v>#REF!</v>
      </c>
      <c r="K672" s="3">
        <f>LOOKUP(VLOOKUP($H672,$H$616:L$651,4,0),Equivalencias!$V$16:$W$25)</f>
        <v>8</v>
      </c>
    </row>
    <row r="673" spans="3:11">
      <c r="C673" t="s">
        <v>535</v>
      </c>
      <c r="G673" s="12" t="s">
        <v>528</v>
      </c>
      <c r="H673" s="73" t="s">
        <v>393</v>
      </c>
      <c r="I673" s="3" t="e">
        <f>LOOKUP(VLOOKUP($H673,$H$616:J$651,4,0),Equivalencias!$X$16:$Y$25)</f>
        <v>#REF!</v>
      </c>
      <c r="K673" s="3">
        <f>LOOKUP(VLOOKUP($H673,$H$616:L$651,4,0),Equivalencias!$X$16:$Y$25)</f>
        <v>6</v>
      </c>
    </row>
    <row r="674" spans="3:11">
      <c r="G674" s="17" t="s">
        <v>529</v>
      </c>
      <c r="H674" s="97" t="s">
        <v>474</v>
      </c>
      <c r="I674" s="3" t="e">
        <f>LOOKUP(VLOOKUP($H674,$H$616:J$651,4,0),Equivalencias!$BJ$16:$BK$25)</f>
        <v>#REF!</v>
      </c>
      <c r="K674" s="3">
        <f>LOOKUP(VLOOKUP($H674,$H$616:L$651,4,0),Equivalencias!$AL$16:$AM$25)</f>
        <v>10</v>
      </c>
    </row>
    <row r="675" spans="3:11">
      <c r="G675" s="17" t="s">
        <v>529</v>
      </c>
      <c r="H675" s="97" t="s">
        <v>469</v>
      </c>
      <c r="I675" s="3" t="e">
        <f>LOOKUP(VLOOKUP($H675,$H$616:J$651,4,0),Equivalencias!$AP$16:$AQ$25)</f>
        <v>#REF!</v>
      </c>
      <c r="K675" s="3">
        <f>LOOKUP(VLOOKUP($H675,$H$616:L$651,4,0),Equivalencias!$AP$16:$AQ$25)</f>
        <v>2</v>
      </c>
    </row>
    <row r="676" spans="3:11">
      <c r="G676" s="12" t="s">
        <v>526</v>
      </c>
      <c r="H676" s="73" t="s">
        <v>63</v>
      </c>
      <c r="I676" s="3" t="e">
        <f>LOOKUP(VLOOKUP($H676,$H$616:J$651,4,0),Equivalencias!$AJ$16:$AK$25)</f>
        <v>#REF!</v>
      </c>
      <c r="K676" s="3">
        <f>LOOKUP(VLOOKUP($H676,$H$616:L$651,4,0),Equivalencias!$AJ$16:$AK$25)</f>
        <v>6</v>
      </c>
    </row>
    <row r="677" spans="3:11">
      <c r="G677" s="12" t="s">
        <v>526</v>
      </c>
      <c r="H677" s="73" t="s">
        <v>621</v>
      </c>
      <c r="I677" s="3" t="e">
        <f>LOOKUP(VLOOKUP($H677,$H$616:J$651,4,0),Equivalencias!$AH$16:$AI$25)</f>
        <v>#REF!</v>
      </c>
      <c r="K677" s="3">
        <f>LOOKUP(VLOOKUP($H677,$H$616:L$651,4,0),Equivalencias!$AH$16:$AI$25)</f>
        <v>6</v>
      </c>
    </row>
    <row r="678" spans="3:11">
      <c r="G678" s="17" t="s">
        <v>525</v>
      </c>
      <c r="H678" s="97" t="s">
        <v>475</v>
      </c>
      <c r="I678" s="3" t="e">
        <f>LOOKUP(VLOOKUP($H678,$H$616:J$651,4,0),Equivalencias!$AF$16:$AG$25)</f>
        <v>#REF!</v>
      </c>
      <c r="K678" s="3">
        <f>LOOKUP(VLOOKUP($H678,$H$616:L$651,4,0),Equivalencias!$AF$16:$AG$25)</f>
        <v>8</v>
      </c>
    </row>
    <row r="679" spans="3:11">
      <c r="G679" s="17" t="s">
        <v>525</v>
      </c>
      <c r="H679" s="97" t="s">
        <v>392</v>
      </c>
      <c r="I679" s="3" t="e">
        <f>LOOKUP(VLOOKUP($H679,$H$616:J$651,4,0),Equivalencias!$AD$16:$AE$25)</f>
        <v>#REF!</v>
      </c>
      <c r="K679" s="3">
        <f>LOOKUP(VLOOKUP($H679,$H$616:L$651,4,0),Equivalencias!$AD$16:$AE$25)</f>
        <v>6</v>
      </c>
    </row>
    <row r="680" spans="3:11">
      <c r="G680" s="12" t="s">
        <v>530</v>
      </c>
      <c r="H680" s="73" t="s">
        <v>442</v>
      </c>
      <c r="I680" s="3" t="e">
        <f>LOOKUP(VLOOKUP($H680,$H$616:J$651,4,0),Equivalencias!$CF$16:$CG$25)</f>
        <v>#REF!</v>
      </c>
      <c r="K680" s="3">
        <f>LOOKUP(VLOOKUP($H680,$H$616:L$651,4,0),Equivalencias!$CF$16:$CG$25)</f>
        <v>6</v>
      </c>
    </row>
    <row r="681" spans="3:11">
      <c r="G681" s="12" t="s">
        <v>530</v>
      </c>
      <c r="H681" s="96" t="s">
        <v>620</v>
      </c>
      <c r="I681" s="3" t="e">
        <f>LOOKUP(VLOOKUP($H681,$H$616:J$651,4,0),Equivalencias!$AT$16:$AU$25)</f>
        <v>#REF!</v>
      </c>
      <c r="K681" s="3">
        <f>LOOKUP(VLOOKUP($H681,$H$616:L$651,4,0),Equivalencias!$AT$16:$AU$25)</f>
        <v>7</v>
      </c>
    </row>
    <row r="682" spans="3:11">
      <c r="H682" s="2"/>
      <c r="I682" s="3" t="s">
        <v>459</v>
      </c>
      <c r="K682" s="3" t="s">
        <v>459</v>
      </c>
    </row>
    <row r="683" spans="3:11">
      <c r="H683" s="2"/>
      <c r="I683" s="3" t="s">
        <v>459</v>
      </c>
      <c r="K683" s="3" t="s">
        <v>459</v>
      </c>
    </row>
    <row r="684" spans="3:11">
      <c r="G684" s="24" t="s">
        <v>446</v>
      </c>
      <c r="H684" s="98" t="s">
        <v>446</v>
      </c>
      <c r="I684" s="3" t="e">
        <f>LOOKUP(VLOOKUP($H684,$H$616:J$651,4,0),Equivalencias!$BB$16:$BC$25)</f>
        <v>#REF!</v>
      </c>
      <c r="K684" s="3">
        <f>LOOKUP(VLOOKUP($H684,$H$616:L$651,4,0),Equivalencias!$BB$16:$BC$25)</f>
        <v>7</v>
      </c>
    </row>
    <row r="685" spans="3:11">
      <c r="G685" s="24" t="s">
        <v>625</v>
      </c>
      <c r="H685" s="98" t="s">
        <v>625</v>
      </c>
      <c r="I685" s="3" t="e">
        <f>LOOKUP(VLOOKUP($H685,$H$616:J$651,4,0),Equivalencias!$BD$16:$BE$25)</f>
        <v>#REF!</v>
      </c>
      <c r="K685" s="3">
        <f>LOOKUP(VLOOKUP($H685,$H$616:L$651,4,0),Equivalencias!$BD$16:$BE$25)</f>
        <v>4</v>
      </c>
    </row>
    <row r="686" spans="3:11">
      <c r="G686" s="24" t="s">
        <v>394</v>
      </c>
      <c r="H686" s="98" t="s">
        <v>394</v>
      </c>
      <c r="I686" s="3" t="e">
        <f>LOOKUP(VLOOKUP($H686,$H$616:J$651,4,0),Equivalencias!$BF$16:$BG$25)</f>
        <v>#REF!</v>
      </c>
      <c r="K686" s="3">
        <f>LOOKUP(VLOOKUP($H686,$H$616:L$651,4,0),Equivalencias!$BF$16:$BG$25)</f>
        <v>3</v>
      </c>
    </row>
    <row r="687" spans="3:11">
      <c r="G687" s="24" t="s">
        <v>466</v>
      </c>
      <c r="H687" s="98" t="s">
        <v>466</v>
      </c>
      <c r="I687" s="3" t="e">
        <f>LOOKUP(VLOOKUP($H687,$H$616:J$651,4,0),Equivalencias!$BH$16:$BI$25)</f>
        <v>#REF!</v>
      </c>
      <c r="K687" s="3">
        <f>LOOKUP(VLOOKUP($H687,$H$616:L$651,4,0),Equivalencias!$BH$16:$BI$25)</f>
        <v>10</v>
      </c>
    </row>
    <row r="688" spans="3:11">
      <c r="H688" s="2"/>
      <c r="I688" s="3" t="s">
        <v>459</v>
      </c>
      <c r="K688" s="3" t="s">
        <v>459</v>
      </c>
    </row>
    <row r="689" spans="6:11">
      <c r="G689" s="34" t="s">
        <v>531</v>
      </c>
      <c r="H689" s="34" t="s">
        <v>531</v>
      </c>
      <c r="I689" s="3" t="e">
        <f>LOOKUP(VLOOKUP($H689,$H$616:J$651,4,0),Equivalencias!$AR$16:$AS$25)</f>
        <v>#REF!</v>
      </c>
      <c r="K689" s="3">
        <f>LOOKUP(VLOOKUP($H689,$H$616:L$651,4,0),Equivalencias!$AR$16:$AS$25)</f>
        <v>7</v>
      </c>
    </row>
    <row r="690" spans="6:11">
      <c r="G690" s="34" t="s">
        <v>682</v>
      </c>
      <c r="H690" s="99" t="s">
        <v>682</v>
      </c>
      <c r="I690" s="3" t="e">
        <f>LOOKUP(VLOOKUP($H690,$H$616:J$651,4,0),Equivalencias!$BL$16:$BM$25)</f>
        <v>#REF!</v>
      </c>
      <c r="K690" s="3">
        <f>LOOKUP(VLOOKUP($H690,$H$616:L$651,4,0),Equivalencias!$BL$16:$BM$25)</f>
        <v>6</v>
      </c>
    </row>
    <row r="691" spans="6:11">
      <c r="G691" s="34" t="s">
        <v>536</v>
      </c>
      <c r="H691" s="99" t="s">
        <v>536</v>
      </c>
      <c r="I691" s="3" t="e">
        <f>LOOKUP(VLOOKUP($H691,$H$616:J$651,4,0),Equivalencias!$BN$16:$BO$25)</f>
        <v>#REF!</v>
      </c>
      <c r="K691" s="3">
        <f>LOOKUP(VLOOKUP($H691,$H$616:L$651,4,0),Equivalencias!$BN$16:$BO$25)</f>
        <v>5</v>
      </c>
    </row>
    <row r="692" spans="6:11">
      <c r="G692" s="34" t="s">
        <v>571</v>
      </c>
      <c r="H692" s="99" t="s">
        <v>571</v>
      </c>
      <c r="I692" s="3" t="e">
        <f>LOOKUP(VLOOKUP($H692,$H$616:J$651,4,0),Equivalencias!$BP$16:$BQ$25)</f>
        <v>#REF!</v>
      </c>
      <c r="K692" s="3">
        <f>LOOKUP(VLOOKUP($H692,$H$616:L$651,4,0),Equivalencias!$BP$16:$BQ$25)</f>
        <v>3</v>
      </c>
    </row>
    <row r="693" spans="6:11">
      <c r="G693" s="34" t="s">
        <v>549</v>
      </c>
      <c r="H693" s="99" t="s">
        <v>549</v>
      </c>
      <c r="I693" s="3" t="e">
        <f>LOOKUP(VLOOKUP($H693,$H$616:J$651,4,0),Equivalencias!$BR$16:$BS$25)</f>
        <v>#REF!</v>
      </c>
      <c r="K693" s="3">
        <f>LOOKUP(VLOOKUP($H693,$H$616:L$651,4,0),Equivalencias!$BR$16:$BS$25)</f>
        <v>4</v>
      </c>
    </row>
    <row r="694" spans="6:11">
      <c r="G694" s="99" t="s">
        <v>390</v>
      </c>
      <c r="H694" s="99" t="s">
        <v>390</v>
      </c>
      <c r="I694" s="3" t="e">
        <f>LOOKUP(VLOOKUP($H694,$H$616:J$651,4,0),Equivalencias!$BT$16:$BU$25)</f>
        <v>#REF!</v>
      </c>
      <c r="K694" s="3">
        <f>LOOKUP(VLOOKUP($H694,$H$616:L$651,4,0),Equivalencias!$BT$16:$BU$25)</f>
        <v>1</v>
      </c>
    </row>
    <row r="695" spans="6:11">
      <c r="G695" s="99" t="s">
        <v>515</v>
      </c>
      <c r="H695" s="99" t="s">
        <v>515</v>
      </c>
      <c r="I695" s="3" t="e">
        <f>LOOKUP(VLOOKUP($H695,$H$616:J$651,4,0),Equivalencias!$BV$16:$BW$25)</f>
        <v>#REF!</v>
      </c>
      <c r="K695" s="3">
        <f>LOOKUP(VLOOKUP($H695,$H$616:L$651,4,0),Equivalencias!$BV$16:$BW$25)</f>
        <v>9</v>
      </c>
    </row>
    <row r="696" spans="6:11">
      <c r="G696" s="99" t="s">
        <v>467</v>
      </c>
      <c r="H696" s="99" t="s">
        <v>467</v>
      </c>
      <c r="I696" s="3" t="e">
        <f>LOOKUP(VLOOKUP($H696,$H$616:J$651,4,0),Equivalencias!$BX$16:$BY$25)</f>
        <v>#REF!</v>
      </c>
      <c r="K696" s="3">
        <f>LOOKUP(VLOOKUP($H696,$H$616:L$651,4,0),Equivalencias!$BX$16:$BY$25)</f>
        <v>3</v>
      </c>
    </row>
    <row r="697" spans="6:11">
      <c r="G697" s="34" t="s">
        <v>680</v>
      </c>
      <c r="H697" s="99" t="s">
        <v>1079</v>
      </c>
      <c r="I697" s="3" t="e">
        <f>LOOKUP(VLOOKUP($H697,$H$616:J$651,4,0),Equivalencias!$AB$16:$AC$25)</f>
        <v>#REF!</v>
      </c>
      <c r="K697" s="3">
        <f>LOOKUP(VLOOKUP($H697,$H$616:L$651,4,0),Equivalencias!$AB$16:$AC$25)</f>
        <v>4</v>
      </c>
    </row>
    <row r="698" spans="6:11">
      <c r="G698" s="99" t="s">
        <v>472</v>
      </c>
      <c r="H698" s="99" t="s">
        <v>472</v>
      </c>
      <c r="I698" s="3" t="e">
        <f>LOOKUP(VLOOKUP($H698,$H$616:J$651,4,0),Equivalencias!$CB$16:$CC$25)</f>
        <v>#REF!</v>
      </c>
      <c r="K698" s="3">
        <f>LOOKUP(VLOOKUP($H698,$H$616:L$651,4,0),Equivalencias!$CB$16:$CC$25)</f>
        <v>8</v>
      </c>
    </row>
    <row r="699" spans="6:11">
      <c r="G699" s="99" t="s">
        <v>24</v>
      </c>
      <c r="H699" s="99" t="s">
        <v>24</v>
      </c>
      <c r="I699" s="3" t="e">
        <f>LOOKUP(VLOOKUP($H699,$H$616:J$651,4,0),Equivalencias!$CD$16:$CE$25)</f>
        <v>#REF!</v>
      </c>
      <c r="K699" s="3">
        <f>LOOKUP(VLOOKUP($H699,$H$616:L$651,4,0),Equivalencias!$CD$16:$CE$25)</f>
        <v>3</v>
      </c>
    </row>
    <row r="700" spans="6:11">
      <c r="G700" s="34" t="s">
        <v>547</v>
      </c>
      <c r="H700" s="99" t="s">
        <v>547</v>
      </c>
      <c r="I700" s="3" t="e">
        <f>LOOKUP(VLOOKUP($H700,$H$616:J$651,4,0),Equivalencias!$Z$16:$AA$25)</f>
        <v>#REF!</v>
      </c>
      <c r="K700" s="3">
        <f>LOOKUP(VLOOKUP($H700,$H$616:L$651,4,0),Equivalencias!$Z$16:$AA$25)</f>
        <v>5</v>
      </c>
    </row>
    <row r="701" spans="6:11">
      <c r="G701" s="99" t="s">
        <v>30</v>
      </c>
      <c r="H701" s="99" t="s">
        <v>30</v>
      </c>
      <c r="I701" s="3" t="e">
        <f>LOOKUP(VLOOKUP($H701,$H$616:J$651,4,0),Equivalencias!$CH$16:$CI$25)</f>
        <v>#REF!</v>
      </c>
      <c r="K701" s="3">
        <f>LOOKUP(VLOOKUP($H701,$H$616:L$651,4,0),Equivalencias!$CH$16:$CI$25)</f>
        <v>7</v>
      </c>
    </row>
    <row r="702" spans="6:11">
      <c r="G702" s="3"/>
      <c r="H702" s="3"/>
      <c r="K702" s="3"/>
    </row>
    <row r="703" spans="6:11">
      <c r="I703" s="3" t="s">
        <v>459</v>
      </c>
      <c r="K703" s="3" t="s">
        <v>459</v>
      </c>
    </row>
    <row r="704" spans="6:11">
      <c r="F704" t="s">
        <v>1076</v>
      </c>
      <c r="H704" t="s">
        <v>540</v>
      </c>
      <c r="I704" s="11" t="e">
        <f>I666</f>
        <v>#REF!</v>
      </c>
      <c r="K704" s="11">
        <f>K666</f>
        <v>6</v>
      </c>
    </row>
    <row r="705" spans="8:11">
      <c r="H705" t="s">
        <v>523</v>
      </c>
      <c r="I705" s="11" t="e">
        <f>I668</f>
        <v>#REF!</v>
      </c>
      <c r="K705" s="11">
        <f>K668</f>
        <v>5</v>
      </c>
    </row>
    <row r="706" spans="8:11">
      <c r="H706" t="s">
        <v>538</v>
      </c>
      <c r="I706" s="11" t="e">
        <f>I674</f>
        <v>#REF!</v>
      </c>
      <c r="K706" s="11">
        <f>K674</f>
        <v>10</v>
      </c>
    </row>
    <row r="707" spans="8:11">
      <c r="H707" s="1" t="s">
        <v>550</v>
      </c>
      <c r="I707" s="11" t="e">
        <f>I696</f>
        <v>#REF!</v>
      </c>
      <c r="K707" s="11">
        <f>K696</f>
        <v>3</v>
      </c>
    </row>
    <row r="708" spans="8:11">
      <c r="H708" t="s">
        <v>1067</v>
      </c>
      <c r="I708" s="11" t="e">
        <f>I676</f>
        <v>#REF!</v>
      </c>
      <c r="K708" s="11">
        <f>K676</f>
        <v>6</v>
      </c>
    </row>
    <row r="709" spans="8:11">
      <c r="H709" t="s">
        <v>545</v>
      </c>
      <c r="I709" s="11" t="e">
        <f>I692</f>
        <v>#REF!</v>
      </c>
      <c r="K709" s="11">
        <f>K692</f>
        <v>3</v>
      </c>
    </row>
    <row r="710" spans="8:11">
      <c r="H710" t="s">
        <v>524</v>
      </c>
      <c r="I710" s="11" t="e">
        <f>I670</f>
        <v>#REF!</v>
      </c>
      <c r="K710" s="11">
        <f>K670</f>
        <v>7</v>
      </c>
    </row>
    <row r="711" spans="8:11">
      <c r="H711" t="s">
        <v>526</v>
      </c>
      <c r="I711" s="11" t="e">
        <f>I677</f>
        <v>#REF!</v>
      </c>
      <c r="K711" s="11">
        <f>K677</f>
        <v>6</v>
      </c>
    </row>
    <row r="712" spans="8:11">
      <c r="H712" t="s">
        <v>530</v>
      </c>
      <c r="I712" s="11" t="e">
        <f>I680</f>
        <v>#REF!</v>
      </c>
      <c r="K712" s="11">
        <f>K680</f>
        <v>6</v>
      </c>
    </row>
    <row r="713" spans="8:11">
      <c r="H713" t="s">
        <v>537</v>
      </c>
      <c r="I713" s="11" t="e">
        <f>I694</f>
        <v>#REF!</v>
      </c>
      <c r="K713" s="11">
        <f>K694</f>
        <v>1</v>
      </c>
    </row>
    <row r="714" spans="8:11">
      <c r="I714"/>
    </row>
    <row r="715" spans="8:11">
      <c r="H715" s="57" t="s">
        <v>561</v>
      </c>
      <c r="I715" s="11" t="e">
        <f>AVERAGE(I704:I713)</f>
        <v>#REF!</v>
      </c>
      <c r="K715" s="11">
        <f>AVERAGE(K704:K713)</f>
        <v>5.3</v>
      </c>
    </row>
    <row r="716" spans="8:11">
      <c r="H716" s="57" t="s">
        <v>560</v>
      </c>
      <c r="I716" s="3" t="e">
        <f>LOOKUP(I715,Equivalencias!$AP$28:$AQ$37)</f>
        <v>#REF!</v>
      </c>
      <c r="K716" s="3" t="e">
        <f>LOOKUP(K715,Equivalencias!$AP$28:$AQ$37)</f>
        <v>#N/A</v>
      </c>
    </row>
    <row r="717" spans="8:11">
      <c r="K717" s="3"/>
    </row>
    <row r="718" spans="8:11">
      <c r="H718" s="1"/>
      <c r="I718" s="159"/>
      <c r="K718" s="159"/>
    </row>
    <row r="719" spans="8:11">
      <c r="H719" s="57"/>
      <c r="K719" s="3"/>
    </row>
    <row r="720" spans="8:11">
      <c r="H720" s="1"/>
      <c r="I720" s="159"/>
      <c r="K720" s="159"/>
    </row>
    <row r="721" spans="8:11">
      <c r="H721" s="57"/>
      <c r="K721" s="3"/>
    </row>
    <row r="722" spans="8:11">
      <c r="H722" s="1"/>
      <c r="I722" s="159"/>
      <c r="K722" s="159"/>
    </row>
    <row r="723" spans="8:11">
      <c r="H723" s="57"/>
      <c r="K723" s="3"/>
    </row>
    <row r="724" spans="8:11">
      <c r="H724" s="1"/>
      <c r="I724" s="159"/>
      <c r="K724" s="159"/>
    </row>
    <row r="725" spans="8:11">
      <c r="H725" s="57"/>
      <c r="K725" s="3"/>
    </row>
    <row r="726" spans="8:11">
      <c r="H726" s="1"/>
      <c r="I726" s="159"/>
      <c r="K726" s="159"/>
    </row>
    <row r="727" spans="8:11">
      <c r="H727" s="57"/>
      <c r="K727" s="3"/>
    </row>
    <row r="728" spans="8:11">
      <c r="H728" s="1"/>
      <c r="I728" s="159"/>
      <c r="K728" s="159"/>
    </row>
    <row r="729" spans="8:11">
      <c r="H729" s="57"/>
      <c r="K729" s="3"/>
    </row>
    <row r="730" spans="8:11">
      <c r="H730" s="1"/>
      <c r="I730" s="159"/>
      <c r="K730" s="159"/>
    </row>
    <row r="731" spans="8:11">
      <c r="H731" s="57"/>
      <c r="K731" s="3"/>
    </row>
    <row r="732" spans="8:11">
      <c r="H732" s="1"/>
      <c r="I732" s="159"/>
      <c r="K732" s="159"/>
    </row>
    <row r="733" spans="8:11">
      <c r="H733" s="57"/>
      <c r="K733" s="3"/>
    </row>
    <row r="734" spans="8:11">
      <c r="H734" s="1"/>
      <c r="I734" s="159"/>
      <c r="K734" s="159"/>
    </row>
    <row r="735" spans="8:11">
      <c r="H735" s="57"/>
      <c r="K735" s="3"/>
    </row>
    <row r="736" spans="8:11">
      <c r="H736" s="1"/>
      <c r="I736" s="159"/>
      <c r="K736" s="159"/>
    </row>
    <row r="737" spans="8:11">
      <c r="H737" s="57"/>
      <c r="K737" s="3"/>
    </row>
    <row r="738" spans="8:11">
      <c r="H738" s="1"/>
      <c r="I738" s="159"/>
      <c r="K738" s="159"/>
    </row>
    <row r="739" spans="8:11">
      <c r="H739" s="57"/>
      <c r="K739" s="3"/>
    </row>
    <row r="740" spans="8:11">
      <c r="H740" s="1"/>
      <c r="I740" s="159"/>
      <c r="K740" s="159"/>
    </row>
    <row r="741" spans="8:11">
      <c r="H741" s="57"/>
      <c r="K741" s="3"/>
    </row>
    <row r="742" spans="8:11">
      <c r="H742" s="1"/>
      <c r="I742" s="159"/>
      <c r="K742" s="159"/>
    </row>
    <row r="743" spans="8:11">
      <c r="H743" s="57"/>
      <c r="K743" s="3"/>
    </row>
    <row r="744" spans="8:11">
      <c r="H744" s="1"/>
      <c r="I744" s="159"/>
      <c r="K744" s="159"/>
    </row>
    <row r="745" spans="8:11">
      <c r="H745" s="57"/>
      <c r="K745" s="3"/>
    </row>
    <row r="746" spans="8:11">
      <c r="H746" s="1"/>
      <c r="I746" s="159"/>
      <c r="K746" s="159"/>
    </row>
    <row r="747" spans="8:11">
      <c r="H747" s="57"/>
      <c r="K747" s="3"/>
    </row>
    <row r="748" spans="8:11">
      <c r="H748" s="1"/>
      <c r="I748" s="159"/>
      <c r="K748" s="159"/>
    </row>
    <row r="749" spans="8:11">
      <c r="H749" s="57"/>
      <c r="K749" s="3"/>
    </row>
    <row r="750" spans="8:11">
      <c r="H750" s="1"/>
      <c r="I750" s="159"/>
      <c r="K750" s="159"/>
    </row>
    <row r="751" spans="8:11">
      <c r="H751" s="57"/>
      <c r="K751" s="3"/>
    </row>
    <row r="752" spans="8:11">
      <c r="H752" s="1"/>
      <c r="I752" s="159"/>
      <c r="K752" s="159"/>
    </row>
    <row r="753" spans="8:11">
      <c r="H753" s="57"/>
      <c r="K753" s="3"/>
    </row>
    <row r="754" spans="8:11">
      <c r="H754" s="1"/>
      <c r="I754" s="159"/>
      <c r="K754" s="159"/>
    </row>
    <row r="755" spans="8:11">
      <c r="H755" s="57"/>
      <c r="K755" s="3"/>
    </row>
    <row r="756" spans="8:11">
      <c r="H756" s="1"/>
      <c r="I756" s="159"/>
      <c r="K756" s="159"/>
    </row>
    <row r="757" spans="8:11">
      <c r="H757" s="57"/>
      <c r="K757" s="3"/>
    </row>
    <row r="758" spans="8:11">
      <c r="H758" s="1"/>
      <c r="I758" s="159"/>
      <c r="K758" s="159"/>
    </row>
    <row r="759" spans="8:11">
      <c r="H759" s="57"/>
      <c r="K759" s="3"/>
    </row>
    <row r="760" spans="8:11">
      <c r="H760" s="1"/>
      <c r="I760" s="159"/>
      <c r="K760" s="159"/>
    </row>
    <row r="761" spans="8:11">
      <c r="H761" s="57"/>
      <c r="K761" s="3"/>
    </row>
    <row r="762" spans="8:11">
      <c r="H762" s="1"/>
      <c r="I762" s="159"/>
      <c r="K762" s="159"/>
    </row>
    <row r="763" spans="8:11">
      <c r="H763" s="57"/>
      <c r="K763" s="3"/>
    </row>
    <row r="764" spans="8:11">
      <c r="H764" s="1"/>
      <c r="I764" s="159"/>
      <c r="K764" s="159"/>
    </row>
    <row r="765" spans="8:11">
      <c r="H765" s="57"/>
      <c r="K765" s="3"/>
    </row>
    <row r="766" spans="8:11">
      <c r="H766" s="1"/>
      <c r="I766" s="159"/>
      <c r="K766" s="159"/>
    </row>
    <row r="767" spans="8:11">
      <c r="H767" s="57"/>
      <c r="K767" s="3"/>
    </row>
    <row r="768" spans="8:11">
      <c r="H768" s="1"/>
      <c r="I768" s="159"/>
      <c r="K768" s="159"/>
    </row>
    <row r="769" spans="8:11">
      <c r="H769" s="57"/>
      <c r="K769" s="3"/>
    </row>
    <row r="770" spans="8:11">
      <c r="H770" s="1"/>
      <c r="I770" s="159"/>
      <c r="K770" s="159"/>
    </row>
    <row r="771" spans="8:11">
      <c r="H771" s="57"/>
      <c r="K771" s="3"/>
    </row>
    <row r="772" spans="8:11">
      <c r="H772" s="1"/>
      <c r="I772" s="159"/>
      <c r="K772" s="159"/>
    </row>
    <row r="773" spans="8:11">
      <c r="H773" s="57"/>
      <c r="K773" s="3"/>
    </row>
    <row r="774" spans="8:11">
      <c r="H774" s="1"/>
      <c r="I774" s="159"/>
      <c r="K774" s="159"/>
    </row>
    <row r="775" spans="8:11">
      <c r="H775" s="57"/>
      <c r="K775" s="3"/>
    </row>
    <row r="776" spans="8:11">
      <c r="H776" s="1"/>
      <c r="I776" s="159"/>
      <c r="K776" s="159"/>
    </row>
    <row r="777" spans="8:11">
      <c r="H777" s="57"/>
      <c r="K777" s="3"/>
    </row>
    <row r="778" spans="8:11">
      <c r="H778" s="1"/>
      <c r="I778" s="159"/>
      <c r="K778" s="159"/>
    </row>
    <row r="779" spans="8:11">
      <c r="H779" s="57"/>
      <c r="K779" s="3"/>
    </row>
    <row r="780" spans="8:11">
      <c r="H780" s="1"/>
      <c r="I780" s="159"/>
      <c r="K780" s="159"/>
    </row>
    <row r="781" spans="8:11">
      <c r="H781" s="57"/>
      <c r="K781" s="3"/>
    </row>
    <row r="782" spans="8:11">
      <c r="H782" s="1"/>
      <c r="I782" s="159"/>
      <c r="K782" s="159"/>
    </row>
    <row r="783" spans="8:11">
      <c r="H783" s="57"/>
      <c r="K783" s="3"/>
    </row>
    <row r="784" spans="8:11">
      <c r="H784" s="1"/>
      <c r="I784" s="159"/>
      <c r="K784" s="159"/>
    </row>
    <row r="785" spans="8:11">
      <c r="H785" s="57"/>
      <c r="K785" s="3"/>
    </row>
    <row r="786" spans="8:11">
      <c r="H786" s="1"/>
      <c r="I786" s="159"/>
      <c r="K786" s="159"/>
    </row>
    <row r="787" spans="8:11">
      <c r="H787" s="57"/>
      <c r="K787" s="3"/>
    </row>
    <row r="788" spans="8:11">
      <c r="H788" s="1"/>
      <c r="I788" s="159"/>
      <c r="K788" s="159"/>
    </row>
    <row r="789" spans="8:11">
      <c r="H789" s="57"/>
      <c r="K789" s="3"/>
    </row>
    <row r="790" spans="8:11">
      <c r="H790" s="1"/>
      <c r="I790" s="159"/>
      <c r="K790" s="159"/>
    </row>
    <row r="791" spans="8:11">
      <c r="H791" s="57"/>
      <c r="K791" s="3"/>
    </row>
    <row r="792" spans="8:11">
      <c r="H792" s="1"/>
      <c r="I792" s="159"/>
      <c r="K792" s="159"/>
    </row>
    <row r="793" spans="8:11">
      <c r="H793" s="57"/>
      <c r="K793" s="3"/>
    </row>
    <row r="794" spans="8:11">
      <c r="H794" s="1"/>
      <c r="I794" s="159"/>
      <c r="K794" s="159"/>
    </row>
    <row r="795" spans="8:11">
      <c r="H795" s="57"/>
      <c r="K795" s="3"/>
    </row>
    <row r="796" spans="8:11">
      <c r="H796" s="1"/>
      <c r="I796" s="159"/>
      <c r="K796" s="159"/>
    </row>
    <row r="797" spans="8:11">
      <c r="H797" s="57"/>
      <c r="K797" s="3"/>
    </row>
    <row r="798" spans="8:11">
      <c r="H798" s="1"/>
      <c r="I798" s="159"/>
      <c r="K798" s="159"/>
    </row>
    <row r="799" spans="8:11">
      <c r="H799" s="57"/>
      <c r="K799" s="3"/>
    </row>
    <row r="800" spans="8:11">
      <c r="H800" s="1"/>
      <c r="I800" s="159"/>
      <c r="K800" s="159"/>
    </row>
    <row r="801" spans="8:11">
      <c r="H801" s="57"/>
      <c r="K801" s="3"/>
    </row>
    <row r="802" spans="8:11">
      <c r="H802" s="1"/>
      <c r="I802" s="159"/>
      <c r="K802" s="159"/>
    </row>
    <row r="803" spans="8:11">
      <c r="H803" s="57"/>
      <c r="K803" s="3"/>
    </row>
    <row r="804" spans="8:11">
      <c r="K804" s="3"/>
    </row>
    <row r="805" spans="8:11">
      <c r="K805" s="3"/>
    </row>
    <row r="806" spans="8:11">
      <c r="K806" s="3"/>
    </row>
    <row r="807" spans="8:11">
      <c r="K807" s="3"/>
    </row>
    <row r="808" spans="8:11">
      <c r="K808" s="3"/>
    </row>
    <row r="809" spans="8:11">
      <c r="K809" s="3"/>
    </row>
    <row r="810" spans="8:11">
      <c r="K810" s="3"/>
    </row>
    <row r="811" spans="8:11">
      <c r="K811" s="3"/>
    </row>
    <row r="812" spans="8:11">
      <c r="K812" s="3"/>
    </row>
    <row r="813" spans="8:11">
      <c r="K813" s="3"/>
    </row>
    <row r="814" spans="8:11">
      <c r="K814" s="3"/>
    </row>
    <row r="815" spans="8:11">
      <c r="K815" s="3"/>
    </row>
    <row r="816" spans="8:11">
      <c r="K816" s="3"/>
    </row>
    <row r="817" spans="11:11">
      <c r="K817" s="3"/>
    </row>
    <row r="818" spans="11:11">
      <c r="K818" s="3"/>
    </row>
    <row r="819" spans="11:11">
      <c r="K819" s="3"/>
    </row>
    <row r="820" spans="11:11">
      <c r="K820" s="3"/>
    </row>
    <row r="821" spans="11:11">
      <c r="K821" s="3"/>
    </row>
    <row r="822" spans="11:11">
      <c r="K822" s="3"/>
    </row>
    <row r="823" spans="11:11">
      <c r="K823" s="3"/>
    </row>
    <row r="824" spans="11:11">
      <c r="K824" s="3"/>
    </row>
    <row r="825" spans="11:11">
      <c r="K825" s="3"/>
    </row>
    <row r="826" spans="11:11">
      <c r="K826" s="3"/>
    </row>
    <row r="827" spans="11:11">
      <c r="K827" s="3"/>
    </row>
    <row r="828" spans="11:11">
      <c r="K828" s="3"/>
    </row>
    <row r="829" spans="11:11">
      <c r="K829" s="3"/>
    </row>
    <row r="830" spans="11:11">
      <c r="K830" s="3"/>
    </row>
    <row r="831" spans="11:11">
      <c r="K831" s="3"/>
    </row>
    <row r="832" spans="11:11">
      <c r="K832" s="3"/>
    </row>
    <row r="833" spans="8:11">
      <c r="K833" s="3"/>
    </row>
    <row r="834" spans="8:11">
      <c r="K834" s="3"/>
    </row>
    <row r="835" spans="8:11">
      <c r="K835" s="3"/>
    </row>
    <row r="836" spans="8:11">
      <c r="K836" s="3"/>
    </row>
    <row r="837" spans="8:11">
      <c r="K837" s="3"/>
    </row>
    <row r="838" spans="8:11">
      <c r="K838" s="3"/>
    </row>
    <row r="839" spans="8:11">
      <c r="K839" s="3"/>
    </row>
    <row r="840" spans="8:11">
      <c r="K840" s="3"/>
    </row>
    <row r="841" spans="8:11">
      <c r="K841" s="3"/>
    </row>
    <row r="842" spans="8:11">
      <c r="K842" s="3"/>
    </row>
    <row r="843" spans="8:11">
      <c r="K843" s="3"/>
    </row>
    <row r="844" spans="8:11">
      <c r="H844" s="1"/>
      <c r="K844" s="3"/>
    </row>
    <row r="845" spans="8:11">
      <c r="K845" s="3"/>
    </row>
    <row r="846" spans="8:11">
      <c r="K846" s="3"/>
    </row>
    <row r="847" spans="8:11">
      <c r="K847" s="3"/>
    </row>
    <row r="848" spans="8:11">
      <c r="K848" s="3"/>
    </row>
    <row r="849" spans="11:11">
      <c r="K849" s="3"/>
    </row>
    <row r="850" spans="11:11">
      <c r="K850" s="3"/>
    </row>
    <row r="851" spans="11:11">
      <c r="K851" s="3"/>
    </row>
    <row r="852" spans="11:11">
      <c r="K852" s="3"/>
    </row>
    <row r="853" spans="11:11">
      <c r="K853" s="3"/>
    </row>
    <row r="854" spans="11:11">
      <c r="K854" s="3"/>
    </row>
    <row r="855" spans="11:11">
      <c r="K855" s="3"/>
    </row>
    <row r="856" spans="11:11">
      <c r="K856" s="3"/>
    </row>
    <row r="857" spans="11:11">
      <c r="K857" s="3"/>
    </row>
    <row r="858" spans="11:11">
      <c r="K858" s="3"/>
    </row>
    <row r="859" spans="11:11">
      <c r="K859" s="3"/>
    </row>
    <row r="860" spans="11:11">
      <c r="K860" s="3"/>
    </row>
    <row r="861" spans="11:11">
      <c r="K861" s="3"/>
    </row>
    <row r="862" spans="11:11">
      <c r="K862" s="3"/>
    </row>
    <row r="863" spans="11:11">
      <c r="K863" s="3"/>
    </row>
    <row r="864" spans="11:11">
      <c r="K864" s="3"/>
    </row>
    <row r="865" spans="11:11">
      <c r="K865" s="3"/>
    </row>
    <row r="866" spans="11:11">
      <c r="K866" s="3"/>
    </row>
    <row r="867" spans="11:11">
      <c r="K867" s="3"/>
    </row>
    <row r="868" spans="11:11">
      <c r="K868" s="3"/>
    </row>
    <row r="869" spans="11:11">
      <c r="K869" s="3"/>
    </row>
    <row r="870" spans="11:11">
      <c r="K870" s="3"/>
    </row>
    <row r="871" spans="11:11">
      <c r="K871" s="3"/>
    </row>
    <row r="872" spans="11:11">
      <c r="K872" s="3"/>
    </row>
    <row r="873" spans="11:11">
      <c r="K873" s="3"/>
    </row>
    <row r="874" spans="11:11">
      <c r="K874" s="3"/>
    </row>
    <row r="875" spans="11:11">
      <c r="K875" s="3"/>
    </row>
    <row r="876" spans="11:11">
      <c r="K876" s="3"/>
    </row>
    <row r="877" spans="11:11">
      <c r="K877" s="3"/>
    </row>
    <row r="878" spans="11:11">
      <c r="K878" s="3"/>
    </row>
    <row r="879" spans="11:11">
      <c r="K879" s="3"/>
    </row>
    <row r="880" spans="11:11">
      <c r="K880" s="3"/>
    </row>
    <row r="881" spans="11:11">
      <c r="K881" s="3"/>
    </row>
    <row r="882" spans="11:11">
      <c r="K882" s="3"/>
    </row>
    <row r="883" spans="11:11">
      <c r="K883" s="3"/>
    </row>
    <row r="884" spans="11:11">
      <c r="K884" s="3"/>
    </row>
    <row r="885" spans="11:11">
      <c r="K885" s="3"/>
    </row>
    <row r="886" spans="11:11">
      <c r="K886" s="3"/>
    </row>
    <row r="887" spans="11:11">
      <c r="K887" s="3"/>
    </row>
    <row r="888" spans="11:11">
      <c r="K888" s="3"/>
    </row>
    <row r="889" spans="11:11">
      <c r="K889" s="3"/>
    </row>
    <row r="890" spans="11:11">
      <c r="K890" s="3"/>
    </row>
    <row r="891" spans="11:11">
      <c r="K891" s="3"/>
    </row>
    <row r="892" spans="11:11">
      <c r="K892" s="3"/>
    </row>
    <row r="893" spans="11:11">
      <c r="K893" s="3"/>
    </row>
    <row r="894" spans="11:11">
      <c r="K894" s="3"/>
    </row>
    <row r="895" spans="11:11">
      <c r="K895" s="3"/>
    </row>
    <row r="896" spans="11:11">
      <c r="K896" s="3"/>
    </row>
    <row r="897" spans="11:11">
      <c r="K897" s="3"/>
    </row>
    <row r="898" spans="11:11">
      <c r="K898" s="3"/>
    </row>
    <row r="899" spans="11:11">
      <c r="K899" s="3"/>
    </row>
    <row r="900" spans="11:11">
      <c r="K900" s="3"/>
    </row>
    <row r="901" spans="11:11">
      <c r="K901" s="3"/>
    </row>
    <row r="902" spans="11:11">
      <c r="K902" s="3"/>
    </row>
    <row r="903" spans="11:11">
      <c r="K903" s="3"/>
    </row>
    <row r="904" spans="11:11">
      <c r="K904" s="3"/>
    </row>
    <row r="905" spans="11:11">
      <c r="K905" s="3"/>
    </row>
    <row r="906" spans="11:11">
      <c r="K906" s="3"/>
    </row>
    <row r="907" spans="11:11">
      <c r="K907" s="3"/>
    </row>
    <row r="908" spans="11:11">
      <c r="K908" s="3"/>
    </row>
    <row r="909" spans="11:11">
      <c r="K909" s="3"/>
    </row>
    <row r="910" spans="11:11">
      <c r="K910" s="3"/>
    </row>
    <row r="911" spans="11:11">
      <c r="K911" s="3"/>
    </row>
    <row r="912" spans="11:11">
      <c r="K912" s="3"/>
    </row>
    <row r="913" spans="11:11">
      <c r="K913" s="3"/>
    </row>
    <row r="914" spans="11:11">
      <c r="K914" s="3"/>
    </row>
    <row r="915" spans="11:11">
      <c r="K915" s="3"/>
    </row>
    <row r="916" spans="11:11">
      <c r="K916" s="3"/>
    </row>
    <row r="917" spans="11:11">
      <c r="K917" s="3"/>
    </row>
    <row r="918" spans="11:11">
      <c r="K918" s="3"/>
    </row>
    <row r="919" spans="11:11">
      <c r="K919" s="3"/>
    </row>
    <row r="920" spans="11:11">
      <c r="K920" s="3"/>
    </row>
    <row r="921" spans="11:11">
      <c r="K921" s="3"/>
    </row>
    <row r="922" spans="11:11">
      <c r="K922" s="3"/>
    </row>
    <row r="923" spans="11:11">
      <c r="K923" s="3"/>
    </row>
    <row r="924" spans="11:11">
      <c r="K924" s="3"/>
    </row>
    <row r="925" spans="11:11">
      <c r="K925" s="3"/>
    </row>
    <row r="926" spans="11:11">
      <c r="K926" s="3"/>
    </row>
    <row r="927" spans="11:11">
      <c r="K927" s="3"/>
    </row>
    <row r="928" spans="11:11">
      <c r="K928" s="3"/>
    </row>
    <row r="929" spans="11:11">
      <c r="K929" s="3"/>
    </row>
    <row r="930" spans="11:11">
      <c r="K930" s="3"/>
    </row>
    <row r="931" spans="11:11">
      <c r="K931" s="3"/>
    </row>
    <row r="932" spans="11:11">
      <c r="K932" s="3"/>
    </row>
    <row r="933" spans="11:11">
      <c r="K933" s="3"/>
    </row>
    <row r="934" spans="11:11">
      <c r="K934" s="3"/>
    </row>
    <row r="935" spans="11:11">
      <c r="K935" s="3"/>
    </row>
    <row r="936" spans="11:11">
      <c r="K936" s="3"/>
    </row>
    <row r="937" spans="11:11">
      <c r="K937" s="3"/>
    </row>
    <row r="938" spans="11:11">
      <c r="K938" s="3"/>
    </row>
    <row r="939" spans="11:11">
      <c r="K939" s="3"/>
    </row>
    <row r="940" spans="11:11">
      <c r="K940" s="3"/>
    </row>
    <row r="941" spans="11:11">
      <c r="K941" s="3"/>
    </row>
    <row r="942" spans="11:11">
      <c r="K942" s="3"/>
    </row>
    <row r="943" spans="11:11">
      <c r="K943" s="3"/>
    </row>
    <row r="944" spans="11:11">
      <c r="K944" s="3"/>
    </row>
    <row r="945" spans="11:11">
      <c r="K945" s="3"/>
    </row>
    <row r="946" spans="11:11">
      <c r="K946" s="3"/>
    </row>
    <row r="947" spans="11:11">
      <c r="K947" s="3"/>
    </row>
    <row r="948" spans="11:11">
      <c r="K948" s="3"/>
    </row>
    <row r="949" spans="11:11">
      <c r="K949" s="3"/>
    </row>
    <row r="950" spans="11:11">
      <c r="K950" s="3"/>
    </row>
    <row r="951" spans="11:11">
      <c r="K951" s="3"/>
    </row>
    <row r="952" spans="11:11">
      <c r="K952" s="3"/>
    </row>
    <row r="953" spans="11:11">
      <c r="K953" s="3"/>
    </row>
    <row r="954" spans="11:11">
      <c r="K954" s="3"/>
    </row>
    <row r="955" spans="11:11">
      <c r="K955" s="3"/>
    </row>
    <row r="956" spans="11:11">
      <c r="K956" s="3"/>
    </row>
    <row r="957" spans="11:11">
      <c r="K957" s="3"/>
    </row>
    <row r="958" spans="11:11">
      <c r="K958" s="3"/>
    </row>
    <row r="959" spans="11:11">
      <c r="K959" s="3"/>
    </row>
    <row r="960" spans="11:11">
      <c r="K960" s="3"/>
    </row>
    <row r="961" spans="11:11">
      <c r="K961" s="3"/>
    </row>
    <row r="962" spans="11:11">
      <c r="K962" s="3"/>
    </row>
    <row r="963" spans="11:11">
      <c r="K963" s="3"/>
    </row>
    <row r="964" spans="11:11">
      <c r="K964" s="3"/>
    </row>
    <row r="965" spans="11:11">
      <c r="K965" s="3"/>
    </row>
    <row r="966" spans="11:11">
      <c r="K966" s="3"/>
    </row>
    <row r="967" spans="11:11">
      <c r="K967" s="3"/>
    </row>
    <row r="968" spans="11:11">
      <c r="K968" s="3"/>
    </row>
    <row r="969" spans="11:11">
      <c r="K969" s="3"/>
    </row>
    <row r="970" spans="11:11">
      <c r="K970" s="3"/>
    </row>
    <row r="971" spans="11:11">
      <c r="K971" s="3"/>
    </row>
    <row r="972" spans="11:11">
      <c r="K972" s="3"/>
    </row>
    <row r="973" spans="11:11">
      <c r="K973" s="3"/>
    </row>
    <row r="974" spans="11:11">
      <c r="K974" s="3"/>
    </row>
    <row r="975" spans="11:11">
      <c r="K975" s="3"/>
    </row>
    <row r="976" spans="11:11">
      <c r="K976" s="3"/>
    </row>
    <row r="977" spans="11:11">
      <c r="K977" s="3"/>
    </row>
    <row r="978" spans="11:11">
      <c r="K978" s="3"/>
    </row>
    <row r="979" spans="11:11">
      <c r="K979" s="3"/>
    </row>
    <row r="980" spans="11:11">
      <c r="K980" s="3"/>
    </row>
    <row r="981" spans="11:11">
      <c r="K981" s="3"/>
    </row>
    <row r="982" spans="11:11">
      <c r="K982" s="3"/>
    </row>
    <row r="983" spans="11:11">
      <c r="K983" s="3"/>
    </row>
    <row r="984" spans="11:11">
      <c r="K984" s="3"/>
    </row>
    <row r="985" spans="11:11">
      <c r="K985" s="3"/>
    </row>
    <row r="986" spans="11:11">
      <c r="K986" s="3"/>
    </row>
    <row r="987" spans="11:11">
      <c r="K987" s="3"/>
    </row>
    <row r="988" spans="11:11">
      <c r="K988" s="3"/>
    </row>
    <row r="989" spans="11:11">
      <c r="K989" s="3"/>
    </row>
    <row r="990" spans="11:11">
      <c r="K990" s="3"/>
    </row>
    <row r="991" spans="11:11">
      <c r="K991" s="3"/>
    </row>
    <row r="992" spans="11:11">
      <c r="K992" s="3"/>
    </row>
    <row r="993" spans="11:11">
      <c r="K993" s="3"/>
    </row>
    <row r="994" spans="11:11">
      <c r="K994" s="3"/>
    </row>
    <row r="995" spans="11:11">
      <c r="K995" s="3"/>
    </row>
    <row r="996" spans="11:11">
      <c r="K996" s="3"/>
    </row>
    <row r="997" spans="11:11">
      <c r="K997" s="3"/>
    </row>
    <row r="998" spans="11:11">
      <c r="K998" s="3"/>
    </row>
    <row r="999" spans="11:11">
      <c r="K999" s="3"/>
    </row>
    <row r="1000" spans="11:11">
      <c r="K1000" s="3"/>
    </row>
    <row r="1001" spans="11:11">
      <c r="K1001" s="3"/>
    </row>
    <row r="1002" spans="11:11">
      <c r="K1002" s="3"/>
    </row>
    <row r="1003" spans="11:11">
      <c r="K1003" s="3"/>
    </row>
    <row r="1004" spans="11:11">
      <c r="K1004" s="3"/>
    </row>
    <row r="1005" spans="11:11">
      <c r="K1005" s="3"/>
    </row>
    <row r="1006" spans="11:11">
      <c r="K1006" s="3"/>
    </row>
    <row r="1007" spans="11:11">
      <c r="K1007" s="3"/>
    </row>
    <row r="1008" spans="11:11">
      <c r="K1008" s="3"/>
    </row>
    <row r="1009" spans="11:11">
      <c r="K1009" s="3"/>
    </row>
    <row r="1010" spans="11:11">
      <c r="K1010" s="3"/>
    </row>
    <row r="1011" spans="11:11">
      <c r="K1011" s="3"/>
    </row>
    <row r="1012" spans="11:11">
      <c r="K1012" s="3"/>
    </row>
    <row r="1013" spans="11:11">
      <c r="K1013" s="3"/>
    </row>
    <row r="1014" spans="11:11">
      <c r="K1014" s="3"/>
    </row>
    <row r="1015" spans="11:11">
      <c r="K1015" s="3"/>
    </row>
    <row r="1016" spans="11:11">
      <c r="K1016" s="3"/>
    </row>
    <row r="1017" spans="11:11">
      <c r="K1017" s="3"/>
    </row>
    <row r="1018" spans="11:11">
      <c r="K1018" s="3"/>
    </row>
    <row r="1019" spans="11:11">
      <c r="K1019" s="3"/>
    </row>
    <row r="1020" spans="11:11">
      <c r="K1020" s="3"/>
    </row>
    <row r="1021" spans="11:11">
      <c r="K1021" s="3"/>
    </row>
    <row r="1022" spans="11:11">
      <c r="K1022" s="3"/>
    </row>
    <row r="1023" spans="11:11">
      <c r="K1023" s="3"/>
    </row>
    <row r="1024" spans="11:11">
      <c r="K1024" s="3"/>
    </row>
    <row r="1025" spans="11:11">
      <c r="K1025" s="3"/>
    </row>
    <row r="1026" spans="11:11">
      <c r="K1026" s="3"/>
    </row>
    <row r="1027" spans="11:11">
      <c r="K1027" s="3"/>
    </row>
    <row r="1028" spans="11:11">
      <c r="K1028" s="3"/>
    </row>
    <row r="1029" spans="11:11">
      <c r="K1029" s="3"/>
    </row>
    <row r="1030" spans="11:11">
      <c r="K1030" s="3"/>
    </row>
    <row r="1031" spans="11:11">
      <c r="K1031" s="3"/>
    </row>
    <row r="1032" spans="11:11">
      <c r="K1032" s="3"/>
    </row>
    <row r="1033" spans="11:11">
      <c r="K1033" s="3"/>
    </row>
    <row r="1034" spans="11:11">
      <c r="K1034" s="3"/>
    </row>
    <row r="1035" spans="11:11">
      <c r="K1035" s="3"/>
    </row>
    <row r="1036" spans="11:11">
      <c r="K1036" s="3"/>
    </row>
    <row r="1037" spans="11:11">
      <c r="K1037" s="3"/>
    </row>
    <row r="1038" spans="11:11">
      <c r="K1038" s="3"/>
    </row>
    <row r="1039" spans="11:11">
      <c r="K1039" s="3"/>
    </row>
    <row r="1040" spans="11:11">
      <c r="K1040" s="3"/>
    </row>
    <row r="1041" spans="11:11">
      <c r="K1041" s="3"/>
    </row>
    <row r="1042" spans="11:11">
      <c r="K1042" s="3"/>
    </row>
    <row r="1043" spans="11:11">
      <c r="K1043" s="3"/>
    </row>
    <row r="1044" spans="11:11">
      <c r="K1044" s="3"/>
    </row>
    <row r="1045" spans="11:11">
      <c r="K1045" s="3"/>
    </row>
    <row r="1046" spans="11:11">
      <c r="K1046" s="3"/>
    </row>
    <row r="1047" spans="11:11">
      <c r="K1047" s="3"/>
    </row>
    <row r="1048" spans="11:11">
      <c r="K1048" s="3"/>
    </row>
    <row r="1049" spans="11:11">
      <c r="K1049" s="3"/>
    </row>
    <row r="1050" spans="11:11">
      <c r="K1050" s="3"/>
    </row>
    <row r="1051" spans="11:11">
      <c r="K1051" s="3"/>
    </row>
    <row r="1052" spans="11:11">
      <c r="K1052" s="3"/>
    </row>
    <row r="1053" spans="11:11">
      <c r="K1053" s="3"/>
    </row>
    <row r="1054" spans="11:11">
      <c r="K1054" s="3"/>
    </row>
    <row r="1055" spans="11:11">
      <c r="K1055" s="3"/>
    </row>
    <row r="1056" spans="11:11">
      <c r="K1056" s="3"/>
    </row>
    <row r="1057" spans="11:11">
      <c r="K1057" s="3"/>
    </row>
    <row r="1058" spans="11:11">
      <c r="K1058" s="3"/>
    </row>
    <row r="1059" spans="11:11">
      <c r="K1059" s="3"/>
    </row>
    <row r="1060" spans="11:11">
      <c r="K1060" s="3"/>
    </row>
    <row r="1061" spans="11:11">
      <c r="K1061" s="3"/>
    </row>
    <row r="1062" spans="11:11">
      <c r="K1062" s="3"/>
    </row>
    <row r="1063" spans="11:11">
      <c r="K1063" s="3"/>
    </row>
    <row r="1064" spans="11:11">
      <c r="K1064" s="3"/>
    </row>
    <row r="1065" spans="11:11">
      <c r="K1065" s="3"/>
    </row>
    <row r="1066" spans="11:11">
      <c r="K1066" s="3"/>
    </row>
    <row r="1067" spans="11:11">
      <c r="K1067" s="3"/>
    </row>
    <row r="1068" spans="11:11">
      <c r="K1068" s="3"/>
    </row>
    <row r="1069" spans="11:11">
      <c r="K1069" s="3"/>
    </row>
    <row r="1070" spans="11:11">
      <c r="K1070" s="3"/>
    </row>
    <row r="1071" spans="11:11">
      <c r="K1071" s="3"/>
    </row>
    <row r="1072" spans="11:11">
      <c r="K1072" s="3"/>
    </row>
    <row r="1073" spans="11:11">
      <c r="K1073" s="3"/>
    </row>
    <row r="1074" spans="11:11">
      <c r="K1074" s="3"/>
    </row>
    <row r="1075" spans="11:11">
      <c r="K1075" s="3"/>
    </row>
    <row r="1076" spans="11:11">
      <c r="K1076" s="3"/>
    </row>
    <row r="1077" spans="11:11">
      <c r="K1077" s="3"/>
    </row>
    <row r="1078" spans="11:11">
      <c r="K1078" s="3"/>
    </row>
    <row r="1079" spans="11:11">
      <c r="K1079" s="3"/>
    </row>
    <row r="1080" spans="11:11">
      <c r="K1080" s="3"/>
    </row>
    <row r="1081" spans="11:11">
      <c r="K1081" s="3"/>
    </row>
    <row r="1082" spans="11:11">
      <c r="K1082" s="3"/>
    </row>
    <row r="1083" spans="11:11">
      <c r="K1083" s="3"/>
    </row>
    <row r="1084" spans="11:11">
      <c r="K1084" s="3"/>
    </row>
    <row r="1085" spans="11:11">
      <c r="K1085" s="3"/>
    </row>
    <row r="1086" spans="11:11">
      <c r="K1086" s="3"/>
    </row>
    <row r="1087" spans="11:11">
      <c r="K1087" s="3"/>
    </row>
    <row r="1088" spans="11:11">
      <c r="K1088" s="3"/>
    </row>
    <row r="1089" spans="11:11">
      <c r="K1089" s="3"/>
    </row>
    <row r="1090" spans="11:11">
      <c r="K1090" s="3"/>
    </row>
    <row r="1091" spans="11:11">
      <c r="K1091" s="3"/>
    </row>
    <row r="1092" spans="11:11">
      <c r="K1092" s="3"/>
    </row>
    <row r="1093" spans="11:11">
      <c r="K1093" s="3"/>
    </row>
    <row r="1094" spans="11:11">
      <c r="K1094" s="3"/>
    </row>
    <row r="1095" spans="11:11">
      <c r="K1095" s="3"/>
    </row>
    <row r="1096" spans="11:11">
      <c r="K1096" s="3"/>
    </row>
    <row r="1097" spans="11:11">
      <c r="K1097" s="3"/>
    </row>
    <row r="1098" spans="11:11">
      <c r="K1098" s="3"/>
    </row>
    <row r="1099" spans="11:11">
      <c r="K1099" s="3"/>
    </row>
    <row r="1100" spans="11:11">
      <c r="K1100" s="3"/>
    </row>
    <row r="1101" spans="11:11">
      <c r="K1101" s="3"/>
    </row>
    <row r="1102" spans="11:11">
      <c r="K1102" s="3"/>
    </row>
    <row r="1103" spans="11:11">
      <c r="K1103" s="3"/>
    </row>
    <row r="1104" spans="11:11">
      <c r="K1104" s="3"/>
    </row>
    <row r="1105" spans="11:11">
      <c r="K1105" s="3"/>
    </row>
    <row r="1106" spans="11:11">
      <c r="K1106" s="3"/>
    </row>
    <row r="1107" spans="11:11">
      <c r="K1107" s="3"/>
    </row>
    <row r="1108" spans="11:11">
      <c r="K1108" s="3"/>
    </row>
    <row r="1109" spans="11:11">
      <c r="K1109" s="3"/>
    </row>
    <row r="1110" spans="11:11">
      <c r="K1110" s="3"/>
    </row>
    <row r="1111" spans="11:11">
      <c r="K1111" s="3"/>
    </row>
    <row r="1112" spans="11:11">
      <c r="K1112" s="3"/>
    </row>
    <row r="1113" spans="11:11">
      <c r="K1113" s="3"/>
    </row>
    <row r="1114" spans="11:11">
      <c r="K1114" s="3"/>
    </row>
    <row r="1115" spans="11:11">
      <c r="K1115" s="3"/>
    </row>
    <row r="1116" spans="11:11">
      <c r="K1116" s="3"/>
    </row>
    <row r="1117" spans="11:11">
      <c r="K1117" s="3"/>
    </row>
    <row r="1118" spans="11:11">
      <c r="K1118" s="3"/>
    </row>
    <row r="1119" spans="11:11">
      <c r="K1119" s="3"/>
    </row>
    <row r="1120" spans="11:11">
      <c r="K1120" s="3"/>
    </row>
    <row r="1121" spans="11:11">
      <c r="K1121" s="3"/>
    </row>
    <row r="1122" spans="11:11">
      <c r="K1122" s="3"/>
    </row>
    <row r="1123" spans="11:11">
      <c r="K1123" s="3"/>
    </row>
    <row r="1124" spans="11:11">
      <c r="K1124" s="3"/>
    </row>
    <row r="1125" spans="11:11">
      <c r="K1125" s="3"/>
    </row>
    <row r="1126" spans="11:11">
      <c r="K1126" s="3"/>
    </row>
    <row r="1127" spans="11:11">
      <c r="K1127" s="3"/>
    </row>
    <row r="1128" spans="11:11">
      <c r="K1128" s="3"/>
    </row>
    <row r="1129" spans="11:11">
      <c r="K1129" s="3"/>
    </row>
    <row r="1130" spans="11:11">
      <c r="K1130" s="3"/>
    </row>
    <row r="1131" spans="11:11">
      <c r="K1131" s="3"/>
    </row>
    <row r="1132" spans="11:11">
      <c r="K1132" s="3"/>
    </row>
    <row r="1133" spans="11:11">
      <c r="K1133" s="3"/>
    </row>
    <row r="1134" spans="11:11">
      <c r="K1134" s="3"/>
    </row>
    <row r="1135" spans="11:11">
      <c r="K1135" s="3"/>
    </row>
    <row r="1136" spans="11:11">
      <c r="K1136" s="3"/>
    </row>
    <row r="1137" spans="11:11">
      <c r="K1137" s="3"/>
    </row>
    <row r="1138" spans="11:11">
      <c r="K1138" s="3"/>
    </row>
    <row r="1139" spans="11:11">
      <c r="K1139" s="3"/>
    </row>
    <row r="1140" spans="11:11">
      <c r="K1140" s="3"/>
    </row>
    <row r="1141" spans="11:11">
      <c r="K1141" s="3"/>
    </row>
    <row r="1142" spans="11:11">
      <c r="K1142" s="3"/>
    </row>
    <row r="1143" spans="11:11">
      <c r="K1143" s="3"/>
    </row>
    <row r="1144" spans="11:11">
      <c r="K1144" s="3"/>
    </row>
    <row r="1145" spans="11:11">
      <c r="K1145" s="3"/>
    </row>
    <row r="1146" spans="11:11">
      <c r="K1146" s="3"/>
    </row>
    <row r="1147" spans="11:11">
      <c r="K1147" s="3"/>
    </row>
    <row r="1148" spans="11:11">
      <c r="K1148" s="3"/>
    </row>
    <row r="1149" spans="11:11">
      <c r="K1149" s="3"/>
    </row>
    <row r="1150" spans="11:11">
      <c r="K1150" s="3"/>
    </row>
    <row r="1151" spans="11:11">
      <c r="K1151" s="3"/>
    </row>
    <row r="1152" spans="11:11">
      <c r="K1152" s="3"/>
    </row>
    <row r="1153" spans="11:11">
      <c r="K1153" s="3"/>
    </row>
    <row r="1154" spans="11:11">
      <c r="K1154" s="3"/>
    </row>
    <row r="1155" spans="11:11">
      <c r="K1155" s="3"/>
    </row>
    <row r="1156" spans="11:11">
      <c r="K1156" s="3"/>
    </row>
    <row r="1157" spans="11:11">
      <c r="K1157" s="3"/>
    </row>
    <row r="1158" spans="11:11">
      <c r="K1158" s="3"/>
    </row>
    <row r="1159" spans="11:11">
      <c r="K1159" s="3"/>
    </row>
    <row r="1160" spans="11:11">
      <c r="K1160" s="3"/>
    </row>
    <row r="1161" spans="11:11">
      <c r="K1161" s="3"/>
    </row>
    <row r="1162" spans="11:11">
      <c r="K1162" s="3"/>
    </row>
    <row r="1163" spans="11:11">
      <c r="K1163" s="3"/>
    </row>
    <row r="1164" spans="11:11">
      <c r="K1164" s="3"/>
    </row>
    <row r="1165" spans="11:11">
      <c r="K1165" s="3"/>
    </row>
    <row r="1166" spans="11:11">
      <c r="K1166" s="3"/>
    </row>
    <row r="1167" spans="11:11">
      <c r="K1167" s="3"/>
    </row>
    <row r="1168" spans="11:11">
      <c r="K1168" s="3"/>
    </row>
    <row r="1169" spans="11:11">
      <c r="K1169" s="3"/>
    </row>
    <row r="1170" spans="11:11">
      <c r="K1170" s="3"/>
    </row>
    <row r="1171" spans="11:11">
      <c r="K1171" s="3"/>
    </row>
    <row r="1172" spans="11:11">
      <c r="K1172" s="3"/>
    </row>
    <row r="1173" spans="11:11">
      <c r="K1173" s="3"/>
    </row>
    <row r="1174" spans="11:11">
      <c r="K1174" s="3"/>
    </row>
    <row r="1175" spans="11:11">
      <c r="K1175" s="3"/>
    </row>
    <row r="1176" spans="11:11">
      <c r="K1176" s="3"/>
    </row>
    <row r="1177" spans="11:11">
      <c r="K1177" s="3"/>
    </row>
    <row r="1178" spans="11:11">
      <c r="K1178" s="3"/>
    </row>
    <row r="1179" spans="11:11">
      <c r="K1179" s="3"/>
    </row>
    <row r="1180" spans="11:11">
      <c r="K1180" s="3"/>
    </row>
    <row r="1181" spans="11:11">
      <c r="K1181" s="3"/>
    </row>
    <row r="1182" spans="11:11">
      <c r="K1182" s="3"/>
    </row>
    <row r="1183" spans="11:11">
      <c r="K1183" s="3"/>
    </row>
    <row r="1184" spans="11:11">
      <c r="K1184" s="3"/>
    </row>
    <row r="1185" spans="11:11">
      <c r="K1185" s="3"/>
    </row>
    <row r="1186" spans="11:11">
      <c r="K1186" s="3"/>
    </row>
    <row r="1187" spans="11:11">
      <c r="K1187" s="3"/>
    </row>
    <row r="1188" spans="11:11">
      <c r="K1188" s="3"/>
    </row>
    <row r="1189" spans="11:11">
      <c r="K1189" s="3"/>
    </row>
    <row r="1190" spans="11:11">
      <c r="K1190" s="3"/>
    </row>
    <row r="1191" spans="11:11">
      <c r="K1191" s="3"/>
    </row>
    <row r="1192" spans="11:11">
      <c r="K1192" s="3"/>
    </row>
    <row r="1193" spans="11:11">
      <c r="K1193" s="3"/>
    </row>
    <row r="1194" spans="11:11">
      <c r="K1194" s="3"/>
    </row>
    <row r="1195" spans="11:11">
      <c r="K1195" s="3"/>
    </row>
    <row r="1196" spans="11:11">
      <c r="K1196" s="3"/>
    </row>
    <row r="1197" spans="11:11">
      <c r="K1197" s="3"/>
    </row>
    <row r="1198" spans="11:11">
      <c r="K1198" s="3"/>
    </row>
    <row r="1199" spans="11:11">
      <c r="K1199" s="3"/>
    </row>
    <row r="1200" spans="11:11">
      <c r="K1200" s="3"/>
    </row>
    <row r="1201" spans="11:11">
      <c r="K1201" s="3"/>
    </row>
    <row r="1202" spans="11:11">
      <c r="K1202" s="3"/>
    </row>
    <row r="1203" spans="11:11">
      <c r="K1203" s="3"/>
    </row>
    <row r="1204" spans="11:11">
      <c r="K1204" s="3"/>
    </row>
    <row r="1205" spans="11:11">
      <c r="K1205" s="3"/>
    </row>
    <row r="1206" spans="11:11">
      <c r="K1206" s="3"/>
    </row>
    <row r="1207" spans="11:11">
      <c r="K1207" s="3"/>
    </row>
    <row r="1208" spans="11:11">
      <c r="K1208" s="3"/>
    </row>
    <row r="1209" spans="11:11">
      <c r="K1209" s="3"/>
    </row>
    <row r="1210" spans="11:11">
      <c r="K1210" s="3"/>
    </row>
    <row r="1211" spans="11:11">
      <c r="K1211" s="3"/>
    </row>
    <row r="1212" spans="11:11">
      <c r="K1212" s="3"/>
    </row>
    <row r="1213" spans="11:11">
      <c r="K1213" s="3"/>
    </row>
    <row r="1214" spans="11:11">
      <c r="K1214" s="3"/>
    </row>
    <row r="1215" spans="11:11">
      <c r="K1215" s="3"/>
    </row>
    <row r="1216" spans="11:11">
      <c r="K1216" s="3"/>
    </row>
    <row r="1217" spans="11:11">
      <c r="K1217" s="3"/>
    </row>
    <row r="1218" spans="11:11">
      <c r="K1218" s="3"/>
    </row>
    <row r="1219" spans="11:11">
      <c r="K1219" s="3"/>
    </row>
    <row r="1220" spans="11:11">
      <c r="K1220" s="3"/>
    </row>
    <row r="1221" spans="11:11">
      <c r="K1221" s="3"/>
    </row>
    <row r="1222" spans="11:11">
      <c r="K1222" s="3"/>
    </row>
    <row r="1223" spans="11:11">
      <c r="K1223" s="3"/>
    </row>
    <row r="1224" spans="11:11">
      <c r="K1224" s="3"/>
    </row>
    <row r="1225" spans="11:11">
      <c r="K1225" s="3"/>
    </row>
    <row r="1226" spans="11:11">
      <c r="K1226" s="3"/>
    </row>
    <row r="1227" spans="11:11">
      <c r="K1227" s="3"/>
    </row>
    <row r="1228" spans="11:11">
      <c r="K1228" s="3"/>
    </row>
    <row r="1229" spans="11:11">
      <c r="K1229" s="3"/>
    </row>
    <row r="1230" spans="11:11">
      <c r="K1230" s="3"/>
    </row>
    <row r="1231" spans="11:11">
      <c r="K1231" s="3"/>
    </row>
    <row r="1232" spans="11:11">
      <c r="K1232" s="3"/>
    </row>
    <row r="1233" spans="11:11">
      <c r="K1233" s="3"/>
    </row>
    <row r="1234" spans="11:11">
      <c r="K1234" s="3"/>
    </row>
    <row r="1235" spans="11:11">
      <c r="K1235" s="3"/>
    </row>
    <row r="1236" spans="11:11">
      <c r="K1236" s="3"/>
    </row>
    <row r="1237" spans="11:11">
      <c r="K1237" s="3"/>
    </row>
    <row r="1238" spans="11:11">
      <c r="K1238" s="3"/>
    </row>
    <row r="1239" spans="11:11">
      <c r="K1239" s="3"/>
    </row>
    <row r="1240" spans="11:11">
      <c r="K1240" s="3"/>
    </row>
    <row r="1241" spans="11:11">
      <c r="K1241" s="3"/>
    </row>
    <row r="1242" spans="11:11">
      <c r="K1242" s="3"/>
    </row>
    <row r="1243" spans="11:11">
      <c r="K1243" s="3"/>
    </row>
    <row r="1244" spans="11:11">
      <c r="K1244" s="3"/>
    </row>
    <row r="1245" spans="11:11">
      <c r="K1245" s="3"/>
    </row>
    <row r="1246" spans="11:11">
      <c r="K1246" s="3"/>
    </row>
    <row r="1247" spans="11:11">
      <c r="K1247" s="3"/>
    </row>
    <row r="1248" spans="11:11">
      <c r="K1248" s="3"/>
    </row>
    <row r="1249" spans="11:11">
      <c r="K1249" s="3"/>
    </row>
    <row r="1250" spans="11:11">
      <c r="K1250" s="3"/>
    </row>
    <row r="1251" spans="11:11">
      <c r="K1251" s="3"/>
    </row>
    <row r="1252" spans="11:11">
      <c r="K1252" s="3"/>
    </row>
    <row r="1253" spans="11:11">
      <c r="K1253" s="3"/>
    </row>
    <row r="1254" spans="11:11">
      <c r="K1254" s="3"/>
    </row>
    <row r="1255" spans="11:11">
      <c r="K1255" s="3"/>
    </row>
    <row r="1256" spans="11:11">
      <c r="K1256" s="3"/>
    </row>
    <row r="1257" spans="11:11">
      <c r="K1257" s="3"/>
    </row>
    <row r="1258" spans="11:11">
      <c r="K1258" s="3"/>
    </row>
    <row r="1259" spans="11:11">
      <c r="K1259" s="3"/>
    </row>
    <row r="1260" spans="11:11">
      <c r="K1260" s="3"/>
    </row>
    <row r="1261" spans="11:11">
      <c r="K1261" s="3"/>
    </row>
    <row r="1262" spans="11:11">
      <c r="K1262" s="3"/>
    </row>
    <row r="1263" spans="11:11">
      <c r="K1263" s="3"/>
    </row>
    <row r="1264" spans="11:11">
      <c r="K1264" s="3"/>
    </row>
    <row r="1265" spans="11:11">
      <c r="K1265" s="3"/>
    </row>
    <row r="1266" spans="11:11">
      <c r="K1266" s="3"/>
    </row>
    <row r="1267" spans="11:11">
      <c r="K1267" s="3"/>
    </row>
    <row r="1268" spans="11:11">
      <c r="K1268" s="3"/>
    </row>
    <row r="1269" spans="11:11">
      <c r="K1269" s="3"/>
    </row>
    <row r="1270" spans="11:11">
      <c r="K1270" s="3"/>
    </row>
    <row r="1271" spans="11:11">
      <c r="K1271" s="3"/>
    </row>
    <row r="1272" spans="11:11">
      <c r="K1272" s="3"/>
    </row>
    <row r="1273" spans="11:11">
      <c r="K1273" s="3"/>
    </row>
    <row r="1274" spans="11:11">
      <c r="K1274" s="3"/>
    </row>
    <row r="1275" spans="11:11">
      <c r="K1275" s="3"/>
    </row>
    <row r="1276" spans="11:11">
      <c r="K1276" s="3"/>
    </row>
    <row r="1277" spans="11:11">
      <c r="K1277" s="3"/>
    </row>
    <row r="1278" spans="11:11">
      <c r="K1278" s="3"/>
    </row>
    <row r="1279" spans="11:11">
      <c r="K1279" s="3"/>
    </row>
    <row r="1280" spans="11:11">
      <c r="K1280" s="3"/>
    </row>
    <row r="1281" spans="11:11">
      <c r="K1281" s="3"/>
    </row>
    <row r="1282" spans="11:11">
      <c r="K1282" s="3"/>
    </row>
    <row r="1283" spans="11:11">
      <c r="K1283" s="3"/>
    </row>
    <row r="1284" spans="11:11">
      <c r="K1284" s="3"/>
    </row>
    <row r="1285" spans="11:11">
      <c r="K1285" s="3"/>
    </row>
    <row r="1286" spans="11:11">
      <c r="K1286" s="3"/>
    </row>
    <row r="1287" spans="11:11">
      <c r="K1287" s="3"/>
    </row>
    <row r="1288" spans="11:11">
      <c r="K1288" s="3"/>
    </row>
    <row r="1289" spans="11:11">
      <c r="K1289" s="3"/>
    </row>
    <row r="1290" spans="11:11">
      <c r="K1290" s="3"/>
    </row>
    <row r="1291" spans="11:11">
      <c r="K1291" s="3"/>
    </row>
    <row r="1292" spans="11:11">
      <c r="K1292" s="3"/>
    </row>
    <row r="1293" spans="11:11">
      <c r="K1293" s="3"/>
    </row>
    <row r="1294" spans="11:11">
      <c r="K1294" s="3"/>
    </row>
    <row r="1295" spans="11:11">
      <c r="K1295" s="3"/>
    </row>
    <row r="1296" spans="11:11">
      <c r="K1296" s="3"/>
    </row>
    <row r="1297" spans="11:11">
      <c r="K1297" s="3"/>
    </row>
    <row r="1298" spans="11:11">
      <c r="K1298" s="3"/>
    </row>
    <row r="1299" spans="11:11">
      <c r="K1299" s="3"/>
    </row>
    <row r="1300" spans="11:11">
      <c r="K1300" s="3"/>
    </row>
    <row r="1301" spans="11:11">
      <c r="K1301" s="3"/>
    </row>
    <row r="1302" spans="11:11">
      <c r="K1302" s="3"/>
    </row>
    <row r="1303" spans="11:11">
      <c r="K1303" s="3"/>
    </row>
    <row r="1304" spans="11:11">
      <c r="K1304" s="3"/>
    </row>
    <row r="1305" spans="11:11">
      <c r="K1305" s="3"/>
    </row>
    <row r="1306" spans="11:11">
      <c r="K1306" s="3"/>
    </row>
    <row r="1307" spans="11:11">
      <c r="K1307" s="3"/>
    </row>
    <row r="1308" spans="11:11">
      <c r="K1308" s="3"/>
    </row>
    <row r="1309" spans="11:11">
      <c r="K1309" s="3"/>
    </row>
    <row r="1310" spans="11:11">
      <c r="K1310" s="3"/>
    </row>
    <row r="1311" spans="11:11">
      <c r="K1311" s="3"/>
    </row>
    <row r="1312" spans="11:11">
      <c r="K1312" s="3"/>
    </row>
    <row r="1313" spans="11:11">
      <c r="K1313" s="3"/>
    </row>
    <row r="1314" spans="11:11">
      <c r="K1314" s="3"/>
    </row>
    <row r="1315" spans="11:11">
      <c r="K1315" s="3"/>
    </row>
    <row r="1316" spans="11:11">
      <c r="K1316" s="3"/>
    </row>
    <row r="1317" spans="11:11">
      <c r="K1317" s="3"/>
    </row>
    <row r="1318" spans="11:11">
      <c r="K1318" s="3"/>
    </row>
    <row r="1319" spans="11:11">
      <c r="K1319" s="3"/>
    </row>
    <row r="1320" spans="11:11">
      <c r="K1320" s="3"/>
    </row>
    <row r="1321" spans="11:11">
      <c r="K1321" s="3"/>
    </row>
    <row r="1322" spans="11:11">
      <c r="K1322" s="3"/>
    </row>
    <row r="1323" spans="11:11">
      <c r="K1323" s="3"/>
    </row>
    <row r="1324" spans="11:11">
      <c r="K1324" s="3"/>
    </row>
    <row r="1325" spans="11:11">
      <c r="K1325" s="3"/>
    </row>
    <row r="1326" spans="11:11">
      <c r="K1326" s="3"/>
    </row>
    <row r="1327" spans="11:11">
      <c r="K1327" s="3"/>
    </row>
    <row r="1328" spans="11:11">
      <c r="K1328" s="3"/>
    </row>
    <row r="1329" spans="11:11">
      <c r="K1329" s="3"/>
    </row>
    <row r="1330" spans="11:11">
      <c r="K1330" s="3"/>
    </row>
    <row r="1331" spans="11:11">
      <c r="K1331" s="3"/>
    </row>
    <row r="1332" spans="11:11">
      <c r="K1332" s="3"/>
    </row>
    <row r="1333" spans="11:11">
      <c r="K1333" s="3"/>
    </row>
    <row r="1334" spans="11:11">
      <c r="K1334" s="3"/>
    </row>
    <row r="1335" spans="11:11">
      <c r="K1335" s="3"/>
    </row>
    <row r="1336" spans="11:11">
      <c r="K1336" s="3"/>
    </row>
    <row r="1337" spans="11:11">
      <c r="K1337" s="3"/>
    </row>
    <row r="1338" spans="11:11">
      <c r="K1338" s="3"/>
    </row>
    <row r="1339" spans="11:11">
      <c r="K1339" s="3"/>
    </row>
    <row r="1340" spans="11:11">
      <c r="K1340" s="3"/>
    </row>
    <row r="1341" spans="11:11">
      <c r="K1341" s="3"/>
    </row>
    <row r="1342" spans="11:11">
      <c r="K1342" s="3"/>
    </row>
    <row r="1343" spans="11:11">
      <c r="K1343" s="3"/>
    </row>
    <row r="1344" spans="11:11">
      <c r="K1344" s="3"/>
    </row>
    <row r="1345" spans="11:11">
      <c r="K1345" s="3"/>
    </row>
    <row r="1346" spans="11:11">
      <c r="K1346" s="3"/>
    </row>
    <row r="1347" spans="11:11">
      <c r="K1347" s="3"/>
    </row>
    <row r="1348" spans="11:11">
      <c r="K1348" s="3"/>
    </row>
    <row r="1349" spans="11:11">
      <c r="K1349" s="3"/>
    </row>
    <row r="1350" spans="11:11">
      <c r="K1350" s="3"/>
    </row>
    <row r="1351" spans="11:11">
      <c r="K1351" s="3"/>
    </row>
    <row r="1352" spans="11:11">
      <c r="K1352" s="3"/>
    </row>
    <row r="1353" spans="11:11">
      <c r="K1353" s="3"/>
    </row>
    <row r="1354" spans="11:11">
      <c r="K1354" s="3"/>
    </row>
    <row r="1355" spans="11:11">
      <c r="K1355" s="3"/>
    </row>
    <row r="1356" spans="11:11">
      <c r="K1356" s="3"/>
    </row>
    <row r="1357" spans="11:11">
      <c r="K1357" s="3"/>
    </row>
    <row r="1358" spans="11:11">
      <c r="K1358" s="3"/>
    </row>
    <row r="1359" spans="11:11">
      <c r="K1359" s="3"/>
    </row>
    <row r="1360" spans="11:11">
      <c r="K1360" s="3"/>
    </row>
    <row r="1361" spans="11:11">
      <c r="K1361" s="3"/>
    </row>
    <row r="1362" spans="11:11">
      <c r="K1362" s="3"/>
    </row>
    <row r="1363" spans="11:11">
      <c r="K1363" s="3"/>
    </row>
    <row r="1364" spans="11:11">
      <c r="K1364" s="3"/>
    </row>
    <row r="1365" spans="11:11">
      <c r="K1365" s="3"/>
    </row>
    <row r="1366" spans="11:11">
      <c r="K1366" s="3"/>
    </row>
    <row r="1367" spans="11:11">
      <c r="K1367" s="3"/>
    </row>
    <row r="1368" spans="11:11">
      <c r="K1368" s="3"/>
    </row>
    <row r="1369" spans="11:11">
      <c r="K1369" s="3"/>
    </row>
    <row r="1370" spans="11:11">
      <c r="K1370" s="3"/>
    </row>
    <row r="1371" spans="11:11">
      <c r="K1371" s="3"/>
    </row>
    <row r="1372" spans="11:11">
      <c r="K1372" s="3"/>
    </row>
    <row r="1373" spans="11:11">
      <c r="K1373" s="3"/>
    </row>
    <row r="1374" spans="11:11">
      <c r="K1374" s="3"/>
    </row>
    <row r="1375" spans="11:11">
      <c r="K1375" s="3"/>
    </row>
    <row r="1376" spans="11:11">
      <c r="K1376" s="3"/>
    </row>
    <row r="1377" spans="11:11">
      <c r="K1377" s="3"/>
    </row>
    <row r="1378" spans="11:11">
      <c r="K1378" s="3"/>
    </row>
    <row r="1379" spans="11:11">
      <c r="K1379" s="3"/>
    </row>
    <row r="1380" spans="11:11">
      <c r="K1380" s="3"/>
    </row>
    <row r="1381" spans="11:11">
      <c r="K1381" s="3"/>
    </row>
    <row r="1382" spans="11:11">
      <c r="K1382" s="3"/>
    </row>
    <row r="1383" spans="11:11">
      <c r="K1383" s="3"/>
    </row>
    <row r="1384" spans="11:11">
      <c r="K1384" s="3"/>
    </row>
    <row r="1385" spans="11:11">
      <c r="K1385" s="3"/>
    </row>
    <row r="1386" spans="11:11">
      <c r="K1386" s="3"/>
    </row>
    <row r="1387" spans="11:11">
      <c r="K1387" s="3"/>
    </row>
    <row r="1388" spans="11:11">
      <c r="K1388" s="3"/>
    </row>
    <row r="1389" spans="11:11">
      <c r="K1389" s="3"/>
    </row>
    <row r="1390" spans="11:11">
      <c r="K1390" s="3"/>
    </row>
    <row r="1391" spans="11:11">
      <c r="K1391" s="3"/>
    </row>
    <row r="1392" spans="11:11">
      <c r="K1392" s="3"/>
    </row>
    <row r="1393" spans="11:11">
      <c r="K1393" s="3"/>
    </row>
    <row r="1394" spans="11:11">
      <c r="K1394" s="3"/>
    </row>
    <row r="1395" spans="11:11">
      <c r="K1395" s="3"/>
    </row>
    <row r="1396" spans="11:11">
      <c r="K1396" s="3"/>
    </row>
    <row r="1397" spans="11:11">
      <c r="K1397" s="3"/>
    </row>
    <row r="1398" spans="11:11">
      <c r="K1398" s="3"/>
    </row>
    <row r="1399" spans="11:11">
      <c r="K1399" s="3"/>
    </row>
    <row r="1400" spans="11:11">
      <c r="K1400" s="3"/>
    </row>
    <row r="1401" spans="11:11">
      <c r="K1401" s="3"/>
    </row>
    <row r="1402" spans="11:11">
      <c r="K1402" s="3"/>
    </row>
    <row r="1403" spans="11:11">
      <c r="K1403" s="3"/>
    </row>
    <row r="1404" spans="11:11">
      <c r="K1404" s="3"/>
    </row>
    <row r="1405" spans="11:11">
      <c r="K1405" s="3"/>
    </row>
    <row r="1406" spans="11:11">
      <c r="K1406" s="3"/>
    </row>
    <row r="1407" spans="11:11">
      <c r="K1407" s="3"/>
    </row>
    <row r="1408" spans="11:11">
      <c r="K1408" s="3"/>
    </row>
    <row r="1409" spans="11:11">
      <c r="K1409" s="3"/>
    </row>
    <row r="1410" spans="11:11">
      <c r="K1410" s="3"/>
    </row>
    <row r="1411" spans="11:11">
      <c r="K1411" s="3"/>
    </row>
    <row r="1412" spans="11:11">
      <c r="K1412" s="3"/>
    </row>
    <row r="1413" spans="11:11">
      <c r="K1413" s="3"/>
    </row>
    <row r="1414" spans="11:11">
      <c r="K1414" s="3"/>
    </row>
    <row r="1415" spans="11:11">
      <c r="K1415" s="3"/>
    </row>
    <row r="1416" spans="11:11">
      <c r="K1416" s="3"/>
    </row>
    <row r="1417" spans="11:11">
      <c r="K1417" s="3"/>
    </row>
    <row r="1418" spans="11:11">
      <c r="K1418" s="3"/>
    </row>
    <row r="1419" spans="11:11">
      <c r="K1419" s="3"/>
    </row>
    <row r="1420" spans="11:11">
      <c r="K1420" s="3"/>
    </row>
    <row r="1421" spans="11:11">
      <c r="K1421" s="3"/>
    </row>
    <row r="1422" spans="11:11">
      <c r="K1422" s="3"/>
    </row>
    <row r="1423" spans="11:11">
      <c r="K1423" s="3"/>
    </row>
    <row r="1424" spans="11:11">
      <c r="K1424" s="3"/>
    </row>
    <row r="1425" spans="11:11">
      <c r="K1425" s="3"/>
    </row>
    <row r="1426" spans="11:11">
      <c r="K1426" s="3"/>
    </row>
    <row r="1427" spans="11:11">
      <c r="K1427" s="3"/>
    </row>
    <row r="1428" spans="11:11">
      <c r="K1428" s="3"/>
    </row>
    <row r="1429" spans="11:11">
      <c r="K1429" s="3"/>
    </row>
    <row r="1430" spans="11:11">
      <c r="K1430" s="3"/>
    </row>
    <row r="1431" spans="11:11">
      <c r="K1431" s="3"/>
    </row>
    <row r="1432" spans="11:11">
      <c r="K1432" s="3"/>
    </row>
    <row r="1433" spans="11:11">
      <c r="K1433" s="3"/>
    </row>
    <row r="1434" spans="11:11">
      <c r="K1434" s="3"/>
    </row>
    <row r="1435" spans="11:11">
      <c r="K1435" s="3"/>
    </row>
    <row r="1436" spans="11:11">
      <c r="K1436" s="3"/>
    </row>
    <row r="1437" spans="11:11">
      <c r="K1437" s="3"/>
    </row>
    <row r="1438" spans="11:11">
      <c r="K1438" s="3"/>
    </row>
    <row r="1439" spans="11:11">
      <c r="K1439" s="3"/>
    </row>
    <row r="1440" spans="11:11">
      <c r="K1440" s="3"/>
    </row>
    <row r="1441" spans="11:11">
      <c r="K1441" s="3"/>
    </row>
    <row r="1442" spans="11:11">
      <c r="K1442" s="3"/>
    </row>
    <row r="1443" spans="11:11">
      <c r="K1443" s="3"/>
    </row>
    <row r="1444" spans="11:11">
      <c r="K1444" s="3"/>
    </row>
    <row r="1445" spans="11:11">
      <c r="K1445" s="3"/>
    </row>
    <row r="1446" spans="11:11">
      <c r="K1446" s="3"/>
    </row>
    <row r="1447" spans="11:11">
      <c r="K1447" s="3"/>
    </row>
    <row r="1448" spans="11:11">
      <c r="K1448" s="3"/>
    </row>
    <row r="1449" spans="11:11">
      <c r="K1449" s="3"/>
    </row>
    <row r="1450" spans="11:11">
      <c r="K1450" s="3"/>
    </row>
    <row r="1451" spans="11:11">
      <c r="K1451" s="3"/>
    </row>
    <row r="1452" spans="11:11">
      <c r="K1452" s="3"/>
    </row>
    <row r="1453" spans="11:11">
      <c r="K1453" s="3"/>
    </row>
    <row r="1454" spans="11:11">
      <c r="K1454" s="3"/>
    </row>
    <row r="1455" spans="11:11">
      <c r="K1455" s="3"/>
    </row>
    <row r="1456" spans="11:11">
      <c r="K1456" s="3"/>
    </row>
    <row r="1457" spans="11:11">
      <c r="K1457" s="3"/>
    </row>
    <row r="1458" spans="11:11">
      <c r="K1458" s="3"/>
    </row>
    <row r="1459" spans="11:11">
      <c r="K1459" s="3"/>
    </row>
    <row r="1460" spans="11:11">
      <c r="K1460" s="3"/>
    </row>
    <row r="1461" spans="11:11">
      <c r="K1461" s="3"/>
    </row>
    <row r="1462" spans="11:11">
      <c r="K1462" s="3"/>
    </row>
    <row r="1463" spans="11:11">
      <c r="K1463" s="3"/>
    </row>
    <row r="1464" spans="11:11">
      <c r="K1464" s="3"/>
    </row>
    <row r="1465" spans="11:11">
      <c r="K1465" s="3"/>
    </row>
    <row r="1466" spans="11:11">
      <c r="K1466" s="3"/>
    </row>
    <row r="1467" spans="11:11">
      <c r="K1467" s="3"/>
    </row>
    <row r="1468" spans="11:11">
      <c r="K1468" s="3"/>
    </row>
    <row r="1469" spans="11:11">
      <c r="K1469" s="3"/>
    </row>
    <row r="1470" spans="11:11">
      <c r="K1470" s="3"/>
    </row>
    <row r="1471" spans="11:11">
      <c r="K1471" s="3"/>
    </row>
    <row r="1472" spans="11:11">
      <c r="K1472" s="3"/>
    </row>
    <row r="1473" spans="11:11">
      <c r="K1473" s="3"/>
    </row>
    <row r="1474" spans="11:11">
      <c r="K1474" s="3"/>
    </row>
    <row r="1475" spans="11:11">
      <c r="K1475" s="3"/>
    </row>
    <row r="1476" spans="11:11">
      <c r="K1476" s="3"/>
    </row>
    <row r="1477" spans="11:11">
      <c r="K1477" s="3"/>
    </row>
    <row r="1478" spans="11:11">
      <c r="K1478" s="3"/>
    </row>
    <row r="1479" spans="11:11">
      <c r="K1479" s="3"/>
    </row>
    <row r="1480" spans="11:11">
      <c r="K1480" s="3"/>
    </row>
    <row r="1481" spans="11:11">
      <c r="K1481" s="3"/>
    </row>
    <row r="1482" spans="11:11">
      <c r="K1482" s="3"/>
    </row>
    <row r="1483" spans="11:11">
      <c r="K1483" s="3"/>
    </row>
    <row r="1484" spans="11:11">
      <c r="K1484" s="3"/>
    </row>
    <row r="1485" spans="11:11">
      <c r="K1485" s="3"/>
    </row>
    <row r="1486" spans="11:11">
      <c r="K1486" s="3"/>
    </row>
    <row r="1487" spans="11:11">
      <c r="K1487" s="3"/>
    </row>
    <row r="1488" spans="11:11">
      <c r="K1488" s="3"/>
    </row>
    <row r="1489" spans="11:11">
      <c r="K1489" s="3"/>
    </row>
    <row r="1490" spans="11:11">
      <c r="K1490" s="3"/>
    </row>
    <row r="1491" spans="11:11">
      <c r="K1491" s="3"/>
    </row>
    <row r="1492" spans="11:11">
      <c r="K1492" s="3"/>
    </row>
    <row r="1493" spans="11:11">
      <c r="K1493" s="3"/>
    </row>
    <row r="1494" spans="11:11">
      <c r="K1494" s="3"/>
    </row>
    <row r="1495" spans="11:11">
      <c r="K1495" s="3"/>
    </row>
    <row r="1496" spans="11:11">
      <c r="K1496" s="3"/>
    </row>
    <row r="1497" spans="11:11">
      <c r="K1497" s="3"/>
    </row>
    <row r="1498" spans="11:11">
      <c r="K1498" s="3"/>
    </row>
    <row r="1499" spans="11:11">
      <c r="K1499" s="3"/>
    </row>
    <row r="1500" spans="11:11">
      <c r="K1500" s="3"/>
    </row>
    <row r="1501" spans="11:11">
      <c r="K1501" s="3"/>
    </row>
    <row r="1502" spans="11:11">
      <c r="K1502" s="3"/>
    </row>
    <row r="1503" spans="11:11">
      <c r="K1503" s="3"/>
    </row>
    <row r="1504" spans="11:11">
      <c r="K1504" s="3"/>
    </row>
    <row r="1505" spans="11:11">
      <c r="K1505" s="3"/>
    </row>
    <row r="1506" spans="11:11">
      <c r="K1506" s="3"/>
    </row>
    <row r="1507" spans="11:11">
      <c r="K1507" s="3"/>
    </row>
    <row r="1508" spans="11:11">
      <c r="K1508" s="3"/>
    </row>
    <row r="1509" spans="11:11">
      <c r="K1509" s="3"/>
    </row>
    <row r="1510" spans="11:11">
      <c r="K1510" s="3"/>
    </row>
    <row r="1511" spans="11:11">
      <c r="K1511" s="3"/>
    </row>
    <row r="1512" spans="11:11">
      <c r="K1512" s="3"/>
    </row>
    <row r="1513" spans="11:11">
      <c r="K1513" s="3"/>
    </row>
    <row r="1514" spans="11:11">
      <c r="K1514" s="3"/>
    </row>
    <row r="1515" spans="11:11">
      <c r="K1515" s="3"/>
    </row>
    <row r="1516" spans="11:11">
      <c r="K1516" s="3"/>
    </row>
    <row r="1517" spans="11:11">
      <c r="K1517" s="3"/>
    </row>
    <row r="1518" spans="11:11">
      <c r="K1518" s="3"/>
    </row>
    <row r="1519" spans="11:11">
      <c r="K1519" s="3"/>
    </row>
    <row r="1520" spans="11:11">
      <c r="K1520" s="3"/>
    </row>
    <row r="1521" spans="11:11">
      <c r="K1521" s="3"/>
    </row>
    <row r="1522" spans="11:11">
      <c r="K1522" s="3"/>
    </row>
    <row r="1523" spans="11:11">
      <c r="K1523" s="3"/>
    </row>
    <row r="1524" spans="11:11">
      <c r="K1524" s="3"/>
    </row>
    <row r="1525" spans="11:11">
      <c r="K1525" s="3"/>
    </row>
    <row r="1526" spans="11:11">
      <c r="K1526" s="3"/>
    </row>
    <row r="1527" spans="11:11">
      <c r="K1527" s="3"/>
    </row>
    <row r="1528" spans="11:11">
      <c r="K1528" s="3"/>
    </row>
    <row r="1529" spans="11:11">
      <c r="K1529" s="3"/>
    </row>
    <row r="1530" spans="11:11">
      <c r="K1530" s="3"/>
    </row>
    <row r="1531" spans="11:11">
      <c r="K1531" s="3"/>
    </row>
    <row r="1532" spans="11:11">
      <c r="K1532" s="3"/>
    </row>
    <row r="1533" spans="11:11">
      <c r="K1533" s="3"/>
    </row>
    <row r="1534" spans="11:11">
      <c r="K1534" s="3"/>
    </row>
    <row r="1535" spans="11:11">
      <c r="K1535" s="3"/>
    </row>
    <row r="1536" spans="11:11">
      <c r="K1536" s="3"/>
    </row>
    <row r="1537" spans="11:11">
      <c r="K1537" s="3"/>
    </row>
    <row r="1538" spans="11:11">
      <c r="K1538" s="3"/>
    </row>
    <row r="1539" spans="11:11">
      <c r="K1539" s="3"/>
    </row>
    <row r="1540" spans="11:11">
      <c r="K1540" s="3"/>
    </row>
    <row r="1541" spans="11:11">
      <c r="K1541" s="3"/>
    </row>
    <row r="1542" spans="11:11">
      <c r="K1542" s="3"/>
    </row>
    <row r="1543" spans="11:11">
      <c r="K1543" s="3"/>
    </row>
    <row r="1544" spans="11:11">
      <c r="K1544" s="3"/>
    </row>
    <row r="1545" spans="11:11">
      <c r="K1545" s="3"/>
    </row>
    <row r="1546" spans="11:11">
      <c r="K1546" s="3"/>
    </row>
    <row r="1547" spans="11:11">
      <c r="K1547" s="3"/>
    </row>
    <row r="1548" spans="11:11">
      <c r="K1548" s="3"/>
    </row>
    <row r="1549" spans="11:11">
      <c r="K1549" s="3"/>
    </row>
    <row r="1550" spans="11:11">
      <c r="K1550" s="3"/>
    </row>
    <row r="1551" spans="11:11">
      <c r="K1551" s="3"/>
    </row>
    <row r="1552" spans="11:11">
      <c r="K1552" s="3"/>
    </row>
    <row r="1553" spans="11:11">
      <c r="K1553" s="3"/>
    </row>
    <row r="1554" spans="11:11">
      <c r="K1554" s="3"/>
    </row>
    <row r="1555" spans="11:11">
      <c r="K1555" s="3"/>
    </row>
    <row r="1556" spans="11:11">
      <c r="K1556" s="3"/>
    </row>
    <row r="1557" spans="11:11">
      <c r="K1557" s="3"/>
    </row>
    <row r="1558" spans="11:11">
      <c r="K1558" s="3"/>
    </row>
    <row r="1559" spans="11:11">
      <c r="K1559" s="3"/>
    </row>
    <row r="1560" spans="11:11">
      <c r="K1560" s="3"/>
    </row>
    <row r="1561" spans="11:11">
      <c r="K1561" s="3"/>
    </row>
    <row r="1562" spans="11:11">
      <c r="K1562" s="3"/>
    </row>
    <row r="1563" spans="11:11">
      <c r="K1563" s="3"/>
    </row>
    <row r="1564" spans="11:11">
      <c r="K1564" s="3"/>
    </row>
    <row r="1565" spans="11:11">
      <c r="K1565" s="3"/>
    </row>
    <row r="1566" spans="11:11">
      <c r="K1566" s="3"/>
    </row>
    <row r="1567" spans="11:11">
      <c r="K1567" s="3"/>
    </row>
    <row r="1568" spans="11:11">
      <c r="K1568" s="3"/>
    </row>
    <row r="1569" spans="11:11">
      <c r="K1569" s="3"/>
    </row>
    <row r="1570" spans="11:11">
      <c r="K1570" s="3"/>
    </row>
    <row r="1571" spans="11:11">
      <c r="K1571" s="3"/>
    </row>
    <row r="1572" spans="11:11">
      <c r="K1572" s="3"/>
    </row>
    <row r="1573" spans="11:11">
      <c r="K1573" s="3"/>
    </row>
    <row r="1574" spans="11:11">
      <c r="K1574" s="3"/>
    </row>
    <row r="1575" spans="11:11">
      <c r="K1575" s="3"/>
    </row>
    <row r="1576" spans="11:11">
      <c r="K1576" s="3"/>
    </row>
    <row r="1577" spans="11:11">
      <c r="K1577" s="3"/>
    </row>
    <row r="1578" spans="11:11">
      <c r="K1578" s="3"/>
    </row>
    <row r="1579" spans="11:11">
      <c r="K1579" s="3"/>
    </row>
    <row r="1580" spans="11:11">
      <c r="K1580" s="3"/>
    </row>
    <row r="1581" spans="11:11">
      <c r="K1581" s="3"/>
    </row>
    <row r="1582" spans="11:11">
      <c r="K1582" s="3"/>
    </row>
    <row r="1583" spans="11:11">
      <c r="K1583" s="3"/>
    </row>
    <row r="1584" spans="11:11">
      <c r="K1584" s="3"/>
    </row>
    <row r="1585" spans="11:11">
      <c r="K1585" s="3"/>
    </row>
    <row r="1586" spans="11:11">
      <c r="K1586" s="3"/>
    </row>
    <row r="1587" spans="11:11">
      <c r="K1587" s="3"/>
    </row>
    <row r="1588" spans="11:11">
      <c r="K1588" s="3"/>
    </row>
    <row r="1589" spans="11:11">
      <c r="K1589" s="3"/>
    </row>
    <row r="1590" spans="11:11">
      <c r="K1590" s="3"/>
    </row>
    <row r="1591" spans="11:11">
      <c r="K1591" s="3"/>
    </row>
    <row r="1592" spans="11:11">
      <c r="K1592" s="3"/>
    </row>
    <row r="1593" spans="11:11">
      <c r="K1593" s="3"/>
    </row>
    <row r="1594" spans="11:11">
      <c r="K1594" s="3"/>
    </row>
    <row r="1595" spans="11:11">
      <c r="K1595" s="3"/>
    </row>
    <row r="1596" spans="11:11">
      <c r="K1596" s="3"/>
    </row>
    <row r="1597" spans="11:11">
      <c r="K1597" s="3"/>
    </row>
    <row r="1598" spans="11:11">
      <c r="K1598" s="3"/>
    </row>
    <row r="1599" spans="11:11">
      <c r="K1599" s="3"/>
    </row>
    <row r="1600" spans="11:11">
      <c r="K1600" s="3"/>
    </row>
    <row r="1601" spans="11:11">
      <c r="K1601" s="3"/>
    </row>
    <row r="1602" spans="11:11">
      <c r="K1602" s="3"/>
    </row>
    <row r="1603" spans="11:11">
      <c r="K1603" s="3"/>
    </row>
    <row r="1604" spans="11:11">
      <c r="K1604" s="3"/>
    </row>
    <row r="1605" spans="11:11">
      <c r="K1605" s="3"/>
    </row>
    <row r="1606" spans="11:11">
      <c r="K1606" s="3"/>
    </row>
    <row r="1607" spans="11:11">
      <c r="K1607" s="3"/>
    </row>
    <row r="1608" spans="11:11">
      <c r="K1608" s="3"/>
    </row>
    <row r="1609" spans="11:11">
      <c r="K1609" s="3"/>
    </row>
    <row r="1610" spans="11:11">
      <c r="K1610" s="3"/>
    </row>
    <row r="1611" spans="11:11">
      <c r="K1611" s="3"/>
    </row>
    <row r="1612" spans="11:11">
      <c r="K1612" s="3"/>
    </row>
    <row r="1613" spans="11:11">
      <c r="K1613" s="3"/>
    </row>
    <row r="1614" spans="11:11">
      <c r="K1614" s="3"/>
    </row>
    <row r="1615" spans="11:11">
      <c r="K1615" s="3"/>
    </row>
    <row r="1616" spans="11:11">
      <c r="K1616" s="3"/>
    </row>
    <row r="1617" spans="11:11">
      <c r="K1617" s="3"/>
    </row>
    <row r="1618" spans="11:11">
      <c r="K1618" s="3"/>
    </row>
    <row r="1619" spans="11:11">
      <c r="K1619" s="3"/>
    </row>
    <row r="1620" spans="11:11">
      <c r="K1620" s="3"/>
    </row>
    <row r="1621" spans="11:11">
      <c r="K1621" s="3"/>
    </row>
    <row r="1622" spans="11:11">
      <c r="K1622" s="3"/>
    </row>
    <row r="1623" spans="11:11">
      <c r="K1623" s="3"/>
    </row>
    <row r="1624" spans="11:11">
      <c r="K1624" s="3"/>
    </row>
    <row r="1625" spans="11:11">
      <c r="K1625" s="3"/>
    </row>
    <row r="1626" spans="11:11">
      <c r="K1626" s="3"/>
    </row>
    <row r="1627" spans="11:11">
      <c r="K1627" s="3"/>
    </row>
    <row r="1628" spans="11:11">
      <c r="K1628" s="3"/>
    </row>
    <row r="1629" spans="11:11">
      <c r="K1629" s="3"/>
    </row>
    <row r="1630" spans="11:11">
      <c r="K1630" s="3"/>
    </row>
    <row r="1631" spans="11:11">
      <c r="K1631" s="3"/>
    </row>
    <row r="1632" spans="11:11">
      <c r="K1632" s="3"/>
    </row>
    <row r="1633" spans="11:11">
      <c r="K1633" s="3"/>
    </row>
    <row r="1634" spans="11:11">
      <c r="K1634" s="3"/>
    </row>
    <row r="1635" spans="11:11">
      <c r="K1635" s="3"/>
    </row>
    <row r="1636" spans="11:11">
      <c r="K1636" s="3"/>
    </row>
    <row r="1637" spans="11:11">
      <c r="K1637" s="3"/>
    </row>
    <row r="1638" spans="11:11">
      <c r="K1638" s="3"/>
    </row>
    <row r="1639" spans="11:11">
      <c r="K1639" s="3"/>
    </row>
    <row r="1640" spans="11:11">
      <c r="K1640" s="3"/>
    </row>
    <row r="1641" spans="11:11">
      <c r="K1641" s="3"/>
    </row>
    <row r="1642" spans="11:11">
      <c r="K1642" s="3"/>
    </row>
    <row r="1643" spans="11:11">
      <c r="K1643" s="3"/>
    </row>
    <row r="1644" spans="11:11">
      <c r="K1644" s="3"/>
    </row>
    <row r="1645" spans="11:11">
      <c r="K1645" s="3"/>
    </row>
    <row r="1646" spans="11:11">
      <c r="K1646" s="3"/>
    </row>
    <row r="1647" spans="11:11">
      <c r="K1647" s="3"/>
    </row>
    <row r="1648" spans="11:11">
      <c r="K1648" s="3"/>
    </row>
    <row r="1649" spans="11:11">
      <c r="K1649" s="3"/>
    </row>
    <row r="1650" spans="11:11">
      <c r="K1650" s="3"/>
    </row>
    <row r="1651" spans="11:11">
      <c r="K1651" s="3"/>
    </row>
    <row r="1652" spans="11:11">
      <c r="K1652" s="3"/>
    </row>
    <row r="1653" spans="11:11">
      <c r="K1653" s="3"/>
    </row>
    <row r="1654" spans="11:11">
      <c r="K1654" s="3"/>
    </row>
    <row r="1655" spans="11:11">
      <c r="K1655" s="3"/>
    </row>
    <row r="1656" spans="11:11">
      <c r="K1656" s="3"/>
    </row>
    <row r="1657" spans="11:11">
      <c r="K1657" s="3"/>
    </row>
    <row r="1658" spans="11:11">
      <c r="K1658" s="3"/>
    </row>
    <row r="1659" spans="11:11">
      <c r="K1659" s="3"/>
    </row>
    <row r="1660" spans="11:11">
      <c r="K1660" s="3"/>
    </row>
    <row r="1661" spans="11:11">
      <c r="K1661" s="3"/>
    </row>
    <row r="1662" spans="11:11">
      <c r="K1662" s="3"/>
    </row>
    <row r="1663" spans="11:11">
      <c r="K1663" s="3"/>
    </row>
    <row r="1664" spans="11:11">
      <c r="K1664" s="3"/>
    </row>
    <row r="1665" spans="11:11">
      <c r="K1665" s="3"/>
    </row>
    <row r="1666" spans="11:11">
      <c r="K1666" s="3"/>
    </row>
    <row r="1667" spans="11:11">
      <c r="K1667" s="3"/>
    </row>
    <row r="1668" spans="11:11">
      <c r="K1668" s="3"/>
    </row>
    <row r="1669" spans="11:11">
      <c r="K1669" s="3"/>
    </row>
    <row r="1670" spans="11:11">
      <c r="K1670" s="3"/>
    </row>
    <row r="1671" spans="11:11">
      <c r="K1671" s="3"/>
    </row>
    <row r="1672" spans="11:11">
      <c r="K1672" s="3"/>
    </row>
    <row r="1673" spans="11:11">
      <c r="K1673" s="3"/>
    </row>
    <row r="1674" spans="11:11">
      <c r="K1674" s="3"/>
    </row>
    <row r="1675" spans="11:11">
      <c r="K1675" s="3"/>
    </row>
    <row r="1676" spans="11:11">
      <c r="K1676" s="3"/>
    </row>
    <row r="1677" spans="11:11">
      <c r="K1677" s="3"/>
    </row>
    <row r="1678" spans="11:11">
      <c r="K1678" s="3"/>
    </row>
    <row r="1679" spans="11:11">
      <c r="K1679" s="3"/>
    </row>
    <row r="1680" spans="11:11">
      <c r="K1680" s="3"/>
    </row>
    <row r="1681" spans="11:11">
      <c r="K1681" s="3"/>
    </row>
    <row r="1682" spans="11:11">
      <c r="K1682" s="3"/>
    </row>
    <row r="1683" spans="11:11">
      <c r="K1683" s="3"/>
    </row>
    <row r="1684" spans="11:11">
      <c r="K1684" s="3"/>
    </row>
    <row r="1685" spans="11:11">
      <c r="K1685" s="3"/>
    </row>
    <row r="1686" spans="11:11">
      <c r="K1686" s="3"/>
    </row>
    <row r="1687" spans="11:11">
      <c r="K1687" s="3"/>
    </row>
    <row r="1688" spans="11:11">
      <c r="K1688" s="3"/>
    </row>
    <row r="1689" spans="11:11">
      <c r="K1689" s="3"/>
    </row>
    <row r="1690" spans="11:11">
      <c r="K1690" s="3"/>
    </row>
    <row r="1691" spans="11:11">
      <c r="K1691" s="3"/>
    </row>
    <row r="1692" spans="11:11">
      <c r="K1692" s="3"/>
    </row>
    <row r="1693" spans="11:11">
      <c r="K1693" s="3"/>
    </row>
    <row r="1694" spans="11:11">
      <c r="K1694" s="3"/>
    </row>
    <row r="1695" spans="11:11">
      <c r="K1695" s="3"/>
    </row>
    <row r="1696" spans="11:11">
      <c r="K1696" s="3"/>
    </row>
    <row r="1697" spans="11:11">
      <c r="K1697" s="3"/>
    </row>
    <row r="1698" spans="11:11">
      <c r="K1698" s="3"/>
    </row>
    <row r="1699" spans="11:11">
      <c r="K1699" s="3"/>
    </row>
    <row r="1700" spans="11:11">
      <c r="K1700" s="3"/>
    </row>
    <row r="1701" spans="11:11">
      <c r="K1701" s="3"/>
    </row>
    <row r="1702" spans="11:11">
      <c r="K1702" s="3"/>
    </row>
    <row r="1703" spans="11:11">
      <c r="K1703" s="3"/>
    </row>
    <row r="1704" spans="11:11">
      <c r="K1704" s="3"/>
    </row>
    <row r="1705" spans="11:11">
      <c r="K1705" s="3"/>
    </row>
    <row r="1706" spans="11:11">
      <c r="K1706" s="3"/>
    </row>
    <row r="1707" spans="11:11">
      <c r="K1707" s="3"/>
    </row>
    <row r="1708" spans="11:11">
      <c r="K1708" s="3"/>
    </row>
    <row r="1709" spans="11:11">
      <c r="K1709" s="3"/>
    </row>
    <row r="1710" spans="11:11">
      <c r="K1710" s="3"/>
    </row>
    <row r="1711" spans="11:11">
      <c r="K1711" s="3"/>
    </row>
    <row r="1712" spans="11:11">
      <c r="K1712" s="3"/>
    </row>
    <row r="1713" spans="11:11">
      <c r="K1713" s="3"/>
    </row>
    <row r="1714" spans="11:11">
      <c r="K1714" s="3"/>
    </row>
    <row r="1715" spans="11:11">
      <c r="K1715" s="3"/>
    </row>
    <row r="1716" spans="11:11">
      <c r="K1716" s="3"/>
    </row>
    <row r="1717" spans="11:11">
      <c r="K1717" s="3"/>
    </row>
    <row r="1718" spans="11:11">
      <c r="K1718" s="3"/>
    </row>
    <row r="1719" spans="11:11">
      <c r="K1719" s="3"/>
    </row>
    <row r="1720" spans="11:11">
      <c r="K1720" s="3"/>
    </row>
    <row r="1721" spans="11:11">
      <c r="K1721" s="3"/>
    </row>
    <row r="1722" spans="11:11">
      <c r="K1722" s="3"/>
    </row>
    <row r="1723" spans="11:11">
      <c r="K1723" s="3"/>
    </row>
    <row r="1724" spans="11:11">
      <c r="K1724" s="3"/>
    </row>
    <row r="1725" spans="11:11">
      <c r="K1725" s="3"/>
    </row>
    <row r="1726" spans="11:11">
      <c r="K1726" s="3"/>
    </row>
    <row r="1727" spans="11:11">
      <c r="K1727" s="3"/>
    </row>
    <row r="1728" spans="11:11">
      <c r="K1728" s="3"/>
    </row>
    <row r="1729" spans="11:11">
      <c r="K1729" s="3"/>
    </row>
    <row r="1730" spans="11:11">
      <c r="K1730" s="3"/>
    </row>
    <row r="1731" spans="11:11">
      <c r="K1731" s="3"/>
    </row>
    <row r="1732" spans="11:11">
      <c r="K1732" s="3"/>
    </row>
    <row r="1733" spans="11:11">
      <c r="K1733" s="3"/>
    </row>
    <row r="1734" spans="11:11">
      <c r="K1734" s="3"/>
    </row>
    <row r="1735" spans="11:11">
      <c r="K1735" s="3"/>
    </row>
    <row r="1736" spans="11:11">
      <c r="K1736" s="3"/>
    </row>
    <row r="1737" spans="11:11">
      <c r="K1737" s="3"/>
    </row>
    <row r="1738" spans="11:11">
      <c r="K1738" s="3"/>
    </row>
    <row r="1739" spans="11:11">
      <c r="K1739" s="3"/>
    </row>
    <row r="1740" spans="11:11">
      <c r="K1740" s="3"/>
    </row>
    <row r="1741" spans="11:11">
      <c r="K1741" s="3"/>
    </row>
    <row r="1742" spans="11:11">
      <c r="K1742" s="3"/>
    </row>
    <row r="1743" spans="11:11">
      <c r="K1743" s="3"/>
    </row>
    <row r="1744" spans="11:11">
      <c r="K1744" s="3"/>
    </row>
    <row r="1745" spans="11:11">
      <c r="K1745" s="3"/>
    </row>
    <row r="1746" spans="11:11">
      <c r="K1746" s="3"/>
    </row>
    <row r="1747" spans="11:11">
      <c r="K1747" s="3"/>
    </row>
    <row r="1748" spans="11:11">
      <c r="K1748" s="3"/>
    </row>
    <row r="1749" spans="11:11">
      <c r="K1749" s="3"/>
    </row>
    <row r="1750" spans="11:11">
      <c r="K1750" s="3"/>
    </row>
    <row r="1751" spans="11:11">
      <c r="K1751" s="3"/>
    </row>
    <row r="1752" spans="11:11">
      <c r="K1752" s="3"/>
    </row>
    <row r="1753" spans="11:11">
      <c r="K1753" s="3"/>
    </row>
    <row r="1754" spans="11:11">
      <c r="K1754" s="3"/>
    </row>
    <row r="1755" spans="11:11">
      <c r="K1755" s="3"/>
    </row>
    <row r="1756" spans="11:11">
      <c r="K1756" s="3"/>
    </row>
    <row r="1757" spans="11:11">
      <c r="K1757" s="3"/>
    </row>
    <row r="1758" spans="11:11">
      <c r="K1758" s="3"/>
    </row>
    <row r="1759" spans="11:11">
      <c r="K1759" s="3"/>
    </row>
    <row r="1760" spans="11:11">
      <c r="K1760" s="3"/>
    </row>
    <row r="1761" spans="11:11">
      <c r="K1761" s="3"/>
    </row>
    <row r="1762" spans="11:11">
      <c r="K1762" s="3"/>
    </row>
    <row r="1763" spans="11:11">
      <c r="K1763" s="3"/>
    </row>
    <row r="1764" spans="11:11">
      <c r="K1764" s="3"/>
    </row>
    <row r="1765" spans="11:11">
      <c r="K1765" s="3"/>
    </row>
    <row r="1766" spans="11:11">
      <c r="K1766" s="3"/>
    </row>
    <row r="1767" spans="11:11">
      <c r="K1767" s="3"/>
    </row>
    <row r="1768" spans="11:11">
      <c r="K1768" s="3"/>
    </row>
    <row r="1769" spans="11:11">
      <c r="K1769" s="3"/>
    </row>
    <row r="1770" spans="11:11">
      <c r="K1770" s="3"/>
    </row>
    <row r="1771" spans="11:11">
      <c r="K1771" s="3"/>
    </row>
    <row r="1772" spans="11:11">
      <c r="K1772" s="3"/>
    </row>
    <row r="1773" spans="11:11">
      <c r="K1773" s="3"/>
    </row>
    <row r="1774" spans="11:11">
      <c r="K1774" s="3"/>
    </row>
    <row r="1775" spans="11:11">
      <c r="K1775" s="3"/>
    </row>
    <row r="1776" spans="11:11">
      <c r="K1776" s="3"/>
    </row>
    <row r="1777" spans="11:11">
      <c r="K1777" s="3"/>
    </row>
    <row r="1778" spans="11:11">
      <c r="K1778" s="3"/>
    </row>
    <row r="1779" spans="11:11">
      <c r="K1779" s="3"/>
    </row>
    <row r="1780" spans="11:11">
      <c r="K1780" s="3"/>
    </row>
    <row r="1781" spans="11:11">
      <c r="K1781" s="3"/>
    </row>
    <row r="1782" spans="11:11">
      <c r="K1782" s="3"/>
    </row>
    <row r="1783" spans="11:11">
      <c r="K1783" s="3"/>
    </row>
    <row r="1784" spans="11:11">
      <c r="K1784" s="3"/>
    </row>
    <row r="1785" spans="11:11">
      <c r="K1785" s="3"/>
    </row>
    <row r="1786" spans="11:11">
      <c r="K1786" s="3"/>
    </row>
    <row r="1787" spans="11:11">
      <c r="K1787" s="3"/>
    </row>
    <row r="1788" spans="11:11">
      <c r="K1788" s="3"/>
    </row>
    <row r="1789" spans="11:11">
      <c r="K1789" s="3"/>
    </row>
    <row r="1790" spans="11:11">
      <c r="K1790" s="3"/>
    </row>
    <row r="1791" spans="11:11">
      <c r="K1791" s="3"/>
    </row>
    <row r="1792" spans="11:11">
      <c r="K1792" s="3"/>
    </row>
    <row r="1793" spans="11:11">
      <c r="K1793" s="3"/>
    </row>
    <row r="1794" spans="11:11">
      <c r="K1794" s="3"/>
    </row>
    <row r="1795" spans="11:11">
      <c r="K1795" s="3"/>
    </row>
    <row r="1796" spans="11:11">
      <c r="K1796" s="3"/>
    </row>
    <row r="1797" spans="11:11">
      <c r="K1797" s="3"/>
    </row>
    <row r="1798" spans="11:11">
      <c r="K1798" s="3"/>
    </row>
    <row r="1799" spans="11:11">
      <c r="K1799" s="3"/>
    </row>
    <row r="1800" spans="11:11">
      <c r="K1800" s="3"/>
    </row>
    <row r="1801" spans="11:11">
      <c r="K1801" s="3"/>
    </row>
    <row r="1802" spans="11:11">
      <c r="K1802" s="3"/>
    </row>
    <row r="1803" spans="11:11">
      <c r="K1803" s="3"/>
    </row>
    <row r="1804" spans="11:11">
      <c r="K1804" s="3"/>
    </row>
    <row r="1805" spans="11:11">
      <c r="K1805" s="3"/>
    </row>
    <row r="1806" spans="11:11">
      <c r="K1806" s="3"/>
    </row>
    <row r="1807" spans="11:11">
      <c r="K1807" s="3"/>
    </row>
    <row r="1808" spans="11:11">
      <c r="K1808" s="3"/>
    </row>
    <row r="1809" spans="11:11">
      <c r="K1809" s="3"/>
    </row>
    <row r="1810" spans="11:11">
      <c r="K1810" s="3"/>
    </row>
    <row r="1811" spans="11:11">
      <c r="K1811" s="3"/>
    </row>
    <row r="1812" spans="11:11">
      <c r="K1812" s="3"/>
    </row>
    <row r="1813" spans="11:11">
      <c r="K1813" s="3"/>
    </row>
    <row r="1814" spans="11:11">
      <c r="K1814" s="3"/>
    </row>
    <row r="1815" spans="11:11">
      <c r="K1815" s="3"/>
    </row>
    <row r="1816" spans="11:11">
      <c r="K1816" s="3"/>
    </row>
    <row r="1817" spans="11:11">
      <c r="K1817" s="3"/>
    </row>
    <row r="1818" spans="11:11">
      <c r="K1818" s="3"/>
    </row>
    <row r="1819" spans="11:11">
      <c r="K1819" s="3"/>
    </row>
    <row r="1820" spans="11:11">
      <c r="K1820" s="3"/>
    </row>
    <row r="1821" spans="11:11">
      <c r="K1821" s="3"/>
    </row>
    <row r="1822" spans="11:11">
      <c r="K1822" s="3"/>
    </row>
    <row r="1823" spans="11:11">
      <c r="K1823" s="3"/>
    </row>
    <row r="1824" spans="11:11">
      <c r="K1824" s="3"/>
    </row>
    <row r="1825" spans="11:11">
      <c r="K1825" s="3"/>
    </row>
    <row r="1826" spans="11:11">
      <c r="K1826" s="3"/>
    </row>
    <row r="1827" spans="11:11">
      <c r="K1827" s="3"/>
    </row>
    <row r="1828" spans="11:11">
      <c r="K1828" s="3"/>
    </row>
    <row r="1829" spans="11:11">
      <c r="K1829" s="3"/>
    </row>
    <row r="1830" spans="11:11">
      <c r="K1830" s="3"/>
    </row>
    <row r="1831" spans="11:11">
      <c r="K1831" s="3"/>
    </row>
    <row r="1832" spans="11:11">
      <c r="K1832" s="3"/>
    </row>
    <row r="1833" spans="11:11">
      <c r="K1833" s="3"/>
    </row>
    <row r="1834" spans="11:11">
      <c r="K1834" s="3"/>
    </row>
    <row r="1835" spans="11:11">
      <c r="K1835" s="3"/>
    </row>
    <row r="1836" spans="11:11">
      <c r="K1836" s="3"/>
    </row>
    <row r="1837" spans="11:11">
      <c r="K1837" s="3"/>
    </row>
    <row r="1838" spans="11:11">
      <c r="K1838" s="3"/>
    </row>
    <row r="1839" spans="11:11">
      <c r="K1839" s="3"/>
    </row>
    <row r="1840" spans="11:11">
      <c r="K1840" s="3"/>
    </row>
    <row r="1841" spans="11:11">
      <c r="K1841" s="3"/>
    </row>
    <row r="1842" spans="11:11">
      <c r="K1842" s="3"/>
    </row>
    <row r="1843" spans="11:11">
      <c r="K1843" s="3"/>
    </row>
    <row r="1844" spans="11:11">
      <c r="K1844" s="3"/>
    </row>
    <row r="1845" spans="11:11">
      <c r="K1845" s="3"/>
    </row>
    <row r="1846" spans="11:11">
      <c r="K1846" s="3"/>
    </row>
    <row r="1847" spans="11:11">
      <c r="K1847" s="3"/>
    </row>
    <row r="1848" spans="11:11">
      <c r="K1848" s="3"/>
    </row>
    <row r="1849" spans="11:11">
      <c r="K1849" s="3"/>
    </row>
    <row r="1850" spans="11:11">
      <c r="K1850" s="3"/>
    </row>
    <row r="1851" spans="11:11">
      <c r="K1851" s="3"/>
    </row>
    <row r="1852" spans="11:11">
      <c r="K1852" s="3"/>
    </row>
    <row r="1853" spans="11:11">
      <c r="K1853" s="3"/>
    </row>
    <row r="1854" spans="11:11">
      <c r="K1854" s="3"/>
    </row>
    <row r="1855" spans="11:11">
      <c r="K1855" s="3"/>
    </row>
    <row r="1856" spans="11:11">
      <c r="K1856" s="3"/>
    </row>
    <row r="1857" spans="11:11">
      <c r="K1857" s="3"/>
    </row>
    <row r="1858" spans="11:11">
      <c r="K1858" s="3"/>
    </row>
    <row r="1859" spans="11:11">
      <c r="K1859" s="3"/>
    </row>
    <row r="1860" spans="11:11">
      <c r="K1860" s="3"/>
    </row>
    <row r="1861" spans="11:11">
      <c r="K1861" s="3"/>
    </row>
    <row r="1862" spans="11:11">
      <c r="K1862" s="3"/>
    </row>
    <row r="1863" spans="11:11">
      <c r="K1863" s="3"/>
    </row>
    <row r="1864" spans="11:11">
      <c r="K1864" s="3"/>
    </row>
    <row r="1865" spans="11:11">
      <c r="K1865" s="3"/>
    </row>
    <row r="1866" spans="11:11">
      <c r="K1866" s="3"/>
    </row>
    <row r="1867" spans="11:11">
      <c r="K1867" s="3"/>
    </row>
    <row r="1868" spans="11:11">
      <c r="K1868" s="3"/>
    </row>
    <row r="1869" spans="11:11">
      <c r="K1869" s="3"/>
    </row>
    <row r="1870" spans="11:11">
      <c r="K1870" s="3"/>
    </row>
    <row r="1871" spans="11:11">
      <c r="K1871" s="3"/>
    </row>
    <row r="1872" spans="11:11">
      <c r="K1872" s="3"/>
    </row>
    <row r="1873" spans="11:11">
      <c r="K1873" s="3"/>
    </row>
    <row r="1874" spans="11:11">
      <c r="K1874" s="3"/>
    </row>
    <row r="1875" spans="11:11">
      <c r="K1875" s="3"/>
    </row>
    <row r="1876" spans="11:11">
      <c r="K1876" s="3"/>
    </row>
    <row r="1877" spans="11:11">
      <c r="K1877" s="3"/>
    </row>
    <row r="1878" spans="11:11">
      <c r="K1878" s="3"/>
    </row>
    <row r="1879" spans="11:11">
      <c r="K1879" s="3"/>
    </row>
    <row r="1880" spans="11:11">
      <c r="K1880" s="3"/>
    </row>
    <row r="1881" spans="11:11">
      <c r="K1881" s="3"/>
    </row>
    <row r="1882" spans="11:11">
      <c r="K1882" s="3"/>
    </row>
    <row r="1883" spans="11:11">
      <c r="K1883" s="3"/>
    </row>
    <row r="1884" spans="11:11">
      <c r="K1884" s="3"/>
    </row>
    <row r="1885" spans="11:11">
      <c r="K1885" s="3"/>
    </row>
    <row r="1886" spans="11:11">
      <c r="K1886" s="3"/>
    </row>
    <row r="1887" spans="11:11">
      <c r="K1887" s="3"/>
    </row>
    <row r="1888" spans="11:11">
      <c r="K1888" s="3"/>
    </row>
    <row r="1889" spans="11:11">
      <c r="K1889" s="3"/>
    </row>
    <row r="1890" spans="11:11">
      <c r="K1890" s="3"/>
    </row>
    <row r="1891" spans="11:11">
      <c r="K1891" s="3"/>
    </row>
    <row r="1892" spans="11:11">
      <c r="K1892" s="3"/>
    </row>
    <row r="1893" spans="11:11">
      <c r="K1893" s="3"/>
    </row>
    <row r="1894" spans="11:11">
      <c r="K1894" s="3"/>
    </row>
    <row r="1895" spans="11:11">
      <c r="K1895" s="3"/>
    </row>
    <row r="1896" spans="11:11">
      <c r="K1896" s="3"/>
    </row>
    <row r="1897" spans="11:11">
      <c r="K1897" s="3"/>
    </row>
    <row r="1898" spans="11:11">
      <c r="K1898" s="3"/>
    </row>
    <row r="1899" spans="11:11">
      <c r="K1899" s="3"/>
    </row>
    <row r="1900" spans="11:11">
      <c r="K1900" s="3"/>
    </row>
    <row r="1901" spans="11:11">
      <c r="K1901" s="3"/>
    </row>
    <row r="1902" spans="11:11">
      <c r="K1902" s="3"/>
    </row>
    <row r="1903" spans="11:11">
      <c r="K1903" s="3"/>
    </row>
    <row r="1904" spans="11:11">
      <c r="K1904" s="3"/>
    </row>
    <row r="1905" spans="11:11">
      <c r="K1905" s="3"/>
    </row>
    <row r="1906" spans="11:11">
      <c r="K1906" s="3"/>
    </row>
    <row r="1907" spans="11:11">
      <c r="K1907" s="3"/>
    </row>
    <row r="1908" spans="11:11">
      <c r="K1908" s="3"/>
    </row>
    <row r="1909" spans="11:11">
      <c r="K1909" s="3"/>
    </row>
    <row r="1910" spans="11:11">
      <c r="K1910" s="3"/>
    </row>
    <row r="1911" spans="11:11">
      <c r="K1911" s="3"/>
    </row>
    <row r="1912" spans="11:11">
      <c r="K1912" s="3"/>
    </row>
    <row r="1913" spans="11:11">
      <c r="K1913" s="3"/>
    </row>
    <row r="1914" spans="11:11">
      <c r="K1914" s="3"/>
    </row>
    <row r="1915" spans="11:11">
      <c r="K1915" s="3"/>
    </row>
    <row r="1916" spans="11:11">
      <c r="K1916" s="3"/>
    </row>
    <row r="1917" spans="11:11">
      <c r="K1917" s="3"/>
    </row>
    <row r="1918" spans="11:11">
      <c r="K1918" s="3"/>
    </row>
    <row r="1919" spans="11:11">
      <c r="K1919" s="3"/>
    </row>
    <row r="1920" spans="11:11">
      <c r="K1920" s="3"/>
    </row>
    <row r="1921" spans="11:11">
      <c r="K1921" s="3"/>
    </row>
    <row r="1922" spans="11:11">
      <c r="K1922" s="3"/>
    </row>
    <row r="1923" spans="11:11">
      <c r="K1923" s="3"/>
    </row>
    <row r="1924" spans="11:11">
      <c r="K1924" s="3"/>
    </row>
    <row r="1925" spans="11:11">
      <c r="K1925" s="3"/>
    </row>
    <row r="1926" spans="11:11">
      <c r="K1926" s="3"/>
    </row>
    <row r="1927" spans="11:11">
      <c r="K1927" s="3"/>
    </row>
    <row r="1928" spans="11:11">
      <c r="K1928" s="3"/>
    </row>
    <row r="1929" spans="11:11">
      <c r="K1929" s="3"/>
    </row>
    <row r="1930" spans="11:11">
      <c r="K1930" s="3"/>
    </row>
    <row r="1931" spans="11:11">
      <c r="K1931" s="3"/>
    </row>
    <row r="1932" spans="11:11">
      <c r="K1932" s="3"/>
    </row>
    <row r="1933" spans="11:11">
      <c r="K1933" s="3"/>
    </row>
    <row r="1934" spans="11:11">
      <c r="K1934" s="3"/>
    </row>
    <row r="1935" spans="11:11">
      <c r="K1935" s="3"/>
    </row>
    <row r="1936" spans="11:11">
      <c r="K1936" s="3"/>
    </row>
    <row r="1937" spans="11:11">
      <c r="K1937" s="3"/>
    </row>
    <row r="1938" spans="11:11">
      <c r="K1938" s="3"/>
    </row>
    <row r="1939" spans="11:11">
      <c r="K1939" s="3"/>
    </row>
    <row r="1940" spans="11:11">
      <c r="K1940" s="3"/>
    </row>
    <row r="1941" spans="11:11">
      <c r="K1941" s="3"/>
    </row>
    <row r="1942" spans="11:11">
      <c r="K1942" s="3"/>
    </row>
    <row r="1943" spans="11:11">
      <c r="K1943" s="3"/>
    </row>
    <row r="1944" spans="11:11">
      <c r="K1944" s="3"/>
    </row>
    <row r="1945" spans="11:11">
      <c r="K1945" s="3"/>
    </row>
    <row r="1946" spans="11:11">
      <c r="K1946" s="3"/>
    </row>
    <row r="1947" spans="11:11">
      <c r="K1947" s="3"/>
    </row>
    <row r="1948" spans="11:11">
      <c r="K1948" s="3"/>
    </row>
    <row r="1949" spans="11:11">
      <c r="K1949" s="3"/>
    </row>
    <row r="1950" spans="11:11">
      <c r="K1950" s="3"/>
    </row>
    <row r="1951" spans="11:11">
      <c r="K1951" s="3"/>
    </row>
    <row r="1952" spans="11:11">
      <c r="K1952" s="3"/>
    </row>
    <row r="1953" spans="11:11">
      <c r="K1953" s="3"/>
    </row>
    <row r="1954" spans="11:11">
      <c r="K1954" s="3"/>
    </row>
    <row r="1955" spans="11:11">
      <c r="K1955" s="3"/>
    </row>
    <row r="1956" spans="11:11">
      <c r="K1956" s="3"/>
    </row>
    <row r="1957" spans="11:11">
      <c r="K1957" s="3"/>
    </row>
    <row r="1958" spans="11:11">
      <c r="K1958" s="3"/>
    </row>
    <row r="1959" spans="11:11">
      <c r="K1959" s="3"/>
    </row>
    <row r="1960" spans="11:11">
      <c r="K1960" s="3"/>
    </row>
    <row r="1961" spans="11:11">
      <c r="K1961" s="3"/>
    </row>
    <row r="1962" spans="11:11">
      <c r="K1962" s="3"/>
    </row>
    <row r="1963" spans="11:11">
      <c r="K1963" s="3"/>
    </row>
    <row r="1964" spans="11:11">
      <c r="K1964" s="3"/>
    </row>
    <row r="1965" spans="11:11">
      <c r="K1965" s="3"/>
    </row>
    <row r="1966" spans="11:11">
      <c r="K1966" s="3"/>
    </row>
    <row r="1967" spans="11:11">
      <c r="K1967" s="3"/>
    </row>
    <row r="1968" spans="11:11">
      <c r="K1968" s="3"/>
    </row>
    <row r="1969" spans="11:11">
      <c r="K1969" s="3"/>
    </row>
    <row r="1970" spans="11:11">
      <c r="K1970" s="3"/>
    </row>
    <row r="1971" spans="11:11">
      <c r="K1971" s="3"/>
    </row>
    <row r="1972" spans="11:11">
      <c r="K1972" s="3"/>
    </row>
    <row r="1973" spans="11:11">
      <c r="K1973" s="3"/>
    </row>
    <row r="1974" spans="11:11">
      <c r="K1974" s="3"/>
    </row>
    <row r="1975" spans="11:11">
      <c r="K1975" s="3"/>
    </row>
    <row r="1976" spans="11:11">
      <c r="K1976" s="3"/>
    </row>
    <row r="1977" spans="11:11">
      <c r="K1977" s="3"/>
    </row>
    <row r="1978" spans="11:11">
      <c r="K1978" s="3"/>
    </row>
    <row r="1979" spans="11:11">
      <c r="K1979" s="3"/>
    </row>
    <row r="1980" spans="11:11">
      <c r="K1980" s="3"/>
    </row>
    <row r="1981" spans="11:11">
      <c r="K1981" s="3"/>
    </row>
    <row r="1982" spans="11:11">
      <c r="K1982" s="3"/>
    </row>
    <row r="1983" spans="11:11">
      <c r="K1983" s="3"/>
    </row>
    <row r="1984" spans="11:11">
      <c r="K1984" s="3"/>
    </row>
    <row r="1985" spans="11:11">
      <c r="K1985" s="3"/>
    </row>
    <row r="1986" spans="11:11">
      <c r="K1986" s="3"/>
    </row>
    <row r="1987" spans="11:11">
      <c r="K1987" s="3"/>
    </row>
    <row r="1988" spans="11:11">
      <c r="K1988" s="3"/>
    </row>
    <row r="1989" spans="11:11">
      <c r="K1989" s="3"/>
    </row>
    <row r="1990" spans="11:11">
      <c r="K1990" s="3"/>
    </row>
    <row r="1991" spans="11:11">
      <c r="K1991" s="3"/>
    </row>
    <row r="1992" spans="11:11">
      <c r="K1992" s="3"/>
    </row>
    <row r="1993" spans="11:11">
      <c r="K1993" s="3"/>
    </row>
    <row r="1994" spans="11:11">
      <c r="K1994" s="3"/>
    </row>
    <row r="1995" spans="11:11">
      <c r="K1995" s="3"/>
    </row>
    <row r="1996" spans="11:11">
      <c r="K1996" s="3"/>
    </row>
    <row r="1997" spans="11:11">
      <c r="K1997" s="3"/>
    </row>
    <row r="1998" spans="11:11">
      <c r="K1998" s="3"/>
    </row>
    <row r="1999" spans="11:11">
      <c r="K1999" s="3"/>
    </row>
    <row r="2000" spans="11:11">
      <c r="K2000" s="3"/>
    </row>
  </sheetData>
  <autoFilter ref="A13:J349" xr:uid="{830155F1-9450-4BE5-95CA-A2D8C6B57FC2}"/>
  <sortState xmlns:xlrd2="http://schemas.microsoft.com/office/spreadsheetml/2017/richdata2" ref="H693:I702">
    <sortCondition ref="H693"/>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7">
    <tabColor theme="8" tint="-0.249977111117893"/>
  </sheetPr>
  <dimension ref="A1:E349"/>
  <sheetViews>
    <sheetView topLeftCell="A34" workbookViewId="0">
      <selection activeCell="E1" sqref="E1:E349"/>
    </sheetView>
  </sheetViews>
  <sheetFormatPr baseColWidth="10" defaultRowHeight="14.4"/>
  <sheetData>
    <row r="1" spans="1:5">
      <c r="B1" t="s">
        <v>1090</v>
      </c>
      <c r="E1" t="s">
        <v>1090</v>
      </c>
    </row>
    <row r="2" spans="1:5">
      <c r="B2" t="s">
        <v>1091</v>
      </c>
      <c r="E2" t="s">
        <v>1091</v>
      </c>
    </row>
    <row r="3" spans="1:5">
      <c r="B3" t="s">
        <v>1092</v>
      </c>
      <c r="E3" t="s">
        <v>1092</v>
      </c>
    </row>
    <row r="4" spans="1:5">
      <c r="B4" t="s">
        <v>694</v>
      </c>
      <c r="E4" t="s">
        <v>694</v>
      </c>
    </row>
    <row r="5" spans="1:5">
      <c r="B5" t="s">
        <v>618</v>
      </c>
      <c r="E5" t="s">
        <v>618</v>
      </c>
    </row>
    <row r="6" spans="1:5">
      <c r="B6">
        <v>23</v>
      </c>
      <c r="E6">
        <v>23</v>
      </c>
    </row>
    <row r="7" spans="1:5">
      <c r="B7" t="s">
        <v>1093</v>
      </c>
      <c r="E7" t="s">
        <v>1093</v>
      </c>
    </row>
    <row r="8" spans="1:5">
      <c r="B8" t="s">
        <v>1087</v>
      </c>
      <c r="E8" t="s">
        <v>1087</v>
      </c>
    </row>
    <row r="9" spans="1:5">
      <c r="B9" t="s">
        <v>1094</v>
      </c>
      <c r="E9" t="s">
        <v>1094</v>
      </c>
    </row>
    <row r="10" spans="1:5">
      <c r="B10" t="s">
        <v>1095</v>
      </c>
      <c r="E10" t="s">
        <v>1095</v>
      </c>
    </row>
    <row r="11" spans="1:5">
      <c r="B11" t="s">
        <v>1096</v>
      </c>
      <c r="E11" t="s">
        <v>1096</v>
      </c>
    </row>
    <row r="12" spans="1:5">
      <c r="B12" t="s">
        <v>1097</v>
      </c>
      <c r="E12" t="s">
        <v>1097</v>
      </c>
    </row>
    <row r="13" spans="1:5">
      <c r="B13" t="s">
        <v>1098</v>
      </c>
      <c r="E13" t="s">
        <v>1098</v>
      </c>
    </row>
    <row r="14" spans="1:5">
      <c r="A14" t="s">
        <v>73</v>
      </c>
      <c r="B14" t="s">
        <v>1037</v>
      </c>
      <c r="C14" s="3">
        <v>1</v>
      </c>
      <c r="D14" t="s">
        <v>19</v>
      </c>
      <c r="E14" s="3">
        <v>4</v>
      </c>
    </row>
    <row r="15" spans="1:5">
      <c r="A15" t="s">
        <v>84</v>
      </c>
      <c r="B15" t="s">
        <v>1036</v>
      </c>
      <c r="C15" s="3">
        <v>2</v>
      </c>
      <c r="D15" t="s">
        <v>19</v>
      </c>
      <c r="E15" s="3">
        <v>0</v>
      </c>
    </row>
    <row r="16" spans="1:5">
      <c r="A16" t="s">
        <v>222</v>
      </c>
      <c r="B16" t="s">
        <v>1036</v>
      </c>
      <c r="C16" s="3">
        <v>3</v>
      </c>
      <c r="D16" t="s">
        <v>19</v>
      </c>
      <c r="E16" s="3">
        <v>0</v>
      </c>
    </row>
    <row r="17" spans="1:5">
      <c r="A17" t="s">
        <v>316</v>
      </c>
      <c r="B17" t="s">
        <v>1037</v>
      </c>
      <c r="C17" s="3">
        <v>4</v>
      </c>
      <c r="D17" t="s">
        <v>19</v>
      </c>
      <c r="E17" s="3">
        <v>3</v>
      </c>
    </row>
    <row r="18" spans="1:5">
      <c r="A18" t="s">
        <v>61</v>
      </c>
      <c r="B18" t="s">
        <v>1037</v>
      </c>
      <c r="C18" s="3">
        <v>5</v>
      </c>
      <c r="D18" t="s">
        <v>19</v>
      </c>
      <c r="E18" s="3">
        <v>3</v>
      </c>
    </row>
    <row r="19" spans="1:5">
      <c r="A19" t="s">
        <v>287</v>
      </c>
      <c r="B19" t="s">
        <v>1036</v>
      </c>
      <c r="C19" s="3">
        <v>6</v>
      </c>
      <c r="D19" t="s">
        <v>19</v>
      </c>
      <c r="E19" s="3">
        <v>0</v>
      </c>
    </row>
    <row r="20" spans="1:5">
      <c r="A20" t="s">
        <v>112</v>
      </c>
      <c r="B20" t="s">
        <v>1036</v>
      </c>
      <c r="C20" s="3">
        <v>7</v>
      </c>
      <c r="D20" t="s">
        <v>19</v>
      </c>
      <c r="E20" s="3">
        <v>0</v>
      </c>
    </row>
    <row r="21" spans="1:5">
      <c r="A21" t="s">
        <v>157</v>
      </c>
      <c r="B21" t="s">
        <v>1037</v>
      </c>
      <c r="C21" s="3">
        <v>8</v>
      </c>
      <c r="D21" t="s">
        <v>19</v>
      </c>
      <c r="E21" s="3">
        <v>3</v>
      </c>
    </row>
    <row r="22" spans="1:5">
      <c r="A22" t="s">
        <v>337</v>
      </c>
      <c r="B22" t="s">
        <v>1036</v>
      </c>
      <c r="C22" s="3">
        <v>9</v>
      </c>
      <c r="D22" t="s">
        <v>19</v>
      </c>
      <c r="E22" s="3">
        <v>0</v>
      </c>
    </row>
    <row r="23" spans="1:5">
      <c r="A23" t="s">
        <v>330</v>
      </c>
      <c r="B23" t="s">
        <v>1037</v>
      </c>
      <c r="C23" s="3">
        <v>10</v>
      </c>
      <c r="D23" t="s">
        <v>19</v>
      </c>
      <c r="E23" s="3">
        <v>3</v>
      </c>
    </row>
    <row r="24" spans="1:5">
      <c r="A24" t="s">
        <v>190</v>
      </c>
      <c r="B24" t="s">
        <v>1037</v>
      </c>
      <c r="C24" s="3">
        <v>11</v>
      </c>
      <c r="D24" t="s">
        <v>19</v>
      </c>
      <c r="E24" s="3">
        <v>3</v>
      </c>
    </row>
    <row r="25" spans="1:5">
      <c r="A25" t="s">
        <v>311</v>
      </c>
      <c r="B25" t="s">
        <v>1036</v>
      </c>
      <c r="C25" s="3">
        <v>12</v>
      </c>
      <c r="D25" t="s">
        <v>19</v>
      </c>
      <c r="E25" s="3">
        <v>0</v>
      </c>
    </row>
    <row r="26" spans="1:5">
      <c r="A26" t="s">
        <v>208</v>
      </c>
      <c r="B26" t="s">
        <v>1037</v>
      </c>
      <c r="C26" s="3">
        <v>13</v>
      </c>
      <c r="D26" t="s">
        <v>19</v>
      </c>
      <c r="E26" s="3">
        <v>2</v>
      </c>
    </row>
    <row r="27" spans="1:5">
      <c r="A27" t="s">
        <v>139</v>
      </c>
      <c r="B27" t="s">
        <v>1036</v>
      </c>
      <c r="C27" s="3">
        <v>14</v>
      </c>
      <c r="D27" t="s">
        <v>19</v>
      </c>
      <c r="E27" s="3">
        <v>0</v>
      </c>
    </row>
    <row r="28" spans="1:5">
      <c r="A28" s="168" t="s">
        <v>1038</v>
      </c>
      <c r="B28" t="s">
        <v>1037</v>
      </c>
      <c r="C28" s="3">
        <v>15</v>
      </c>
      <c r="D28" t="s">
        <v>19</v>
      </c>
      <c r="E28" s="3">
        <v>5</v>
      </c>
    </row>
    <row r="29" spans="1:5">
      <c r="A29" t="s">
        <v>293</v>
      </c>
      <c r="B29" t="s">
        <v>1036</v>
      </c>
      <c r="C29" s="3">
        <v>16</v>
      </c>
      <c r="D29" t="s">
        <v>19</v>
      </c>
      <c r="E29" s="3">
        <v>0</v>
      </c>
    </row>
    <row r="30" spans="1:5">
      <c r="A30" t="s">
        <v>298</v>
      </c>
      <c r="B30" t="s">
        <v>1037</v>
      </c>
      <c r="C30" s="3">
        <v>17</v>
      </c>
      <c r="D30" t="s">
        <v>19</v>
      </c>
      <c r="E30" s="3">
        <v>2</v>
      </c>
    </row>
    <row r="31" spans="1:5">
      <c r="A31" t="s">
        <v>335</v>
      </c>
      <c r="B31" t="s">
        <v>1036</v>
      </c>
      <c r="C31" s="3">
        <v>18</v>
      </c>
      <c r="D31" t="s">
        <v>19</v>
      </c>
      <c r="E31" s="3">
        <v>0</v>
      </c>
    </row>
    <row r="32" spans="1:5">
      <c r="A32" t="s">
        <v>120</v>
      </c>
      <c r="B32" t="s">
        <v>1036</v>
      </c>
      <c r="C32" s="3">
        <v>19</v>
      </c>
      <c r="D32" t="s">
        <v>19</v>
      </c>
      <c r="E32" s="3">
        <v>0</v>
      </c>
    </row>
    <row r="33" spans="1:5">
      <c r="A33" t="s">
        <v>94</v>
      </c>
      <c r="B33" t="s">
        <v>1037</v>
      </c>
      <c r="C33" s="3">
        <v>20</v>
      </c>
      <c r="D33" t="s">
        <v>19</v>
      </c>
      <c r="E33" s="3">
        <v>5</v>
      </c>
    </row>
    <row r="34" spans="1:5">
      <c r="A34" s="169" t="s">
        <v>325</v>
      </c>
      <c r="B34" t="s">
        <v>1036</v>
      </c>
      <c r="C34" s="3">
        <v>21</v>
      </c>
      <c r="D34" t="s">
        <v>19</v>
      </c>
      <c r="E34" s="3">
        <v>0</v>
      </c>
    </row>
    <row r="35" spans="1:5">
      <c r="A35" t="s">
        <v>109</v>
      </c>
      <c r="B35" t="s">
        <v>1037</v>
      </c>
      <c r="C35" s="3">
        <v>22</v>
      </c>
      <c r="D35" t="s">
        <v>19</v>
      </c>
      <c r="E35" s="3">
        <v>5</v>
      </c>
    </row>
    <row r="36" spans="1:5">
      <c r="A36" t="s">
        <v>45</v>
      </c>
      <c r="B36" t="s">
        <v>1037</v>
      </c>
      <c r="C36" s="3">
        <v>23</v>
      </c>
      <c r="D36" t="s">
        <v>19</v>
      </c>
      <c r="E36" s="3">
        <v>3</v>
      </c>
    </row>
    <row r="37" spans="1:5">
      <c r="A37" t="s">
        <v>152</v>
      </c>
      <c r="B37" t="s">
        <v>1036</v>
      </c>
      <c r="C37" s="3">
        <v>24</v>
      </c>
      <c r="D37" t="s">
        <v>19</v>
      </c>
      <c r="E37" s="3">
        <v>0</v>
      </c>
    </row>
    <row r="38" spans="1:5">
      <c r="A38" t="s">
        <v>18</v>
      </c>
      <c r="B38" t="s">
        <v>1036</v>
      </c>
      <c r="C38" s="3">
        <v>25</v>
      </c>
      <c r="D38" t="s">
        <v>19</v>
      </c>
      <c r="E38" s="3">
        <v>0</v>
      </c>
    </row>
    <row r="39" spans="1:5">
      <c r="A39" t="s">
        <v>286</v>
      </c>
      <c r="B39" t="s">
        <v>1037</v>
      </c>
      <c r="C39" s="3">
        <v>26</v>
      </c>
      <c r="D39" t="s">
        <v>19</v>
      </c>
      <c r="E39" s="3">
        <v>4</v>
      </c>
    </row>
    <row r="40" spans="1:5">
      <c r="A40" t="s">
        <v>158</v>
      </c>
      <c r="B40" t="s">
        <v>1036</v>
      </c>
      <c r="C40" s="3">
        <v>27</v>
      </c>
      <c r="D40" t="s">
        <v>19</v>
      </c>
      <c r="E40" s="3">
        <v>0</v>
      </c>
    </row>
    <row r="41" spans="1:5">
      <c r="A41" t="s">
        <v>240</v>
      </c>
      <c r="B41" t="s">
        <v>1037</v>
      </c>
      <c r="C41" s="3">
        <v>28</v>
      </c>
      <c r="D41" t="s">
        <v>19</v>
      </c>
      <c r="E41" s="3">
        <v>3</v>
      </c>
    </row>
    <row r="42" spans="1:5">
      <c r="A42" s="170" t="s">
        <v>115</v>
      </c>
      <c r="B42" t="s">
        <v>1036</v>
      </c>
      <c r="C42" s="3">
        <v>29</v>
      </c>
      <c r="D42" t="s">
        <v>19</v>
      </c>
      <c r="E42" s="3">
        <v>0</v>
      </c>
    </row>
    <row r="43" spans="1:5">
      <c r="A43" t="s">
        <v>212</v>
      </c>
      <c r="B43" t="s">
        <v>1037</v>
      </c>
      <c r="C43" s="3">
        <v>30</v>
      </c>
      <c r="D43" t="s">
        <v>19</v>
      </c>
      <c r="E43" s="3">
        <v>3</v>
      </c>
    </row>
    <row r="44" spans="1:5">
      <c r="A44" t="s">
        <v>138</v>
      </c>
      <c r="B44" t="s">
        <v>1036</v>
      </c>
      <c r="C44" s="3">
        <v>31</v>
      </c>
      <c r="D44" t="s">
        <v>19</v>
      </c>
      <c r="E44" s="3">
        <v>0</v>
      </c>
    </row>
    <row r="45" spans="1:5">
      <c r="A45" t="s">
        <v>344</v>
      </c>
      <c r="B45" t="s">
        <v>1037</v>
      </c>
      <c r="C45" s="3">
        <v>32</v>
      </c>
      <c r="D45" t="s">
        <v>19</v>
      </c>
      <c r="E45" s="3">
        <v>3</v>
      </c>
    </row>
    <row r="46" spans="1:5">
      <c r="A46" s="170" t="s">
        <v>215</v>
      </c>
      <c r="B46" t="s">
        <v>1036</v>
      </c>
      <c r="C46" s="3">
        <v>33</v>
      </c>
      <c r="D46" t="s">
        <v>19</v>
      </c>
      <c r="E46" s="3">
        <v>0</v>
      </c>
    </row>
    <row r="47" spans="1:5">
      <c r="A47" t="s">
        <v>1039</v>
      </c>
      <c r="B47" t="s">
        <v>1037</v>
      </c>
      <c r="C47" s="3">
        <v>34</v>
      </c>
      <c r="D47" t="s">
        <v>19</v>
      </c>
      <c r="E47" s="3">
        <v>3</v>
      </c>
    </row>
    <row r="48" spans="1:5">
      <c r="A48" t="s">
        <v>207</v>
      </c>
      <c r="B48" t="s">
        <v>1037</v>
      </c>
      <c r="C48" s="3">
        <v>35</v>
      </c>
      <c r="D48" t="s">
        <v>19</v>
      </c>
      <c r="E48" s="3">
        <v>3</v>
      </c>
    </row>
    <row r="49" spans="1:5">
      <c r="A49" s="169" t="s">
        <v>79</v>
      </c>
      <c r="B49" t="s">
        <v>1036</v>
      </c>
      <c r="C49" s="3">
        <v>36</v>
      </c>
      <c r="D49" t="s">
        <v>19</v>
      </c>
      <c r="E49" s="3">
        <v>0</v>
      </c>
    </row>
    <row r="50" spans="1:5">
      <c r="A50" t="s">
        <v>202</v>
      </c>
      <c r="B50" t="s">
        <v>1036</v>
      </c>
      <c r="C50" s="3">
        <v>37</v>
      </c>
      <c r="D50" t="s">
        <v>19</v>
      </c>
      <c r="E50" s="3">
        <v>0</v>
      </c>
    </row>
    <row r="51" spans="1:5">
      <c r="A51" t="s">
        <v>1040</v>
      </c>
      <c r="B51" t="s">
        <v>1037</v>
      </c>
      <c r="C51" s="3">
        <v>38</v>
      </c>
      <c r="D51" t="s">
        <v>19</v>
      </c>
      <c r="E51" s="3">
        <v>3</v>
      </c>
    </row>
    <row r="52" spans="1:5">
      <c r="A52" t="s">
        <v>1041</v>
      </c>
      <c r="B52" t="s">
        <v>1037</v>
      </c>
      <c r="C52" s="3">
        <v>39</v>
      </c>
      <c r="D52" t="s">
        <v>19</v>
      </c>
      <c r="E52" s="3">
        <v>3</v>
      </c>
    </row>
    <row r="53" spans="1:5">
      <c r="A53" t="s">
        <v>165</v>
      </c>
      <c r="B53" t="s">
        <v>1036</v>
      </c>
      <c r="C53" s="3">
        <v>40</v>
      </c>
      <c r="D53" t="s">
        <v>19</v>
      </c>
      <c r="E53" s="3">
        <v>0</v>
      </c>
    </row>
    <row r="54" spans="1:5">
      <c r="A54" t="s">
        <v>342</v>
      </c>
      <c r="B54" t="s">
        <v>1036</v>
      </c>
      <c r="C54" s="3">
        <v>41</v>
      </c>
      <c r="D54" t="s">
        <v>19</v>
      </c>
      <c r="E54" s="3">
        <v>0</v>
      </c>
    </row>
    <row r="55" spans="1:5">
      <c r="A55" t="s">
        <v>241</v>
      </c>
      <c r="B55" t="s">
        <v>1037</v>
      </c>
      <c r="C55" s="3">
        <v>42</v>
      </c>
      <c r="D55" t="s">
        <v>19</v>
      </c>
      <c r="E55" s="3">
        <v>5</v>
      </c>
    </row>
    <row r="56" spans="1:5">
      <c r="A56" t="s">
        <v>110</v>
      </c>
      <c r="B56" t="s">
        <v>1037</v>
      </c>
      <c r="C56" s="3">
        <v>43</v>
      </c>
      <c r="D56" t="s">
        <v>19</v>
      </c>
      <c r="E56" s="3">
        <v>4</v>
      </c>
    </row>
    <row r="57" spans="1:5">
      <c r="A57" t="s">
        <v>236</v>
      </c>
      <c r="B57" t="s">
        <v>1036</v>
      </c>
      <c r="C57" s="3">
        <v>44</v>
      </c>
      <c r="D57" t="s">
        <v>19</v>
      </c>
      <c r="E57" s="3">
        <v>0</v>
      </c>
    </row>
    <row r="58" spans="1:5">
      <c r="A58" t="s">
        <v>132</v>
      </c>
      <c r="B58" t="s">
        <v>1037</v>
      </c>
      <c r="C58" s="3">
        <v>45</v>
      </c>
      <c r="D58" t="s">
        <v>19</v>
      </c>
      <c r="E58" s="3">
        <v>3</v>
      </c>
    </row>
    <row r="59" spans="1:5">
      <c r="A59" t="s">
        <v>315</v>
      </c>
      <c r="B59" t="s">
        <v>1036</v>
      </c>
      <c r="C59" s="3">
        <v>46</v>
      </c>
      <c r="D59" t="s">
        <v>19</v>
      </c>
      <c r="E59" s="3">
        <v>0</v>
      </c>
    </row>
    <row r="60" spans="1:5">
      <c r="A60" t="s">
        <v>1042</v>
      </c>
      <c r="B60" t="s">
        <v>1036</v>
      </c>
      <c r="C60" s="3">
        <v>47</v>
      </c>
      <c r="D60" t="s">
        <v>19</v>
      </c>
      <c r="E60" s="3">
        <v>0</v>
      </c>
    </row>
    <row r="61" spans="1:5">
      <c r="A61" t="s">
        <v>89</v>
      </c>
      <c r="B61" t="s">
        <v>1037</v>
      </c>
      <c r="C61" s="3">
        <v>48</v>
      </c>
      <c r="D61" t="s">
        <v>19</v>
      </c>
      <c r="E61" s="3">
        <v>5</v>
      </c>
    </row>
    <row r="62" spans="1:5">
      <c r="A62" t="s">
        <v>39</v>
      </c>
      <c r="B62" t="s">
        <v>1037</v>
      </c>
      <c r="C62" s="3">
        <v>49</v>
      </c>
      <c r="D62" t="s">
        <v>19</v>
      </c>
      <c r="E62" s="3">
        <v>5</v>
      </c>
    </row>
    <row r="63" spans="1:5">
      <c r="A63" t="s">
        <v>345</v>
      </c>
      <c r="B63" t="s">
        <v>1036</v>
      </c>
      <c r="C63" s="3">
        <v>50</v>
      </c>
      <c r="D63" t="s">
        <v>19</v>
      </c>
      <c r="E63" s="3">
        <v>0</v>
      </c>
    </row>
    <row r="64" spans="1:5">
      <c r="A64" t="s">
        <v>268</v>
      </c>
      <c r="B64" t="s">
        <v>1036</v>
      </c>
      <c r="C64" s="3">
        <v>51</v>
      </c>
      <c r="D64" t="s">
        <v>19</v>
      </c>
      <c r="E64" s="3">
        <v>0</v>
      </c>
    </row>
    <row r="65" spans="1:5">
      <c r="A65" t="s">
        <v>60</v>
      </c>
      <c r="B65" t="s">
        <v>1037</v>
      </c>
      <c r="C65" s="3">
        <v>52</v>
      </c>
      <c r="D65" t="s">
        <v>19</v>
      </c>
      <c r="E65" s="3">
        <v>5</v>
      </c>
    </row>
    <row r="66" spans="1:5">
      <c r="A66" t="s">
        <v>300</v>
      </c>
      <c r="B66" t="s">
        <v>1036</v>
      </c>
      <c r="C66" s="3">
        <v>53</v>
      </c>
      <c r="D66" t="s">
        <v>19</v>
      </c>
      <c r="E66" s="3">
        <v>0</v>
      </c>
    </row>
    <row r="67" spans="1:5">
      <c r="A67" t="s">
        <v>249</v>
      </c>
      <c r="B67" t="s">
        <v>1037</v>
      </c>
      <c r="C67" s="3">
        <v>54</v>
      </c>
      <c r="D67" t="s">
        <v>19</v>
      </c>
      <c r="E67" s="3">
        <v>3</v>
      </c>
    </row>
    <row r="68" spans="1:5">
      <c r="A68" t="s">
        <v>71</v>
      </c>
      <c r="B68" t="s">
        <v>1036</v>
      </c>
      <c r="C68" s="3">
        <v>55</v>
      </c>
      <c r="D68" t="s">
        <v>19</v>
      </c>
      <c r="E68" s="3">
        <v>0</v>
      </c>
    </row>
    <row r="69" spans="1:5">
      <c r="A69" t="s">
        <v>1043</v>
      </c>
      <c r="B69" t="s">
        <v>1037</v>
      </c>
      <c r="C69" s="3">
        <v>56</v>
      </c>
      <c r="D69" t="s">
        <v>19</v>
      </c>
      <c r="E69" s="3">
        <v>5</v>
      </c>
    </row>
    <row r="70" spans="1:5">
      <c r="A70" t="s">
        <v>111</v>
      </c>
      <c r="B70" t="s">
        <v>1037</v>
      </c>
      <c r="C70" s="3">
        <v>57</v>
      </c>
      <c r="D70" t="s">
        <v>19</v>
      </c>
      <c r="E70" s="3">
        <v>3</v>
      </c>
    </row>
    <row r="71" spans="1:5">
      <c r="A71" s="170" t="s">
        <v>25</v>
      </c>
      <c r="B71" t="s">
        <v>1036</v>
      </c>
      <c r="C71" s="3">
        <v>58</v>
      </c>
      <c r="D71" t="s">
        <v>19</v>
      </c>
      <c r="E71" s="3">
        <v>0</v>
      </c>
    </row>
    <row r="72" spans="1:5">
      <c r="A72" t="s">
        <v>67</v>
      </c>
      <c r="B72" t="s">
        <v>1037</v>
      </c>
      <c r="C72" s="3">
        <v>59</v>
      </c>
      <c r="D72" t="s">
        <v>19</v>
      </c>
      <c r="E72" s="3">
        <v>2</v>
      </c>
    </row>
    <row r="73" spans="1:5">
      <c r="A73" t="s">
        <v>294</v>
      </c>
      <c r="B73" t="s">
        <v>1036</v>
      </c>
      <c r="C73" s="3">
        <v>60</v>
      </c>
      <c r="D73" t="s">
        <v>19</v>
      </c>
      <c r="E73" s="3">
        <v>0</v>
      </c>
    </row>
    <row r="74" spans="1:5">
      <c r="A74" t="s">
        <v>272</v>
      </c>
      <c r="B74" t="s">
        <v>1037</v>
      </c>
      <c r="C74" s="3">
        <v>61</v>
      </c>
      <c r="D74" t="s">
        <v>19</v>
      </c>
      <c r="E74" s="3">
        <v>3</v>
      </c>
    </row>
    <row r="75" spans="1:5">
      <c r="A75" t="s">
        <v>140</v>
      </c>
      <c r="B75" t="s">
        <v>1036</v>
      </c>
      <c r="C75" s="3">
        <v>62</v>
      </c>
      <c r="D75" t="s">
        <v>19</v>
      </c>
      <c r="E75" s="3">
        <v>0</v>
      </c>
    </row>
    <row r="76" spans="1:5">
      <c r="A76" t="s">
        <v>351</v>
      </c>
      <c r="B76" t="s">
        <v>1036</v>
      </c>
      <c r="C76" s="3">
        <v>63</v>
      </c>
      <c r="D76" t="s">
        <v>19</v>
      </c>
      <c r="E76" s="3">
        <v>0</v>
      </c>
    </row>
    <row r="77" spans="1:5">
      <c r="A77" t="s">
        <v>91</v>
      </c>
      <c r="B77" t="s">
        <v>1037</v>
      </c>
      <c r="C77" s="3">
        <v>64</v>
      </c>
      <c r="D77" t="s">
        <v>19</v>
      </c>
      <c r="E77" s="3">
        <v>2</v>
      </c>
    </row>
    <row r="78" spans="1:5">
      <c r="A78" t="s">
        <v>1044</v>
      </c>
      <c r="B78" t="s">
        <v>1036</v>
      </c>
      <c r="C78" s="3">
        <v>65</v>
      </c>
      <c r="D78" t="s">
        <v>19</v>
      </c>
      <c r="E78" s="3">
        <v>0</v>
      </c>
    </row>
    <row r="79" spans="1:5">
      <c r="A79" t="s">
        <v>220</v>
      </c>
      <c r="B79" t="s">
        <v>1037</v>
      </c>
      <c r="C79" s="3">
        <v>66</v>
      </c>
      <c r="D79" t="s">
        <v>19</v>
      </c>
      <c r="E79" s="3">
        <v>3</v>
      </c>
    </row>
    <row r="80" spans="1:5">
      <c r="A80" t="s">
        <v>34</v>
      </c>
      <c r="B80" t="s">
        <v>1036</v>
      </c>
      <c r="C80" s="3">
        <v>67</v>
      </c>
      <c r="D80" t="s">
        <v>19</v>
      </c>
      <c r="E80" s="3">
        <v>0</v>
      </c>
    </row>
    <row r="81" spans="1:5">
      <c r="A81" t="s">
        <v>95</v>
      </c>
      <c r="B81" t="s">
        <v>1037</v>
      </c>
      <c r="C81" s="3">
        <v>68</v>
      </c>
      <c r="D81" t="s">
        <v>19</v>
      </c>
      <c r="E81" s="3">
        <v>4</v>
      </c>
    </row>
    <row r="82" spans="1:5">
      <c r="A82" t="s">
        <v>340</v>
      </c>
      <c r="B82" t="s">
        <v>1037</v>
      </c>
      <c r="C82" s="3">
        <v>69</v>
      </c>
      <c r="D82" t="s">
        <v>19</v>
      </c>
      <c r="E82" s="3">
        <v>5</v>
      </c>
    </row>
    <row r="83" spans="1:5">
      <c r="A83" t="s">
        <v>114</v>
      </c>
      <c r="B83" t="s">
        <v>1036</v>
      </c>
      <c r="C83" s="3">
        <v>70</v>
      </c>
      <c r="D83" t="s">
        <v>19</v>
      </c>
      <c r="E83" s="3">
        <v>0</v>
      </c>
    </row>
    <row r="84" spans="1:5">
      <c r="A84" t="s">
        <v>252</v>
      </c>
      <c r="B84" t="s">
        <v>1036</v>
      </c>
      <c r="C84" s="3">
        <v>71</v>
      </c>
      <c r="D84" t="s">
        <v>19</v>
      </c>
      <c r="E84" s="3">
        <v>0</v>
      </c>
    </row>
    <row r="85" spans="1:5">
      <c r="A85" t="s">
        <v>235</v>
      </c>
      <c r="B85" t="s">
        <v>1037</v>
      </c>
      <c r="C85" s="3">
        <v>72</v>
      </c>
      <c r="D85" t="s">
        <v>19</v>
      </c>
      <c r="E85" s="3">
        <v>5</v>
      </c>
    </row>
    <row r="86" spans="1:5">
      <c r="A86" t="s">
        <v>301</v>
      </c>
      <c r="B86" t="s">
        <v>1036</v>
      </c>
      <c r="C86" s="3">
        <v>73</v>
      </c>
      <c r="D86" t="s">
        <v>19</v>
      </c>
      <c r="E86" s="3">
        <v>0</v>
      </c>
    </row>
    <row r="87" spans="1:5">
      <c r="A87" t="s">
        <v>280</v>
      </c>
      <c r="B87" t="s">
        <v>1037</v>
      </c>
      <c r="C87" s="3">
        <v>74</v>
      </c>
      <c r="D87" t="s">
        <v>19</v>
      </c>
      <c r="E87" s="3">
        <v>4</v>
      </c>
    </row>
    <row r="88" spans="1:5">
      <c r="A88" t="s">
        <v>72</v>
      </c>
      <c r="B88" t="s">
        <v>1037</v>
      </c>
      <c r="C88" s="3">
        <v>75</v>
      </c>
      <c r="D88" t="s">
        <v>19</v>
      </c>
      <c r="E88" s="3">
        <v>3</v>
      </c>
    </row>
    <row r="89" spans="1:5">
      <c r="A89" s="169" t="s">
        <v>326</v>
      </c>
      <c r="B89" t="s">
        <v>1036</v>
      </c>
      <c r="C89" s="3">
        <v>76</v>
      </c>
      <c r="D89" t="s">
        <v>19</v>
      </c>
      <c r="E89" s="3">
        <v>0</v>
      </c>
    </row>
    <row r="90" spans="1:5">
      <c r="A90" t="s">
        <v>341</v>
      </c>
      <c r="B90" t="s">
        <v>1037</v>
      </c>
      <c r="C90" s="3">
        <v>77</v>
      </c>
      <c r="D90" t="s">
        <v>19</v>
      </c>
      <c r="E90" s="3">
        <v>2</v>
      </c>
    </row>
    <row r="91" spans="1:5">
      <c r="A91" t="s">
        <v>170</v>
      </c>
      <c r="B91" t="s">
        <v>1036</v>
      </c>
      <c r="C91" s="3">
        <v>78</v>
      </c>
      <c r="D91" t="s">
        <v>19</v>
      </c>
      <c r="E91" s="3">
        <v>0</v>
      </c>
    </row>
    <row r="92" spans="1:5">
      <c r="A92" t="s">
        <v>59</v>
      </c>
      <c r="B92" t="s">
        <v>1037</v>
      </c>
      <c r="C92" s="3">
        <v>79</v>
      </c>
      <c r="D92" t="s">
        <v>19</v>
      </c>
      <c r="E92" s="3">
        <v>2</v>
      </c>
    </row>
    <row r="93" spans="1:5">
      <c r="A93" t="s">
        <v>346</v>
      </c>
      <c r="B93" t="s">
        <v>1036</v>
      </c>
      <c r="C93" s="3">
        <v>80</v>
      </c>
      <c r="D93" t="s">
        <v>19</v>
      </c>
      <c r="E93" s="3">
        <v>0</v>
      </c>
    </row>
    <row r="94" spans="1:5">
      <c r="A94" t="s">
        <v>44</v>
      </c>
      <c r="B94" t="s">
        <v>1037</v>
      </c>
      <c r="C94" s="3">
        <v>81</v>
      </c>
      <c r="D94" t="s">
        <v>19</v>
      </c>
      <c r="E94" s="3">
        <v>4</v>
      </c>
    </row>
    <row r="95" spans="1:5">
      <c r="A95" t="s">
        <v>164</v>
      </c>
      <c r="B95" t="s">
        <v>1036</v>
      </c>
      <c r="C95" s="3">
        <v>82</v>
      </c>
      <c r="D95" t="s">
        <v>19</v>
      </c>
      <c r="E95" s="3">
        <v>0</v>
      </c>
    </row>
    <row r="96" spans="1:5">
      <c r="A96" t="s">
        <v>200</v>
      </c>
      <c r="B96" t="s">
        <v>1037</v>
      </c>
      <c r="C96" s="3">
        <v>83</v>
      </c>
      <c r="D96" t="s">
        <v>19</v>
      </c>
      <c r="E96" s="3">
        <v>3</v>
      </c>
    </row>
    <row r="97" spans="1:5">
      <c r="A97" t="s">
        <v>331</v>
      </c>
      <c r="B97" t="s">
        <v>1036</v>
      </c>
      <c r="C97" s="3">
        <v>84</v>
      </c>
      <c r="D97" t="s">
        <v>19</v>
      </c>
      <c r="E97" s="3">
        <v>0</v>
      </c>
    </row>
    <row r="98" spans="1:5">
      <c r="A98" t="s">
        <v>177</v>
      </c>
      <c r="B98" t="s">
        <v>1037</v>
      </c>
      <c r="C98" s="3">
        <v>85</v>
      </c>
      <c r="D98" t="s">
        <v>19</v>
      </c>
      <c r="E98" s="3">
        <v>4</v>
      </c>
    </row>
    <row r="99" spans="1:5">
      <c r="A99" t="s">
        <v>223</v>
      </c>
      <c r="B99" t="s">
        <v>1036</v>
      </c>
      <c r="C99" s="3">
        <v>86</v>
      </c>
      <c r="D99" t="s">
        <v>19</v>
      </c>
      <c r="E99" s="3">
        <v>0</v>
      </c>
    </row>
    <row r="100" spans="1:5">
      <c r="A100" t="s">
        <v>299</v>
      </c>
      <c r="B100" t="s">
        <v>1037</v>
      </c>
      <c r="C100" s="3">
        <v>87</v>
      </c>
      <c r="D100" t="s">
        <v>19</v>
      </c>
      <c r="E100" s="3">
        <v>5</v>
      </c>
    </row>
    <row r="101" spans="1:5">
      <c r="A101" s="169" t="s">
        <v>323</v>
      </c>
      <c r="B101" t="s">
        <v>1036</v>
      </c>
      <c r="C101" s="3">
        <v>88</v>
      </c>
      <c r="D101" t="s">
        <v>19</v>
      </c>
      <c r="E101" s="3">
        <v>0</v>
      </c>
    </row>
    <row r="102" spans="1:5">
      <c r="A102" t="s">
        <v>189</v>
      </c>
      <c r="B102" t="s">
        <v>1036</v>
      </c>
      <c r="C102" s="3">
        <v>89</v>
      </c>
      <c r="D102" t="s">
        <v>19</v>
      </c>
      <c r="E102" s="3">
        <v>0</v>
      </c>
    </row>
    <row r="103" spans="1:5">
      <c r="A103" t="s">
        <v>126</v>
      </c>
      <c r="B103" t="s">
        <v>1037</v>
      </c>
      <c r="C103" s="3">
        <v>90</v>
      </c>
      <c r="D103" t="s">
        <v>19</v>
      </c>
      <c r="E103" s="3">
        <v>5</v>
      </c>
    </row>
    <row r="104" spans="1:5">
      <c r="A104" t="s">
        <v>352</v>
      </c>
      <c r="B104" t="s">
        <v>1037</v>
      </c>
      <c r="C104" s="3">
        <v>91</v>
      </c>
      <c r="D104" t="s">
        <v>19</v>
      </c>
      <c r="E104" s="3">
        <v>5</v>
      </c>
    </row>
    <row r="105" spans="1:5">
      <c r="A105" t="s">
        <v>232</v>
      </c>
      <c r="B105" t="s">
        <v>1036</v>
      </c>
      <c r="C105" s="3">
        <v>92</v>
      </c>
      <c r="D105" t="s">
        <v>19</v>
      </c>
      <c r="E105" s="3">
        <v>0</v>
      </c>
    </row>
    <row r="106" spans="1:5">
      <c r="A106" t="s">
        <v>173</v>
      </c>
      <c r="B106" t="s">
        <v>1036</v>
      </c>
      <c r="C106" s="3">
        <v>93</v>
      </c>
      <c r="D106" t="s">
        <v>19</v>
      </c>
      <c r="E106" s="3">
        <v>0</v>
      </c>
    </row>
    <row r="107" spans="1:5">
      <c r="A107" t="s">
        <v>304</v>
      </c>
      <c r="B107" t="s">
        <v>1037</v>
      </c>
      <c r="C107" s="3">
        <v>94</v>
      </c>
      <c r="D107" t="s">
        <v>19</v>
      </c>
      <c r="E107" s="3">
        <v>2</v>
      </c>
    </row>
    <row r="108" spans="1:5">
      <c r="A108" t="s">
        <v>35</v>
      </c>
      <c r="B108" t="s">
        <v>1037</v>
      </c>
      <c r="C108" s="3">
        <v>95</v>
      </c>
      <c r="D108" t="s">
        <v>19</v>
      </c>
      <c r="E108" s="3">
        <v>5</v>
      </c>
    </row>
    <row r="109" spans="1:5">
      <c r="A109" t="s">
        <v>121</v>
      </c>
      <c r="B109" t="s">
        <v>1036</v>
      </c>
      <c r="C109" s="3">
        <v>96</v>
      </c>
      <c r="D109" t="s">
        <v>19</v>
      </c>
      <c r="E109" s="3">
        <v>0</v>
      </c>
    </row>
    <row r="110" spans="1:5">
      <c r="A110" s="169" t="s">
        <v>78</v>
      </c>
      <c r="B110" t="s">
        <v>1036</v>
      </c>
      <c r="C110" s="3">
        <v>97</v>
      </c>
      <c r="D110" t="s">
        <v>19</v>
      </c>
      <c r="E110" s="3">
        <v>0</v>
      </c>
    </row>
    <row r="111" spans="1:5">
      <c r="A111" t="s">
        <v>338</v>
      </c>
      <c r="B111" t="s">
        <v>1037</v>
      </c>
      <c r="C111" s="3">
        <v>98</v>
      </c>
      <c r="D111" t="s">
        <v>19</v>
      </c>
      <c r="E111" s="3">
        <v>5</v>
      </c>
    </row>
    <row r="112" spans="1:5">
      <c r="A112" t="s">
        <v>206</v>
      </c>
      <c r="B112" t="s">
        <v>1036</v>
      </c>
      <c r="C112" s="3">
        <v>99</v>
      </c>
      <c r="D112" t="s">
        <v>19</v>
      </c>
      <c r="E112" s="3">
        <v>0</v>
      </c>
    </row>
    <row r="113" spans="1:5">
      <c r="A113" t="s">
        <v>273</v>
      </c>
      <c r="B113" t="s">
        <v>1037</v>
      </c>
      <c r="C113" s="3">
        <v>100</v>
      </c>
      <c r="D113" t="s">
        <v>19</v>
      </c>
      <c r="E113" s="3">
        <v>4</v>
      </c>
    </row>
    <row r="114" spans="1:5">
      <c r="A114" t="s">
        <v>20</v>
      </c>
      <c r="B114" t="s">
        <v>1036</v>
      </c>
      <c r="C114" s="3">
        <v>101</v>
      </c>
      <c r="D114" t="s">
        <v>19</v>
      </c>
      <c r="E114" s="3">
        <v>0</v>
      </c>
    </row>
    <row r="115" spans="1:5">
      <c r="A115" t="s">
        <v>213</v>
      </c>
      <c r="B115" t="s">
        <v>1037</v>
      </c>
      <c r="C115" s="3">
        <v>102</v>
      </c>
      <c r="D115" t="s">
        <v>19</v>
      </c>
      <c r="E115" s="3">
        <v>2</v>
      </c>
    </row>
    <row r="116" spans="1:5">
      <c r="A116" t="s">
        <v>172</v>
      </c>
      <c r="B116" t="s">
        <v>1037</v>
      </c>
      <c r="C116" s="3">
        <v>103</v>
      </c>
      <c r="D116" t="s">
        <v>19</v>
      </c>
      <c r="E116" s="3">
        <v>5</v>
      </c>
    </row>
    <row r="117" spans="1:5">
      <c r="A117" t="s">
        <v>310</v>
      </c>
      <c r="B117" t="s">
        <v>1036</v>
      </c>
      <c r="C117" s="3">
        <v>104</v>
      </c>
      <c r="D117" t="s">
        <v>19</v>
      </c>
      <c r="E117" s="3">
        <v>0</v>
      </c>
    </row>
    <row r="118" spans="1:5">
      <c r="A118" t="s">
        <v>146</v>
      </c>
      <c r="B118" t="s">
        <v>1037</v>
      </c>
      <c r="C118" s="3">
        <v>105</v>
      </c>
      <c r="D118" t="s">
        <v>19</v>
      </c>
      <c r="E118" s="3">
        <v>2</v>
      </c>
    </row>
    <row r="119" spans="1:5">
      <c r="A119" t="s">
        <v>231</v>
      </c>
      <c r="B119" t="s">
        <v>1036</v>
      </c>
      <c r="C119" s="3">
        <v>106</v>
      </c>
      <c r="D119" t="s">
        <v>19</v>
      </c>
      <c r="E119" s="3">
        <v>0</v>
      </c>
    </row>
    <row r="120" spans="1:5">
      <c r="A120" t="s">
        <v>127</v>
      </c>
      <c r="B120" t="s">
        <v>1037</v>
      </c>
      <c r="C120" s="3">
        <v>107</v>
      </c>
      <c r="D120" t="s">
        <v>19</v>
      </c>
      <c r="E120" s="3">
        <v>4</v>
      </c>
    </row>
    <row r="121" spans="1:5">
      <c r="A121" t="s">
        <v>305</v>
      </c>
      <c r="B121" t="s">
        <v>1036</v>
      </c>
      <c r="C121" s="3">
        <v>108</v>
      </c>
      <c r="D121" t="s">
        <v>19</v>
      </c>
      <c r="E121" s="3">
        <v>0</v>
      </c>
    </row>
    <row r="122" spans="1:5">
      <c r="A122" s="169" t="s">
        <v>324</v>
      </c>
      <c r="B122" t="s">
        <v>1037</v>
      </c>
      <c r="C122" s="3">
        <v>109</v>
      </c>
      <c r="D122" t="s">
        <v>19</v>
      </c>
      <c r="E122" s="3">
        <v>4</v>
      </c>
    </row>
    <row r="123" spans="1:5">
      <c r="A123" t="s">
        <v>248</v>
      </c>
      <c r="B123" t="s">
        <v>1036</v>
      </c>
      <c r="C123" s="3">
        <v>110</v>
      </c>
      <c r="D123" t="s">
        <v>19</v>
      </c>
      <c r="E123" s="3">
        <v>0</v>
      </c>
    </row>
    <row r="124" spans="1:5">
      <c r="A124" t="s">
        <v>1045</v>
      </c>
      <c r="B124" t="s">
        <v>1036</v>
      </c>
      <c r="C124" s="3">
        <v>111</v>
      </c>
      <c r="D124" t="s">
        <v>19</v>
      </c>
      <c r="E124" s="3">
        <v>0</v>
      </c>
    </row>
    <row r="125" spans="1:5">
      <c r="A125" t="s">
        <v>318</v>
      </c>
      <c r="B125" t="s">
        <v>1037</v>
      </c>
      <c r="C125" s="3">
        <v>112</v>
      </c>
      <c r="D125" t="s">
        <v>19</v>
      </c>
      <c r="E125" s="3">
        <v>4</v>
      </c>
    </row>
    <row r="126" spans="1:5">
      <c r="A126" t="s">
        <v>350</v>
      </c>
      <c r="B126" t="s">
        <v>1037</v>
      </c>
      <c r="C126" s="3">
        <v>113</v>
      </c>
      <c r="D126" t="s">
        <v>19</v>
      </c>
      <c r="E126" s="3">
        <v>3</v>
      </c>
    </row>
    <row r="127" spans="1:5">
      <c r="A127" t="s">
        <v>90</v>
      </c>
      <c r="B127" t="s">
        <v>1036</v>
      </c>
      <c r="C127" s="3">
        <v>114</v>
      </c>
      <c r="D127" t="s">
        <v>19</v>
      </c>
      <c r="E127" s="3">
        <v>0</v>
      </c>
    </row>
    <row r="128" spans="1:5">
      <c r="A128" t="s">
        <v>250</v>
      </c>
      <c r="B128" t="s">
        <v>1036</v>
      </c>
      <c r="C128" s="3">
        <v>115</v>
      </c>
      <c r="D128" t="s">
        <v>19</v>
      </c>
      <c r="E128" s="3">
        <v>0</v>
      </c>
    </row>
    <row r="129" spans="1:5">
      <c r="A129" t="s">
        <v>285</v>
      </c>
      <c r="B129" t="s">
        <v>1037</v>
      </c>
      <c r="C129" s="3">
        <v>116</v>
      </c>
      <c r="D129" t="s">
        <v>19</v>
      </c>
      <c r="E129" s="3">
        <v>5</v>
      </c>
    </row>
    <row r="130" spans="1:5">
      <c r="A130" t="s">
        <v>86</v>
      </c>
      <c r="B130" t="s">
        <v>1037</v>
      </c>
      <c r="C130" s="3">
        <v>117</v>
      </c>
      <c r="D130" t="s">
        <v>19</v>
      </c>
      <c r="E130" s="3">
        <v>3</v>
      </c>
    </row>
    <row r="131" spans="1:5">
      <c r="A131" t="s">
        <v>58</v>
      </c>
      <c r="B131" t="s">
        <v>1036</v>
      </c>
      <c r="C131" s="3">
        <v>118</v>
      </c>
      <c r="D131" t="s">
        <v>19</v>
      </c>
      <c r="E131" s="3">
        <v>0</v>
      </c>
    </row>
    <row r="132" spans="1:5">
      <c r="A132" t="s">
        <v>188</v>
      </c>
      <c r="B132" t="s">
        <v>1036</v>
      </c>
      <c r="C132" s="3">
        <v>119</v>
      </c>
      <c r="D132" t="s">
        <v>19</v>
      </c>
      <c r="E132" s="3">
        <v>0</v>
      </c>
    </row>
    <row r="133" spans="1:5">
      <c r="A133" t="s">
        <v>303</v>
      </c>
      <c r="B133" t="s">
        <v>1037</v>
      </c>
      <c r="C133" s="3">
        <v>120</v>
      </c>
      <c r="D133" t="s">
        <v>19</v>
      </c>
      <c r="E133" s="3">
        <v>5</v>
      </c>
    </row>
    <row r="134" spans="1:5">
      <c r="A134" t="s">
        <v>263</v>
      </c>
      <c r="B134" t="s">
        <v>1036</v>
      </c>
      <c r="C134" s="3">
        <v>121</v>
      </c>
      <c r="D134" t="s">
        <v>19</v>
      </c>
      <c r="E134" s="3">
        <v>0</v>
      </c>
    </row>
    <row r="135" spans="1:5">
      <c r="A135" t="s">
        <v>253</v>
      </c>
      <c r="B135" t="s">
        <v>1037</v>
      </c>
      <c r="C135" s="3">
        <v>122</v>
      </c>
      <c r="D135" t="s">
        <v>19</v>
      </c>
      <c r="E135" s="3">
        <v>4</v>
      </c>
    </row>
    <row r="136" spans="1:5">
      <c r="A136" t="s">
        <v>33</v>
      </c>
      <c r="B136" t="s">
        <v>1037</v>
      </c>
      <c r="C136" s="3">
        <v>123</v>
      </c>
      <c r="D136" t="s">
        <v>19</v>
      </c>
      <c r="E136" s="3">
        <v>2</v>
      </c>
    </row>
    <row r="137" spans="1:5">
      <c r="A137" t="s">
        <v>52</v>
      </c>
      <c r="B137" t="s">
        <v>1036</v>
      </c>
      <c r="C137" s="3">
        <v>124</v>
      </c>
      <c r="D137" t="s">
        <v>19</v>
      </c>
      <c r="E137" s="3">
        <v>0</v>
      </c>
    </row>
    <row r="138" spans="1:5">
      <c r="A138" s="169" t="s">
        <v>77</v>
      </c>
      <c r="B138" t="s">
        <v>1036</v>
      </c>
      <c r="C138" s="3">
        <v>125</v>
      </c>
      <c r="D138" t="s">
        <v>19</v>
      </c>
      <c r="E138" s="3">
        <v>0</v>
      </c>
    </row>
    <row r="139" spans="1:5">
      <c r="A139" t="s">
        <v>230</v>
      </c>
      <c r="B139" t="s">
        <v>1037</v>
      </c>
      <c r="C139" s="3">
        <v>126</v>
      </c>
      <c r="D139" t="s">
        <v>19</v>
      </c>
      <c r="E139" s="3">
        <v>3</v>
      </c>
    </row>
    <row r="140" spans="1:5">
      <c r="A140" t="s">
        <v>153</v>
      </c>
      <c r="B140" t="s">
        <v>1037</v>
      </c>
      <c r="C140" s="3">
        <v>127</v>
      </c>
      <c r="D140" t="s">
        <v>19</v>
      </c>
      <c r="E140" s="3">
        <v>2</v>
      </c>
    </row>
    <row r="141" spans="1:5">
      <c r="A141" t="s">
        <v>166</v>
      </c>
      <c r="B141" t="s">
        <v>1036</v>
      </c>
      <c r="C141" s="3">
        <v>128</v>
      </c>
      <c r="D141" t="s">
        <v>19</v>
      </c>
      <c r="E141" s="3">
        <v>0</v>
      </c>
    </row>
    <row r="142" spans="1:5">
      <c r="A142" t="s">
        <v>47</v>
      </c>
      <c r="B142" t="s">
        <v>1036</v>
      </c>
      <c r="C142" s="3">
        <v>129</v>
      </c>
      <c r="D142" t="s">
        <v>19</v>
      </c>
      <c r="E142" s="3">
        <v>0</v>
      </c>
    </row>
    <row r="143" spans="1:5">
      <c r="A143" s="168" t="s">
        <v>1046</v>
      </c>
      <c r="B143" t="s">
        <v>1037</v>
      </c>
      <c r="C143" s="3">
        <v>130</v>
      </c>
      <c r="D143" t="s">
        <v>19</v>
      </c>
      <c r="E143" s="3">
        <v>4</v>
      </c>
    </row>
    <row r="144" spans="1:5">
      <c r="A144" t="s">
        <v>178</v>
      </c>
      <c r="B144" t="s">
        <v>1036</v>
      </c>
      <c r="C144" s="3">
        <v>131</v>
      </c>
      <c r="D144" t="s">
        <v>19</v>
      </c>
      <c r="E144" s="3">
        <v>0</v>
      </c>
    </row>
    <row r="145" spans="1:5">
      <c r="A145" t="s">
        <v>147</v>
      </c>
      <c r="B145" t="s">
        <v>1037</v>
      </c>
      <c r="C145" s="3">
        <v>132</v>
      </c>
      <c r="D145" t="s">
        <v>19</v>
      </c>
      <c r="E145" s="3">
        <v>4</v>
      </c>
    </row>
    <row r="146" spans="1:5">
      <c r="A146" t="s">
        <v>66</v>
      </c>
      <c r="B146" t="s">
        <v>1037</v>
      </c>
      <c r="C146" s="3">
        <v>133</v>
      </c>
      <c r="D146" t="s">
        <v>19</v>
      </c>
      <c r="E146" s="3">
        <v>5</v>
      </c>
    </row>
    <row r="147" spans="1:5">
      <c r="A147" t="s">
        <v>226</v>
      </c>
      <c r="B147" t="s">
        <v>1036</v>
      </c>
      <c r="C147" s="3">
        <v>134</v>
      </c>
      <c r="D147" t="s">
        <v>19</v>
      </c>
      <c r="E147" s="3">
        <v>0</v>
      </c>
    </row>
    <row r="148" spans="1:5">
      <c r="A148" t="s">
        <v>195</v>
      </c>
      <c r="B148" t="s">
        <v>1036</v>
      </c>
      <c r="C148" s="3">
        <v>135</v>
      </c>
      <c r="D148" t="s">
        <v>19</v>
      </c>
      <c r="E148" s="3">
        <v>0</v>
      </c>
    </row>
    <row r="149" spans="1:5">
      <c r="A149" t="s">
        <v>211</v>
      </c>
      <c r="B149" t="s">
        <v>1037</v>
      </c>
      <c r="C149" s="3">
        <v>136</v>
      </c>
      <c r="D149" t="s">
        <v>19</v>
      </c>
      <c r="E149" s="3">
        <v>4</v>
      </c>
    </row>
    <row r="150" spans="1:5">
      <c r="A150" t="s">
        <v>260</v>
      </c>
      <c r="B150" t="s">
        <v>1036</v>
      </c>
      <c r="C150" s="3">
        <v>137</v>
      </c>
      <c r="D150" t="s">
        <v>19</v>
      </c>
      <c r="E150" s="3">
        <v>0</v>
      </c>
    </row>
    <row r="151" spans="1:5">
      <c r="A151" t="s">
        <v>251</v>
      </c>
      <c r="B151" t="s">
        <v>1037</v>
      </c>
      <c r="C151" s="3">
        <v>138</v>
      </c>
      <c r="D151" t="s">
        <v>19</v>
      </c>
      <c r="E151" s="3">
        <v>5</v>
      </c>
    </row>
    <row r="152" spans="1:5">
      <c r="A152" t="s">
        <v>347</v>
      </c>
      <c r="B152" t="s">
        <v>1037</v>
      </c>
      <c r="C152" s="3">
        <v>139</v>
      </c>
      <c r="D152" t="s">
        <v>19</v>
      </c>
      <c r="E152" s="3">
        <v>2</v>
      </c>
    </row>
    <row r="153" spans="1:5">
      <c r="A153" t="s">
        <v>343</v>
      </c>
      <c r="B153" t="s">
        <v>1036</v>
      </c>
      <c r="C153" s="3">
        <v>140</v>
      </c>
      <c r="D153" t="s">
        <v>19</v>
      </c>
      <c r="E153" s="3">
        <v>0</v>
      </c>
    </row>
    <row r="154" spans="1:5">
      <c r="A154" t="s">
        <v>99</v>
      </c>
      <c r="B154" t="s">
        <v>1037</v>
      </c>
      <c r="C154" s="3">
        <v>141</v>
      </c>
      <c r="D154" t="s">
        <v>19</v>
      </c>
      <c r="E154" s="3">
        <v>5</v>
      </c>
    </row>
    <row r="155" spans="1:5">
      <c r="A155" t="s">
        <v>159</v>
      </c>
      <c r="B155" t="s">
        <v>1036</v>
      </c>
      <c r="C155" s="3">
        <v>142</v>
      </c>
      <c r="D155" t="s">
        <v>19</v>
      </c>
      <c r="E155" s="3">
        <v>0</v>
      </c>
    </row>
    <row r="156" spans="1:5">
      <c r="A156" t="s">
        <v>128</v>
      </c>
      <c r="B156" t="s">
        <v>1037</v>
      </c>
      <c r="C156" s="3">
        <v>143</v>
      </c>
      <c r="D156" t="s">
        <v>19</v>
      </c>
      <c r="E156" s="3">
        <v>2</v>
      </c>
    </row>
    <row r="157" spans="1:5">
      <c r="A157" t="s">
        <v>309</v>
      </c>
      <c r="B157" t="s">
        <v>1036</v>
      </c>
      <c r="C157" s="3">
        <v>144</v>
      </c>
      <c r="D157" t="s">
        <v>19</v>
      </c>
      <c r="E157" s="3">
        <v>0</v>
      </c>
    </row>
    <row r="158" spans="1:5">
      <c r="A158" t="s">
        <v>85</v>
      </c>
      <c r="B158" t="s">
        <v>1037</v>
      </c>
      <c r="C158" s="3">
        <v>145</v>
      </c>
      <c r="D158" t="s">
        <v>19</v>
      </c>
      <c r="E158" s="3">
        <v>5</v>
      </c>
    </row>
    <row r="159" spans="1:5">
      <c r="A159" t="s">
        <v>247</v>
      </c>
      <c r="B159" t="s">
        <v>1036</v>
      </c>
      <c r="C159" s="3">
        <v>146</v>
      </c>
      <c r="D159" t="s">
        <v>19</v>
      </c>
      <c r="E159" s="3">
        <v>0</v>
      </c>
    </row>
    <row r="160" spans="1:5">
      <c r="A160" t="s">
        <v>68</v>
      </c>
      <c r="B160" t="s">
        <v>1037</v>
      </c>
      <c r="C160" s="3">
        <v>147</v>
      </c>
      <c r="D160" t="s">
        <v>19</v>
      </c>
      <c r="E160" s="3">
        <v>4</v>
      </c>
    </row>
    <row r="161" spans="1:5">
      <c r="A161" t="s">
        <v>264</v>
      </c>
      <c r="B161" t="s">
        <v>1036</v>
      </c>
      <c r="C161" s="3">
        <v>148</v>
      </c>
      <c r="D161" t="s">
        <v>19</v>
      </c>
      <c r="E161" s="3">
        <v>0</v>
      </c>
    </row>
    <row r="162" spans="1:5">
      <c r="A162" t="s">
        <v>221</v>
      </c>
      <c r="B162" t="s">
        <v>1036</v>
      </c>
      <c r="C162" s="3">
        <v>149</v>
      </c>
      <c r="D162" t="s">
        <v>19</v>
      </c>
      <c r="E162" s="3">
        <v>0</v>
      </c>
    </row>
    <row r="163" spans="1:5">
      <c r="A163" t="s">
        <v>1047</v>
      </c>
      <c r="B163" t="s">
        <v>1037</v>
      </c>
      <c r="C163" s="3">
        <v>150</v>
      </c>
      <c r="D163" t="s">
        <v>19</v>
      </c>
      <c r="E163" s="3">
        <v>5</v>
      </c>
    </row>
    <row r="164" spans="1:5">
      <c r="A164" t="s">
        <v>51</v>
      </c>
      <c r="B164" t="s">
        <v>1037</v>
      </c>
      <c r="C164" s="3">
        <v>151</v>
      </c>
      <c r="D164" t="s">
        <v>19</v>
      </c>
      <c r="E164" s="3">
        <v>4</v>
      </c>
    </row>
    <row r="165" spans="1:5">
      <c r="A165" t="s">
        <v>348</v>
      </c>
      <c r="B165" t="s">
        <v>1036</v>
      </c>
      <c r="C165" s="3">
        <v>152</v>
      </c>
      <c r="D165" t="s">
        <v>19</v>
      </c>
      <c r="E165" s="3">
        <v>0</v>
      </c>
    </row>
    <row r="166" spans="1:5">
      <c r="A166" t="s">
        <v>339</v>
      </c>
      <c r="B166" t="s">
        <v>1037</v>
      </c>
      <c r="C166" s="3">
        <v>153</v>
      </c>
      <c r="D166" t="s">
        <v>19</v>
      </c>
      <c r="E166" s="3">
        <v>5</v>
      </c>
    </row>
    <row r="167" spans="1:5">
      <c r="A167" t="s">
        <v>122</v>
      </c>
      <c r="B167" t="s">
        <v>1036</v>
      </c>
      <c r="C167" s="3">
        <v>154</v>
      </c>
      <c r="D167" t="s">
        <v>19</v>
      </c>
      <c r="E167" s="3">
        <v>0</v>
      </c>
    </row>
    <row r="168" spans="1:5">
      <c r="A168" t="s">
        <v>87</v>
      </c>
      <c r="B168" t="s">
        <v>1036</v>
      </c>
      <c r="C168" s="3">
        <v>155</v>
      </c>
      <c r="D168" t="s">
        <v>19</v>
      </c>
      <c r="E168" s="3">
        <v>0</v>
      </c>
    </row>
    <row r="169" spans="1:5">
      <c r="A169" t="s">
        <v>279</v>
      </c>
      <c r="B169" t="s">
        <v>1037</v>
      </c>
      <c r="C169" s="3">
        <v>156</v>
      </c>
      <c r="D169" t="s">
        <v>19</v>
      </c>
      <c r="E169" s="3">
        <v>3</v>
      </c>
    </row>
    <row r="170" spans="1:5">
      <c r="A170" t="s">
        <v>176</v>
      </c>
      <c r="B170" t="s">
        <v>1037</v>
      </c>
      <c r="C170" s="3">
        <v>157</v>
      </c>
      <c r="D170" t="s">
        <v>19</v>
      </c>
      <c r="E170" s="3">
        <v>2</v>
      </c>
    </row>
    <row r="171" spans="1:5">
      <c r="A171" t="s">
        <v>353</v>
      </c>
      <c r="B171" t="s">
        <v>1036</v>
      </c>
      <c r="C171" s="3">
        <v>158</v>
      </c>
      <c r="D171" t="s">
        <v>19</v>
      </c>
      <c r="E171" s="3">
        <v>0</v>
      </c>
    </row>
    <row r="172" spans="1:5">
      <c r="A172" t="s">
        <v>275</v>
      </c>
      <c r="B172" t="s">
        <v>1037</v>
      </c>
      <c r="C172" s="3">
        <v>159</v>
      </c>
      <c r="D172" t="s">
        <v>19</v>
      </c>
      <c r="E172" s="3">
        <v>2</v>
      </c>
    </row>
    <row r="173" spans="1:5">
      <c r="A173" t="s">
        <v>233</v>
      </c>
      <c r="B173" t="s">
        <v>1036</v>
      </c>
      <c r="C173" s="3">
        <v>160</v>
      </c>
      <c r="D173" t="s">
        <v>19</v>
      </c>
      <c r="E173" s="3">
        <v>0</v>
      </c>
    </row>
    <row r="174" spans="1:5">
      <c r="A174" t="s">
        <v>336</v>
      </c>
      <c r="B174" t="s">
        <v>1037</v>
      </c>
      <c r="C174" s="3">
        <v>161</v>
      </c>
      <c r="D174" t="s">
        <v>19</v>
      </c>
      <c r="E174" s="3">
        <v>4</v>
      </c>
    </row>
    <row r="175" spans="1:5">
      <c r="A175" t="s">
        <v>38</v>
      </c>
      <c r="B175" t="s">
        <v>1036</v>
      </c>
      <c r="C175" s="3">
        <v>162</v>
      </c>
      <c r="D175" t="s">
        <v>19</v>
      </c>
      <c r="E175" s="3">
        <v>0</v>
      </c>
    </row>
    <row r="176" spans="1:5">
      <c r="A176" t="s">
        <v>201</v>
      </c>
      <c r="B176" t="s">
        <v>1036</v>
      </c>
      <c r="C176" s="3">
        <v>163</v>
      </c>
      <c r="D176" t="s">
        <v>19</v>
      </c>
      <c r="E176" s="3">
        <v>0</v>
      </c>
    </row>
    <row r="177" spans="1:5">
      <c r="A177" t="s">
        <v>167</v>
      </c>
      <c r="B177" t="s">
        <v>1037</v>
      </c>
      <c r="C177" s="3">
        <v>164</v>
      </c>
      <c r="D177" t="s">
        <v>19</v>
      </c>
      <c r="E177" s="3">
        <v>3</v>
      </c>
    </row>
    <row r="178" spans="1:5">
      <c r="A178" t="s">
        <v>1048</v>
      </c>
      <c r="B178" t="s">
        <v>1036</v>
      </c>
      <c r="C178" s="3">
        <v>165</v>
      </c>
      <c r="D178" t="s">
        <v>19</v>
      </c>
      <c r="E178" s="3">
        <v>0</v>
      </c>
    </row>
    <row r="179" spans="1:5">
      <c r="A179" t="s">
        <v>242</v>
      </c>
      <c r="B179" t="s">
        <v>1037</v>
      </c>
      <c r="C179" s="3">
        <v>166</v>
      </c>
      <c r="D179" t="s">
        <v>19</v>
      </c>
      <c r="E179" s="3">
        <v>4</v>
      </c>
    </row>
    <row r="180" spans="1:5">
      <c r="A180" t="s">
        <v>46</v>
      </c>
      <c r="B180" t="s">
        <v>1036</v>
      </c>
      <c r="C180" s="3">
        <v>167</v>
      </c>
      <c r="D180" t="s">
        <v>19</v>
      </c>
      <c r="E180" s="3">
        <v>0</v>
      </c>
    </row>
    <row r="181" spans="1:5">
      <c r="A181" t="s">
        <v>317</v>
      </c>
      <c r="B181" t="s">
        <v>1037</v>
      </c>
      <c r="C181" s="3">
        <v>168</v>
      </c>
      <c r="D181" t="s">
        <v>19</v>
      </c>
      <c r="E181" s="3">
        <v>5</v>
      </c>
    </row>
    <row r="182" spans="1:5">
      <c r="A182" t="s">
        <v>171</v>
      </c>
      <c r="B182" t="s">
        <v>1037</v>
      </c>
      <c r="C182" s="3">
        <v>169</v>
      </c>
      <c r="D182" t="s">
        <v>19</v>
      </c>
      <c r="E182" s="3">
        <v>4</v>
      </c>
    </row>
    <row r="183" spans="1:5">
      <c r="A183" t="s">
        <v>28</v>
      </c>
      <c r="B183" t="s">
        <v>1036</v>
      </c>
      <c r="C183" s="3">
        <v>170</v>
      </c>
      <c r="D183" t="s">
        <v>19</v>
      </c>
      <c r="E183" s="3">
        <v>0</v>
      </c>
    </row>
    <row r="184" spans="1:5">
      <c r="A184" t="s">
        <v>133</v>
      </c>
      <c r="B184" t="s">
        <v>1037</v>
      </c>
      <c r="C184" s="3">
        <v>171</v>
      </c>
      <c r="D184" t="s">
        <v>19</v>
      </c>
      <c r="E184" s="3">
        <v>2</v>
      </c>
    </row>
    <row r="185" spans="1:5">
      <c r="A185" t="s">
        <v>1049</v>
      </c>
      <c r="B185" t="s">
        <v>1036</v>
      </c>
      <c r="C185" s="3">
        <v>172</v>
      </c>
      <c r="D185" t="s">
        <v>19</v>
      </c>
      <c r="E185" s="3">
        <v>0</v>
      </c>
    </row>
    <row r="186" spans="1:5">
      <c r="A186" t="s">
        <v>102</v>
      </c>
      <c r="B186" t="s">
        <v>1036</v>
      </c>
      <c r="C186" s="3">
        <v>173</v>
      </c>
      <c r="D186" t="s">
        <v>19</v>
      </c>
      <c r="E186" s="3">
        <v>0</v>
      </c>
    </row>
    <row r="187" spans="1:5">
      <c r="A187" t="s">
        <v>93</v>
      </c>
      <c r="B187" t="s">
        <v>1037</v>
      </c>
      <c r="C187" s="3">
        <v>174</v>
      </c>
      <c r="D187" t="s">
        <v>19</v>
      </c>
      <c r="E187" s="3">
        <v>2</v>
      </c>
    </row>
    <row r="188" spans="1:5">
      <c r="A188" t="s">
        <v>334</v>
      </c>
      <c r="B188" t="s">
        <v>1037</v>
      </c>
      <c r="C188" s="3">
        <v>175</v>
      </c>
      <c r="D188" t="s">
        <v>19</v>
      </c>
      <c r="E188" s="3">
        <v>2</v>
      </c>
    </row>
    <row r="189" spans="1:5">
      <c r="A189" t="s">
        <v>1050</v>
      </c>
      <c r="B189" t="s">
        <v>1036</v>
      </c>
      <c r="C189" s="3">
        <v>176</v>
      </c>
      <c r="D189" t="s">
        <v>19</v>
      </c>
      <c r="E189" s="3">
        <v>0</v>
      </c>
    </row>
    <row r="190" spans="1:5">
      <c r="A190" t="s">
        <v>267</v>
      </c>
      <c r="B190" t="s">
        <v>1037</v>
      </c>
      <c r="C190" s="3">
        <v>177</v>
      </c>
      <c r="D190" t="s">
        <v>19</v>
      </c>
      <c r="E190" s="3">
        <v>3</v>
      </c>
    </row>
    <row r="191" spans="1:5">
      <c r="A191" t="s">
        <v>81</v>
      </c>
      <c r="B191" t="s">
        <v>1036</v>
      </c>
      <c r="C191" s="3">
        <v>178</v>
      </c>
      <c r="D191" t="s">
        <v>19</v>
      </c>
      <c r="E191" s="3">
        <v>0</v>
      </c>
    </row>
    <row r="192" spans="1:5">
      <c r="A192" t="s">
        <v>181</v>
      </c>
      <c r="B192" t="s">
        <v>1037</v>
      </c>
      <c r="C192" s="3">
        <v>179</v>
      </c>
      <c r="D192" t="s">
        <v>19</v>
      </c>
      <c r="E192" s="3">
        <v>5</v>
      </c>
    </row>
    <row r="193" spans="1:5">
      <c r="A193" t="s">
        <v>292</v>
      </c>
      <c r="B193" t="s">
        <v>1036</v>
      </c>
      <c r="C193" s="3">
        <v>180</v>
      </c>
      <c r="D193" t="s">
        <v>19</v>
      </c>
      <c r="E193" s="3">
        <v>0</v>
      </c>
    </row>
    <row r="194" spans="1:5">
      <c r="A194" t="s">
        <v>261</v>
      </c>
      <c r="B194" t="s">
        <v>1036</v>
      </c>
      <c r="C194" s="3">
        <v>181</v>
      </c>
      <c r="D194" t="s">
        <v>19</v>
      </c>
      <c r="E194" s="3">
        <v>0</v>
      </c>
    </row>
    <row r="195" spans="1:5">
      <c r="A195" t="s">
        <v>69</v>
      </c>
      <c r="B195" t="s">
        <v>1037</v>
      </c>
      <c r="C195" s="3">
        <v>182</v>
      </c>
      <c r="D195" t="s">
        <v>19</v>
      </c>
      <c r="E195" s="3">
        <v>3</v>
      </c>
    </row>
    <row r="196" spans="1:5">
      <c r="A196" t="s">
        <v>216</v>
      </c>
      <c r="B196" t="s">
        <v>1036</v>
      </c>
      <c r="C196" s="3">
        <v>183</v>
      </c>
      <c r="D196" t="s">
        <v>19</v>
      </c>
      <c r="E196" s="3">
        <v>0</v>
      </c>
    </row>
    <row r="197" spans="1:5">
      <c r="A197" t="s">
        <v>134</v>
      </c>
      <c r="B197" t="s">
        <v>1037</v>
      </c>
      <c r="C197" s="3">
        <v>184</v>
      </c>
      <c r="D197" t="s">
        <v>19</v>
      </c>
      <c r="E197" s="3">
        <v>5</v>
      </c>
    </row>
    <row r="198" spans="1:5">
      <c r="A198" t="s">
        <v>123</v>
      </c>
      <c r="B198" t="s">
        <v>1037</v>
      </c>
      <c r="C198" s="3">
        <v>185</v>
      </c>
      <c r="D198" t="s">
        <v>19</v>
      </c>
      <c r="E198" s="3">
        <v>2</v>
      </c>
    </row>
    <row r="199" spans="1:5">
      <c r="A199" t="s">
        <v>151</v>
      </c>
      <c r="B199" t="s">
        <v>1036</v>
      </c>
      <c r="C199" s="3">
        <v>186</v>
      </c>
      <c r="D199" t="s">
        <v>19</v>
      </c>
      <c r="E199" s="3">
        <v>0</v>
      </c>
    </row>
    <row r="200" spans="1:5">
      <c r="A200" t="s">
        <v>349</v>
      </c>
      <c r="B200" t="s">
        <v>1036</v>
      </c>
      <c r="C200" s="3">
        <v>187</v>
      </c>
      <c r="D200" t="s">
        <v>19</v>
      </c>
      <c r="E200" s="3">
        <v>0</v>
      </c>
    </row>
    <row r="201" spans="1:5">
      <c r="A201" t="s">
        <v>256</v>
      </c>
      <c r="B201" t="s">
        <v>1037</v>
      </c>
      <c r="C201" s="3">
        <v>188</v>
      </c>
      <c r="D201" t="s">
        <v>19</v>
      </c>
      <c r="E201" s="3">
        <v>3</v>
      </c>
    </row>
    <row r="202" spans="1:5">
      <c r="A202" t="s">
        <v>327</v>
      </c>
      <c r="B202" t="s">
        <v>1036</v>
      </c>
      <c r="C202" s="3">
        <v>189</v>
      </c>
      <c r="D202" t="s">
        <v>19</v>
      </c>
      <c r="E202" s="3">
        <v>0</v>
      </c>
    </row>
    <row r="203" spans="1:5">
      <c r="A203" t="s">
        <v>227</v>
      </c>
      <c r="B203" t="s">
        <v>1037</v>
      </c>
      <c r="C203" s="3">
        <v>190</v>
      </c>
      <c r="D203" t="s">
        <v>19</v>
      </c>
      <c r="E203" s="3">
        <v>2</v>
      </c>
    </row>
    <row r="204" spans="1:5">
      <c r="A204" t="s">
        <v>274</v>
      </c>
      <c r="B204" t="s">
        <v>1037</v>
      </c>
      <c r="C204" s="3">
        <v>191</v>
      </c>
      <c r="D204" t="s">
        <v>19</v>
      </c>
      <c r="E204" s="3">
        <v>5</v>
      </c>
    </row>
    <row r="205" spans="1:5">
      <c r="A205" s="169" t="s">
        <v>97</v>
      </c>
      <c r="B205" t="s">
        <v>1036</v>
      </c>
      <c r="C205" s="3">
        <v>192</v>
      </c>
      <c r="D205" t="s">
        <v>19</v>
      </c>
      <c r="E205" s="3">
        <v>0</v>
      </c>
    </row>
    <row r="206" spans="1:5">
      <c r="A206" t="s">
        <v>96</v>
      </c>
      <c r="B206" t="s">
        <v>1036</v>
      </c>
      <c r="C206" s="3">
        <v>193</v>
      </c>
      <c r="D206" t="s">
        <v>12</v>
      </c>
      <c r="E206" s="3">
        <v>2</v>
      </c>
    </row>
    <row r="207" spans="1:5">
      <c r="A207" t="s">
        <v>307</v>
      </c>
      <c r="B207" t="s">
        <v>1037</v>
      </c>
      <c r="C207" s="3">
        <v>194</v>
      </c>
      <c r="D207" t="s">
        <v>12</v>
      </c>
      <c r="E207" s="3">
        <v>0</v>
      </c>
    </row>
    <row r="208" spans="1:5">
      <c r="A208" t="s">
        <v>31</v>
      </c>
      <c r="B208" t="s">
        <v>1037</v>
      </c>
      <c r="C208" s="3">
        <v>195</v>
      </c>
      <c r="D208" t="s">
        <v>12</v>
      </c>
      <c r="E208" s="3">
        <v>0</v>
      </c>
    </row>
    <row r="209" spans="1:5">
      <c r="A209" t="s">
        <v>203</v>
      </c>
      <c r="B209" t="s">
        <v>1036</v>
      </c>
      <c r="C209" s="3">
        <v>196</v>
      </c>
      <c r="D209" t="s">
        <v>12</v>
      </c>
      <c r="E209" s="3">
        <v>3</v>
      </c>
    </row>
    <row r="210" spans="1:5">
      <c r="A210" t="s">
        <v>1051</v>
      </c>
      <c r="B210" t="s">
        <v>1036</v>
      </c>
      <c r="C210" s="3">
        <v>197</v>
      </c>
      <c r="D210" t="s">
        <v>12</v>
      </c>
      <c r="E210" s="3">
        <v>4</v>
      </c>
    </row>
    <row r="211" spans="1:5">
      <c r="A211" t="s">
        <v>150</v>
      </c>
      <c r="B211" t="s">
        <v>1037</v>
      </c>
      <c r="C211" s="3">
        <v>198</v>
      </c>
      <c r="D211" t="s">
        <v>12</v>
      </c>
      <c r="E211" s="3">
        <v>0</v>
      </c>
    </row>
    <row r="212" spans="1:5">
      <c r="A212" t="s">
        <v>296</v>
      </c>
      <c r="B212" t="s">
        <v>1036</v>
      </c>
      <c r="C212" s="3">
        <v>199</v>
      </c>
      <c r="D212" t="s">
        <v>12</v>
      </c>
      <c r="E212" s="3">
        <v>4</v>
      </c>
    </row>
    <row r="213" spans="1:5">
      <c r="A213" t="s">
        <v>83</v>
      </c>
      <c r="B213" t="s">
        <v>1037</v>
      </c>
      <c r="C213" s="3">
        <v>200</v>
      </c>
      <c r="D213" t="s">
        <v>12</v>
      </c>
      <c r="E213" s="3">
        <v>0</v>
      </c>
    </row>
    <row r="214" spans="1:5">
      <c r="A214" t="s">
        <v>332</v>
      </c>
      <c r="B214" t="s">
        <v>1037</v>
      </c>
      <c r="C214" s="3">
        <v>201</v>
      </c>
      <c r="D214" t="s">
        <v>12</v>
      </c>
      <c r="E214" s="3">
        <v>0</v>
      </c>
    </row>
    <row r="215" spans="1:5">
      <c r="A215" t="s">
        <v>144</v>
      </c>
      <c r="B215" t="s">
        <v>1036</v>
      </c>
      <c r="C215" s="3">
        <v>202</v>
      </c>
      <c r="D215" t="s">
        <v>12</v>
      </c>
      <c r="E215" s="3">
        <v>4</v>
      </c>
    </row>
    <row r="216" spans="1:5">
      <c r="A216" t="s">
        <v>191</v>
      </c>
      <c r="B216" t="s">
        <v>1037</v>
      </c>
      <c r="C216" s="3">
        <v>203</v>
      </c>
      <c r="D216" t="s">
        <v>12</v>
      </c>
      <c r="E216" s="3">
        <v>0</v>
      </c>
    </row>
    <row r="217" spans="1:5">
      <c r="A217" t="s">
        <v>254</v>
      </c>
      <c r="B217" t="s">
        <v>1036</v>
      </c>
      <c r="C217" s="3">
        <v>204</v>
      </c>
      <c r="D217" t="s">
        <v>12</v>
      </c>
      <c r="E217" s="3">
        <v>4</v>
      </c>
    </row>
    <row r="218" spans="1:5">
      <c r="A218" t="s">
        <v>43</v>
      </c>
      <c r="B218" t="s">
        <v>1037</v>
      </c>
      <c r="C218" s="3">
        <v>205</v>
      </c>
      <c r="D218" t="s">
        <v>12</v>
      </c>
      <c r="E218" s="3">
        <v>0</v>
      </c>
    </row>
    <row r="219" spans="1:5">
      <c r="A219" s="168" t="s">
        <v>1052</v>
      </c>
      <c r="B219" t="s">
        <v>1036</v>
      </c>
      <c r="C219" s="3">
        <v>206</v>
      </c>
      <c r="D219" t="s">
        <v>12</v>
      </c>
      <c r="E219" s="3">
        <v>4</v>
      </c>
    </row>
    <row r="220" spans="1:5">
      <c r="A220" t="s">
        <v>367</v>
      </c>
      <c r="B220" t="s">
        <v>1037</v>
      </c>
      <c r="C220" s="3">
        <v>207</v>
      </c>
      <c r="D220" t="s">
        <v>12</v>
      </c>
      <c r="E220" s="3">
        <v>0</v>
      </c>
    </row>
    <row r="221" spans="1:5">
      <c r="A221" t="s">
        <v>283</v>
      </c>
      <c r="B221" t="s">
        <v>1036</v>
      </c>
      <c r="C221" s="3">
        <v>208</v>
      </c>
      <c r="D221" t="s">
        <v>12</v>
      </c>
      <c r="E221" s="3">
        <v>3</v>
      </c>
    </row>
    <row r="222" spans="1:5">
      <c r="A222" t="s">
        <v>196</v>
      </c>
      <c r="B222" t="s">
        <v>1036</v>
      </c>
      <c r="C222" s="3">
        <v>209</v>
      </c>
      <c r="D222" t="s">
        <v>12</v>
      </c>
      <c r="E222" s="3">
        <v>3</v>
      </c>
    </row>
    <row r="223" spans="1:5">
      <c r="A223" t="s">
        <v>360</v>
      </c>
      <c r="B223" t="s">
        <v>1037</v>
      </c>
      <c r="C223" s="3">
        <v>210</v>
      </c>
      <c r="D223" t="s">
        <v>12</v>
      </c>
      <c r="E223" s="3">
        <v>0</v>
      </c>
    </row>
    <row r="224" spans="1:5">
      <c r="A224" s="170" t="s">
        <v>257</v>
      </c>
      <c r="B224" t="s">
        <v>1037</v>
      </c>
      <c r="C224" s="3">
        <v>211</v>
      </c>
      <c r="D224" t="s">
        <v>12</v>
      </c>
      <c r="E224" s="3">
        <v>0</v>
      </c>
    </row>
    <row r="225" spans="1:5">
      <c r="A225" t="s">
        <v>262</v>
      </c>
      <c r="B225" t="s">
        <v>1036</v>
      </c>
      <c r="C225" s="3">
        <v>212</v>
      </c>
      <c r="D225" t="s">
        <v>12</v>
      </c>
      <c r="E225" s="3">
        <v>3</v>
      </c>
    </row>
    <row r="226" spans="1:5">
      <c r="A226" t="s">
        <v>145</v>
      </c>
      <c r="B226" t="s">
        <v>1036</v>
      </c>
      <c r="C226" s="3">
        <v>213</v>
      </c>
      <c r="D226" t="s">
        <v>12</v>
      </c>
      <c r="E226" s="3">
        <v>3</v>
      </c>
    </row>
    <row r="227" spans="1:5">
      <c r="A227" t="s">
        <v>1053</v>
      </c>
      <c r="B227" t="s">
        <v>1037</v>
      </c>
      <c r="C227" s="3">
        <v>214</v>
      </c>
      <c r="D227" t="s">
        <v>12</v>
      </c>
      <c r="E227" s="3">
        <v>0</v>
      </c>
    </row>
    <row r="228" spans="1:5">
      <c r="A228" s="169" t="s">
        <v>321</v>
      </c>
      <c r="B228" t="s">
        <v>1037</v>
      </c>
      <c r="C228" s="3">
        <v>215</v>
      </c>
      <c r="D228" t="s">
        <v>12</v>
      </c>
      <c r="E228" s="3">
        <v>0</v>
      </c>
    </row>
    <row r="229" spans="1:5">
      <c r="A229" t="s">
        <v>1054</v>
      </c>
      <c r="B229" t="s">
        <v>1036</v>
      </c>
      <c r="C229" s="3">
        <v>216</v>
      </c>
      <c r="D229" t="s">
        <v>12</v>
      </c>
      <c r="E229" s="3">
        <v>3</v>
      </c>
    </row>
    <row r="230" spans="1:5">
      <c r="A230" t="s">
        <v>194</v>
      </c>
      <c r="B230" t="s">
        <v>1036</v>
      </c>
      <c r="C230" s="3">
        <v>217</v>
      </c>
      <c r="D230" t="s">
        <v>12</v>
      </c>
      <c r="E230" s="3">
        <v>2</v>
      </c>
    </row>
    <row r="231" spans="1:5">
      <c r="A231" t="s">
        <v>243</v>
      </c>
      <c r="B231" t="s">
        <v>1037</v>
      </c>
      <c r="C231" s="3">
        <v>218</v>
      </c>
      <c r="D231" t="s">
        <v>12</v>
      </c>
      <c r="E231" s="3">
        <v>0</v>
      </c>
    </row>
    <row r="232" spans="1:5">
      <c r="A232" t="s">
        <v>308</v>
      </c>
      <c r="B232" t="s">
        <v>1037</v>
      </c>
      <c r="C232" s="3">
        <v>219</v>
      </c>
      <c r="D232" t="s">
        <v>12</v>
      </c>
      <c r="E232" s="3">
        <v>0</v>
      </c>
    </row>
    <row r="233" spans="1:5">
      <c r="A233" t="s">
        <v>1055</v>
      </c>
      <c r="B233" t="s">
        <v>1036</v>
      </c>
      <c r="C233" s="3">
        <v>220</v>
      </c>
      <c r="D233" t="s">
        <v>12</v>
      </c>
      <c r="E233" s="3">
        <v>3</v>
      </c>
    </row>
    <row r="234" spans="1:5">
      <c r="A234" t="s">
        <v>104</v>
      </c>
      <c r="B234" t="s">
        <v>1037</v>
      </c>
      <c r="C234" s="3">
        <v>221</v>
      </c>
      <c r="D234" t="s">
        <v>12</v>
      </c>
      <c r="E234" s="3">
        <v>0</v>
      </c>
    </row>
    <row r="235" spans="1:5">
      <c r="A235" t="s">
        <v>370</v>
      </c>
      <c r="B235" t="s">
        <v>1036</v>
      </c>
      <c r="C235" s="3">
        <v>222</v>
      </c>
      <c r="D235" t="s">
        <v>12</v>
      </c>
      <c r="E235" s="3">
        <v>4</v>
      </c>
    </row>
    <row r="236" spans="1:5">
      <c r="A236" t="s">
        <v>40</v>
      </c>
      <c r="B236" t="s">
        <v>1037</v>
      </c>
      <c r="C236" s="3">
        <v>223</v>
      </c>
      <c r="D236" t="s">
        <v>12</v>
      </c>
      <c r="E236" s="3">
        <v>0</v>
      </c>
    </row>
    <row r="237" spans="1:5">
      <c r="A237" t="s">
        <v>129</v>
      </c>
      <c r="B237" t="s">
        <v>1036</v>
      </c>
      <c r="C237" s="3">
        <v>224</v>
      </c>
      <c r="D237" t="s">
        <v>12</v>
      </c>
      <c r="E237" s="3">
        <v>4</v>
      </c>
    </row>
    <row r="238" spans="1:5">
      <c r="A238" t="s">
        <v>198</v>
      </c>
      <c r="B238" t="s">
        <v>1036</v>
      </c>
      <c r="C238" s="3">
        <v>225</v>
      </c>
      <c r="D238" t="s">
        <v>12</v>
      </c>
      <c r="E238" s="3">
        <v>4</v>
      </c>
    </row>
    <row r="239" spans="1:5">
      <c r="A239" t="s">
        <v>364</v>
      </c>
      <c r="B239" t="s">
        <v>1037</v>
      </c>
      <c r="C239" s="3">
        <v>226</v>
      </c>
      <c r="D239" t="s">
        <v>12</v>
      </c>
      <c r="E239" s="3">
        <v>0</v>
      </c>
    </row>
    <row r="240" spans="1:5">
      <c r="A240" t="s">
        <v>358</v>
      </c>
      <c r="B240" t="s">
        <v>1037</v>
      </c>
      <c r="C240" s="3">
        <v>227</v>
      </c>
      <c r="D240" t="s">
        <v>12</v>
      </c>
      <c r="E240" s="3">
        <v>0</v>
      </c>
    </row>
    <row r="241" spans="1:5">
      <c r="A241" t="s">
        <v>50</v>
      </c>
      <c r="B241" t="s">
        <v>1036</v>
      </c>
      <c r="C241" s="3">
        <v>228</v>
      </c>
      <c r="D241" t="s">
        <v>12</v>
      </c>
      <c r="E241" s="3">
        <v>2</v>
      </c>
    </row>
    <row r="242" spans="1:5">
      <c r="A242" t="s">
        <v>362</v>
      </c>
      <c r="B242" t="s">
        <v>1036</v>
      </c>
      <c r="C242" s="3">
        <v>229</v>
      </c>
      <c r="D242" t="s">
        <v>12</v>
      </c>
      <c r="E242" s="3">
        <v>2</v>
      </c>
    </row>
    <row r="243" spans="1:5">
      <c r="A243" t="s">
        <v>218</v>
      </c>
      <c r="B243" t="s">
        <v>1037</v>
      </c>
      <c r="C243" s="3">
        <v>230</v>
      </c>
      <c r="D243" t="s">
        <v>12</v>
      </c>
      <c r="E243" s="3">
        <v>0</v>
      </c>
    </row>
    <row r="244" spans="1:5">
      <c r="A244" t="s">
        <v>11</v>
      </c>
      <c r="B244" t="s">
        <v>1036</v>
      </c>
      <c r="C244" s="3">
        <v>231</v>
      </c>
      <c r="D244" t="s">
        <v>12</v>
      </c>
      <c r="E244" s="3">
        <v>4</v>
      </c>
    </row>
    <row r="245" spans="1:5">
      <c r="A245" t="s">
        <v>148</v>
      </c>
      <c r="B245" t="s">
        <v>1037</v>
      </c>
      <c r="C245" s="3">
        <v>232</v>
      </c>
      <c r="D245" t="s">
        <v>12</v>
      </c>
      <c r="E245" s="3">
        <v>0</v>
      </c>
    </row>
    <row r="246" spans="1:5">
      <c r="A246" t="s">
        <v>136</v>
      </c>
      <c r="B246" t="s">
        <v>1036</v>
      </c>
      <c r="C246" s="3">
        <v>233</v>
      </c>
      <c r="D246" t="s">
        <v>12</v>
      </c>
      <c r="E246" s="3">
        <v>2</v>
      </c>
    </row>
    <row r="247" spans="1:5">
      <c r="A247" t="s">
        <v>88</v>
      </c>
      <c r="B247" t="s">
        <v>1037</v>
      </c>
      <c r="C247" s="3">
        <v>234</v>
      </c>
      <c r="D247" t="s">
        <v>12</v>
      </c>
      <c r="E247" s="3">
        <v>0</v>
      </c>
    </row>
    <row r="248" spans="1:5">
      <c r="A248" t="s">
        <v>363</v>
      </c>
      <c r="B248" t="s">
        <v>1037</v>
      </c>
      <c r="C248" s="3">
        <v>235</v>
      </c>
      <c r="D248" t="s">
        <v>12</v>
      </c>
      <c r="E248" s="3">
        <v>0</v>
      </c>
    </row>
    <row r="249" spans="1:5">
      <c r="A249" s="169" t="s">
        <v>75</v>
      </c>
      <c r="B249" t="s">
        <v>1036</v>
      </c>
      <c r="C249" s="3">
        <v>236</v>
      </c>
      <c r="D249" t="s">
        <v>12</v>
      </c>
      <c r="E249" s="3">
        <v>2</v>
      </c>
    </row>
    <row r="250" spans="1:5">
      <c r="A250" t="s">
        <v>37</v>
      </c>
      <c r="B250" t="s">
        <v>1036</v>
      </c>
      <c r="C250" s="3">
        <v>237</v>
      </c>
      <c r="D250" t="s">
        <v>12</v>
      </c>
      <c r="E250" s="3">
        <v>4</v>
      </c>
    </row>
    <row r="251" spans="1:5">
      <c r="A251" t="s">
        <v>119</v>
      </c>
      <c r="B251" t="s">
        <v>1037</v>
      </c>
      <c r="C251" s="3">
        <v>238</v>
      </c>
      <c r="D251" t="s">
        <v>12</v>
      </c>
      <c r="E251" s="3">
        <v>0</v>
      </c>
    </row>
    <row r="252" spans="1:5">
      <c r="A252" t="s">
        <v>70</v>
      </c>
      <c r="B252" t="s">
        <v>1036</v>
      </c>
      <c r="C252" s="3">
        <v>239</v>
      </c>
      <c r="D252" t="s">
        <v>12</v>
      </c>
      <c r="E252" s="3">
        <v>4</v>
      </c>
    </row>
    <row r="253" spans="1:5">
      <c r="A253" t="s">
        <v>245</v>
      </c>
      <c r="B253" t="s">
        <v>1037</v>
      </c>
      <c r="C253" s="3">
        <v>240</v>
      </c>
      <c r="D253" t="s">
        <v>12</v>
      </c>
      <c r="E253" s="3">
        <v>0</v>
      </c>
    </row>
    <row r="254" spans="1:5">
      <c r="A254" t="s">
        <v>259</v>
      </c>
      <c r="B254" t="s">
        <v>1037</v>
      </c>
      <c r="C254" s="3">
        <v>241</v>
      </c>
      <c r="D254" t="s">
        <v>12</v>
      </c>
      <c r="E254" s="3">
        <v>0</v>
      </c>
    </row>
    <row r="255" spans="1:5">
      <c r="A255" t="s">
        <v>149</v>
      </c>
      <c r="B255" t="s">
        <v>1036</v>
      </c>
      <c r="C255" s="3">
        <v>242</v>
      </c>
      <c r="D255" t="s">
        <v>12</v>
      </c>
      <c r="E255" s="3">
        <v>2</v>
      </c>
    </row>
    <row r="256" spans="1:5">
      <c r="A256" t="s">
        <v>169</v>
      </c>
      <c r="B256" t="s">
        <v>1037</v>
      </c>
      <c r="C256" s="3">
        <v>243</v>
      </c>
      <c r="D256" t="s">
        <v>12</v>
      </c>
      <c r="E256" s="3">
        <v>0</v>
      </c>
    </row>
    <row r="257" spans="1:5">
      <c r="A257" t="s">
        <v>1056</v>
      </c>
      <c r="B257" t="s">
        <v>1036</v>
      </c>
      <c r="C257" s="3">
        <v>244</v>
      </c>
      <c r="D257" t="s">
        <v>12</v>
      </c>
      <c r="E257" s="3">
        <v>4</v>
      </c>
    </row>
    <row r="258" spans="1:5">
      <c r="A258" t="s">
        <v>175</v>
      </c>
      <c r="B258" t="s">
        <v>1037</v>
      </c>
      <c r="C258" s="3">
        <v>245</v>
      </c>
      <c r="D258" t="s">
        <v>12</v>
      </c>
      <c r="E258" s="3">
        <v>0</v>
      </c>
    </row>
    <row r="259" spans="1:5">
      <c r="A259" t="s">
        <v>366</v>
      </c>
      <c r="B259" t="s">
        <v>1036</v>
      </c>
      <c r="C259" s="3">
        <v>246</v>
      </c>
      <c r="D259" t="s">
        <v>12</v>
      </c>
      <c r="E259" s="3">
        <v>2</v>
      </c>
    </row>
    <row r="260" spans="1:5">
      <c r="A260" t="s">
        <v>277</v>
      </c>
      <c r="B260" t="s">
        <v>1037</v>
      </c>
      <c r="C260" s="3">
        <v>247</v>
      </c>
      <c r="D260" t="s">
        <v>12</v>
      </c>
      <c r="E260" s="3">
        <v>0</v>
      </c>
    </row>
    <row r="261" spans="1:5">
      <c r="A261" t="s">
        <v>228</v>
      </c>
      <c r="B261" t="s">
        <v>1036</v>
      </c>
      <c r="C261" s="3">
        <v>248</v>
      </c>
      <c r="D261" t="s">
        <v>12</v>
      </c>
      <c r="E261" s="3">
        <v>3</v>
      </c>
    </row>
    <row r="262" spans="1:5">
      <c r="A262" t="s">
        <v>314</v>
      </c>
      <c r="B262" t="s">
        <v>1037</v>
      </c>
      <c r="C262" s="3">
        <v>249</v>
      </c>
      <c r="D262" t="s">
        <v>12</v>
      </c>
      <c r="E262" s="3">
        <v>0</v>
      </c>
    </row>
    <row r="263" spans="1:5">
      <c r="A263" t="s">
        <v>1057</v>
      </c>
      <c r="B263" t="s">
        <v>1036</v>
      </c>
      <c r="C263" s="3">
        <v>250</v>
      </c>
      <c r="D263" t="s">
        <v>12</v>
      </c>
      <c r="E263" s="3">
        <v>4</v>
      </c>
    </row>
    <row r="264" spans="1:5">
      <c r="A264" t="s">
        <v>295</v>
      </c>
      <c r="B264" t="s">
        <v>1036</v>
      </c>
      <c r="C264" s="3">
        <v>251</v>
      </c>
      <c r="D264" t="s">
        <v>12</v>
      </c>
      <c r="E264" s="3">
        <v>3</v>
      </c>
    </row>
    <row r="265" spans="1:5">
      <c r="A265" t="s">
        <v>290</v>
      </c>
      <c r="B265" t="s">
        <v>1037</v>
      </c>
      <c r="C265" s="3">
        <v>252</v>
      </c>
      <c r="D265" t="s">
        <v>12</v>
      </c>
      <c r="E265" s="3">
        <v>0</v>
      </c>
    </row>
    <row r="266" spans="1:5">
      <c r="A266" t="s">
        <v>21</v>
      </c>
      <c r="B266" t="s">
        <v>1036</v>
      </c>
      <c r="C266" s="3">
        <v>253</v>
      </c>
      <c r="D266" t="s">
        <v>12</v>
      </c>
      <c r="E266" s="3">
        <v>3</v>
      </c>
    </row>
    <row r="267" spans="1:5">
      <c r="A267" t="s">
        <v>82</v>
      </c>
      <c r="B267" t="s">
        <v>1037</v>
      </c>
      <c r="C267" s="3">
        <v>254</v>
      </c>
      <c r="D267" t="s">
        <v>12</v>
      </c>
      <c r="E267" s="3">
        <v>0</v>
      </c>
    </row>
    <row r="268" spans="1:5">
      <c r="A268" t="s">
        <v>56</v>
      </c>
      <c r="B268" t="s">
        <v>1037</v>
      </c>
      <c r="C268" s="3">
        <v>255</v>
      </c>
      <c r="D268" t="s">
        <v>12</v>
      </c>
      <c r="E268" s="3">
        <v>0</v>
      </c>
    </row>
    <row r="269" spans="1:5">
      <c r="A269" t="s">
        <v>361</v>
      </c>
      <c r="B269" t="s">
        <v>1036</v>
      </c>
      <c r="C269" s="3">
        <v>256</v>
      </c>
      <c r="D269" t="s">
        <v>12</v>
      </c>
      <c r="E269" s="3">
        <v>3</v>
      </c>
    </row>
    <row r="270" spans="1:5">
      <c r="A270" t="s">
        <v>131</v>
      </c>
      <c r="B270" t="s">
        <v>1037</v>
      </c>
      <c r="C270" s="3">
        <v>257</v>
      </c>
      <c r="D270" t="s">
        <v>12</v>
      </c>
      <c r="E270" s="3">
        <v>0</v>
      </c>
    </row>
    <row r="271" spans="1:5">
      <c r="A271" t="s">
        <v>239</v>
      </c>
      <c r="B271" t="s">
        <v>1036</v>
      </c>
      <c r="C271" s="3">
        <v>258</v>
      </c>
      <c r="D271" t="s">
        <v>12</v>
      </c>
      <c r="E271" s="3">
        <v>2</v>
      </c>
    </row>
    <row r="272" spans="1:5">
      <c r="A272" s="169" t="s">
        <v>76</v>
      </c>
      <c r="B272" t="s">
        <v>1037</v>
      </c>
      <c r="C272" s="3">
        <v>259</v>
      </c>
      <c r="D272" t="s">
        <v>12</v>
      </c>
      <c r="E272" s="3">
        <v>0</v>
      </c>
    </row>
    <row r="273" spans="1:5">
      <c r="A273" t="s">
        <v>354</v>
      </c>
      <c r="B273" t="s">
        <v>1036</v>
      </c>
      <c r="C273" s="3">
        <v>260</v>
      </c>
      <c r="D273" t="s">
        <v>12</v>
      </c>
      <c r="E273" s="3">
        <v>4</v>
      </c>
    </row>
    <row r="274" spans="1:5">
      <c r="A274" s="170" t="s">
        <v>210</v>
      </c>
      <c r="B274" t="s">
        <v>1037</v>
      </c>
      <c r="C274" s="3">
        <v>261</v>
      </c>
      <c r="D274" t="s">
        <v>12</v>
      </c>
      <c r="E274" s="3">
        <v>0</v>
      </c>
    </row>
    <row r="275" spans="1:5">
      <c r="A275" t="s">
        <v>160</v>
      </c>
      <c r="B275" t="s">
        <v>1036</v>
      </c>
      <c r="C275" s="3">
        <v>262</v>
      </c>
      <c r="D275" t="s">
        <v>12</v>
      </c>
      <c r="E275" s="3">
        <v>3</v>
      </c>
    </row>
    <row r="276" spans="1:5">
      <c r="A276" t="s">
        <v>32</v>
      </c>
      <c r="B276" t="s">
        <v>1037</v>
      </c>
      <c r="C276" s="3">
        <v>263</v>
      </c>
      <c r="D276" t="s">
        <v>12</v>
      </c>
      <c r="E276" s="3">
        <v>0</v>
      </c>
    </row>
    <row r="277" spans="1:5">
      <c r="A277" t="s">
        <v>369</v>
      </c>
      <c r="B277" t="s">
        <v>1036</v>
      </c>
      <c r="C277" s="3">
        <v>264</v>
      </c>
      <c r="D277" t="s">
        <v>12</v>
      </c>
      <c r="E277" s="3">
        <v>4</v>
      </c>
    </row>
    <row r="278" spans="1:5">
      <c r="A278" t="s">
        <v>185</v>
      </c>
      <c r="B278" t="s">
        <v>1036</v>
      </c>
      <c r="C278" s="3">
        <v>265</v>
      </c>
      <c r="D278" t="s">
        <v>12</v>
      </c>
      <c r="E278" s="3">
        <v>4</v>
      </c>
    </row>
    <row r="279" spans="1:5">
      <c r="A279" t="s">
        <v>368</v>
      </c>
      <c r="B279" t="s">
        <v>1037</v>
      </c>
      <c r="C279" s="3">
        <v>266</v>
      </c>
      <c r="D279" t="s">
        <v>12</v>
      </c>
      <c r="E279" s="3">
        <v>0</v>
      </c>
    </row>
    <row r="280" spans="1:5">
      <c r="A280" t="s">
        <v>356</v>
      </c>
      <c r="B280" t="s">
        <v>1036</v>
      </c>
      <c r="C280" s="3">
        <v>267</v>
      </c>
      <c r="D280" t="s">
        <v>12</v>
      </c>
      <c r="E280" s="3">
        <v>3</v>
      </c>
    </row>
    <row r="281" spans="1:5">
      <c r="A281" t="s">
        <v>141</v>
      </c>
      <c r="B281" t="s">
        <v>1037</v>
      </c>
      <c r="C281" s="3">
        <v>268</v>
      </c>
      <c r="D281" t="s">
        <v>12</v>
      </c>
      <c r="E281" s="3">
        <v>0</v>
      </c>
    </row>
    <row r="282" spans="1:5">
      <c r="A282" t="s">
        <v>297</v>
      </c>
      <c r="B282" t="s">
        <v>1037</v>
      </c>
      <c r="C282" s="3">
        <v>269</v>
      </c>
      <c r="D282" t="s">
        <v>12</v>
      </c>
      <c r="E282" s="3">
        <v>0</v>
      </c>
    </row>
    <row r="283" spans="1:5">
      <c r="A283" t="s">
        <v>100</v>
      </c>
      <c r="B283" t="s">
        <v>1036</v>
      </c>
      <c r="C283" s="3">
        <v>270</v>
      </c>
      <c r="D283" t="s">
        <v>12</v>
      </c>
      <c r="E283" s="3">
        <v>3</v>
      </c>
    </row>
    <row r="284" spans="1:5">
      <c r="A284" t="s">
        <v>359</v>
      </c>
      <c r="B284" t="s">
        <v>1036</v>
      </c>
      <c r="C284" s="3">
        <v>271</v>
      </c>
      <c r="D284" t="s">
        <v>12</v>
      </c>
      <c r="E284" s="3">
        <v>4</v>
      </c>
    </row>
    <row r="285" spans="1:5">
      <c r="A285" t="s">
        <v>281</v>
      </c>
      <c r="B285" t="s">
        <v>1037</v>
      </c>
      <c r="C285" s="3">
        <v>272</v>
      </c>
      <c r="D285" t="s">
        <v>12</v>
      </c>
      <c r="E285" s="3">
        <v>0</v>
      </c>
    </row>
    <row r="286" spans="1:5">
      <c r="A286" t="s">
        <v>270</v>
      </c>
      <c r="B286" t="s">
        <v>1037</v>
      </c>
      <c r="C286" s="3">
        <v>273</v>
      </c>
      <c r="D286" t="s">
        <v>12</v>
      </c>
      <c r="E286" s="3">
        <v>0</v>
      </c>
    </row>
    <row r="287" spans="1:5">
      <c r="A287" t="s">
        <v>80</v>
      </c>
      <c r="B287" t="s">
        <v>1036</v>
      </c>
      <c r="C287" s="3">
        <v>274</v>
      </c>
      <c r="D287" t="s">
        <v>12</v>
      </c>
      <c r="E287" s="3">
        <v>4</v>
      </c>
    </row>
    <row r="288" spans="1:5">
      <c r="A288" t="s">
        <v>124</v>
      </c>
      <c r="B288" t="s">
        <v>1037</v>
      </c>
      <c r="C288" s="3">
        <v>275</v>
      </c>
      <c r="D288" t="s">
        <v>12</v>
      </c>
      <c r="E288" s="3">
        <v>0</v>
      </c>
    </row>
    <row r="289" spans="1:5">
      <c r="A289" t="s">
        <v>92</v>
      </c>
      <c r="B289" t="s">
        <v>1036</v>
      </c>
      <c r="C289" s="3">
        <v>276</v>
      </c>
      <c r="D289" t="s">
        <v>12</v>
      </c>
      <c r="E289" s="3">
        <v>2</v>
      </c>
    </row>
    <row r="290" spans="1:5">
      <c r="A290" t="s">
        <v>107</v>
      </c>
      <c r="B290" t="s">
        <v>1037</v>
      </c>
      <c r="C290" s="3">
        <v>277</v>
      </c>
      <c r="D290" t="s">
        <v>12</v>
      </c>
      <c r="E290" s="3">
        <v>0</v>
      </c>
    </row>
    <row r="291" spans="1:5">
      <c r="A291" t="s">
        <v>1058</v>
      </c>
      <c r="B291" t="s">
        <v>1036</v>
      </c>
      <c r="C291" s="3">
        <v>278</v>
      </c>
      <c r="D291" t="s">
        <v>12</v>
      </c>
      <c r="E291" s="3">
        <v>4</v>
      </c>
    </row>
    <row r="292" spans="1:5">
      <c r="A292" t="s">
        <v>98</v>
      </c>
      <c r="B292" t="s">
        <v>1036</v>
      </c>
      <c r="C292" s="3">
        <v>279</v>
      </c>
      <c r="D292" t="s">
        <v>12</v>
      </c>
      <c r="E292" s="3">
        <v>3</v>
      </c>
    </row>
    <row r="293" spans="1:5">
      <c r="A293" t="s">
        <v>246</v>
      </c>
      <c r="B293" t="s">
        <v>1037</v>
      </c>
      <c r="C293" s="3">
        <v>280</v>
      </c>
      <c r="D293" t="s">
        <v>12</v>
      </c>
      <c r="E293" s="3">
        <v>0</v>
      </c>
    </row>
    <row r="294" spans="1:5">
      <c r="A294" t="s">
        <v>53</v>
      </c>
      <c r="B294" t="s">
        <v>1036</v>
      </c>
      <c r="C294" s="3">
        <v>281</v>
      </c>
      <c r="D294" t="s">
        <v>12</v>
      </c>
      <c r="E294" s="3">
        <v>2</v>
      </c>
    </row>
    <row r="295" spans="1:5">
      <c r="A295" t="s">
        <v>162</v>
      </c>
      <c r="B295" t="s">
        <v>1037</v>
      </c>
      <c r="C295" s="3">
        <v>282</v>
      </c>
      <c r="D295" t="s">
        <v>12</v>
      </c>
      <c r="E295" s="3">
        <v>0</v>
      </c>
    </row>
    <row r="296" spans="1:5">
      <c r="A296" t="s">
        <v>1059</v>
      </c>
      <c r="B296" t="s">
        <v>1036</v>
      </c>
      <c r="C296" s="3">
        <v>283</v>
      </c>
      <c r="D296" t="s">
        <v>12</v>
      </c>
      <c r="E296" s="3">
        <v>4</v>
      </c>
    </row>
    <row r="297" spans="1:5">
      <c r="A297" t="s">
        <v>1060</v>
      </c>
      <c r="B297" t="s">
        <v>1037</v>
      </c>
      <c r="C297" s="3">
        <v>284</v>
      </c>
      <c r="D297" t="s">
        <v>12</v>
      </c>
      <c r="E297" s="3">
        <v>0</v>
      </c>
    </row>
    <row r="298" spans="1:5">
      <c r="A298" t="s">
        <v>137</v>
      </c>
      <c r="B298" t="s">
        <v>1036</v>
      </c>
      <c r="C298" s="3">
        <v>285</v>
      </c>
      <c r="D298" t="s">
        <v>12</v>
      </c>
      <c r="E298" s="3">
        <v>3</v>
      </c>
    </row>
    <row r="299" spans="1:5">
      <c r="A299" t="s">
        <v>225</v>
      </c>
      <c r="B299" t="s">
        <v>1037</v>
      </c>
      <c r="C299" s="3">
        <v>286</v>
      </c>
      <c r="D299" t="s">
        <v>12</v>
      </c>
      <c r="E299" s="3">
        <v>0</v>
      </c>
    </row>
    <row r="300" spans="1:5">
      <c r="A300" t="s">
        <v>49</v>
      </c>
      <c r="B300" t="s">
        <v>1037</v>
      </c>
      <c r="C300" s="3">
        <v>287</v>
      </c>
      <c r="D300" t="s">
        <v>12</v>
      </c>
      <c r="E300" s="3">
        <v>0</v>
      </c>
    </row>
    <row r="301" spans="1:5">
      <c r="A301" s="170" t="s">
        <v>214</v>
      </c>
      <c r="B301" t="s">
        <v>1036</v>
      </c>
      <c r="C301" s="3">
        <v>288</v>
      </c>
      <c r="D301" t="s">
        <v>12</v>
      </c>
      <c r="E301" s="3">
        <v>2</v>
      </c>
    </row>
    <row r="302" spans="1:5">
      <c r="A302" t="s">
        <v>168</v>
      </c>
      <c r="B302" t="s">
        <v>1036</v>
      </c>
      <c r="C302" s="3">
        <v>289</v>
      </c>
      <c r="D302" t="s">
        <v>12</v>
      </c>
      <c r="E302" s="3">
        <v>2</v>
      </c>
    </row>
    <row r="303" spans="1:5">
      <c r="A303" t="s">
        <v>64</v>
      </c>
      <c r="B303" t="s">
        <v>1037</v>
      </c>
      <c r="C303" s="3">
        <v>290</v>
      </c>
      <c r="D303" t="s">
        <v>12</v>
      </c>
      <c r="E303" s="3">
        <v>0</v>
      </c>
    </row>
    <row r="304" spans="1:5">
      <c r="A304" t="s">
        <v>204</v>
      </c>
      <c r="B304" t="s">
        <v>1037</v>
      </c>
      <c r="C304" s="3">
        <v>291</v>
      </c>
      <c r="D304" t="s">
        <v>12</v>
      </c>
      <c r="E304" s="3">
        <v>0</v>
      </c>
    </row>
    <row r="305" spans="1:5">
      <c r="A305" t="s">
        <v>312</v>
      </c>
      <c r="B305" t="s">
        <v>1036</v>
      </c>
      <c r="C305" s="3">
        <v>292</v>
      </c>
      <c r="D305" t="s">
        <v>12</v>
      </c>
      <c r="E305" s="3">
        <v>2</v>
      </c>
    </row>
    <row r="306" spans="1:5">
      <c r="A306" t="s">
        <v>288</v>
      </c>
      <c r="B306" t="s">
        <v>1036</v>
      </c>
      <c r="C306" s="3">
        <v>293</v>
      </c>
      <c r="D306" t="s">
        <v>12</v>
      </c>
      <c r="E306" s="3">
        <v>3</v>
      </c>
    </row>
    <row r="307" spans="1:5">
      <c r="A307" t="s">
        <v>183</v>
      </c>
      <c r="B307" t="s">
        <v>1037</v>
      </c>
      <c r="C307" s="3">
        <v>294</v>
      </c>
      <c r="D307" t="s">
        <v>12</v>
      </c>
      <c r="E307" s="3">
        <v>0</v>
      </c>
    </row>
    <row r="308" spans="1:5">
      <c r="A308" t="s">
        <v>276</v>
      </c>
      <c r="B308" t="s">
        <v>1037</v>
      </c>
      <c r="C308" s="3">
        <v>295</v>
      </c>
      <c r="D308" t="s">
        <v>12</v>
      </c>
      <c r="E308" s="3">
        <v>0</v>
      </c>
    </row>
    <row r="309" spans="1:5">
      <c r="A309" s="169" t="s">
        <v>319</v>
      </c>
      <c r="B309" t="s">
        <v>1036</v>
      </c>
      <c r="C309" s="3">
        <v>296</v>
      </c>
      <c r="D309" t="s">
        <v>12</v>
      </c>
      <c r="E309" s="3">
        <v>4</v>
      </c>
    </row>
    <row r="310" spans="1:5">
      <c r="A310" t="s">
        <v>265</v>
      </c>
      <c r="B310" t="s">
        <v>1036</v>
      </c>
      <c r="C310" s="3">
        <v>297</v>
      </c>
      <c r="D310" t="s">
        <v>12</v>
      </c>
      <c r="E310" s="3">
        <v>3</v>
      </c>
    </row>
    <row r="311" spans="1:5">
      <c r="A311" t="s">
        <v>209</v>
      </c>
      <c r="B311" t="s">
        <v>1037</v>
      </c>
      <c r="C311" s="3">
        <v>298</v>
      </c>
      <c r="D311" t="s">
        <v>12</v>
      </c>
      <c r="E311" s="3">
        <v>0</v>
      </c>
    </row>
    <row r="312" spans="1:5">
      <c r="A312" t="s">
        <v>36</v>
      </c>
      <c r="B312" t="s">
        <v>1037</v>
      </c>
      <c r="C312" s="3">
        <v>299</v>
      </c>
      <c r="D312" t="s">
        <v>12</v>
      </c>
      <c r="E312" s="3">
        <v>0</v>
      </c>
    </row>
    <row r="313" spans="1:5">
      <c r="A313" t="s">
        <v>255</v>
      </c>
      <c r="B313" t="s">
        <v>1036</v>
      </c>
      <c r="C313" s="3">
        <v>300</v>
      </c>
      <c r="D313" t="s">
        <v>12</v>
      </c>
      <c r="E313" s="3">
        <v>2</v>
      </c>
    </row>
    <row r="314" spans="1:5">
      <c r="A314" s="169" t="s">
        <v>74</v>
      </c>
      <c r="B314" t="s">
        <v>1037</v>
      </c>
      <c r="C314" s="3">
        <v>301</v>
      </c>
      <c r="D314" t="s">
        <v>12</v>
      </c>
      <c r="E314" s="3">
        <v>0</v>
      </c>
    </row>
    <row r="315" spans="1:5">
      <c r="A315" t="s">
        <v>1061</v>
      </c>
      <c r="B315" t="s">
        <v>1036</v>
      </c>
      <c r="C315" s="3">
        <v>302</v>
      </c>
      <c r="D315" t="s">
        <v>12</v>
      </c>
      <c r="E315" s="3">
        <v>2</v>
      </c>
    </row>
    <row r="316" spans="1:5">
      <c r="A316" t="s">
        <v>365</v>
      </c>
      <c r="B316" t="s">
        <v>1036</v>
      </c>
      <c r="C316" s="3">
        <v>303</v>
      </c>
      <c r="D316" t="s">
        <v>12</v>
      </c>
      <c r="E316" s="3">
        <v>3</v>
      </c>
    </row>
    <row r="317" spans="1:5">
      <c r="A317" t="s">
        <v>219</v>
      </c>
      <c r="B317" t="s">
        <v>1037</v>
      </c>
      <c r="C317" s="3">
        <v>304</v>
      </c>
      <c r="D317" t="s">
        <v>12</v>
      </c>
      <c r="E317" s="3">
        <v>0</v>
      </c>
    </row>
    <row r="318" spans="1:5">
      <c r="A318" t="s">
        <v>57</v>
      </c>
      <c r="B318" t="s">
        <v>1037</v>
      </c>
      <c r="C318" s="3">
        <v>305</v>
      </c>
      <c r="D318" t="s">
        <v>12</v>
      </c>
      <c r="E318" s="3">
        <v>0</v>
      </c>
    </row>
    <row r="319" spans="1:5">
      <c r="A319" t="s">
        <v>156</v>
      </c>
      <c r="B319" t="s">
        <v>1036</v>
      </c>
      <c r="C319" s="3">
        <v>306</v>
      </c>
      <c r="D319" t="s">
        <v>12</v>
      </c>
      <c r="E319" s="3">
        <v>4</v>
      </c>
    </row>
    <row r="320" spans="1:5">
      <c r="A320" t="s">
        <v>116</v>
      </c>
      <c r="B320" t="s">
        <v>1037</v>
      </c>
      <c r="C320" s="3">
        <v>307</v>
      </c>
      <c r="D320" t="s">
        <v>12</v>
      </c>
      <c r="E320" s="3">
        <v>0</v>
      </c>
    </row>
    <row r="321" spans="1:5">
      <c r="A321" s="170" t="s">
        <v>1062</v>
      </c>
      <c r="B321" t="s">
        <v>1036</v>
      </c>
      <c r="C321" s="3">
        <v>308</v>
      </c>
      <c r="D321" t="s">
        <v>12</v>
      </c>
      <c r="E321" s="3">
        <v>4</v>
      </c>
    </row>
    <row r="322" spans="1:5">
      <c r="A322" t="s">
        <v>205</v>
      </c>
      <c r="B322" t="s">
        <v>1036</v>
      </c>
      <c r="C322" s="3">
        <v>309</v>
      </c>
      <c r="D322" t="s">
        <v>12</v>
      </c>
      <c r="E322" s="3">
        <v>4</v>
      </c>
    </row>
    <row r="323" spans="1:5">
      <c r="A323" t="s">
        <v>229</v>
      </c>
      <c r="B323" t="s">
        <v>1037</v>
      </c>
      <c r="C323" s="3">
        <v>310</v>
      </c>
      <c r="D323" t="s">
        <v>12</v>
      </c>
      <c r="E323" s="3">
        <v>0</v>
      </c>
    </row>
    <row r="324" spans="1:5">
      <c r="A324" t="s">
        <v>15</v>
      </c>
      <c r="B324" t="s">
        <v>1036</v>
      </c>
      <c r="C324" s="3">
        <v>311</v>
      </c>
      <c r="D324" t="s">
        <v>12</v>
      </c>
      <c r="E324" s="3">
        <v>3</v>
      </c>
    </row>
    <row r="325" spans="1:5">
      <c r="A325" s="169" t="s">
        <v>322</v>
      </c>
      <c r="B325" t="s">
        <v>1037</v>
      </c>
      <c r="C325" s="3">
        <v>312</v>
      </c>
      <c r="D325" t="s">
        <v>12</v>
      </c>
      <c r="E325" s="3">
        <v>0</v>
      </c>
    </row>
    <row r="326" spans="1:5">
      <c r="A326" t="s">
        <v>1063</v>
      </c>
      <c r="B326" t="s">
        <v>1036</v>
      </c>
      <c r="C326" s="3">
        <v>313</v>
      </c>
      <c r="D326" t="s">
        <v>12</v>
      </c>
      <c r="E326" s="3">
        <v>2</v>
      </c>
    </row>
    <row r="327" spans="1:5">
      <c r="A327" t="s">
        <v>65</v>
      </c>
      <c r="B327" t="s">
        <v>1037</v>
      </c>
      <c r="C327" s="3">
        <v>314</v>
      </c>
      <c r="D327" t="s">
        <v>12</v>
      </c>
      <c r="E327" s="3">
        <v>0</v>
      </c>
    </row>
    <row r="328" spans="1:5">
      <c r="A328" t="s">
        <v>193</v>
      </c>
      <c r="B328" t="s">
        <v>1037</v>
      </c>
      <c r="C328" s="3">
        <v>315</v>
      </c>
      <c r="D328" t="s">
        <v>12</v>
      </c>
      <c r="E328" s="3">
        <v>0</v>
      </c>
    </row>
    <row r="329" spans="1:5">
      <c r="A329" t="s">
        <v>271</v>
      </c>
      <c r="B329" t="s">
        <v>1036</v>
      </c>
      <c r="C329" s="3">
        <v>316</v>
      </c>
      <c r="D329" t="s">
        <v>12</v>
      </c>
      <c r="E329" s="3">
        <v>2</v>
      </c>
    </row>
    <row r="330" spans="1:5">
      <c r="A330" t="s">
        <v>224</v>
      </c>
      <c r="B330" t="s">
        <v>1036</v>
      </c>
      <c r="C330" s="3">
        <v>317</v>
      </c>
      <c r="D330" t="s">
        <v>12</v>
      </c>
      <c r="E330" s="3">
        <v>2</v>
      </c>
    </row>
    <row r="331" spans="1:5">
      <c r="A331" t="s">
        <v>278</v>
      </c>
      <c r="B331" t="s">
        <v>1037</v>
      </c>
      <c r="C331" s="3">
        <v>318</v>
      </c>
      <c r="D331" t="s">
        <v>12</v>
      </c>
      <c r="E331" s="3">
        <v>0</v>
      </c>
    </row>
    <row r="332" spans="1:5">
      <c r="A332" t="s">
        <v>118</v>
      </c>
      <c r="B332" t="s">
        <v>1036</v>
      </c>
      <c r="C332" s="3">
        <v>319</v>
      </c>
      <c r="D332" t="s">
        <v>12</v>
      </c>
      <c r="E332" s="3">
        <v>3</v>
      </c>
    </row>
    <row r="333" spans="1:5">
      <c r="A333" t="s">
        <v>237</v>
      </c>
      <c r="B333" t="s">
        <v>1037</v>
      </c>
      <c r="C333" s="3">
        <v>320</v>
      </c>
      <c r="D333" t="s">
        <v>12</v>
      </c>
      <c r="E333" s="3">
        <v>0</v>
      </c>
    </row>
    <row r="334" spans="1:5">
      <c r="A334" t="s">
        <v>329</v>
      </c>
      <c r="B334" t="s">
        <v>1036</v>
      </c>
      <c r="C334" s="3">
        <v>321</v>
      </c>
      <c r="D334" t="s">
        <v>12</v>
      </c>
      <c r="E334" s="3">
        <v>4</v>
      </c>
    </row>
    <row r="335" spans="1:5">
      <c r="A335" t="s">
        <v>291</v>
      </c>
      <c r="B335" t="s">
        <v>1037</v>
      </c>
      <c r="C335" s="3">
        <v>322</v>
      </c>
      <c r="D335" t="s">
        <v>12</v>
      </c>
      <c r="E335" s="3">
        <v>0</v>
      </c>
    </row>
    <row r="336" spans="1:5">
      <c r="A336" t="s">
        <v>187</v>
      </c>
      <c r="B336" t="s">
        <v>1036</v>
      </c>
      <c r="C336" s="3">
        <v>323</v>
      </c>
      <c r="D336" t="s">
        <v>12</v>
      </c>
      <c r="E336" s="3">
        <v>2</v>
      </c>
    </row>
    <row r="337" spans="1:5">
      <c r="A337" t="s">
        <v>174</v>
      </c>
      <c r="B337" t="s">
        <v>1037</v>
      </c>
      <c r="C337" s="3">
        <v>324</v>
      </c>
      <c r="D337" t="s">
        <v>12</v>
      </c>
      <c r="E337" s="3">
        <v>0</v>
      </c>
    </row>
    <row r="338" spans="1:5">
      <c r="A338" t="s">
        <v>101</v>
      </c>
      <c r="B338" t="s">
        <v>1036</v>
      </c>
      <c r="C338" s="3">
        <v>325</v>
      </c>
      <c r="D338" t="s">
        <v>12</v>
      </c>
      <c r="E338" s="3">
        <v>4</v>
      </c>
    </row>
    <row r="339" spans="1:5">
      <c r="A339" t="s">
        <v>163</v>
      </c>
      <c r="B339" t="s">
        <v>1037</v>
      </c>
      <c r="C339" s="3">
        <v>326</v>
      </c>
      <c r="D339" t="s">
        <v>12</v>
      </c>
      <c r="E339" s="3">
        <v>0</v>
      </c>
    </row>
    <row r="340" spans="1:5">
      <c r="A340" t="s">
        <v>333</v>
      </c>
      <c r="B340" t="s">
        <v>1037</v>
      </c>
      <c r="C340" s="3">
        <v>327</v>
      </c>
      <c r="D340" t="s">
        <v>12</v>
      </c>
      <c r="E340" s="3">
        <v>0</v>
      </c>
    </row>
    <row r="341" spans="1:5">
      <c r="A341" t="s">
        <v>26</v>
      </c>
      <c r="B341" t="s">
        <v>1036</v>
      </c>
      <c r="C341" s="3">
        <v>328</v>
      </c>
      <c r="D341" t="s">
        <v>12</v>
      </c>
      <c r="E341" s="3">
        <v>2</v>
      </c>
    </row>
    <row r="342" spans="1:5">
      <c r="A342" t="s">
        <v>357</v>
      </c>
      <c r="B342" t="s">
        <v>1037</v>
      </c>
      <c r="C342" s="3">
        <v>329</v>
      </c>
      <c r="D342" t="s">
        <v>12</v>
      </c>
      <c r="E342" s="3">
        <v>0</v>
      </c>
    </row>
    <row r="343" spans="1:5">
      <c r="A343" t="s">
        <v>108</v>
      </c>
      <c r="B343" t="s">
        <v>1036</v>
      </c>
      <c r="C343" s="3">
        <v>330</v>
      </c>
      <c r="D343" t="s">
        <v>12</v>
      </c>
      <c r="E343" s="3">
        <v>2</v>
      </c>
    </row>
    <row r="344" spans="1:5">
      <c r="A344" t="s">
        <v>355</v>
      </c>
      <c r="B344" t="s">
        <v>1037</v>
      </c>
      <c r="C344" s="3">
        <v>331</v>
      </c>
      <c r="D344" t="s">
        <v>12</v>
      </c>
      <c r="E344" s="3">
        <v>0</v>
      </c>
    </row>
    <row r="345" spans="1:5">
      <c r="A345" t="s">
        <v>154</v>
      </c>
      <c r="B345" t="s">
        <v>1036</v>
      </c>
      <c r="C345" s="3">
        <v>332</v>
      </c>
      <c r="D345" t="s">
        <v>12</v>
      </c>
      <c r="E345" s="3">
        <v>3</v>
      </c>
    </row>
    <row r="346" spans="1:5">
      <c r="A346" t="s">
        <v>328</v>
      </c>
      <c r="B346" t="s">
        <v>1036</v>
      </c>
      <c r="C346" s="3">
        <v>333</v>
      </c>
      <c r="D346" t="s">
        <v>12</v>
      </c>
      <c r="E346" s="3">
        <v>2</v>
      </c>
    </row>
    <row r="347" spans="1:5">
      <c r="A347" s="168" t="s">
        <v>1064</v>
      </c>
      <c r="B347" t="s">
        <v>1037</v>
      </c>
      <c r="C347" s="3">
        <v>334</v>
      </c>
      <c r="D347" t="s">
        <v>12</v>
      </c>
      <c r="E347" s="3">
        <v>0</v>
      </c>
    </row>
    <row r="348" spans="1:5">
      <c r="A348" t="s">
        <v>199</v>
      </c>
      <c r="B348" t="s">
        <v>1036</v>
      </c>
      <c r="C348" s="3">
        <v>335</v>
      </c>
      <c r="D348" t="s">
        <v>12</v>
      </c>
      <c r="E348" s="3">
        <v>2</v>
      </c>
    </row>
    <row r="349" spans="1:5">
      <c r="A349" t="s">
        <v>284</v>
      </c>
      <c r="B349" t="s">
        <v>1037</v>
      </c>
      <c r="C349" s="3">
        <v>336</v>
      </c>
      <c r="D349" t="s">
        <v>12</v>
      </c>
      <c r="E349" s="3">
        <v>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1">
    <tabColor theme="8" tint="-0.249977111117893"/>
    <pageSetUpPr fitToPage="1"/>
  </sheetPr>
  <dimension ref="A1:AR124"/>
  <sheetViews>
    <sheetView showGridLines="0" zoomScale="85" zoomScaleNormal="85" workbookViewId="0">
      <selection activeCell="C113" sqref="C113"/>
    </sheetView>
  </sheetViews>
  <sheetFormatPr baseColWidth="10" defaultRowHeight="14.4"/>
  <cols>
    <col min="1" max="1" width="5.6640625" style="3" customWidth="1"/>
    <col min="2" max="2" width="38.44140625" style="57" bestFit="1" customWidth="1"/>
    <col min="3" max="3" width="29" style="57" bestFit="1" customWidth="1"/>
    <col min="4" max="4" width="3.6640625" customWidth="1"/>
    <col min="5" max="14" width="2.6640625" customWidth="1"/>
    <col min="15" max="18" width="2.6640625" hidden="1" customWidth="1"/>
    <col min="19" max="19" width="8.6640625" customWidth="1"/>
    <col min="20" max="20" width="35.6640625" customWidth="1"/>
    <col min="21" max="21" width="4.6640625" customWidth="1"/>
    <col min="22" max="22" width="37" customWidth="1"/>
    <col min="23" max="23" width="4.6640625" customWidth="1"/>
    <col min="24" max="25" width="2.6640625" customWidth="1"/>
    <col min="26" max="27" width="5.44140625" bestFit="1" customWidth="1"/>
    <col min="28" max="34" width="2.6640625" customWidth="1"/>
    <col min="40" max="41" width="11.44140625" style="3"/>
    <col min="42" max="42" width="11.44140625" style="2"/>
  </cols>
  <sheetData>
    <row r="1" spans="2:34">
      <c r="B1" s="36"/>
      <c r="C1" s="35"/>
      <c r="D1" s="14" t="s">
        <v>454</v>
      </c>
      <c r="E1" s="15" t="str">
        <f>LEFT(D1,12)</f>
        <v>X</v>
      </c>
      <c r="F1" s="15"/>
      <c r="G1" s="15"/>
      <c r="H1" s="16"/>
      <c r="I1" s="16"/>
      <c r="J1" s="16"/>
      <c r="K1" s="16"/>
      <c r="L1" s="15"/>
      <c r="M1" s="15"/>
      <c r="N1" s="15"/>
      <c r="W1" s="14" t="s">
        <v>454</v>
      </c>
    </row>
    <row r="2" spans="2:34">
      <c r="B2" s="36"/>
      <c r="C2" s="35"/>
      <c r="D2" s="14"/>
      <c r="E2" s="15"/>
      <c r="F2" s="15"/>
      <c r="G2" s="15"/>
      <c r="H2" s="16"/>
      <c r="I2" s="16"/>
      <c r="J2" s="16"/>
      <c r="K2" s="16"/>
      <c r="L2" s="15"/>
      <c r="M2" s="15"/>
      <c r="N2" s="15"/>
    </row>
    <row r="3" spans="2:34">
      <c r="B3" s="36" t="s">
        <v>397</v>
      </c>
      <c r="C3" s="36" t="s">
        <v>396</v>
      </c>
      <c r="D3" s="37"/>
      <c r="E3" s="15"/>
      <c r="F3" s="15"/>
      <c r="G3" s="15"/>
      <c r="H3" s="16"/>
      <c r="I3" s="16"/>
      <c r="J3" s="16"/>
      <c r="K3" s="16"/>
      <c r="L3" s="15"/>
      <c r="M3" s="15"/>
      <c r="N3" s="15"/>
      <c r="T3" s="1" t="s">
        <v>397</v>
      </c>
      <c r="U3" s="1"/>
      <c r="V3" s="1" t="s">
        <v>396</v>
      </c>
    </row>
    <row r="4" spans="2:34">
      <c r="B4" s="38" t="s">
        <v>143</v>
      </c>
      <c r="C4" s="39" t="s">
        <v>186</v>
      </c>
      <c r="D4" s="40"/>
      <c r="E4" s="41" t="str">
        <f t="shared" ref="E4:E67" si="0">IF($D4=1,"=","")</f>
        <v/>
      </c>
      <c r="F4" s="42" t="str">
        <f t="shared" ref="F4:F67" si="1">IF($D4=2,"=","")</f>
        <v/>
      </c>
      <c r="G4" s="43" t="str">
        <f t="shared" ref="G4:G67" si="2">IF($D4=3,"=","")</f>
        <v/>
      </c>
      <c r="H4" s="25" t="str">
        <f t="shared" ref="H4:H67" si="3">IF($D4=4,"=","")</f>
        <v/>
      </c>
      <c r="I4" s="28" t="str">
        <f t="shared" ref="I4:I67" si="4">IF($D4=5,"=","")</f>
        <v/>
      </c>
      <c r="J4" s="28" t="str">
        <f t="shared" ref="J4:J67" si="5">IF($D4=6,"=","")</f>
        <v/>
      </c>
      <c r="K4" s="44" t="str">
        <f t="shared" ref="K4:K67" si="6">IF($D4=7,"=","")</f>
        <v/>
      </c>
      <c r="L4" s="41" t="str">
        <f t="shared" ref="L4:L67" si="7">IF($D4=8,"=","")</f>
        <v/>
      </c>
      <c r="M4" s="42" t="str">
        <f t="shared" ref="M4:M67" si="8">IF($D4=9,"=","")</f>
        <v/>
      </c>
      <c r="N4" s="43" t="str">
        <f t="shared" ref="N4:N67" si="9">IF($D4=10,"=","")</f>
        <v/>
      </c>
      <c r="O4" s="12" t="str">
        <f t="shared" ref="O4:O67" si="10">IF(L4="=",1,IF(M4="=",1,IF(N4="=",1,"")))</f>
        <v/>
      </c>
      <c r="P4" s="18" t="str">
        <f>IF(SUM(O4:O6)=3,"F",IF(SUM(O4:O6)=2,"fd",""))</f>
        <v/>
      </c>
      <c r="Q4" s="12" t="str">
        <f t="shared" ref="Q4:Q67" si="11">IF(E4="=",1,IF(F4="=",1,IF(G4="=",1,"")))</f>
        <v/>
      </c>
      <c r="R4" s="18" t="str">
        <f>IF(SUM(Q4:Q6)=3,"D",IF(SUM(Q4:Q6)=2,"dp",""))</f>
        <v/>
      </c>
      <c r="S4" s="12"/>
      <c r="T4" s="19" t="s">
        <v>625</v>
      </c>
      <c r="U4" s="20"/>
      <c r="V4" s="20" t="s">
        <v>401</v>
      </c>
      <c r="W4" s="40"/>
      <c r="X4" s="41" t="str">
        <f>IF($W4=1,"=","")</f>
        <v/>
      </c>
      <c r="Y4" s="42" t="str">
        <f>IF($W4=2,"=","")</f>
        <v/>
      </c>
      <c r="Z4" s="42" t="str">
        <f>IF($W4=3,"=","")</f>
        <v/>
      </c>
      <c r="AA4" s="25" t="str">
        <f>IF($W4=4,"=","")</f>
        <v/>
      </c>
      <c r="AB4" s="28" t="str">
        <f>IF($W4=5,"=","")</f>
        <v/>
      </c>
      <c r="AC4" s="28" t="str">
        <f>IF($W4=6,"=","")</f>
        <v/>
      </c>
      <c r="AD4" s="28" t="str">
        <f>IF($W4=7,"=","")</f>
        <v/>
      </c>
      <c r="AE4" s="58" t="str">
        <f>IF($W4=8,"=","")</f>
        <v/>
      </c>
      <c r="AF4" s="42" t="str">
        <f>IF($W4=9,"=","")</f>
        <v/>
      </c>
      <c r="AG4" s="43" t="str">
        <f>IF($W4=10,"=","")</f>
        <v/>
      </c>
      <c r="AH4" s="15"/>
    </row>
    <row r="5" spans="2:34">
      <c r="B5" s="45" t="s">
        <v>143</v>
      </c>
      <c r="C5" s="35" t="s">
        <v>306</v>
      </c>
      <c r="D5" s="14"/>
      <c r="E5" s="46" t="str">
        <f t="shared" si="0"/>
        <v/>
      </c>
      <c r="F5" s="47" t="str">
        <f t="shared" si="1"/>
        <v/>
      </c>
      <c r="G5" s="48" t="str">
        <f t="shared" si="2"/>
        <v/>
      </c>
      <c r="H5" s="26" t="str">
        <f t="shared" si="3"/>
        <v/>
      </c>
      <c r="I5" s="29" t="str">
        <f t="shared" si="4"/>
        <v/>
      </c>
      <c r="J5" s="29" t="str">
        <f t="shared" si="5"/>
        <v/>
      </c>
      <c r="K5" s="49" t="str">
        <f t="shared" si="6"/>
        <v/>
      </c>
      <c r="L5" s="46" t="str">
        <f t="shared" si="7"/>
        <v/>
      </c>
      <c r="M5" s="47" t="str">
        <f t="shared" si="8"/>
        <v/>
      </c>
      <c r="N5" s="48" t="str">
        <f t="shared" si="9"/>
        <v/>
      </c>
      <c r="O5" s="12" t="str">
        <f t="shared" si="10"/>
        <v/>
      </c>
      <c r="P5" s="18"/>
      <c r="Q5" s="12" t="str">
        <f t="shared" si="11"/>
        <v/>
      </c>
      <c r="R5" s="18"/>
      <c r="S5" s="12"/>
      <c r="T5" s="21" t="s">
        <v>625</v>
      </c>
      <c r="U5" s="12"/>
      <c r="V5" s="12" t="s">
        <v>135</v>
      </c>
      <c r="W5" s="14"/>
      <c r="X5" s="46" t="str">
        <f t="shared" ref="X5:X19" si="12">IF($W5=1,"=","")</f>
        <v/>
      </c>
      <c r="Y5" s="47" t="str">
        <f t="shared" ref="Y5:Y19" si="13">IF($W5=2,"=","")</f>
        <v/>
      </c>
      <c r="Z5" s="47" t="str">
        <f t="shared" ref="Z5:Z19" si="14">IF($W5=3,"=","")</f>
        <v/>
      </c>
      <c r="AA5" s="26" t="str">
        <f t="shared" ref="AA5:AA19" si="15">IF($W5=4,"=","")</f>
        <v/>
      </c>
      <c r="AB5" s="29" t="str">
        <f t="shared" ref="AB5:AB19" si="16">IF($W5=5,"=","")</f>
        <v/>
      </c>
      <c r="AC5" s="29" t="str">
        <f t="shared" ref="AC5:AC19" si="17">IF($W5=6,"=","")</f>
        <v/>
      </c>
      <c r="AD5" s="29" t="str">
        <f t="shared" ref="AD5:AD19" si="18">IF($W5=7,"=","")</f>
        <v/>
      </c>
      <c r="AE5" s="59" t="str">
        <f t="shared" ref="AE5:AE19" si="19">IF($W5=8,"=","")</f>
        <v/>
      </c>
      <c r="AF5" s="47" t="str">
        <f t="shared" ref="AF5:AF19" si="20">IF($W5=9,"=","")</f>
        <v/>
      </c>
      <c r="AG5" s="48" t="str">
        <f t="shared" ref="AG5:AG19" si="21">IF($W5=10,"=","")</f>
        <v/>
      </c>
      <c r="AH5" s="15"/>
    </row>
    <row r="6" spans="2:34">
      <c r="B6" s="50" t="s">
        <v>143</v>
      </c>
      <c r="C6" s="51" t="s">
        <v>142</v>
      </c>
      <c r="D6" s="52"/>
      <c r="E6" s="53" t="str">
        <f t="shared" si="0"/>
        <v/>
      </c>
      <c r="F6" s="54" t="str">
        <f t="shared" si="1"/>
        <v/>
      </c>
      <c r="G6" s="55" t="str">
        <f t="shared" si="2"/>
        <v/>
      </c>
      <c r="H6" s="27" t="str">
        <f t="shared" si="3"/>
        <v/>
      </c>
      <c r="I6" s="30" t="str">
        <f t="shared" si="4"/>
        <v/>
      </c>
      <c r="J6" s="30" t="str">
        <f t="shared" si="5"/>
        <v/>
      </c>
      <c r="K6" s="56" t="str">
        <f t="shared" si="6"/>
        <v/>
      </c>
      <c r="L6" s="53" t="str">
        <f t="shared" si="7"/>
        <v/>
      </c>
      <c r="M6" s="54" t="str">
        <f t="shared" si="8"/>
        <v/>
      </c>
      <c r="N6" s="55" t="str">
        <f t="shared" si="9"/>
        <v/>
      </c>
      <c r="O6" s="12" t="str">
        <f t="shared" si="10"/>
        <v/>
      </c>
      <c r="P6" s="18"/>
      <c r="Q6" s="12" t="str">
        <f t="shared" si="11"/>
        <v/>
      </c>
      <c r="R6" s="18"/>
      <c r="S6" s="12"/>
      <c r="T6" s="21" t="s">
        <v>625</v>
      </c>
      <c r="U6" s="12"/>
      <c r="V6" s="12" t="s">
        <v>16</v>
      </c>
      <c r="W6" s="14"/>
      <c r="X6" s="46" t="str">
        <f t="shared" si="12"/>
        <v/>
      </c>
      <c r="Y6" s="47" t="str">
        <f t="shared" si="13"/>
        <v/>
      </c>
      <c r="Z6" s="47" t="str">
        <f t="shared" si="14"/>
        <v/>
      </c>
      <c r="AA6" s="26" t="str">
        <f t="shared" si="15"/>
        <v/>
      </c>
      <c r="AB6" s="29" t="str">
        <f t="shared" si="16"/>
        <v/>
      </c>
      <c r="AC6" s="29" t="str">
        <f t="shared" si="17"/>
        <v/>
      </c>
      <c r="AD6" s="29" t="str">
        <f t="shared" si="18"/>
        <v/>
      </c>
      <c r="AE6" s="59" t="str">
        <f t="shared" si="19"/>
        <v/>
      </c>
      <c r="AF6" s="47" t="str">
        <f t="shared" si="20"/>
        <v/>
      </c>
      <c r="AG6" s="48" t="str">
        <f t="shared" si="21"/>
        <v/>
      </c>
      <c r="AH6" s="15"/>
    </row>
    <row r="7" spans="2:34">
      <c r="B7" s="38" t="s">
        <v>624</v>
      </c>
      <c r="C7" s="39" t="s">
        <v>546</v>
      </c>
      <c r="D7" s="40"/>
      <c r="E7" s="41" t="str">
        <f t="shared" si="0"/>
        <v/>
      </c>
      <c r="F7" s="42" t="str">
        <f t="shared" si="1"/>
        <v/>
      </c>
      <c r="G7" s="43" t="str">
        <f t="shared" si="2"/>
        <v/>
      </c>
      <c r="H7" s="25" t="str">
        <f t="shared" si="3"/>
        <v/>
      </c>
      <c r="I7" s="28" t="str">
        <f t="shared" si="4"/>
        <v/>
      </c>
      <c r="J7" s="28" t="str">
        <f t="shared" si="5"/>
        <v/>
      </c>
      <c r="K7" s="44" t="str">
        <f t="shared" si="6"/>
        <v/>
      </c>
      <c r="L7" s="41" t="str">
        <f t="shared" si="7"/>
        <v/>
      </c>
      <c r="M7" s="42" t="str">
        <f t="shared" si="8"/>
        <v/>
      </c>
      <c r="N7" s="43" t="str">
        <f t="shared" si="9"/>
        <v/>
      </c>
      <c r="O7" s="12" t="str">
        <f t="shared" si="10"/>
        <v/>
      </c>
      <c r="P7" s="18" t="str">
        <f>IF(SUM(O7:O9)=3,"F",IF(SUM(O7:O9)=2,"fd",""))</f>
        <v/>
      </c>
      <c r="Q7" s="12" t="str">
        <f t="shared" si="11"/>
        <v/>
      </c>
      <c r="R7" s="18" t="str">
        <f>IF(SUM(Q7:Q9)=3,"D",IF(SUM(Q7:Q9)=2,"dp",""))</f>
        <v/>
      </c>
      <c r="S7" s="12"/>
      <c r="T7" s="22" t="s">
        <v>625</v>
      </c>
      <c r="U7" s="23"/>
      <c r="V7" s="23" t="s">
        <v>244</v>
      </c>
      <c r="W7" s="52"/>
      <c r="X7" s="46" t="str">
        <f t="shared" si="12"/>
        <v/>
      </c>
      <c r="Y7" s="47" t="str">
        <f t="shared" si="13"/>
        <v/>
      </c>
      <c r="Z7" s="47" t="str">
        <f t="shared" si="14"/>
        <v/>
      </c>
      <c r="AA7" s="26" t="str">
        <f t="shared" si="15"/>
        <v/>
      </c>
      <c r="AB7" s="29" t="str">
        <f t="shared" si="16"/>
        <v/>
      </c>
      <c r="AC7" s="29" t="str">
        <f t="shared" si="17"/>
        <v/>
      </c>
      <c r="AD7" s="29" t="str">
        <f t="shared" si="18"/>
        <v/>
      </c>
      <c r="AE7" s="59" t="str">
        <f t="shared" si="19"/>
        <v/>
      </c>
      <c r="AF7" s="47" t="str">
        <f t="shared" si="20"/>
        <v/>
      </c>
      <c r="AG7" s="48" t="str">
        <f t="shared" si="21"/>
        <v/>
      </c>
      <c r="AH7" s="15"/>
    </row>
    <row r="8" spans="2:34">
      <c r="B8" s="45" t="s">
        <v>624</v>
      </c>
      <c r="C8" s="35" t="s">
        <v>22</v>
      </c>
      <c r="D8" s="14"/>
      <c r="E8" s="46" t="str">
        <f t="shared" si="0"/>
        <v/>
      </c>
      <c r="F8" s="47" t="str">
        <f t="shared" si="1"/>
        <v/>
      </c>
      <c r="G8" s="48" t="str">
        <f t="shared" si="2"/>
        <v/>
      </c>
      <c r="H8" s="26" t="str">
        <f t="shared" si="3"/>
        <v/>
      </c>
      <c r="I8" s="29" t="str">
        <f t="shared" si="4"/>
        <v/>
      </c>
      <c r="J8" s="29" t="str">
        <f t="shared" si="5"/>
        <v/>
      </c>
      <c r="K8" s="49" t="str">
        <f t="shared" si="6"/>
        <v/>
      </c>
      <c r="L8" s="46" t="str">
        <f t="shared" si="7"/>
        <v/>
      </c>
      <c r="M8" s="47" t="str">
        <f t="shared" si="8"/>
        <v/>
      </c>
      <c r="N8" s="48" t="str">
        <f t="shared" si="9"/>
        <v/>
      </c>
      <c r="O8" s="12" t="str">
        <f t="shared" si="10"/>
        <v/>
      </c>
      <c r="P8" s="18"/>
      <c r="Q8" s="12" t="str">
        <f t="shared" si="11"/>
        <v/>
      </c>
      <c r="R8" s="18"/>
      <c r="S8" s="12"/>
      <c r="T8" s="19" t="s">
        <v>394</v>
      </c>
      <c r="U8" s="20"/>
      <c r="V8" s="20" t="s">
        <v>306</v>
      </c>
      <c r="W8" s="40"/>
      <c r="X8" s="41" t="str">
        <f t="shared" si="12"/>
        <v/>
      </c>
      <c r="Y8" s="42" t="str">
        <f t="shared" si="13"/>
        <v/>
      </c>
      <c r="Z8" s="42" t="str">
        <f t="shared" si="14"/>
        <v/>
      </c>
      <c r="AA8" s="25" t="str">
        <f t="shared" si="15"/>
        <v/>
      </c>
      <c r="AB8" s="28" t="str">
        <f t="shared" si="16"/>
        <v/>
      </c>
      <c r="AC8" s="28" t="str">
        <f t="shared" si="17"/>
        <v/>
      </c>
      <c r="AD8" s="28" t="str">
        <f t="shared" si="18"/>
        <v/>
      </c>
      <c r="AE8" s="58" t="str">
        <f t="shared" si="19"/>
        <v/>
      </c>
      <c r="AF8" s="42" t="str">
        <f t="shared" si="20"/>
        <v/>
      </c>
      <c r="AG8" s="43" t="str">
        <f t="shared" si="21"/>
        <v/>
      </c>
      <c r="AH8" s="15"/>
    </row>
    <row r="9" spans="2:34">
      <c r="B9" s="50" t="s">
        <v>624</v>
      </c>
      <c r="C9" s="51" t="s">
        <v>161</v>
      </c>
      <c r="D9" s="52"/>
      <c r="E9" s="53" t="str">
        <f t="shared" si="0"/>
        <v/>
      </c>
      <c r="F9" s="54" t="str">
        <f t="shared" si="1"/>
        <v/>
      </c>
      <c r="G9" s="55" t="str">
        <f t="shared" si="2"/>
        <v/>
      </c>
      <c r="H9" s="27" t="str">
        <f t="shared" si="3"/>
        <v/>
      </c>
      <c r="I9" s="30" t="str">
        <f t="shared" si="4"/>
        <v/>
      </c>
      <c r="J9" s="30" t="str">
        <f t="shared" si="5"/>
        <v/>
      </c>
      <c r="K9" s="56" t="str">
        <f t="shared" si="6"/>
        <v/>
      </c>
      <c r="L9" s="53" t="str">
        <f t="shared" si="7"/>
        <v/>
      </c>
      <c r="M9" s="54" t="str">
        <f t="shared" si="8"/>
        <v/>
      </c>
      <c r="N9" s="55" t="str">
        <f t="shared" si="9"/>
        <v/>
      </c>
      <c r="O9" s="12" t="str">
        <f t="shared" si="10"/>
        <v/>
      </c>
      <c r="P9" s="18"/>
      <c r="Q9" s="12" t="str">
        <f t="shared" si="11"/>
        <v/>
      </c>
      <c r="R9" s="18"/>
      <c r="S9" s="12"/>
      <c r="T9" s="21" t="s">
        <v>394</v>
      </c>
      <c r="U9" s="12"/>
      <c r="V9" s="12" t="s">
        <v>182</v>
      </c>
      <c r="W9" s="14"/>
      <c r="X9" s="46" t="str">
        <f t="shared" si="12"/>
        <v/>
      </c>
      <c r="Y9" s="47" t="str">
        <f t="shared" si="13"/>
        <v/>
      </c>
      <c r="Z9" s="47" t="str">
        <f t="shared" si="14"/>
        <v/>
      </c>
      <c r="AA9" s="26" t="str">
        <f t="shared" si="15"/>
        <v/>
      </c>
      <c r="AB9" s="29" t="str">
        <f t="shared" si="16"/>
        <v/>
      </c>
      <c r="AC9" s="29" t="str">
        <f t="shared" si="17"/>
        <v/>
      </c>
      <c r="AD9" s="29" t="str">
        <f t="shared" si="18"/>
        <v/>
      </c>
      <c r="AE9" s="59" t="str">
        <f t="shared" si="19"/>
        <v/>
      </c>
      <c r="AF9" s="47" t="str">
        <f t="shared" si="20"/>
        <v/>
      </c>
      <c r="AG9" s="48" t="str">
        <f t="shared" si="21"/>
        <v/>
      </c>
      <c r="AH9" s="15"/>
    </row>
    <row r="10" spans="2:34">
      <c r="B10" s="38" t="s">
        <v>391</v>
      </c>
      <c r="C10" s="39" t="s">
        <v>186</v>
      </c>
      <c r="D10" s="40"/>
      <c r="E10" s="41" t="str">
        <f t="shared" si="0"/>
        <v/>
      </c>
      <c r="F10" s="42" t="str">
        <f t="shared" si="1"/>
        <v/>
      </c>
      <c r="G10" s="43" t="str">
        <f t="shared" si="2"/>
        <v/>
      </c>
      <c r="H10" s="25" t="str">
        <f t="shared" si="3"/>
        <v/>
      </c>
      <c r="I10" s="28" t="str">
        <f t="shared" si="4"/>
        <v/>
      </c>
      <c r="J10" s="28" t="str">
        <f t="shared" si="5"/>
        <v/>
      </c>
      <c r="K10" s="44" t="str">
        <f t="shared" si="6"/>
        <v/>
      </c>
      <c r="L10" s="41" t="str">
        <f t="shared" si="7"/>
        <v/>
      </c>
      <c r="M10" s="42" t="str">
        <f t="shared" si="8"/>
        <v/>
      </c>
      <c r="N10" s="43" t="str">
        <f t="shared" si="9"/>
        <v/>
      </c>
      <c r="O10" s="12" t="str">
        <f t="shared" si="10"/>
        <v/>
      </c>
      <c r="P10" s="18" t="str">
        <f>IF(SUM(O10:O12)=3,"F",IF(SUM(O10:O12)=2,"fd",""))</f>
        <v/>
      </c>
      <c r="Q10" s="12" t="str">
        <f t="shared" si="11"/>
        <v/>
      </c>
      <c r="R10" s="18" t="str">
        <f>IF(SUM(Q10:Q12)=3,"D",IF(SUM(Q10:Q12)=2,"dp",""))</f>
        <v/>
      </c>
      <c r="S10" s="12"/>
      <c r="T10" s="21" t="s">
        <v>394</v>
      </c>
      <c r="U10" s="12"/>
      <c r="V10" s="12" t="s">
        <v>184</v>
      </c>
      <c r="W10" s="14"/>
      <c r="X10" s="46" t="str">
        <f t="shared" si="12"/>
        <v/>
      </c>
      <c r="Y10" s="47" t="str">
        <f t="shared" si="13"/>
        <v/>
      </c>
      <c r="Z10" s="47" t="str">
        <f t="shared" si="14"/>
        <v/>
      </c>
      <c r="AA10" s="26" t="str">
        <f t="shared" si="15"/>
        <v/>
      </c>
      <c r="AB10" s="29" t="str">
        <f t="shared" si="16"/>
        <v/>
      </c>
      <c r="AC10" s="29" t="str">
        <f t="shared" si="17"/>
        <v/>
      </c>
      <c r="AD10" s="29" t="str">
        <f t="shared" si="18"/>
        <v/>
      </c>
      <c r="AE10" s="59" t="str">
        <f t="shared" si="19"/>
        <v/>
      </c>
      <c r="AF10" s="47" t="str">
        <f t="shared" si="20"/>
        <v/>
      </c>
      <c r="AG10" s="48" t="str">
        <f t="shared" si="21"/>
        <v/>
      </c>
      <c r="AH10" s="15"/>
    </row>
    <row r="11" spans="2:34">
      <c r="B11" s="45" t="s">
        <v>391</v>
      </c>
      <c r="C11" s="35" t="s">
        <v>105</v>
      </c>
      <c r="D11" s="14"/>
      <c r="E11" s="46" t="str">
        <f t="shared" si="0"/>
        <v/>
      </c>
      <c r="F11" s="47" t="str">
        <f t="shared" si="1"/>
        <v/>
      </c>
      <c r="G11" s="48" t="str">
        <f t="shared" si="2"/>
        <v/>
      </c>
      <c r="H11" s="26" t="str">
        <f t="shared" si="3"/>
        <v/>
      </c>
      <c r="I11" s="29" t="str">
        <f t="shared" si="4"/>
        <v/>
      </c>
      <c r="J11" s="29" t="str">
        <f t="shared" si="5"/>
        <v/>
      </c>
      <c r="K11" s="49" t="str">
        <f t="shared" si="6"/>
        <v/>
      </c>
      <c r="L11" s="46" t="str">
        <f t="shared" si="7"/>
        <v/>
      </c>
      <c r="M11" s="47" t="str">
        <f t="shared" si="8"/>
        <v/>
      </c>
      <c r="N11" s="48" t="str">
        <f t="shared" si="9"/>
        <v/>
      </c>
      <c r="O11" s="12" t="str">
        <f t="shared" si="10"/>
        <v/>
      </c>
      <c r="P11" s="18"/>
      <c r="Q11" s="12" t="str">
        <f t="shared" si="11"/>
        <v/>
      </c>
      <c r="R11" s="18"/>
      <c r="S11" s="12"/>
      <c r="T11" s="22" t="s">
        <v>394</v>
      </c>
      <c r="U11" s="23"/>
      <c r="V11" s="23" t="s">
        <v>125</v>
      </c>
      <c r="W11" s="52"/>
      <c r="X11" s="53" t="str">
        <f t="shared" si="12"/>
        <v/>
      </c>
      <c r="Y11" s="54" t="str">
        <f t="shared" si="13"/>
        <v/>
      </c>
      <c r="Z11" s="54" t="str">
        <f t="shared" si="14"/>
        <v/>
      </c>
      <c r="AA11" s="27" t="str">
        <f t="shared" si="15"/>
        <v/>
      </c>
      <c r="AB11" s="30" t="str">
        <f t="shared" si="16"/>
        <v/>
      </c>
      <c r="AC11" s="30" t="str">
        <f t="shared" si="17"/>
        <v/>
      </c>
      <c r="AD11" s="30" t="str">
        <f t="shared" si="18"/>
        <v/>
      </c>
      <c r="AE11" s="60" t="str">
        <f t="shared" si="19"/>
        <v/>
      </c>
      <c r="AF11" s="54" t="str">
        <f t="shared" si="20"/>
        <v/>
      </c>
      <c r="AG11" s="55" t="str">
        <f t="shared" si="21"/>
        <v/>
      </c>
      <c r="AH11" s="15"/>
    </row>
    <row r="12" spans="2:34">
      <c r="B12" s="50" t="s">
        <v>391</v>
      </c>
      <c r="C12" s="51" t="s">
        <v>565</v>
      </c>
      <c r="D12" s="52"/>
      <c r="E12" s="53" t="str">
        <f t="shared" si="0"/>
        <v/>
      </c>
      <c r="F12" s="54" t="str">
        <f t="shared" si="1"/>
        <v/>
      </c>
      <c r="G12" s="55" t="str">
        <f t="shared" si="2"/>
        <v/>
      </c>
      <c r="H12" s="27" t="str">
        <f t="shared" si="3"/>
        <v/>
      </c>
      <c r="I12" s="30" t="str">
        <f t="shared" si="4"/>
        <v/>
      </c>
      <c r="J12" s="30" t="str">
        <f t="shared" si="5"/>
        <v/>
      </c>
      <c r="K12" s="56" t="str">
        <f t="shared" si="6"/>
        <v/>
      </c>
      <c r="L12" s="53" t="str">
        <f t="shared" si="7"/>
        <v/>
      </c>
      <c r="M12" s="54" t="str">
        <f t="shared" si="8"/>
        <v/>
      </c>
      <c r="N12" s="55" t="str">
        <f t="shared" si="9"/>
        <v/>
      </c>
      <c r="O12" s="12" t="str">
        <f t="shared" si="10"/>
        <v/>
      </c>
      <c r="P12" s="18"/>
      <c r="Q12" s="12" t="str">
        <f t="shared" si="11"/>
        <v/>
      </c>
      <c r="R12" s="18"/>
      <c r="S12" s="12"/>
      <c r="T12" s="19" t="s">
        <v>446</v>
      </c>
      <c r="U12" s="20"/>
      <c r="V12" s="20" t="s">
        <v>401</v>
      </c>
      <c r="W12" s="40"/>
      <c r="X12" s="41" t="str">
        <f t="shared" si="12"/>
        <v/>
      </c>
      <c r="Y12" s="42" t="str">
        <f t="shared" si="13"/>
        <v/>
      </c>
      <c r="Z12" s="42" t="str">
        <f t="shared" si="14"/>
        <v/>
      </c>
      <c r="AA12" s="25" t="str">
        <f t="shared" si="15"/>
        <v/>
      </c>
      <c r="AB12" s="28" t="str">
        <f t="shared" si="16"/>
        <v/>
      </c>
      <c r="AC12" s="28" t="str">
        <f t="shared" si="17"/>
        <v/>
      </c>
      <c r="AD12" s="28" t="str">
        <f t="shared" si="18"/>
        <v/>
      </c>
      <c r="AE12" s="58" t="str">
        <f t="shared" si="19"/>
        <v/>
      </c>
      <c r="AF12" s="42" t="str">
        <f t="shared" si="20"/>
        <v/>
      </c>
      <c r="AG12" s="43" t="str">
        <f t="shared" si="21"/>
        <v/>
      </c>
      <c r="AH12" s="15"/>
    </row>
    <row r="13" spans="2:34">
      <c r="B13" s="38" t="s">
        <v>42</v>
      </c>
      <c r="C13" s="39" t="s">
        <v>41</v>
      </c>
      <c r="D13" s="40"/>
      <c r="E13" s="41" t="str">
        <f t="shared" si="0"/>
        <v/>
      </c>
      <c r="F13" s="42" t="str">
        <f t="shared" si="1"/>
        <v/>
      </c>
      <c r="G13" s="43" t="str">
        <f t="shared" si="2"/>
        <v/>
      </c>
      <c r="H13" s="25" t="str">
        <f t="shared" si="3"/>
        <v/>
      </c>
      <c r="I13" s="28" t="str">
        <f t="shared" si="4"/>
        <v/>
      </c>
      <c r="J13" s="28" t="str">
        <f t="shared" si="5"/>
        <v/>
      </c>
      <c r="K13" s="44" t="str">
        <f t="shared" si="6"/>
        <v/>
      </c>
      <c r="L13" s="41" t="str">
        <f t="shared" si="7"/>
        <v/>
      </c>
      <c r="M13" s="42" t="str">
        <f t="shared" si="8"/>
        <v/>
      </c>
      <c r="N13" s="43" t="str">
        <f t="shared" si="9"/>
        <v/>
      </c>
      <c r="O13" s="12" t="str">
        <f t="shared" si="10"/>
        <v/>
      </c>
      <c r="P13" s="18" t="str">
        <f>IF(SUM(O13:O15)=3,"F",IF(SUM(O13:O15)=2,"fd",""))</f>
        <v/>
      </c>
      <c r="Q13" s="12" t="str">
        <f t="shared" si="11"/>
        <v/>
      </c>
      <c r="R13" s="18" t="str">
        <f>IF(SUM(Q13:Q15)=3,"D",IF(SUM(Q13:Q15)=2,"dp",""))</f>
        <v/>
      </c>
      <c r="S13" s="12"/>
      <c r="T13" s="21" t="s">
        <v>446</v>
      </c>
      <c r="U13" s="12"/>
      <c r="V13" s="12" t="s">
        <v>400</v>
      </c>
      <c r="W13" s="14"/>
      <c r="X13" s="46" t="str">
        <f t="shared" si="12"/>
        <v/>
      </c>
      <c r="Y13" s="47" t="str">
        <f t="shared" si="13"/>
        <v/>
      </c>
      <c r="Z13" s="47" t="str">
        <f t="shared" si="14"/>
        <v/>
      </c>
      <c r="AA13" s="26" t="str">
        <f t="shared" si="15"/>
        <v/>
      </c>
      <c r="AB13" s="29" t="str">
        <f t="shared" si="16"/>
        <v/>
      </c>
      <c r="AC13" s="29" t="str">
        <f t="shared" si="17"/>
        <v/>
      </c>
      <c r="AD13" s="29" t="str">
        <f t="shared" si="18"/>
        <v/>
      </c>
      <c r="AE13" s="59" t="str">
        <f t="shared" si="19"/>
        <v/>
      </c>
      <c r="AF13" s="47" t="str">
        <f t="shared" si="20"/>
        <v/>
      </c>
      <c r="AG13" s="48" t="str">
        <f t="shared" si="21"/>
        <v/>
      </c>
      <c r="AH13" s="15"/>
    </row>
    <row r="14" spans="2:34">
      <c r="B14" s="45" t="s">
        <v>42</v>
      </c>
      <c r="C14" s="35" t="s">
        <v>113</v>
      </c>
      <c r="D14" s="14"/>
      <c r="E14" s="46" t="str">
        <f t="shared" si="0"/>
        <v/>
      </c>
      <c r="F14" s="47" t="str">
        <f t="shared" si="1"/>
        <v/>
      </c>
      <c r="G14" s="48" t="str">
        <f t="shared" si="2"/>
        <v/>
      </c>
      <c r="H14" s="26" t="str">
        <f t="shared" si="3"/>
        <v/>
      </c>
      <c r="I14" s="29" t="str">
        <f t="shared" si="4"/>
        <v/>
      </c>
      <c r="J14" s="29" t="str">
        <f t="shared" si="5"/>
        <v/>
      </c>
      <c r="K14" s="49" t="str">
        <f t="shared" si="6"/>
        <v/>
      </c>
      <c r="L14" s="46" t="str">
        <f t="shared" si="7"/>
        <v/>
      </c>
      <c r="M14" s="47" t="str">
        <f t="shared" si="8"/>
        <v/>
      </c>
      <c r="N14" s="48" t="str">
        <f t="shared" si="9"/>
        <v/>
      </c>
      <c r="O14" s="12" t="str">
        <f t="shared" si="10"/>
        <v/>
      </c>
      <c r="P14" s="18"/>
      <c r="Q14" s="12" t="str">
        <f t="shared" si="11"/>
        <v/>
      </c>
      <c r="R14" s="18"/>
      <c r="S14" s="12"/>
      <c r="T14" s="21" t="s">
        <v>446</v>
      </c>
      <c r="U14" s="12"/>
      <c r="V14" s="12" t="s">
        <v>266</v>
      </c>
      <c r="W14" s="14"/>
      <c r="X14" s="46" t="str">
        <f t="shared" si="12"/>
        <v/>
      </c>
      <c r="Y14" s="47" t="str">
        <f t="shared" si="13"/>
        <v/>
      </c>
      <c r="Z14" s="47" t="str">
        <f t="shared" si="14"/>
        <v/>
      </c>
      <c r="AA14" s="26" t="str">
        <f t="shared" si="15"/>
        <v/>
      </c>
      <c r="AB14" s="29" t="str">
        <f t="shared" si="16"/>
        <v/>
      </c>
      <c r="AC14" s="29" t="str">
        <f t="shared" si="17"/>
        <v/>
      </c>
      <c r="AD14" s="29" t="str">
        <f t="shared" si="18"/>
        <v/>
      </c>
      <c r="AE14" s="59" t="str">
        <f t="shared" si="19"/>
        <v/>
      </c>
      <c r="AF14" s="47" t="str">
        <f t="shared" si="20"/>
        <v/>
      </c>
      <c r="AG14" s="48" t="str">
        <f t="shared" si="21"/>
        <v/>
      </c>
      <c r="AH14" s="15"/>
    </row>
    <row r="15" spans="2:34">
      <c r="B15" s="50" t="s">
        <v>42</v>
      </c>
      <c r="C15" s="51" t="s">
        <v>238</v>
      </c>
      <c r="D15" s="52"/>
      <c r="E15" s="53" t="str">
        <f t="shared" si="0"/>
        <v/>
      </c>
      <c r="F15" s="54" t="str">
        <f t="shared" si="1"/>
        <v/>
      </c>
      <c r="G15" s="55" t="str">
        <f t="shared" si="2"/>
        <v/>
      </c>
      <c r="H15" s="27" t="str">
        <f t="shared" si="3"/>
        <v/>
      </c>
      <c r="I15" s="30" t="str">
        <f t="shared" si="4"/>
        <v/>
      </c>
      <c r="J15" s="30" t="str">
        <f t="shared" si="5"/>
        <v/>
      </c>
      <c r="K15" s="56" t="str">
        <f t="shared" si="6"/>
        <v/>
      </c>
      <c r="L15" s="53" t="str">
        <f t="shared" si="7"/>
        <v/>
      </c>
      <c r="M15" s="54" t="str">
        <f t="shared" si="8"/>
        <v/>
      </c>
      <c r="N15" s="55" t="str">
        <f t="shared" si="9"/>
        <v/>
      </c>
      <c r="O15" s="12" t="str">
        <f t="shared" si="10"/>
        <v/>
      </c>
      <c r="P15" s="18"/>
      <c r="Q15" s="12" t="str">
        <f t="shared" si="11"/>
        <v/>
      </c>
      <c r="R15" s="18"/>
      <c r="S15" s="12"/>
      <c r="T15" s="22" t="s">
        <v>446</v>
      </c>
      <c r="U15" s="23"/>
      <c r="V15" s="23" t="s">
        <v>289</v>
      </c>
      <c r="W15" s="52"/>
      <c r="X15" s="53" t="str">
        <f t="shared" si="12"/>
        <v/>
      </c>
      <c r="Y15" s="54" t="str">
        <f t="shared" si="13"/>
        <v/>
      </c>
      <c r="Z15" s="54" t="str">
        <f t="shared" si="14"/>
        <v/>
      </c>
      <c r="AA15" s="27" t="str">
        <f t="shared" si="15"/>
        <v/>
      </c>
      <c r="AB15" s="30" t="str">
        <f t="shared" si="16"/>
        <v/>
      </c>
      <c r="AC15" s="30" t="str">
        <f t="shared" si="17"/>
        <v/>
      </c>
      <c r="AD15" s="30" t="str">
        <f t="shared" si="18"/>
        <v/>
      </c>
      <c r="AE15" s="60" t="str">
        <f t="shared" si="19"/>
        <v/>
      </c>
      <c r="AF15" s="54" t="str">
        <f t="shared" si="20"/>
        <v/>
      </c>
      <c r="AG15" s="55" t="str">
        <f t="shared" si="21"/>
        <v/>
      </c>
      <c r="AH15" s="15"/>
    </row>
    <row r="16" spans="2:34">
      <c r="B16" s="38" t="s">
        <v>24</v>
      </c>
      <c r="C16" s="39" t="s">
        <v>180</v>
      </c>
      <c r="D16" s="40"/>
      <c r="E16" s="41" t="str">
        <f t="shared" si="0"/>
        <v/>
      </c>
      <c r="F16" s="42" t="str">
        <f t="shared" si="1"/>
        <v/>
      </c>
      <c r="G16" s="43" t="str">
        <f t="shared" si="2"/>
        <v/>
      </c>
      <c r="H16" s="25" t="str">
        <f t="shared" si="3"/>
        <v/>
      </c>
      <c r="I16" s="28" t="str">
        <f t="shared" si="4"/>
        <v/>
      </c>
      <c r="J16" s="28" t="str">
        <f t="shared" si="5"/>
        <v/>
      </c>
      <c r="K16" s="44" t="str">
        <f t="shared" si="6"/>
        <v/>
      </c>
      <c r="L16" s="41" t="str">
        <f t="shared" si="7"/>
        <v/>
      </c>
      <c r="M16" s="42" t="str">
        <f t="shared" si="8"/>
        <v/>
      </c>
      <c r="N16" s="43" t="str">
        <f t="shared" si="9"/>
        <v/>
      </c>
      <c r="O16" s="12" t="str">
        <f t="shared" si="10"/>
        <v/>
      </c>
      <c r="P16" s="18" t="str">
        <f>IF(SUM(O16:O18)=3,"F",IF(SUM(O16:O18)=2,"fd",""))</f>
        <v/>
      </c>
      <c r="Q16" s="12" t="str">
        <f t="shared" si="11"/>
        <v/>
      </c>
      <c r="R16" s="18" t="str">
        <f>IF(SUM(Q16:Q18)=3,"D",IF(SUM(Q16:Q18)=2,"dp",""))</f>
        <v/>
      </c>
      <c r="S16" s="12"/>
      <c r="T16" s="19" t="s">
        <v>449</v>
      </c>
      <c r="U16" s="20"/>
      <c r="V16" s="20" t="s">
        <v>269</v>
      </c>
      <c r="W16" s="40"/>
      <c r="X16" s="41" t="str">
        <f t="shared" si="12"/>
        <v/>
      </c>
      <c r="Y16" s="42" t="str">
        <f t="shared" si="13"/>
        <v/>
      </c>
      <c r="Z16" s="42" t="str">
        <f t="shared" si="14"/>
        <v/>
      </c>
      <c r="AA16" s="25" t="str">
        <f t="shared" si="15"/>
        <v/>
      </c>
      <c r="AB16" s="28" t="str">
        <f t="shared" si="16"/>
        <v/>
      </c>
      <c r="AC16" s="28" t="str">
        <f t="shared" si="17"/>
        <v/>
      </c>
      <c r="AD16" s="28" t="str">
        <f t="shared" si="18"/>
        <v/>
      </c>
      <c r="AE16" s="58" t="str">
        <f t="shared" si="19"/>
        <v/>
      </c>
      <c r="AF16" s="42" t="str">
        <f t="shared" si="20"/>
        <v/>
      </c>
      <c r="AG16" s="43" t="str">
        <f t="shared" si="21"/>
        <v/>
      </c>
      <c r="AH16" s="15"/>
    </row>
    <row r="17" spans="2:44">
      <c r="B17" s="45" t="s">
        <v>24</v>
      </c>
      <c r="C17" s="35" t="s">
        <v>399</v>
      </c>
      <c r="D17" s="14"/>
      <c r="E17" s="46" t="str">
        <f t="shared" si="0"/>
        <v/>
      </c>
      <c r="F17" s="47" t="str">
        <f t="shared" si="1"/>
        <v/>
      </c>
      <c r="G17" s="48" t="str">
        <f t="shared" si="2"/>
        <v/>
      </c>
      <c r="H17" s="26" t="str">
        <f t="shared" si="3"/>
        <v/>
      </c>
      <c r="I17" s="29" t="str">
        <f t="shared" si="4"/>
        <v/>
      </c>
      <c r="J17" s="29" t="str">
        <f t="shared" si="5"/>
        <v/>
      </c>
      <c r="K17" s="49" t="str">
        <f t="shared" si="6"/>
        <v/>
      </c>
      <c r="L17" s="46" t="str">
        <f t="shared" si="7"/>
        <v/>
      </c>
      <c r="M17" s="47" t="str">
        <f t="shared" si="8"/>
        <v/>
      </c>
      <c r="N17" s="48" t="str">
        <f t="shared" si="9"/>
        <v/>
      </c>
      <c r="O17" s="12" t="str">
        <f t="shared" si="10"/>
        <v/>
      </c>
      <c r="P17" s="18"/>
      <c r="Q17" s="12" t="str">
        <f t="shared" si="11"/>
        <v/>
      </c>
      <c r="R17" s="18"/>
      <c r="S17" s="12"/>
      <c r="T17" s="21" t="s">
        <v>449</v>
      </c>
      <c r="U17" s="12"/>
      <c r="V17" s="12" t="s">
        <v>155</v>
      </c>
      <c r="W17" s="14"/>
      <c r="X17" s="46" t="str">
        <f t="shared" si="12"/>
        <v/>
      </c>
      <c r="Y17" s="47" t="str">
        <f t="shared" si="13"/>
        <v/>
      </c>
      <c r="Z17" s="47" t="str">
        <f t="shared" si="14"/>
        <v/>
      </c>
      <c r="AA17" s="26" t="str">
        <f t="shared" si="15"/>
        <v/>
      </c>
      <c r="AB17" s="29" t="str">
        <f t="shared" si="16"/>
        <v/>
      </c>
      <c r="AC17" s="29" t="str">
        <f t="shared" si="17"/>
        <v/>
      </c>
      <c r="AD17" s="29" t="str">
        <f t="shared" si="18"/>
        <v/>
      </c>
      <c r="AE17" s="59" t="str">
        <f t="shared" si="19"/>
        <v/>
      </c>
      <c r="AF17" s="47" t="str">
        <f t="shared" si="20"/>
        <v/>
      </c>
      <c r="AG17" s="48" t="str">
        <f t="shared" si="21"/>
        <v/>
      </c>
      <c r="AH17" s="15"/>
    </row>
    <row r="18" spans="2:44">
      <c r="B18" s="50" t="s">
        <v>24</v>
      </c>
      <c r="C18" s="51" t="s">
        <v>564</v>
      </c>
      <c r="D18" s="52"/>
      <c r="E18" s="53" t="str">
        <f t="shared" si="0"/>
        <v/>
      </c>
      <c r="F18" s="54" t="str">
        <f t="shared" si="1"/>
        <v/>
      </c>
      <c r="G18" s="55" t="str">
        <f t="shared" si="2"/>
        <v/>
      </c>
      <c r="H18" s="27" t="str">
        <f t="shared" si="3"/>
        <v/>
      </c>
      <c r="I18" s="30" t="str">
        <f t="shared" si="4"/>
        <v/>
      </c>
      <c r="J18" s="30" t="str">
        <f t="shared" si="5"/>
        <v/>
      </c>
      <c r="K18" s="56" t="str">
        <f t="shared" si="6"/>
        <v/>
      </c>
      <c r="L18" s="53" t="str">
        <f t="shared" si="7"/>
        <v/>
      </c>
      <c r="M18" s="54" t="str">
        <f t="shared" si="8"/>
        <v/>
      </c>
      <c r="N18" s="55" t="str">
        <f t="shared" si="9"/>
        <v/>
      </c>
      <c r="O18" s="12" t="str">
        <f t="shared" si="10"/>
        <v/>
      </c>
      <c r="P18" s="18"/>
      <c r="Q18" s="12" t="str">
        <f t="shared" si="11"/>
        <v/>
      </c>
      <c r="R18" s="18"/>
      <c r="S18" s="12"/>
      <c r="T18" s="21" t="s">
        <v>449</v>
      </c>
      <c r="U18" s="12"/>
      <c r="V18" s="12" t="s">
        <v>244</v>
      </c>
      <c r="W18" s="14"/>
      <c r="X18" s="46" t="str">
        <f t="shared" si="12"/>
        <v/>
      </c>
      <c r="Y18" s="47" t="str">
        <f t="shared" si="13"/>
        <v/>
      </c>
      <c r="Z18" s="47" t="str">
        <f t="shared" si="14"/>
        <v/>
      </c>
      <c r="AA18" s="26" t="str">
        <f t="shared" si="15"/>
        <v/>
      </c>
      <c r="AB18" s="29" t="str">
        <f t="shared" si="16"/>
        <v/>
      </c>
      <c r="AC18" s="29" t="str">
        <f t="shared" si="17"/>
        <v/>
      </c>
      <c r="AD18" s="29" t="str">
        <f t="shared" si="18"/>
        <v/>
      </c>
      <c r="AE18" s="59" t="str">
        <f t="shared" si="19"/>
        <v/>
      </c>
      <c r="AF18" s="47" t="str">
        <f t="shared" si="20"/>
        <v/>
      </c>
      <c r="AG18" s="48" t="str">
        <f t="shared" si="21"/>
        <v/>
      </c>
      <c r="AH18" s="15"/>
    </row>
    <row r="19" spans="2:44">
      <c r="B19" s="38" t="s">
        <v>620</v>
      </c>
      <c r="C19" s="39" t="s">
        <v>577</v>
      </c>
      <c r="D19" s="40"/>
      <c r="E19" s="41" t="str">
        <f t="shared" si="0"/>
        <v/>
      </c>
      <c r="F19" s="42" t="str">
        <f t="shared" si="1"/>
        <v/>
      </c>
      <c r="G19" s="43" t="str">
        <f t="shared" si="2"/>
        <v/>
      </c>
      <c r="H19" s="25" t="str">
        <f t="shared" si="3"/>
        <v/>
      </c>
      <c r="I19" s="28" t="str">
        <f t="shared" si="4"/>
        <v/>
      </c>
      <c r="J19" s="28" t="str">
        <f t="shared" si="5"/>
        <v/>
      </c>
      <c r="K19" s="44" t="str">
        <f t="shared" si="6"/>
        <v/>
      </c>
      <c r="L19" s="41" t="str">
        <f t="shared" si="7"/>
        <v/>
      </c>
      <c r="M19" s="42" t="str">
        <f t="shared" si="8"/>
        <v/>
      </c>
      <c r="N19" s="43" t="str">
        <f t="shared" si="9"/>
        <v/>
      </c>
      <c r="O19" s="12" t="str">
        <f t="shared" si="10"/>
        <v/>
      </c>
      <c r="P19" s="18" t="str">
        <f>IF(SUM(O19:O21)=3,"F",IF(SUM(O19:O21)=2,"fd",""))</f>
        <v/>
      </c>
      <c r="Q19" s="12" t="str">
        <f t="shared" si="11"/>
        <v/>
      </c>
      <c r="R19" s="18" t="str">
        <f>IF(SUM(Q19:Q21)=3,"D",IF(SUM(Q19:Q21)=2,"dp",""))</f>
        <v/>
      </c>
      <c r="S19" s="12"/>
      <c r="T19" s="22" t="s">
        <v>449</v>
      </c>
      <c r="U19" s="23"/>
      <c r="V19" s="23" t="s">
        <v>29</v>
      </c>
      <c r="W19" s="52"/>
      <c r="X19" s="53" t="str">
        <f t="shared" si="12"/>
        <v/>
      </c>
      <c r="Y19" s="54" t="str">
        <f t="shared" si="13"/>
        <v/>
      </c>
      <c r="Z19" s="54" t="str">
        <f t="shared" si="14"/>
        <v/>
      </c>
      <c r="AA19" s="27" t="str">
        <f t="shared" si="15"/>
        <v/>
      </c>
      <c r="AB19" s="30" t="str">
        <f t="shared" si="16"/>
        <v/>
      </c>
      <c r="AC19" s="30" t="str">
        <f t="shared" si="17"/>
        <v/>
      </c>
      <c r="AD19" s="30" t="str">
        <f t="shared" si="18"/>
        <v/>
      </c>
      <c r="AE19" s="60" t="str">
        <f t="shared" si="19"/>
        <v/>
      </c>
      <c r="AF19" s="54" t="str">
        <f t="shared" si="20"/>
        <v/>
      </c>
      <c r="AG19" s="55" t="str">
        <f t="shared" si="21"/>
        <v/>
      </c>
      <c r="AH19" s="15"/>
    </row>
    <row r="20" spans="2:44">
      <c r="B20" s="45" t="s">
        <v>620</v>
      </c>
      <c r="C20" s="35" t="s">
        <v>269</v>
      </c>
      <c r="D20" s="14"/>
      <c r="E20" s="46" t="str">
        <f t="shared" si="0"/>
        <v/>
      </c>
      <c r="F20" s="47" t="str">
        <f t="shared" si="1"/>
        <v/>
      </c>
      <c r="G20" s="48" t="str">
        <f t="shared" si="2"/>
        <v/>
      </c>
      <c r="H20" s="26" t="str">
        <f t="shared" si="3"/>
        <v/>
      </c>
      <c r="I20" s="29" t="str">
        <f t="shared" si="4"/>
        <v/>
      </c>
      <c r="J20" s="29" t="str">
        <f t="shared" si="5"/>
        <v/>
      </c>
      <c r="K20" s="49" t="str">
        <f t="shared" si="6"/>
        <v/>
      </c>
      <c r="L20" s="46" t="str">
        <f t="shared" si="7"/>
        <v/>
      </c>
      <c r="M20" s="47" t="str">
        <f t="shared" si="8"/>
        <v/>
      </c>
      <c r="N20" s="48" t="str">
        <f t="shared" si="9"/>
        <v/>
      </c>
      <c r="O20" s="12" t="str">
        <f t="shared" si="10"/>
        <v/>
      </c>
      <c r="P20" s="18"/>
      <c r="Q20" s="12" t="str">
        <f t="shared" si="11"/>
        <v/>
      </c>
      <c r="R20" s="18"/>
      <c r="S20" s="12"/>
      <c r="AM20" s="3">
        <f>COUNTA(AM26:AM41)</f>
        <v>0</v>
      </c>
      <c r="AQ20" s="3">
        <f>COUNTA(AQ26:AQ41)</f>
        <v>0</v>
      </c>
    </row>
    <row r="21" spans="2:44">
      <c r="B21" s="50" t="s">
        <v>620</v>
      </c>
      <c r="C21" s="51" t="s">
        <v>563</v>
      </c>
      <c r="D21" s="52"/>
      <c r="E21" s="53" t="str">
        <f t="shared" si="0"/>
        <v/>
      </c>
      <c r="F21" s="54" t="str">
        <f t="shared" si="1"/>
        <v/>
      </c>
      <c r="G21" s="55" t="str">
        <f t="shared" si="2"/>
        <v/>
      </c>
      <c r="H21" s="27" t="str">
        <f t="shared" si="3"/>
        <v/>
      </c>
      <c r="I21" s="30" t="str">
        <f t="shared" si="4"/>
        <v/>
      </c>
      <c r="J21" s="30" t="str">
        <f t="shared" si="5"/>
        <v/>
      </c>
      <c r="K21" s="56" t="str">
        <f t="shared" si="6"/>
        <v/>
      </c>
      <c r="L21" s="53" t="str">
        <f t="shared" si="7"/>
        <v/>
      </c>
      <c r="M21" s="54" t="str">
        <f t="shared" si="8"/>
        <v/>
      </c>
      <c r="N21" s="55" t="str">
        <f t="shared" si="9"/>
        <v/>
      </c>
      <c r="O21" s="12" t="str">
        <f t="shared" si="10"/>
        <v/>
      </c>
      <c r="P21" s="18"/>
      <c r="Q21" s="12" t="str">
        <f t="shared" si="11"/>
        <v/>
      </c>
      <c r="R21" s="18"/>
      <c r="S21" s="12"/>
      <c r="T21" s="1" t="s">
        <v>452</v>
      </c>
      <c r="U21" s="1"/>
    </row>
    <row r="22" spans="2:44">
      <c r="B22" s="173" t="s">
        <v>682</v>
      </c>
      <c r="C22" s="39" t="s">
        <v>48</v>
      </c>
      <c r="D22" s="40"/>
      <c r="E22" s="41" t="str">
        <f t="shared" si="0"/>
        <v/>
      </c>
      <c r="F22" s="42" t="str">
        <f t="shared" si="1"/>
        <v/>
      </c>
      <c r="G22" s="43" t="str">
        <f t="shared" si="2"/>
        <v/>
      </c>
      <c r="H22" s="25" t="str">
        <f t="shared" si="3"/>
        <v/>
      </c>
      <c r="I22" s="28" t="str">
        <f t="shared" si="4"/>
        <v/>
      </c>
      <c r="J22" s="28" t="str">
        <f t="shared" si="5"/>
        <v/>
      </c>
      <c r="K22" s="44" t="str">
        <f t="shared" si="6"/>
        <v/>
      </c>
      <c r="L22" s="41" t="str">
        <f t="shared" si="7"/>
        <v/>
      </c>
      <c r="M22" s="42" t="str">
        <f t="shared" si="8"/>
        <v/>
      </c>
      <c r="N22" s="43" t="str">
        <f t="shared" si="9"/>
        <v/>
      </c>
      <c r="O22" s="12" t="str">
        <f t="shared" si="10"/>
        <v/>
      </c>
      <c r="P22" s="18" t="str">
        <f>IF(SUM(O22:O24)=3,"F",IF(SUM(O22:O24)=2,"fd",""))</f>
        <v/>
      </c>
      <c r="Q22" s="12" t="str">
        <f t="shared" si="11"/>
        <v/>
      </c>
      <c r="R22" s="18" t="str">
        <f>IF(SUM(Q22:Q24)=3,"D",IF(SUM(Q22:Q24)=2,"dp",""))</f>
        <v/>
      </c>
      <c r="S22" s="12"/>
      <c r="T22" s="19" t="s">
        <v>452</v>
      </c>
      <c r="U22" s="20"/>
      <c r="V22" s="71" t="s">
        <v>453</v>
      </c>
      <c r="W22" s="40"/>
      <c r="X22" s="41" t="str">
        <f>IF($W22=1,"=","")</f>
        <v/>
      </c>
      <c r="Y22" s="42" t="str">
        <f>IF($W22=2,"=","")</f>
        <v/>
      </c>
      <c r="Z22" s="43" t="str">
        <f>IF($W22=3,"=","")</f>
        <v/>
      </c>
      <c r="AA22" s="25" t="str">
        <f>IF($W22=4,"=","")</f>
        <v/>
      </c>
      <c r="AB22" s="28" t="str">
        <f>IF($W22=5,"=","")</f>
        <v/>
      </c>
      <c r="AC22" s="28" t="str">
        <f>IF($W22=6,"=","")</f>
        <v/>
      </c>
      <c r="AD22" s="44" t="str">
        <f>IF($W22=7,"=","")</f>
        <v/>
      </c>
      <c r="AE22" s="41" t="str">
        <f>IF($W22=8,"=","")</f>
        <v/>
      </c>
      <c r="AF22" s="42" t="str">
        <f>IF($W22=9,"=","")</f>
        <v/>
      </c>
      <c r="AG22" s="43" t="str">
        <f>IF($W22=10,"=","")</f>
        <v/>
      </c>
      <c r="AH22" s="15"/>
      <c r="AM22" t="s">
        <v>513</v>
      </c>
      <c r="AN22" s="84">
        <f>COUNTIF($T$64:$T$97,AM22)</f>
        <v>0</v>
      </c>
      <c r="AO22" s="84">
        <f>COUNTIF($AR$25:$AR$34,AM22)</f>
        <v>0</v>
      </c>
      <c r="AP22" s="85">
        <f>IF(SUM(AN22:AO22)&gt;0,"BORRAR",0)</f>
        <v>0</v>
      </c>
    </row>
    <row r="23" spans="2:44">
      <c r="B23" s="174" t="s">
        <v>682</v>
      </c>
      <c r="C23" s="35" t="s">
        <v>179</v>
      </c>
      <c r="D23" s="14"/>
      <c r="E23" s="46" t="str">
        <f t="shared" si="0"/>
        <v/>
      </c>
      <c r="F23" s="47" t="str">
        <f t="shared" si="1"/>
        <v/>
      </c>
      <c r="G23" s="48" t="str">
        <f t="shared" si="2"/>
        <v/>
      </c>
      <c r="H23" s="26" t="str">
        <f t="shared" si="3"/>
        <v/>
      </c>
      <c r="I23" s="29" t="str">
        <f t="shared" si="4"/>
        <v/>
      </c>
      <c r="J23" s="29" t="str">
        <f t="shared" si="5"/>
        <v/>
      </c>
      <c r="K23" s="49" t="str">
        <f t="shared" si="6"/>
        <v/>
      </c>
      <c r="L23" s="46" t="str">
        <f t="shared" si="7"/>
        <v/>
      </c>
      <c r="M23" s="47" t="str">
        <f t="shared" si="8"/>
        <v/>
      </c>
      <c r="N23" s="48" t="str">
        <f t="shared" si="9"/>
        <v/>
      </c>
      <c r="O23" s="12" t="str">
        <f t="shared" si="10"/>
        <v/>
      </c>
      <c r="P23" s="18"/>
      <c r="Q23" s="12" t="str">
        <f t="shared" si="11"/>
        <v/>
      </c>
      <c r="R23" s="18"/>
      <c r="S23" s="12"/>
      <c r="T23" s="22" t="s">
        <v>452</v>
      </c>
      <c r="U23" s="23"/>
      <c r="V23" s="72" t="s">
        <v>282</v>
      </c>
      <c r="W23" s="52"/>
      <c r="X23" s="53" t="str">
        <f>IF($W23=1,"=","")</f>
        <v/>
      </c>
      <c r="Y23" s="54" t="str">
        <f>IF($W23=2,"=","")</f>
        <v/>
      </c>
      <c r="Z23" s="55" t="str">
        <f>IF($W23=3,"=","")</f>
        <v/>
      </c>
      <c r="AA23" s="27" t="str">
        <f>IF($W23=4,"=","")</f>
        <v/>
      </c>
      <c r="AB23" s="30" t="str">
        <f>IF($W23=5,"=","")</f>
        <v/>
      </c>
      <c r="AC23" s="30" t="str">
        <f>IF($W23=6,"=","")</f>
        <v/>
      </c>
      <c r="AD23" s="56" t="str">
        <f>IF($W23=7,"=","")</f>
        <v/>
      </c>
      <c r="AE23" s="53" t="str">
        <f>IF($W23=8,"=","")</f>
        <v/>
      </c>
      <c r="AF23" s="54" t="str">
        <f>IF($W23=9,"=","")</f>
        <v/>
      </c>
      <c r="AG23" s="55" t="str">
        <f>IF($W23=10,"=","")</f>
        <v/>
      </c>
      <c r="AH23" s="15"/>
      <c r="AM23" t="s">
        <v>514</v>
      </c>
      <c r="AN23" s="84">
        <f>COUNTIF($V$64:$V$97,AM23)</f>
        <v>0</v>
      </c>
      <c r="AO23" s="84">
        <f>COUNTIF($AR$25:$AR$34,AM23)</f>
        <v>0</v>
      </c>
      <c r="AP23" s="85">
        <f>IF(SUM(AN23:AO23)&gt;0,"BORRAR",0)</f>
        <v>0</v>
      </c>
    </row>
    <row r="24" spans="2:44">
      <c r="B24" s="175" t="s">
        <v>682</v>
      </c>
      <c r="C24" s="51" t="s">
        <v>563</v>
      </c>
      <c r="D24" s="52"/>
      <c r="E24" s="53" t="str">
        <f t="shared" si="0"/>
        <v/>
      </c>
      <c r="F24" s="54" t="str">
        <f t="shared" si="1"/>
        <v/>
      </c>
      <c r="G24" s="55" t="str">
        <f t="shared" si="2"/>
        <v/>
      </c>
      <c r="H24" s="27" t="str">
        <f t="shared" si="3"/>
        <v/>
      </c>
      <c r="I24" s="30" t="str">
        <f t="shared" si="4"/>
        <v/>
      </c>
      <c r="J24" s="30" t="str">
        <f t="shared" si="5"/>
        <v/>
      </c>
      <c r="K24" s="56" t="str">
        <f t="shared" si="6"/>
        <v/>
      </c>
      <c r="L24" s="53" t="str">
        <f t="shared" si="7"/>
        <v/>
      </c>
      <c r="M24" s="54" t="str">
        <f t="shared" si="8"/>
        <v/>
      </c>
      <c r="N24" s="55" t="str">
        <f t="shared" si="9"/>
        <v/>
      </c>
      <c r="O24" s="12" t="str">
        <f t="shared" si="10"/>
        <v/>
      </c>
      <c r="P24" s="18"/>
      <c r="Q24" s="12" t="str">
        <f t="shared" si="11"/>
        <v/>
      </c>
      <c r="R24" s="18"/>
      <c r="S24" s="12"/>
      <c r="AN24" s="5" t="s">
        <v>510</v>
      </c>
      <c r="AO24" s="5" t="s">
        <v>511</v>
      </c>
    </row>
    <row r="25" spans="2:44">
      <c r="B25" s="38" t="s">
        <v>17</v>
      </c>
      <c r="C25" s="39" t="s">
        <v>16</v>
      </c>
      <c r="D25" s="40"/>
      <c r="E25" s="41" t="str">
        <f t="shared" si="0"/>
        <v/>
      </c>
      <c r="F25" s="42" t="str">
        <f t="shared" si="1"/>
        <v/>
      </c>
      <c r="G25" s="43" t="str">
        <f t="shared" si="2"/>
        <v/>
      </c>
      <c r="H25" s="25" t="str">
        <f t="shared" si="3"/>
        <v/>
      </c>
      <c r="I25" s="28" t="str">
        <f t="shared" si="4"/>
        <v/>
      </c>
      <c r="J25" s="28" t="str">
        <f t="shared" si="5"/>
        <v/>
      </c>
      <c r="K25" s="44" t="str">
        <f t="shared" si="6"/>
        <v/>
      </c>
      <c r="L25" s="41" t="str">
        <f t="shared" si="7"/>
        <v/>
      </c>
      <c r="M25" s="42" t="str">
        <f t="shared" si="8"/>
        <v/>
      </c>
      <c r="N25" s="43" t="str">
        <f t="shared" si="9"/>
        <v/>
      </c>
      <c r="O25" s="12" t="str">
        <f t="shared" si="10"/>
        <v/>
      </c>
      <c r="P25" s="18" t="str">
        <f>IF(SUM(O25:O27)=3,"F",IF(SUM(O25:O27)=2,"fd",""))</f>
        <v/>
      </c>
      <c r="Q25" s="12" t="str">
        <f t="shared" si="11"/>
        <v/>
      </c>
      <c r="R25" s="18" t="str">
        <f>IF(SUM(Q25:Q27)=3,"D",IF(SUM(Q25:Q27)=2,"dp",""))</f>
        <v/>
      </c>
      <c r="S25" s="12"/>
      <c r="T25" s="1" t="s">
        <v>516</v>
      </c>
      <c r="AJ25" t="str">
        <f>IF(W25&gt;7,"fdp",IF(W25&lt;4,"dpp","0"))</f>
        <v>dpp</v>
      </c>
      <c r="AM25" s="83" t="s">
        <v>512</v>
      </c>
      <c r="AN25" s="84"/>
      <c r="AO25" s="84">
        <f>COUNTIF($AR$25:$AR$34,AM25)</f>
        <v>0</v>
      </c>
      <c r="AP25" s="85">
        <f>IF(SUM(AN25:AO25)&gt;0,"BORRAR",0)</f>
        <v>0</v>
      </c>
      <c r="AR25" s="82" t="s">
        <v>549</v>
      </c>
    </row>
    <row r="26" spans="2:44">
      <c r="B26" s="45" t="s">
        <v>17</v>
      </c>
      <c r="C26" s="35" t="s">
        <v>135</v>
      </c>
      <c r="D26" s="14"/>
      <c r="E26" s="46" t="str">
        <f t="shared" si="0"/>
        <v/>
      </c>
      <c r="F26" s="47" t="str">
        <f t="shared" si="1"/>
        <v/>
      </c>
      <c r="G26" s="48" t="str">
        <f t="shared" si="2"/>
        <v/>
      </c>
      <c r="H26" s="26" t="str">
        <f t="shared" si="3"/>
        <v/>
      </c>
      <c r="I26" s="29" t="str">
        <f t="shared" si="4"/>
        <v/>
      </c>
      <c r="J26" s="29" t="str">
        <f t="shared" si="5"/>
        <v/>
      </c>
      <c r="K26" s="49" t="str">
        <f t="shared" si="6"/>
        <v/>
      </c>
      <c r="L26" s="46" t="str">
        <f t="shared" si="7"/>
        <v/>
      </c>
      <c r="M26" s="47" t="str">
        <f t="shared" si="8"/>
        <v/>
      </c>
      <c r="N26" s="48" t="str">
        <f t="shared" si="9"/>
        <v/>
      </c>
      <c r="O26" s="12" t="str">
        <f t="shared" si="10"/>
        <v/>
      </c>
      <c r="P26" s="18"/>
      <c r="Q26" s="12" t="str">
        <f t="shared" si="11"/>
        <v/>
      </c>
      <c r="R26" s="18"/>
      <c r="S26" s="12"/>
      <c r="T26" s="19" t="s">
        <v>527</v>
      </c>
      <c r="U26" s="20"/>
      <c r="V26" s="20" t="s">
        <v>143</v>
      </c>
      <c r="W26" s="40"/>
      <c r="X26" s="41" t="str">
        <f>IF($W26=1,"=","")</f>
        <v/>
      </c>
      <c r="Y26" s="42" t="str">
        <f>IF($W26=2,"=","")</f>
        <v/>
      </c>
      <c r="Z26" s="42" t="str">
        <f>IF($W26=3,"=","")</f>
        <v/>
      </c>
      <c r="AA26" s="25" t="str">
        <f>IF($W26=4,"=","")</f>
        <v/>
      </c>
      <c r="AB26" s="28" t="str">
        <f>IF($W26=5,"=","")</f>
        <v/>
      </c>
      <c r="AC26" s="28" t="str">
        <f>IF($W26=6,"=","")</f>
        <v/>
      </c>
      <c r="AD26" s="28" t="str">
        <f>IF($W26=7,"=","")</f>
        <v/>
      </c>
      <c r="AE26" s="58" t="str">
        <f>IF($W26=8,"=","")</f>
        <v/>
      </c>
      <c r="AF26" s="42" t="str">
        <f>IF($W26=9,"=","")</f>
        <v/>
      </c>
      <c r="AG26" s="43" t="str">
        <f>IF($W26=10,"=","")</f>
        <v/>
      </c>
      <c r="AH26" s="15"/>
      <c r="AI26" t="str">
        <f>IF(W26&gt;7,"fdp",IF(W26&lt;4,"dpp","0"))</f>
        <v>dpp</v>
      </c>
      <c r="AJ26" s="57" t="s">
        <v>509</v>
      </c>
      <c r="AK26">
        <f>COUNTIF($AI$26:$AI$61,AJ26)</f>
        <v>0</v>
      </c>
      <c r="AN26"/>
      <c r="AO26"/>
      <c r="AP26"/>
      <c r="AR26" s="82" t="s">
        <v>473</v>
      </c>
    </row>
    <row r="27" spans="2:44">
      <c r="B27" s="50" t="s">
        <v>17</v>
      </c>
      <c r="C27" s="51" t="s">
        <v>217</v>
      </c>
      <c r="D27" s="52"/>
      <c r="E27" s="53" t="str">
        <f t="shared" si="0"/>
        <v/>
      </c>
      <c r="F27" s="54" t="str">
        <f t="shared" si="1"/>
        <v/>
      </c>
      <c r="G27" s="55" t="str">
        <f t="shared" si="2"/>
        <v/>
      </c>
      <c r="H27" s="27" t="str">
        <f t="shared" si="3"/>
        <v/>
      </c>
      <c r="I27" s="30" t="str">
        <f t="shared" si="4"/>
        <v/>
      </c>
      <c r="J27" s="30" t="str">
        <f t="shared" si="5"/>
        <v/>
      </c>
      <c r="K27" s="56" t="str">
        <f t="shared" si="6"/>
        <v/>
      </c>
      <c r="L27" s="53" t="str">
        <f t="shared" si="7"/>
        <v/>
      </c>
      <c r="M27" s="54" t="str">
        <f t="shared" si="8"/>
        <v/>
      </c>
      <c r="N27" s="55" t="str">
        <f t="shared" si="9"/>
        <v/>
      </c>
      <c r="O27" s="12" t="str">
        <f t="shared" si="10"/>
        <v/>
      </c>
      <c r="P27" s="18"/>
      <c r="Q27" s="12" t="str">
        <f t="shared" si="11"/>
        <v/>
      </c>
      <c r="R27" s="18"/>
      <c r="S27" s="12"/>
      <c r="T27" s="22" t="s">
        <v>527</v>
      </c>
      <c r="U27" s="23"/>
      <c r="V27" s="23" t="s">
        <v>17</v>
      </c>
      <c r="W27" s="52"/>
      <c r="X27" s="53" t="str">
        <f t="shared" ref="X27:X61" si="22">IF($W27=1,"=","")</f>
        <v/>
      </c>
      <c r="Y27" s="54" t="str">
        <f t="shared" ref="Y27:Y61" si="23">IF($W27=2,"=","")</f>
        <v/>
      </c>
      <c r="Z27" s="54" t="str">
        <f t="shared" ref="Z27:Z61" si="24">IF($W27=3,"=","")</f>
        <v/>
      </c>
      <c r="AA27" s="27" t="str">
        <f t="shared" ref="AA27:AA61" si="25">IF($W27=4,"=","")</f>
        <v/>
      </c>
      <c r="AB27" s="30" t="str">
        <f t="shared" ref="AB27:AB61" si="26">IF($W27=5,"=","")</f>
        <v/>
      </c>
      <c r="AC27" s="30" t="str">
        <f t="shared" ref="AC27:AC61" si="27">IF($W27=6,"=","")</f>
        <v/>
      </c>
      <c r="AD27" s="30" t="str">
        <f t="shared" ref="AD27:AD61" si="28">IF($W27=7,"=","")</f>
        <v/>
      </c>
      <c r="AE27" s="60" t="str">
        <f t="shared" ref="AE27:AE61" si="29">IF($W27=8,"=","")</f>
        <v/>
      </c>
      <c r="AF27" s="54" t="str">
        <f t="shared" ref="AF27:AF61" si="30">IF($W27=9,"=","")</f>
        <v/>
      </c>
      <c r="AG27" s="55" t="str">
        <f t="shared" ref="AG27:AG61" si="31">IF($W27=10,"=","")</f>
        <v/>
      </c>
      <c r="AH27" s="15"/>
      <c r="AI27" t="str">
        <f t="shared" ref="AI27:AI41" si="32">IF(W27&gt;7,"fdp",IF(W27&lt;4,"dpp","0"))</f>
        <v>dpp</v>
      </c>
      <c r="AJ27" s="57" t="s">
        <v>508</v>
      </c>
      <c r="AK27">
        <f>COUNTIF($AI$26:$AI$61,AJ27)</f>
        <v>33</v>
      </c>
      <c r="AN27"/>
      <c r="AO27"/>
      <c r="AP27"/>
      <c r="AR27" s="82" t="s">
        <v>24</v>
      </c>
    </row>
    <row r="28" spans="2:44">
      <c r="B28" s="38" t="s">
        <v>63</v>
      </c>
      <c r="C28" s="39" t="s">
        <v>130</v>
      </c>
      <c r="D28" s="40"/>
      <c r="E28" s="41" t="str">
        <f t="shared" si="0"/>
        <v/>
      </c>
      <c r="F28" s="42" t="str">
        <f t="shared" si="1"/>
        <v/>
      </c>
      <c r="G28" s="43" t="str">
        <f t="shared" si="2"/>
        <v/>
      </c>
      <c r="H28" s="25" t="str">
        <f t="shared" si="3"/>
        <v/>
      </c>
      <c r="I28" s="28" t="str">
        <f t="shared" si="4"/>
        <v/>
      </c>
      <c r="J28" s="28" t="str">
        <f t="shared" si="5"/>
        <v/>
      </c>
      <c r="K28" s="44" t="str">
        <f t="shared" si="6"/>
        <v/>
      </c>
      <c r="L28" s="41" t="str">
        <f t="shared" si="7"/>
        <v/>
      </c>
      <c r="M28" s="42" t="str">
        <f t="shared" si="8"/>
        <v/>
      </c>
      <c r="N28" s="43" t="str">
        <f t="shared" si="9"/>
        <v/>
      </c>
      <c r="O28" s="12" t="str">
        <f t="shared" si="10"/>
        <v/>
      </c>
      <c r="P28" s="18" t="str">
        <f>IF(SUM(O28:O30)=3,"F",IF(SUM(O28:O30)=2,"fd",""))</f>
        <v/>
      </c>
      <c r="Q28" s="12" t="str">
        <f t="shared" si="11"/>
        <v/>
      </c>
      <c r="R28" s="18" t="str">
        <f>IF(SUM(Q28:Q30)=3,"D",IF(SUM(Q28:Q30)=2,"dp",""))</f>
        <v/>
      </c>
      <c r="S28" s="12"/>
      <c r="T28" s="19" t="s">
        <v>523</v>
      </c>
      <c r="U28" s="20"/>
      <c r="V28" s="20" t="s">
        <v>570</v>
      </c>
      <c r="W28" s="40"/>
      <c r="X28" s="41" t="str">
        <f t="shared" si="22"/>
        <v/>
      </c>
      <c r="Y28" s="42" t="str">
        <f t="shared" si="23"/>
        <v/>
      </c>
      <c r="Z28" s="42" t="str">
        <f t="shared" si="24"/>
        <v/>
      </c>
      <c r="AA28" s="25" t="str">
        <f t="shared" si="25"/>
        <v/>
      </c>
      <c r="AB28" s="28" t="str">
        <f t="shared" si="26"/>
        <v/>
      </c>
      <c r="AC28" s="28" t="str">
        <f t="shared" si="27"/>
        <v/>
      </c>
      <c r="AD28" s="28" t="str">
        <f t="shared" si="28"/>
        <v/>
      </c>
      <c r="AE28" s="58" t="str">
        <f t="shared" si="29"/>
        <v/>
      </c>
      <c r="AF28" s="42" t="str">
        <f t="shared" si="30"/>
        <v/>
      </c>
      <c r="AG28" s="43" t="str">
        <f t="shared" si="31"/>
        <v/>
      </c>
      <c r="AH28" s="15"/>
      <c r="AI28" t="str">
        <f t="shared" si="32"/>
        <v>dpp</v>
      </c>
      <c r="AN28"/>
      <c r="AO28"/>
      <c r="AP28"/>
      <c r="AR28" s="82" t="s">
        <v>625</v>
      </c>
    </row>
    <row r="29" spans="2:44">
      <c r="B29" s="45" t="s">
        <v>63</v>
      </c>
      <c r="C29" s="35" t="s">
        <v>62</v>
      </c>
      <c r="D29" s="14"/>
      <c r="E29" s="46" t="str">
        <f t="shared" si="0"/>
        <v/>
      </c>
      <c r="F29" s="47" t="str">
        <f t="shared" si="1"/>
        <v/>
      </c>
      <c r="G29" s="48" t="str">
        <f t="shared" si="2"/>
        <v/>
      </c>
      <c r="H29" s="26" t="str">
        <f t="shared" si="3"/>
        <v/>
      </c>
      <c r="I29" s="29" t="str">
        <f t="shared" si="4"/>
        <v/>
      </c>
      <c r="J29" s="29" t="str">
        <f t="shared" si="5"/>
        <v/>
      </c>
      <c r="K29" s="49" t="str">
        <f t="shared" si="6"/>
        <v/>
      </c>
      <c r="L29" s="46" t="str">
        <f t="shared" si="7"/>
        <v/>
      </c>
      <c r="M29" s="47" t="str">
        <f t="shared" si="8"/>
        <v/>
      </c>
      <c r="N29" s="48" t="str">
        <f t="shared" si="9"/>
        <v/>
      </c>
      <c r="O29" s="12" t="str">
        <f t="shared" si="10"/>
        <v/>
      </c>
      <c r="P29" s="18"/>
      <c r="Q29" s="12" t="str">
        <f t="shared" si="11"/>
        <v/>
      </c>
      <c r="R29" s="18"/>
      <c r="S29" s="12"/>
      <c r="T29" s="21" t="s">
        <v>523</v>
      </c>
      <c r="U29" s="12"/>
      <c r="V29" s="12" t="s">
        <v>391</v>
      </c>
      <c r="W29" s="14"/>
      <c r="X29" s="46" t="str">
        <f t="shared" si="22"/>
        <v/>
      </c>
      <c r="Y29" s="47" t="str">
        <f t="shared" si="23"/>
        <v/>
      </c>
      <c r="Z29" s="47" t="str">
        <f t="shared" si="24"/>
        <v/>
      </c>
      <c r="AA29" s="26" t="str">
        <f t="shared" si="25"/>
        <v/>
      </c>
      <c r="AB29" s="29" t="str">
        <f t="shared" si="26"/>
        <v/>
      </c>
      <c r="AC29" s="29" t="str">
        <f t="shared" si="27"/>
        <v/>
      </c>
      <c r="AD29" s="29" t="str">
        <f t="shared" si="28"/>
        <v/>
      </c>
      <c r="AE29" s="59" t="str">
        <f t="shared" si="29"/>
        <v/>
      </c>
      <c r="AF29" s="47" t="str">
        <f t="shared" si="30"/>
        <v/>
      </c>
      <c r="AG29" s="48" t="str">
        <f t="shared" si="31"/>
        <v/>
      </c>
      <c r="AH29" s="15"/>
      <c r="AI29" t="str">
        <f t="shared" si="32"/>
        <v>dpp</v>
      </c>
      <c r="AN29"/>
      <c r="AO29"/>
      <c r="AP29"/>
      <c r="AR29" s="82" t="s">
        <v>394</v>
      </c>
    </row>
    <row r="30" spans="2:44">
      <c r="B30" s="50" t="s">
        <v>63</v>
      </c>
      <c r="C30" s="51" t="s">
        <v>244</v>
      </c>
      <c r="D30" s="52"/>
      <c r="E30" s="53" t="str">
        <f t="shared" si="0"/>
        <v/>
      </c>
      <c r="F30" s="54" t="str">
        <f t="shared" si="1"/>
        <v/>
      </c>
      <c r="G30" s="55" t="str">
        <f t="shared" si="2"/>
        <v/>
      </c>
      <c r="H30" s="27" t="str">
        <f t="shared" si="3"/>
        <v/>
      </c>
      <c r="I30" s="30" t="str">
        <f t="shared" si="4"/>
        <v/>
      </c>
      <c r="J30" s="30" t="str">
        <f t="shared" si="5"/>
        <v/>
      </c>
      <c r="K30" s="56" t="str">
        <f t="shared" si="6"/>
        <v/>
      </c>
      <c r="L30" s="53" t="str">
        <f t="shared" si="7"/>
        <v/>
      </c>
      <c r="M30" s="54" t="str">
        <f t="shared" si="8"/>
        <v/>
      </c>
      <c r="N30" s="55" t="str">
        <f t="shared" si="9"/>
        <v/>
      </c>
      <c r="O30" s="12" t="str">
        <f t="shared" si="10"/>
        <v/>
      </c>
      <c r="P30" s="18"/>
      <c r="Q30" s="12" t="str">
        <f t="shared" si="11"/>
        <v/>
      </c>
      <c r="R30" s="18"/>
      <c r="S30" s="12"/>
      <c r="T30" s="19" t="s">
        <v>524</v>
      </c>
      <c r="U30" s="20"/>
      <c r="V30" s="20" t="s">
        <v>578</v>
      </c>
      <c r="W30" s="77"/>
      <c r="X30" s="46" t="str">
        <f t="shared" si="22"/>
        <v/>
      </c>
      <c r="Y30" s="47" t="str">
        <f t="shared" si="23"/>
        <v/>
      </c>
      <c r="Z30" s="47" t="str">
        <f t="shared" si="24"/>
        <v/>
      </c>
      <c r="AA30" s="26" t="str">
        <f t="shared" si="25"/>
        <v/>
      </c>
      <c r="AB30" s="29" t="str">
        <f t="shared" si="26"/>
        <v/>
      </c>
      <c r="AC30" s="29" t="str">
        <f t="shared" si="27"/>
        <v/>
      </c>
      <c r="AD30" s="29" t="str">
        <f t="shared" si="28"/>
        <v/>
      </c>
      <c r="AE30" s="59" t="str">
        <f t="shared" si="29"/>
        <v/>
      </c>
      <c r="AF30" s="47" t="str">
        <f t="shared" si="30"/>
        <v/>
      </c>
      <c r="AG30" s="48" t="str">
        <f t="shared" si="31"/>
        <v/>
      </c>
      <c r="AH30" s="15"/>
      <c r="AI30" t="str">
        <f t="shared" si="32"/>
        <v>dpp</v>
      </c>
      <c r="AN30"/>
      <c r="AO30"/>
      <c r="AP30"/>
      <c r="AR30" s="82" t="s">
        <v>446</v>
      </c>
    </row>
    <row r="31" spans="2:44">
      <c r="B31" s="38" t="s">
        <v>461</v>
      </c>
      <c r="C31" s="39" t="s">
        <v>269</v>
      </c>
      <c r="D31" s="40"/>
      <c r="E31" s="41" t="str">
        <f t="shared" si="0"/>
        <v/>
      </c>
      <c r="F31" s="42" t="str">
        <f t="shared" si="1"/>
        <v/>
      </c>
      <c r="G31" s="43" t="str">
        <f t="shared" si="2"/>
        <v/>
      </c>
      <c r="H31" s="25" t="str">
        <f t="shared" si="3"/>
        <v/>
      </c>
      <c r="I31" s="28" t="str">
        <f t="shared" si="4"/>
        <v/>
      </c>
      <c r="J31" s="28" t="str">
        <f t="shared" si="5"/>
        <v/>
      </c>
      <c r="K31" s="44" t="str">
        <f t="shared" si="6"/>
        <v/>
      </c>
      <c r="L31" s="41" t="str">
        <f t="shared" si="7"/>
        <v/>
      </c>
      <c r="M31" s="42" t="str">
        <f t="shared" si="8"/>
        <v/>
      </c>
      <c r="N31" s="43" t="str">
        <f t="shared" si="9"/>
        <v/>
      </c>
      <c r="O31" s="12" t="str">
        <f t="shared" si="10"/>
        <v/>
      </c>
      <c r="P31" s="18" t="str">
        <f>IF(SUM(O31:O33)=3,"F",IF(SUM(O31:O33)=2,"fd",""))</f>
        <v/>
      </c>
      <c r="Q31" s="12" t="str">
        <f t="shared" si="11"/>
        <v/>
      </c>
      <c r="R31" s="18" t="str">
        <f>IF(SUM(Q31:Q33)=3,"D",IF(SUM(Q31:Q33)=2,"dp",""))</f>
        <v/>
      </c>
      <c r="S31" s="12"/>
      <c r="T31" s="22" t="s">
        <v>524</v>
      </c>
      <c r="U31" s="23"/>
      <c r="V31" s="23" t="s">
        <v>465</v>
      </c>
      <c r="W31" s="78"/>
      <c r="X31" s="53" t="str">
        <f t="shared" si="22"/>
        <v/>
      </c>
      <c r="Y31" s="54" t="str">
        <f t="shared" si="23"/>
        <v/>
      </c>
      <c r="Z31" s="54" t="str">
        <f t="shared" si="24"/>
        <v/>
      </c>
      <c r="AA31" s="27" t="str">
        <f t="shared" si="25"/>
        <v/>
      </c>
      <c r="AB31" s="30" t="str">
        <f t="shared" si="26"/>
        <v/>
      </c>
      <c r="AC31" s="30" t="str">
        <f t="shared" si="27"/>
        <v/>
      </c>
      <c r="AD31" s="30" t="str">
        <f t="shared" si="28"/>
        <v/>
      </c>
      <c r="AE31" s="60" t="str">
        <f t="shared" si="29"/>
        <v/>
      </c>
      <c r="AF31" s="54" t="str">
        <f t="shared" si="30"/>
        <v/>
      </c>
      <c r="AG31" s="55" t="str">
        <f t="shared" si="31"/>
        <v/>
      </c>
      <c r="AH31" s="15"/>
      <c r="AI31" t="str">
        <f t="shared" si="32"/>
        <v>dpp</v>
      </c>
      <c r="AN31"/>
      <c r="AO31"/>
      <c r="AP31"/>
      <c r="AR31" s="82" t="s">
        <v>449</v>
      </c>
    </row>
    <row r="32" spans="2:44">
      <c r="B32" s="45" t="s">
        <v>461</v>
      </c>
      <c r="C32" s="35" t="s">
        <v>125</v>
      </c>
      <c r="D32" s="14"/>
      <c r="E32" s="46" t="str">
        <f t="shared" si="0"/>
        <v/>
      </c>
      <c r="F32" s="47" t="str">
        <f t="shared" si="1"/>
        <v/>
      </c>
      <c r="G32" s="48" t="str">
        <f t="shared" si="2"/>
        <v/>
      </c>
      <c r="H32" s="26" t="str">
        <f t="shared" si="3"/>
        <v/>
      </c>
      <c r="I32" s="29" t="str">
        <f t="shared" si="4"/>
        <v/>
      </c>
      <c r="J32" s="29" t="str">
        <f t="shared" si="5"/>
        <v/>
      </c>
      <c r="K32" s="49" t="str">
        <f t="shared" si="6"/>
        <v/>
      </c>
      <c r="L32" s="46" t="str">
        <f t="shared" si="7"/>
        <v/>
      </c>
      <c r="M32" s="47" t="str">
        <f t="shared" si="8"/>
        <v/>
      </c>
      <c r="N32" s="48" t="str">
        <f t="shared" si="9"/>
        <v/>
      </c>
      <c r="O32" s="12" t="str">
        <f t="shared" si="10"/>
        <v/>
      </c>
      <c r="P32" s="18"/>
      <c r="Q32" s="12" t="str">
        <f t="shared" si="11"/>
        <v/>
      </c>
      <c r="R32" s="18"/>
      <c r="S32" s="12"/>
      <c r="T32" s="19" t="s">
        <v>528</v>
      </c>
      <c r="U32" s="20"/>
      <c r="V32" s="20" t="s">
        <v>106</v>
      </c>
      <c r="W32" s="40"/>
      <c r="X32" s="41" t="str">
        <f t="shared" si="22"/>
        <v/>
      </c>
      <c r="Y32" s="42" t="str">
        <f t="shared" si="23"/>
        <v/>
      </c>
      <c r="Z32" s="42" t="str">
        <f t="shared" si="24"/>
        <v/>
      </c>
      <c r="AA32" s="25" t="str">
        <f t="shared" si="25"/>
        <v/>
      </c>
      <c r="AB32" s="28" t="str">
        <f t="shared" si="26"/>
        <v/>
      </c>
      <c r="AC32" s="28" t="str">
        <f t="shared" si="27"/>
        <v/>
      </c>
      <c r="AD32" s="28" t="str">
        <f t="shared" si="28"/>
        <v/>
      </c>
      <c r="AE32" s="58" t="str">
        <f t="shared" si="29"/>
        <v/>
      </c>
      <c r="AF32" s="42" t="str">
        <f t="shared" si="30"/>
        <v/>
      </c>
      <c r="AG32" s="43" t="str">
        <f t="shared" si="31"/>
        <v/>
      </c>
      <c r="AH32" s="15"/>
      <c r="AI32" t="str">
        <f t="shared" si="32"/>
        <v>dpp</v>
      </c>
      <c r="AR32" s="82" t="s">
        <v>282</v>
      </c>
    </row>
    <row r="33" spans="2:44">
      <c r="B33" s="50" t="s">
        <v>461</v>
      </c>
      <c r="C33" s="51" t="s">
        <v>445</v>
      </c>
      <c r="D33" s="52"/>
      <c r="E33" s="53" t="str">
        <f t="shared" si="0"/>
        <v/>
      </c>
      <c r="F33" s="54" t="str">
        <f t="shared" si="1"/>
        <v/>
      </c>
      <c r="G33" s="55" t="str">
        <f t="shared" si="2"/>
        <v/>
      </c>
      <c r="H33" s="27" t="str">
        <f t="shared" si="3"/>
        <v/>
      </c>
      <c r="I33" s="30" t="str">
        <f t="shared" si="4"/>
        <v/>
      </c>
      <c r="J33" s="30" t="str">
        <f t="shared" si="5"/>
        <v/>
      </c>
      <c r="K33" s="56" t="str">
        <f t="shared" si="6"/>
        <v/>
      </c>
      <c r="L33" s="53" t="str">
        <f t="shared" si="7"/>
        <v/>
      </c>
      <c r="M33" s="54" t="str">
        <f t="shared" si="8"/>
        <v/>
      </c>
      <c r="N33" s="55" t="str">
        <f t="shared" si="9"/>
        <v/>
      </c>
      <c r="O33" s="12" t="str">
        <f t="shared" si="10"/>
        <v/>
      </c>
      <c r="P33" s="18"/>
      <c r="Q33" s="12" t="str">
        <f t="shared" si="11"/>
        <v/>
      </c>
      <c r="R33" s="18"/>
      <c r="S33" s="12"/>
      <c r="T33" s="21" t="s">
        <v>528</v>
      </c>
      <c r="U33" s="12"/>
      <c r="V33" s="12" t="s">
        <v>393</v>
      </c>
      <c r="W33" s="14"/>
      <c r="X33" s="46" t="str">
        <f t="shared" si="22"/>
        <v/>
      </c>
      <c r="Y33" s="47" t="str">
        <f t="shared" si="23"/>
        <v/>
      </c>
      <c r="Z33" s="47" t="str">
        <f t="shared" si="24"/>
        <v/>
      </c>
      <c r="AA33" s="26" t="str">
        <f t="shared" si="25"/>
        <v/>
      </c>
      <c r="AB33" s="29" t="str">
        <f t="shared" si="26"/>
        <v/>
      </c>
      <c r="AC33" s="29" t="str">
        <f t="shared" si="27"/>
        <v/>
      </c>
      <c r="AD33" s="29" t="str">
        <f t="shared" si="28"/>
        <v/>
      </c>
      <c r="AE33" s="59" t="str">
        <f t="shared" si="29"/>
        <v/>
      </c>
      <c r="AF33" s="47" t="str">
        <f t="shared" si="30"/>
        <v/>
      </c>
      <c r="AG33" s="48" t="str">
        <f t="shared" si="31"/>
        <v/>
      </c>
      <c r="AH33" s="15"/>
      <c r="AI33" t="str">
        <f t="shared" si="32"/>
        <v>dpp</v>
      </c>
      <c r="AR33" s="82" t="s">
        <v>453</v>
      </c>
    </row>
    <row r="34" spans="2:44">
      <c r="B34" s="38" t="s">
        <v>547</v>
      </c>
      <c r="C34" s="39" t="s">
        <v>546</v>
      </c>
      <c r="D34" s="40"/>
      <c r="E34" s="41" t="str">
        <f t="shared" si="0"/>
        <v/>
      </c>
      <c r="F34" s="42" t="str">
        <f t="shared" si="1"/>
        <v/>
      </c>
      <c r="G34" s="43" t="str">
        <f t="shared" si="2"/>
        <v/>
      </c>
      <c r="H34" s="25" t="str">
        <f t="shared" si="3"/>
        <v/>
      </c>
      <c r="I34" s="28" t="str">
        <f t="shared" si="4"/>
        <v/>
      </c>
      <c r="J34" s="28" t="str">
        <f t="shared" si="5"/>
        <v/>
      </c>
      <c r="K34" s="44" t="str">
        <f t="shared" si="6"/>
        <v/>
      </c>
      <c r="L34" s="41" t="str">
        <f t="shared" si="7"/>
        <v/>
      </c>
      <c r="M34" s="42" t="str">
        <f t="shared" si="8"/>
        <v/>
      </c>
      <c r="N34" s="43" t="str">
        <f t="shared" si="9"/>
        <v/>
      </c>
      <c r="O34" s="12" t="str">
        <f t="shared" si="10"/>
        <v/>
      </c>
      <c r="P34" s="18" t="str">
        <f>IF(SUM(O34:O36)=3,"F",IF(SUM(O34:O36)=2,"fd",""))</f>
        <v/>
      </c>
      <c r="Q34" s="12" t="str">
        <f t="shared" si="11"/>
        <v/>
      </c>
      <c r="R34" s="18" t="str">
        <f>IF(SUM(Q34:Q36)=3,"D",IF(SUM(Q34:Q36)=2,"dp",""))</f>
        <v/>
      </c>
      <c r="S34" s="12"/>
      <c r="T34" s="19" t="s">
        <v>529</v>
      </c>
      <c r="U34" s="20"/>
      <c r="V34" s="20" t="s">
        <v>474</v>
      </c>
      <c r="W34" s="40"/>
      <c r="X34" s="41" t="str">
        <f t="shared" si="22"/>
        <v/>
      </c>
      <c r="Y34" s="42" t="str">
        <f t="shared" si="23"/>
        <v/>
      </c>
      <c r="Z34" s="42" t="str">
        <f t="shared" si="24"/>
        <v/>
      </c>
      <c r="AA34" s="25" t="str">
        <f t="shared" si="25"/>
        <v/>
      </c>
      <c r="AB34" s="28" t="str">
        <f t="shared" si="26"/>
        <v/>
      </c>
      <c r="AC34" s="28" t="str">
        <f t="shared" si="27"/>
        <v/>
      </c>
      <c r="AD34" s="28" t="str">
        <f t="shared" si="28"/>
        <v/>
      </c>
      <c r="AE34" s="58" t="str">
        <f t="shared" si="29"/>
        <v/>
      </c>
      <c r="AF34" s="42" t="str">
        <f t="shared" si="30"/>
        <v/>
      </c>
      <c r="AG34" s="43" t="str">
        <f t="shared" si="31"/>
        <v/>
      </c>
      <c r="AH34" s="15"/>
      <c r="AI34" t="str">
        <f t="shared" si="32"/>
        <v>dpp</v>
      </c>
      <c r="AR34" s="82" t="s">
        <v>466</v>
      </c>
    </row>
    <row r="35" spans="2:44">
      <c r="B35" s="45" t="s">
        <v>547</v>
      </c>
      <c r="C35" s="35" t="s">
        <v>266</v>
      </c>
      <c r="D35" s="14"/>
      <c r="E35" s="46" t="str">
        <f t="shared" si="0"/>
        <v/>
      </c>
      <c r="F35" s="47" t="str">
        <f t="shared" si="1"/>
        <v/>
      </c>
      <c r="G35" s="48" t="str">
        <f t="shared" si="2"/>
        <v/>
      </c>
      <c r="H35" s="26" t="str">
        <f t="shared" si="3"/>
        <v/>
      </c>
      <c r="I35" s="29" t="str">
        <f t="shared" si="4"/>
        <v/>
      </c>
      <c r="J35" s="29" t="str">
        <f t="shared" si="5"/>
        <v/>
      </c>
      <c r="K35" s="49" t="str">
        <f t="shared" si="6"/>
        <v/>
      </c>
      <c r="L35" s="46" t="str">
        <f t="shared" si="7"/>
        <v/>
      </c>
      <c r="M35" s="47" t="str">
        <f t="shared" si="8"/>
        <v/>
      </c>
      <c r="N35" s="48" t="str">
        <f t="shared" si="9"/>
        <v/>
      </c>
      <c r="O35" s="12" t="str">
        <f t="shared" si="10"/>
        <v/>
      </c>
      <c r="P35" s="18"/>
      <c r="Q35" s="12" t="str">
        <f t="shared" si="11"/>
        <v/>
      </c>
      <c r="R35" s="18"/>
      <c r="S35" s="12"/>
      <c r="T35" s="21" t="s">
        <v>529</v>
      </c>
      <c r="U35" s="12"/>
      <c r="V35" s="12" t="s">
        <v>469</v>
      </c>
      <c r="W35" s="14"/>
      <c r="X35" s="46" t="str">
        <f t="shared" si="22"/>
        <v/>
      </c>
      <c r="Y35" s="47" t="str">
        <f t="shared" si="23"/>
        <v/>
      </c>
      <c r="Z35" s="47" t="str">
        <f t="shared" si="24"/>
        <v/>
      </c>
      <c r="AA35" s="26" t="str">
        <f t="shared" si="25"/>
        <v/>
      </c>
      <c r="AB35" s="29" t="str">
        <f t="shared" si="26"/>
        <v/>
      </c>
      <c r="AC35" s="29" t="str">
        <f t="shared" si="27"/>
        <v/>
      </c>
      <c r="AD35" s="29" t="str">
        <f t="shared" si="28"/>
        <v/>
      </c>
      <c r="AE35" s="59" t="str">
        <f t="shared" si="29"/>
        <v/>
      </c>
      <c r="AF35" s="47" t="str">
        <f t="shared" si="30"/>
        <v/>
      </c>
      <c r="AG35" s="48" t="str">
        <f t="shared" si="31"/>
        <v/>
      </c>
      <c r="AH35" s="15"/>
      <c r="AI35" t="str">
        <f t="shared" si="32"/>
        <v>dpp</v>
      </c>
    </row>
    <row r="36" spans="2:44">
      <c r="B36" s="50" t="s">
        <v>547</v>
      </c>
      <c r="C36" s="51" t="s">
        <v>179</v>
      </c>
      <c r="D36" s="52"/>
      <c r="E36" s="53" t="str">
        <f t="shared" si="0"/>
        <v/>
      </c>
      <c r="F36" s="54" t="str">
        <f t="shared" si="1"/>
        <v/>
      </c>
      <c r="G36" s="55" t="str">
        <f t="shared" si="2"/>
        <v/>
      </c>
      <c r="H36" s="27" t="str">
        <f t="shared" si="3"/>
        <v/>
      </c>
      <c r="I36" s="30" t="str">
        <f t="shared" si="4"/>
        <v/>
      </c>
      <c r="J36" s="30" t="str">
        <f t="shared" si="5"/>
        <v/>
      </c>
      <c r="K36" s="56" t="str">
        <f t="shared" si="6"/>
        <v/>
      </c>
      <c r="L36" s="53" t="str">
        <f t="shared" si="7"/>
        <v/>
      </c>
      <c r="M36" s="54" t="str">
        <f t="shared" si="8"/>
        <v/>
      </c>
      <c r="N36" s="55" t="str">
        <f t="shared" si="9"/>
        <v/>
      </c>
      <c r="O36" s="12" t="str">
        <f t="shared" si="10"/>
        <v/>
      </c>
      <c r="P36" s="18"/>
      <c r="Q36" s="12" t="str">
        <f t="shared" si="11"/>
        <v/>
      </c>
      <c r="R36" s="18"/>
      <c r="S36" s="12"/>
      <c r="T36" s="19" t="s">
        <v>526</v>
      </c>
      <c r="U36" s="20"/>
      <c r="V36" s="20" t="s">
        <v>63</v>
      </c>
      <c r="W36" s="40"/>
      <c r="X36" s="41" t="str">
        <f t="shared" si="22"/>
        <v/>
      </c>
      <c r="Y36" s="42" t="str">
        <f t="shared" si="23"/>
        <v/>
      </c>
      <c r="Z36" s="42" t="str">
        <f t="shared" si="24"/>
        <v/>
      </c>
      <c r="AA36" s="25" t="str">
        <f t="shared" si="25"/>
        <v/>
      </c>
      <c r="AB36" s="28" t="str">
        <f t="shared" si="26"/>
        <v/>
      </c>
      <c r="AC36" s="28" t="str">
        <f t="shared" si="27"/>
        <v/>
      </c>
      <c r="AD36" s="28" t="str">
        <f t="shared" si="28"/>
        <v/>
      </c>
      <c r="AE36" s="58" t="str">
        <f t="shared" si="29"/>
        <v/>
      </c>
      <c r="AF36" s="42" t="str">
        <f t="shared" si="30"/>
        <v/>
      </c>
      <c r="AG36" s="43" t="str">
        <f t="shared" si="31"/>
        <v/>
      </c>
      <c r="AH36" s="15"/>
      <c r="AI36" t="str">
        <f t="shared" si="32"/>
        <v>dpp</v>
      </c>
    </row>
    <row r="37" spans="2:44">
      <c r="B37" s="38" t="s">
        <v>536</v>
      </c>
      <c r="C37" s="39" t="s">
        <v>27</v>
      </c>
      <c r="D37" s="40"/>
      <c r="E37" s="41" t="str">
        <f t="shared" si="0"/>
        <v/>
      </c>
      <c r="F37" s="42" t="str">
        <f t="shared" si="1"/>
        <v/>
      </c>
      <c r="G37" s="43" t="str">
        <f t="shared" si="2"/>
        <v/>
      </c>
      <c r="H37" s="25" t="str">
        <f t="shared" si="3"/>
        <v/>
      </c>
      <c r="I37" s="28" t="str">
        <f t="shared" si="4"/>
        <v/>
      </c>
      <c r="J37" s="28" t="str">
        <f t="shared" si="5"/>
        <v/>
      </c>
      <c r="K37" s="44" t="str">
        <f t="shared" si="6"/>
        <v/>
      </c>
      <c r="L37" s="41" t="str">
        <f t="shared" si="7"/>
        <v/>
      </c>
      <c r="M37" s="42" t="str">
        <f t="shared" si="8"/>
        <v/>
      </c>
      <c r="N37" s="43" t="str">
        <f t="shared" si="9"/>
        <v/>
      </c>
      <c r="O37" s="12" t="str">
        <f t="shared" si="10"/>
        <v/>
      </c>
      <c r="P37" s="18" t="str">
        <f>IF(SUM(O37:O39)=3,"F",IF(SUM(O37:O39)=2,"fd",""))</f>
        <v/>
      </c>
      <c r="Q37" s="12" t="str">
        <f t="shared" si="11"/>
        <v/>
      </c>
      <c r="R37" s="18" t="str">
        <f>IF(SUM(Q37:Q39)=3,"D",IF(SUM(Q37:Q39)=2,"dp",""))</f>
        <v/>
      </c>
      <c r="S37" s="12"/>
      <c r="T37" s="21" t="s">
        <v>526</v>
      </c>
      <c r="U37" s="12"/>
      <c r="V37" s="12" t="s">
        <v>621</v>
      </c>
      <c r="W37" s="14"/>
      <c r="X37" s="46" t="str">
        <f t="shared" si="22"/>
        <v/>
      </c>
      <c r="Y37" s="47" t="str">
        <f t="shared" si="23"/>
        <v/>
      </c>
      <c r="Z37" s="47" t="str">
        <f t="shared" si="24"/>
        <v/>
      </c>
      <c r="AA37" s="26" t="str">
        <f t="shared" si="25"/>
        <v/>
      </c>
      <c r="AB37" s="29" t="str">
        <f t="shared" si="26"/>
        <v/>
      </c>
      <c r="AC37" s="29" t="str">
        <f t="shared" si="27"/>
        <v/>
      </c>
      <c r="AD37" s="29" t="str">
        <f t="shared" si="28"/>
        <v/>
      </c>
      <c r="AE37" s="59" t="str">
        <f t="shared" si="29"/>
        <v/>
      </c>
      <c r="AF37" s="47" t="str">
        <f t="shared" si="30"/>
        <v/>
      </c>
      <c r="AG37" s="48" t="str">
        <f t="shared" si="31"/>
        <v/>
      </c>
      <c r="AH37" s="15"/>
      <c r="AI37" t="str">
        <f t="shared" si="32"/>
        <v>dpp</v>
      </c>
    </row>
    <row r="38" spans="2:44">
      <c r="B38" s="45" t="s">
        <v>536</v>
      </c>
      <c r="C38" s="35" t="s">
        <v>306</v>
      </c>
      <c r="D38" s="14"/>
      <c r="E38" s="46" t="str">
        <f t="shared" si="0"/>
        <v/>
      </c>
      <c r="F38" s="47" t="str">
        <f t="shared" si="1"/>
        <v/>
      </c>
      <c r="G38" s="48" t="str">
        <f t="shared" si="2"/>
        <v/>
      </c>
      <c r="H38" s="26" t="str">
        <f t="shared" si="3"/>
        <v/>
      </c>
      <c r="I38" s="29" t="str">
        <f t="shared" si="4"/>
        <v/>
      </c>
      <c r="J38" s="29" t="str">
        <f t="shared" si="5"/>
        <v/>
      </c>
      <c r="K38" s="49" t="str">
        <f t="shared" si="6"/>
        <v/>
      </c>
      <c r="L38" s="46" t="str">
        <f t="shared" si="7"/>
        <v/>
      </c>
      <c r="M38" s="47" t="str">
        <f t="shared" si="8"/>
        <v/>
      </c>
      <c r="N38" s="48" t="str">
        <f t="shared" si="9"/>
        <v/>
      </c>
      <c r="O38" s="12" t="str">
        <f t="shared" si="10"/>
        <v/>
      </c>
      <c r="P38" s="18"/>
      <c r="Q38" s="12" t="str">
        <f t="shared" si="11"/>
        <v/>
      </c>
      <c r="R38" s="18"/>
      <c r="S38" s="12"/>
      <c r="T38" s="19" t="s">
        <v>525</v>
      </c>
      <c r="U38" s="20"/>
      <c r="V38" s="20" t="s">
        <v>475</v>
      </c>
      <c r="W38" s="40"/>
      <c r="X38" s="41" t="str">
        <f t="shared" si="22"/>
        <v/>
      </c>
      <c r="Y38" s="42" t="str">
        <f t="shared" si="23"/>
        <v/>
      </c>
      <c r="Z38" s="42" t="str">
        <f t="shared" si="24"/>
        <v/>
      </c>
      <c r="AA38" s="25" t="str">
        <f t="shared" si="25"/>
        <v/>
      </c>
      <c r="AB38" s="28" t="str">
        <f t="shared" si="26"/>
        <v/>
      </c>
      <c r="AC38" s="28" t="str">
        <f t="shared" si="27"/>
        <v/>
      </c>
      <c r="AD38" s="28" t="str">
        <f t="shared" si="28"/>
        <v/>
      </c>
      <c r="AE38" s="58" t="str">
        <f t="shared" si="29"/>
        <v/>
      </c>
      <c r="AF38" s="42" t="str">
        <f t="shared" si="30"/>
        <v/>
      </c>
      <c r="AG38" s="43" t="str">
        <f t="shared" si="31"/>
        <v/>
      </c>
      <c r="AH38" s="15"/>
      <c r="AI38" t="str">
        <f t="shared" si="32"/>
        <v>dpp</v>
      </c>
    </row>
    <row r="39" spans="2:44">
      <c r="B39" s="50" t="s">
        <v>536</v>
      </c>
      <c r="C39" s="51" t="s">
        <v>564</v>
      </c>
      <c r="D39" s="52"/>
      <c r="E39" s="53" t="str">
        <f t="shared" si="0"/>
        <v/>
      </c>
      <c r="F39" s="54" t="str">
        <f t="shared" si="1"/>
        <v/>
      </c>
      <c r="G39" s="55" t="str">
        <f t="shared" si="2"/>
        <v/>
      </c>
      <c r="H39" s="27" t="str">
        <f t="shared" si="3"/>
        <v/>
      </c>
      <c r="I39" s="30" t="str">
        <f t="shared" si="4"/>
        <v/>
      </c>
      <c r="J39" s="30" t="str">
        <f t="shared" si="5"/>
        <v/>
      </c>
      <c r="K39" s="56" t="str">
        <f t="shared" si="6"/>
        <v/>
      </c>
      <c r="L39" s="53" t="str">
        <f t="shared" si="7"/>
        <v/>
      </c>
      <c r="M39" s="54" t="str">
        <f t="shared" si="8"/>
        <v/>
      </c>
      <c r="N39" s="55" t="str">
        <f t="shared" si="9"/>
        <v/>
      </c>
      <c r="O39" s="12" t="str">
        <f t="shared" si="10"/>
        <v/>
      </c>
      <c r="P39" s="18"/>
      <c r="Q39" s="12" t="str">
        <f t="shared" si="11"/>
        <v/>
      </c>
      <c r="R39" s="18"/>
      <c r="S39" s="12"/>
      <c r="T39" s="21" t="s">
        <v>525</v>
      </c>
      <c r="U39" s="12"/>
      <c r="V39" s="12" t="s">
        <v>392</v>
      </c>
      <c r="W39" s="14"/>
      <c r="X39" s="46" t="str">
        <f t="shared" si="22"/>
        <v/>
      </c>
      <c r="Y39" s="47" t="str">
        <f t="shared" si="23"/>
        <v/>
      </c>
      <c r="Z39" s="47" t="str">
        <f t="shared" si="24"/>
        <v/>
      </c>
      <c r="AA39" s="26" t="str">
        <f t="shared" si="25"/>
        <v/>
      </c>
      <c r="AB39" s="29" t="str">
        <f t="shared" si="26"/>
        <v/>
      </c>
      <c r="AC39" s="29" t="str">
        <f t="shared" si="27"/>
        <v/>
      </c>
      <c r="AD39" s="29" t="str">
        <f t="shared" si="28"/>
        <v/>
      </c>
      <c r="AE39" s="59" t="str">
        <f t="shared" si="29"/>
        <v/>
      </c>
      <c r="AF39" s="47" t="str">
        <f t="shared" si="30"/>
        <v/>
      </c>
      <c r="AG39" s="48" t="str">
        <f t="shared" si="31"/>
        <v/>
      </c>
      <c r="AH39" s="15"/>
      <c r="AI39" t="str">
        <f t="shared" si="32"/>
        <v>dpp</v>
      </c>
    </row>
    <row r="40" spans="2:44">
      <c r="B40" s="38" t="s">
        <v>392</v>
      </c>
      <c r="C40" s="39" t="s">
        <v>16</v>
      </c>
      <c r="D40" s="40"/>
      <c r="E40" s="41" t="str">
        <f t="shared" si="0"/>
        <v/>
      </c>
      <c r="F40" s="42" t="str">
        <f t="shared" si="1"/>
        <v/>
      </c>
      <c r="G40" s="43" t="str">
        <f t="shared" si="2"/>
        <v/>
      </c>
      <c r="H40" s="25" t="str">
        <f t="shared" si="3"/>
        <v/>
      </c>
      <c r="I40" s="28" t="str">
        <f t="shared" si="4"/>
        <v/>
      </c>
      <c r="J40" s="28" t="str">
        <f t="shared" si="5"/>
        <v/>
      </c>
      <c r="K40" s="44" t="str">
        <f t="shared" si="6"/>
        <v/>
      </c>
      <c r="L40" s="41" t="str">
        <f t="shared" si="7"/>
        <v/>
      </c>
      <c r="M40" s="42" t="str">
        <f t="shared" si="8"/>
        <v/>
      </c>
      <c r="N40" s="43" t="str">
        <f t="shared" si="9"/>
        <v/>
      </c>
      <c r="O40" s="12" t="str">
        <f t="shared" si="10"/>
        <v/>
      </c>
      <c r="P40" s="18" t="str">
        <f>IF(SUM(O40:O42)=3,"F",IF(SUM(O40:O42)=2,"fd",""))</f>
        <v/>
      </c>
      <c r="Q40" s="12" t="str">
        <f t="shared" si="11"/>
        <v/>
      </c>
      <c r="R40" s="18" t="str">
        <f>IF(SUM(Q40:Q42)=3,"D",IF(SUM(Q40:Q42)=2,"dp",""))</f>
        <v/>
      </c>
      <c r="S40" s="12"/>
      <c r="T40" s="19" t="s">
        <v>530</v>
      </c>
      <c r="U40" s="20"/>
      <c r="V40" s="20" t="s">
        <v>442</v>
      </c>
      <c r="W40" s="40"/>
      <c r="X40" s="41" t="str">
        <f t="shared" si="22"/>
        <v/>
      </c>
      <c r="Y40" s="42" t="str">
        <f t="shared" si="23"/>
        <v/>
      </c>
      <c r="Z40" s="42" t="str">
        <f t="shared" si="24"/>
        <v/>
      </c>
      <c r="AA40" s="25" t="str">
        <f t="shared" si="25"/>
        <v/>
      </c>
      <c r="AB40" s="28" t="str">
        <f t="shared" si="26"/>
        <v/>
      </c>
      <c r="AC40" s="28" t="str">
        <f t="shared" si="27"/>
        <v/>
      </c>
      <c r="AD40" s="28" t="str">
        <f t="shared" si="28"/>
        <v/>
      </c>
      <c r="AE40" s="58" t="str">
        <f t="shared" si="29"/>
        <v/>
      </c>
      <c r="AF40" s="42" t="str">
        <f t="shared" si="30"/>
        <v/>
      </c>
      <c r="AG40" s="43" t="str">
        <f t="shared" si="31"/>
        <v/>
      </c>
      <c r="AH40" s="15"/>
      <c r="AI40" t="str">
        <f t="shared" si="32"/>
        <v>dpp</v>
      </c>
    </row>
    <row r="41" spans="2:44">
      <c r="B41" s="45" t="s">
        <v>392</v>
      </c>
      <c r="C41" s="35" t="s">
        <v>463</v>
      </c>
      <c r="D41" s="14"/>
      <c r="E41" s="46" t="str">
        <f t="shared" si="0"/>
        <v/>
      </c>
      <c r="F41" s="47" t="str">
        <f t="shared" si="1"/>
        <v/>
      </c>
      <c r="G41" s="48" t="str">
        <f t="shared" si="2"/>
        <v/>
      </c>
      <c r="H41" s="26" t="str">
        <f t="shared" si="3"/>
        <v/>
      </c>
      <c r="I41" s="29" t="str">
        <f t="shared" si="4"/>
        <v/>
      </c>
      <c r="J41" s="29" t="str">
        <f t="shared" si="5"/>
        <v/>
      </c>
      <c r="K41" s="49" t="str">
        <f t="shared" si="6"/>
        <v/>
      </c>
      <c r="L41" s="46" t="str">
        <f t="shared" si="7"/>
        <v/>
      </c>
      <c r="M41" s="47" t="str">
        <f t="shared" si="8"/>
        <v/>
      </c>
      <c r="N41" s="48" t="str">
        <f t="shared" si="9"/>
        <v/>
      </c>
      <c r="O41" s="12" t="str">
        <f t="shared" si="10"/>
        <v/>
      </c>
      <c r="P41" s="18"/>
      <c r="Q41" s="12" t="str">
        <f t="shared" si="11"/>
        <v/>
      </c>
      <c r="R41" s="18"/>
      <c r="S41" s="12"/>
      <c r="T41" s="22" t="s">
        <v>530</v>
      </c>
      <c r="U41" s="23"/>
      <c r="V41" s="23" t="s">
        <v>620</v>
      </c>
      <c r="W41" s="52"/>
      <c r="X41" s="53" t="str">
        <f t="shared" si="22"/>
        <v/>
      </c>
      <c r="Y41" s="54" t="str">
        <f t="shared" si="23"/>
        <v/>
      </c>
      <c r="Z41" s="54" t="str">
        <f t="shared" si="24"/>
        <v/>
      </c>
      <c r="AA41" s="27" t="str">
        <f t="shared" si="25"/>
        <v/>
      </c>
      <c r="AB41" s="30" t="str">
        <f t="shared" si="26"/>
        <v/>
      </c>
      <c r="AC41" s="30" t="str">
        <f t="shared" si="27"/>
        <v/>
      </c>
      <c r="AD41" s="30" t="str">
        <f t="shared" si="28"/>
        <v/>
      </c>
      <c r="AE41" s="60" t="str">
        <f t="shared" si="29"/>
        <v/>
      </c>
      <c r="AF41" s="54" t="str">
        <f t="shared" si="30"/>
        <v/>
      </c>
      <c r="AG41" s="55" t="str">
        <f t="shared" si="31"/>
        <v/>
      </c>
      <c r="AH41" s="15"/>
      <c r="AI41" t="str">
        <f t="shared" si="32"/>
        <v>dpp</v>
      </c>
    </row>
    <row r="42" spans="2:44">
      <c r="B42" s="50" t="s">
        <v>392</v>
      </c>
      <c r="C42" s="51" t="s">
        <v>313</v>
      </c>
      <c r="D42" s="52"/>
      <c r="E42" s="53" t="str">
        <f t="shared" si="0"/>
        <v/>
      </c>
      <c r="F42" s="54" t="str">
        <f t="shared" si="1"/>
        <v/>
      </c>
      <c r="G42" s="55" t="str">
        <f t="shared" si="2"/>
        <v/>
      </c>
      <c r="H42" s="27" t="str">
        <f t="shared" si="3"/>
        <v/>
      </c>
      <c r="I42" s="30" t="str">
        <f t="shared" si="4"/>
        <v/>
      </c>
      <c r="J42" s="30" t="str">
        <f t="shared" si="5"/>
        <v/>
      </c>
      <c r="K42" s="56" t="str">
        <f t="shared" si="6"/>
        <v/>
      </c>
      <c r="L42" s="53" t="str">
        <f t="shared" si="7"/>
        <v/>
      </c>
      <c r="M42" s="54" t="str">
        <f t="shared" si="8"/>
        <v/>
      </c>
      <c r="N42" s="55" t="str">
        <f t="shared" si="9"/>
        <v/>
      </c>
      <c r="O42" s="12" t="str">
        <f t="shared" si="10"/>
        <v/>
      </c>
      <c r="P42" s="18"/>
      <c r="Q42" s="12" t="str">
        <f t="shared" si="11"/>
        <v/>
      </c>
      <c r="R42" s="18"/>
      <c r="S42" s="12"/>
      <c r="T42" s="12"/>
      <c r="U42" s="12"/>
      <c r="V42" s="12"/>
      <c r="W42" s="12"/>
      <c r="X42" s="15" t="str">
        <f t="shared" si="22"/>
        <v/>
      </c>
      <c r="Y42" s="15" t="str">
        <f t="shared" si="23"/>
        <v/>
      </c>
      <c r="Z42" s="15" t="str">
        <f t="shared" si="24"/>
        <v/>
      </c>
      <c r="AA42" s="16" t="str">
        <f t="shared" si="25"/>
        <v/>
      </c>
      <c r="AB42" s="16" t="str">
        <f t="shared" si="26"/>
        <v/>
      </c>
      <c r="AC42" s="16" t="str">
        <f t="shared" si="27"/>
        <v/>
      </c>
      <c r="AD42" s="16" t="str">
        <f t="shared" si="28"/>
        <v/>
      </c>
      <c r="AE42" s="15" t="str">
        <f t="shared" si="29"/>
        <v/>
      </c>
      <c r="AF42" s="15" t="str">
        <f t="shared" si="30"/>
        <v/>
      </c>
      <c r="AG42" s="15" t="str">
        <f t="shared" si="31"/>
        <v/>
      </c>
      <c r="AH42" s="15"/>
    </row>
    <row r="43" spans="2:44">
      <c r="B43" s="38" t="s">
        <v>475</v>
      </c>
      <c r="C43" s="39" t="s">
        <v>197</v>
      </c>
      <c r="D43" s="40"/>
      <c r="E43" s="41" t="str">
        <f t="shared" si="0"/>
        <v/>
      </c>
      <c r="F43" s="42" t="str">
        <f t="shared" si="1"/>
        <v/>
      </c>
      <c r="G43" s="43" t="str">
        <f t="shared" si="2"/>
        <v/>
      </c>
      <c r="H43" s="25" t="str">
        <f t="shared" si="3"/>
        <v/>
      </c>
      <c r="I43" s="28" t="str">
        <f t="shared" si="4"/>
        <v/>
      </c>
      <c r="J43" s="28" t="str">
        <f t="shared" si="5"/>
        <v/>
      </c>
      <c r="K43" s="44" t="str">
        <f t="shared" si="6"/>
        <v/>
      </c>
      <c r="L43" s="41" t="str">
        <f t="shared" si="7"/>
        <v/>
      </c>
      <c r="M43" s="42" t="str">
        <f t="shared" si="8"/>
        <v/>
      </c>
      <c r="N43" s="43" t="str">
        <f t="shared" si="9"/>
        <v/>
      </c>
      <c r="O43" s="12" t="str">
        <f t="shared" si="10"/>
        <v/>
      </c>
      <c r="P43" s="18" t="str">
        <f>IF(SUM(O43:O45)=3,"F",IF(SUM(O43:O45)=2,"fd",""))</f>
        <v/>
      </c>
      <c r="Q43" s="12" t="str">
        <f t="shared" si="11"/>
        <v/>
      </c>
      <c r="R43" s="18" t="str">
        <f>IF(SUM(Q43:Q45)=3,"D",IF(SUM(Q43:Q45)=2,"dp",""))</f>
        <v/>
      </c>
      <c r="S43" s="12"/>
      <c r="T43" s="12"/>
      <c r="U43" s="12"/>
      <c r="V43" s="12"/>
      <c r="W43" s="12"/>
      <c r="X43" s="15" t="str">
        <f t="shared" si="22"/>
        <v/>
      </c>
      <c r="Y43" s="15" t="str">
        <f t="shared" si="23"/>
        <v/>
      </c>
      <c r="Z43" s="15" t="str">
        <f t="shared" si="24"/>
        <v/>
      </c>
      <c r="AA43" s="16" t="str">
        <f t="shared" si="25"/>
        <v/>
      </c>
      <c r="AB43" s="16" t="str">
        <f t="shared" si="26"/>
        <v/>
      </c>
      <c r="AC43" s="16" t="str">
        <f t="shared" si="27"/>
        <v/>
      </c>
      <c r="AD43" s="16" t="str">
        <f t="shared" si="28"/>
        <v/>
      </c>
      <c r="AE43" s="15" t="str">
        <f t="shared" si="29"/>
        <v/>
      </c>
      <c r="AF43" s="15" t="str">
        <f t="shared" si="30"/>
        <v/>
      </c>
      <c r="AG43" s="15" t="str">
        <f t="shared" si="31"/>
        <v/>
      </c>
      <c r="AH43" s="15"/>
    </row>
    <row r="44" spans="2:44">
      <c r="B44" s="45" t="s">
        <v>475</v>
      </c>
      <c r="C44" s="35" t="s">
        <v>117</v>
      </c>
      <c r="D44" s="14"/>
      <c r="E44" s="46" t="str">
        <f t="shared" si="0"/>
        <v/>
      </c>
      <c r="F44" s="47" t="str">
        <f t="shared" si="1"/>
        <v/>
      </c>
      <c r="G44" s="48" t="str">
        <f t="shared" si="2"/>
        <v/>
      </c>
      <c r="H44" s="26" t="str">
        <f t="shared" si="3"/>
        <v/>
      </c>
      <c r="I44" s="29" t="str">
        <f t="shared" si="4"/>
        <v/>
      </c>
      <c r="J44" s="29" t="str">
        <f t="shared" si="5"/>
        <v/>
      </c>
      <c r="K44" s="49" t="str">
        <f t="shared" si="6"/>
        <v/>
      </c>
      <c r="L44" s="46" t="str">
        <f t="shared" si="7"/>
        <v/>
      </c>
      <c r="M44" s="47" t="str">
        <f t="shared" si="8"/>
        <v/>
      </c>
      <c r="N44" s="48" t="str">
        <f t="shared" si="9"/>
        <v/>
      </c>
      <c r="O44" s="12" t="str">
        <f t="shared" si="10"/>
        <v/>
      </c>
      <c r="P44" s="18"/>
      <c r="Q44" s="12" t="str">
        <f t="shared" si="11"/>
        <v/>
      </c>
      <c r="R44" s="18"/>
      <c r="S44" s="12"/>
      <c r="T44" s="18" t="s">
        <v>446</v>
      </c>
      <c r="U44" s="18"/>
      <c r="V44" s="18" t="s">
        <v>446</v>
      </c>
      <c r="W44" s="18"/>
      <c r="X44" s="41" t="str">
        <f t="shared" si="22"/>
        <v/>
      </c>
      <c r="Y44" s="42" t="str">
        <f t="shared" si="23"/>
        <v/>
      </c>
      <c r="Z44" s="42" t="str">
        <f t="shared" si="24"/>
        <v/>
      </c>
      <c r="AA44" s="25" t="str">
        <f t="shared" si="25"/>
        <v/>
      </c>
      <c r="AB44" s="28" t="str">
        <f t="shared" si="26"/>
        <v/>
      </c>
      <c r="AC44" s="28" t="str">
        <f t="shared" si="27"/>
        <v/>
      </c>
      <c r="AD44" s="28" t="str">
        <f t="shared" si="28"/>
        <v/>
      </c>
      <c r="AE44" s="58" t="str">
        <f t="shared" si="29"/>
        <v/>
      </c>
      <c r="AF44" s="42" t="str">
        <f t="shared" si="30"/>
        <v/>
      </c>
      <c r="AG44" s="43" t="str">
        <f t="shared" si="31"/>
        <v/>
      </c>
      <c r="AH44" s="15"/>
      <c r="AI44" t="str">
        <f>IF(W44&gt;7,"fdp",IF(W44&lt;4,"dpp","0"))</f>
        <v>dpp</v>
      </c>
    </row>
    <row r="45" spans="2:44">
      <c r="B45" s="50" t="s">
        <v>475</v>
      </c>
      <c r="C45" s="51" t="s">
        <v>302</v>
      </c>
      <c r="D45" s="52"/>
      <c r="E45" s="53" t="str">
        <f t="shared" si="0"/>
        <v/>
      </c>
      <c r="F45" s="54" t="str">
        <f t="shared" si="1"/>
        <v/>
      </c>
      <c r="G45" s="55" t="str">
        <f t="shared" si="2"/>
        <v/>
      </c>
      <c r="H45" s="27" t="str">
        <f t="shared" si="3"/>
        <v/>
      </c>
      <c r="I45" s="30" t="str">
        <f t="shared" si="4"/>
        <v/>
      </c>
      <c r="J45" s="30" t="str">
        <f t="shared" si="5"/>
        <v/>
      </c>
      <c r="K45" s="56" t="str">
        <f t="shared" si="6"/>
        <v/>
      </c>
      <c r="L45" s="53" t="str">
        <f t="shared" si="7"/>
        <v/>
      </c>
      <c r="M45" s="54" t="str">
        <f t="shared" si="8"/>
        <v/>
      </c>
      <c r="N45" s="55" t="str">
        <f t="shared" si="9"/>
        <v/>
      </c>
      <c r="O45" s="12" t="str">
        <f t="shared" si="10"/>
        <v/>
      </c>
      <c r="P45" s="18"/>
      <c r="Q45" s="12" t="str">
        <f t="shared" si="11"/>
        <v/>
      </c>
      <c r="R45" s="18"/>
      <c r="S45" s="12"/>
      <c r="T45" s="18" t="s">
        <v>625</v>
      </c>
      <c r="U45" s="18"/>
      <c r="V45" s="18" t="s">
        <v>625</v>
      </c>
      <c r="W45" s="18"/>
      <c r="X45" s="46" t="str">
        <f t="shared" si="22"/>
        <v/>
      </c>
      <c r="Y45" s="47" t="str">
        <f t="shared" si="23"/>
        <v/>
      </c>
      <c r="Z45" s="47" t="str">
        <f t="shared" si="24"/>
        <v/>
      </c>
      <c r="AA45" s="26" t="str">
        <f t="shared" si="25"/>
        <v/>
      </c>
      <c r="AB45" s="29" t="str">
        <f t="shared" si="26"/>
        <v/>
      </c>
      <c r="AC45" s="29" t="str">
        <f t="shared" si="27"/>
        <v/>
      </c>
      <c r="AD45" s="29" t="str">
        <f t="shared" si="28"/>
        <v/>
      </c>
      <c r="AE45" s="59" t="str">
        <f t="shared" si="29"/>
        <v/>
      </c>
      <c r="AF45" s="47" t="str">
        <f t="shared" si="30"/>
        <v/>
      </c>
      <c r="AG45" s="48" t="str">
        <f t="shared" si="31"/>
        <v/>
      </c>
      <c r="AH45" s="15"/>
      <c r="AI45" t="str">
        <f>IF(W45&gt;7,"fdp",IF(W45&lt;4,"dpp","0"))</f>
        <v>dpp</v>
      </c>
    </row>
    <row r="46" spans="2:44">
      <c r="B46" s="38" t="s">
        <v>571</v>
      </c>
      <c r="C46" s="39" t="s">
        <v>27</v>
      </c>
      <c r="D46" s="40"/>
      <c r="E46" s="41" t="str">
        <f t="shared" si="0"/>
        <v/>
      </c>
      <c r="F46" s="42" t="str">
        <f t="shared" si="1"/>
        <v/>
      </c>
      <c r="G46" s="43" t="str">
        <f t="shared" si="2"/>
        <v/>
      </c>
      <c r="H46" s="25" t="str">
        <f t="shared" si="3"/>
        <v/>
      </c>
      <c r="I46" s="28" t="str">
        <f t="shared" si="4"/>
        <v/>
      </c>
      <c r="J46" s="28" t="str">
        <f t="shared" si="5"/>
        <v/>
      </c>
      <c r="K46" s="44" t="str">
        <f t="shared" si="6"/>
        <v/>
      </c>
      <c r="L46" s="41" t="str">
        <f t="shared" si="7"/>
        <v/>
      </c>
      <c r="M46" s="42" t="str">
        <f t="shared" si="8"/>
        <v/>
      </c>
      <c r="N46" s="43" t="str">
        <f t="shared" si="9"/>
        <v/>
      </c>
      <c r="O46" s="12" t="str">
        <f t="shared" si="10"/>
        <v/>
      </c>
      <c r="P46" s="18" t="str">
        <f>IF(SUM(O46:O48)=3,"F",IF(SUM(O46:O48)=2,"fd",""))</f>
        <v/>
      </c>
      <c r="Q46" s="12" t="str">
        <f t="shared" si="11"/>
        <v/>
      </c>
      <c r="R46" s="18" t="str">
        <f>IF(SUM(Q46:Q48)=3,"D",IF(SUM(Q46:Q48)=2,"dp",""))</f>
        <v/>
      </c>
      <c r="S46" s="12"/>
      <c r="T46" s="18" t="s">
        <v>394</v>
      </c>
      <c r="U46" s="18"/>
      <c r="V46" s="18" t="s">
        <v>394</v>
      </c>
      <c r="W46" s="18"/>
      <c r="X46" s="46" t="str">
        <f t="shared" si="22"/>
        <v/>
      </c>
      <c r="Y46" s="47" t="str">
        <f t="shared" si="23"/>
        <v/>
      </c>
      <c r="Z46" s="47" t="str">
        <f t="shared" si="24"/>
        <v/>
      </c>
      <c r="AA46" s="26" t="str">
        <f t="shared" si="25"/>
        <v/>
      </c>
      <c r="AB46" s="29" t="str">
        <f t="shared" si="26"/>
        <v/>
      </c>
      <c r="AC46" s="29" t="str">
        <f t="shared" si="27"/>
        <v/>
      </c>
      <c r="AD46" s="29" t="str">
        <f t="shared" si="28"/>
        <v/>
      </c>
      <c r="AE46" s="59" t="str">
        <f t="shared" si="29"/>
        <v/>
      </c>
      <c r="AF46" s="47" t="str">
        <f t="shared" si="30"/>
        <v/>
      </c>
      <c r="AG46" s="48" t="str">
        <f t="shared" si="31"/>
        <v/>
      </c>
      <c r="AH46" s="15"/>
      <c r="AI46" t="str">
        <f>IF(W46&gt;7,"fdp",IF(W46&lt;4,"dpp","0"))</f>
        <v>dpp</v>
      </c>
    </row>
    <row r="47" spans="2:44">
      <c r="B47" s="45" t="s">
        <v>571</v>
      </c>
      <c r="C47" s="35" t="s">
        <v>103</v>
      </c>
      <c r="D47" s="14"/>
      <c r="E47" s="46" t="str">
        <f t="shared" si="0"/>
        <v/>
      </c>
      <c r="F47" s="47" t="str">
        <f t="shared" si="1"/>
        <v/>
      </c>
      <c r="G47" s="48" t="str">
        <f t="shared" si="2"/>
        <v/>
      </c>
      <c r="H47" s="26" t="str">
        <f t="shared" si="3"/>
        <v/>
      </c>
      <c r="I47" s="29" t="str">
        <f t="shared" si="4"/>
        <v/>
      </c>
      <c r="J47" s="29" t="str">
        <f t="shared" si="5"/>
        <v/>
      </c>
      <c r="K47" s="49" t="str">
        <f t="shared" si="6"/>
        <v/>
      </c>
      <c r="L47" s="46" t="str">
        <f t="shared" si="7"/>
        <v/>
      </c>
      <c r="M47" s="47" t="str">
        <f t="shared" si="8"/>
        <v/>
      </c>
      <c r="N47" s="48" t="str">
        <f t="shared" si="9"/>
        <v/>
      </c>
      <c r="O47" s="12" t="str">
        <f t="shared" si="10"/>
        <v/>
      </c>
      <c r="P47" s="18"/>
      <c r="Q47" s="12" t="str">
        <f t="shared" si="11"/>
        <v/>
      </c>
      <c r="R47" s="18"/>
      <c r="S47" s="12"/>
      <c r="T47" s="18" t="s">
        <v>466</v>
      </c>
      <c r="U47" s="18"/>
      <c r="V47" s="18" t="s">
        <v>466</v>
      </c>
      <c r="W47" s="18"/>
      <c r="X47" s="53" t="str">
        <f t="shared" si="22"/>
        <v/>
      </c>
      <c r="Y47" s="54" t="str">
        <f t="shared" si="23"/>
        <v/>
      </c>
      <c r="Z47" s="54" t="str">
        <f t="shared" si="24"/>
        <v/>
      </c>
      <c r="AA47" s="27" t="str">
        <f t="shared" si="25"/>
        <v/>
      </c>
      <c r="AB47" s="30" t="str">
        <f t="shared" si="26"/>
        <v/>
      </c>
      <c r="AC47" s="30" t="str">
        <f t="shared" si="27"/>
        <v/>
      </c>
      <c r="AD47" s="30" t="str">
        <f t="shared" si="28"/>
        <v/>
      </c>
      <c r="AE47" s="60" t="str">
        <f t="shared" si="29"/>
        <v/>
      </c>
      <c r="AF47" s="54" t="str">
        <f t="shared" si="30"/>
        <v/>
      </c>
      <c r="AG47" s="55" t="str">
        <f t="shared" si="31"/>
        <v/>
      </c>
      <c r="AH47" s="15"/>
      <c r="AI47" t="str">
        <f>IF(W47&gt;7,"fdp",IF(W47&lt;4,"dpp","0"))</f>
        <v>dpp</v>
      </c>
    </row>
    <row r="48" spans="2:44">
      <c r="B48" s="50" t="s">
        <v>571</v>
      </c>
      <c r="C48" s="51" t="s">
        <v>184</v>
      </c>
      <c r="D48" s="52"/>
      <c r="E48" s="53" t="str">
        <f t="shared" si="0"/>
        <v/>
      </c>
      <c r="F48" s="54" t="str">
        <f t="shared" si="1"/>
        <v/>
      </c>
      <c r="G48" s="55" t="str">
        <f t="shared" si="2"/>
        <v/>
      </c>
      <c r="H48" s="27" t="str">
        <f t="shared" si="3"/>
        <v/>
      </c>
      <c r="I48" s="30" t="str">
        <f t="shared" si="4"/>
        <v/>
      </c>
      <c r="J48" s="30" t="str">
        <f t="shared" si="5"/>
        <v/>
      </c>
      <c r="K48" s="56" t="str">
        <f t="shared" si="6"/>
        <v/>
      </c>
      <c r="L48" s="53" t="str">
        <f t="shared" si="7"/>
        <v/>
      </c>
      <c r="M48" s="54" t="str">
        <f t="shared" si="8"/>
        <v/>
      </c>
      <c r="N48" s="55" t="str">
        <f t="shared" si="9"/>
        <v/>
      </c>
      <c r="O48" s="12" t="str">
        <f t="shared" si="10"/>
        <v/>
      </c>
      <c r="P48" s="18"/>
      <c r="Q48" s="12" t="str">
        <f t="shared" si="11"/>
        <v/>
      </c>
      <c r="R48" s="18"/>
      <c r="S48" s="12"/>
    </row>
    <row r="49" spans="2:35">
      <c r="B49" s="38" t="s">
        <v>393</v>
      </c>
      <c r="C49" s="39" t="s">
        <v>566</v>
      </c>
      <c r="D49" s="40"/>
      <c r="E49" s="41" t="str">
        <f t="shared" si="0"/>
        <v/>
      </c>
      <c r="F49" s="42" t="str">
        <f t="shared" si="1"/>
        <v/>
      </c>
      <c r="G49" s="43" t="str">
        <f t="shared" si="2"/>
        <v/>
      </c>
      <c r="H49" s="25" t="str">
        <f t="shared" si="3"/>
        <v/>
      </c>
      <c r="I49" s="28" t="str">
        <f t="shared" si="4"/>
        <v/>
      </c>
      <c r="J49" s="28" t="str">
        <f t="shared" si="5"/>
        <v/>
      </c>
      <c r="K49" s="44" t="str">
        <f t="shared" si="6"/>
        <v/>
      </c>
      <c r="L49" s="41" t="str">
        <f t="shared" si="7"/>
        <v/>
      </c>
      <c r="M49" s="42" t="str">
        <f t="shared" si="8"/>
        <v/>
      </c>
      <c r="N49" s="43" t="str">
        <f t="shared" si="9"/>
        <v/>
      </c>
      <c r="O49" s="12" t="str">
        <f t="shared" si="10"/>
        <v/>
      </c>
      <c r="P49" s="18" t="str">
        <f>IF(SUM(O49:O51)=3,"F",IF(SUM(O49:O51)=2,"fd",""))</f>
        <v/>
      </c>
      <c r="Q49" s="12" t="str">
        <f t="shared" si="11"/>
        <v/>
      </c>
      <c r="R49" s="18" t="str">
        <f>IF(SUM(Q49:Q51)=3,"D",IF(SUM(Q49:Q51)=2,"dp",""))</f>
        <v/>
      </c>
      <c r="S49" s="12"/>
      <c r="T49" s="12" t="s">
        <v>531</v>
      </c>
      <c r="U49" s="12"/>
      <c r="V49" s="12" t="s">
        <v>531</v>
      </c>
      <c r="W49" s="18"/>
      <c r="X49" s="41" t="str">
        <f t="shared" si="22"/>
        <v/>
      </c>
      <c r="Y49" s="42" t="str">
        <f t="shared" si="23"/>
        <v/>
      </c>
      <c r="Z49" s="42" t="str">
        <f t="shared" si="24"/>
        <v/>
      </c>
      <c r="AA49" s="25" t="str">
        <f t="shared" si="25"/>
        <v/>
      </c>
      <c r="AB49" s="28" t="str">
        <f t="shared" si="26"/>
        <v/>
      </c>
      <c r="AC49" s="28" t="str">
        <f t="shared" si="27"/>
        <v/>
      </c>
      <c r="AD49" s="28" t="str">
        <f t="shared" si="28"/>
        <v/>
      </c>
      <c r="AE49" s="58" t="str">
        <f t="shared" si="29"/>
        <v/>
      </c>
      <c r="AF49" s="42" t="str">
        <f t="shared" si="30"/>
        <v/>
      </c>
      <c r="AG49" s="43" t="str">
        <f t="shared" si="31"/>
        <v/>
      </c>
      <c r="AH49" s="15"/>
      <c r="AI49" t="str">
        <f t="shared" ref="AI49:AI61" si="33">IF(W49&gt;7,"fdp",IF(W49&lt;4,"dpp","0"))</f>
        <v>dpp</v>
      </c>
    </row>
    <row r="50" spans="2:35">
      <c r="B50" s="45" t="s">
        <v>393</v>
      </c>
      <c r="C50" s="35" t="s">
        <v>182</v>
      </c>
      <c r="D50" s="14"/>
      <c r="E50" s="46" t="str">
        <f t="shared" si="0"/>
        <v/>
      </c>
      <c r="F50" s="47" t="str">
        <f t="shared" si="1"/>
        <v/>
      </c>
      <c r="G50" s="48" t="str">
        <f t="shared" si="2"/>
        <v/>
      </c>
      <c r="H50" s="26" t="str">
        <f t="shared" si="3"/>
        <v/>
      </c>
      <c r="I50" s="29" t="str">
        <f t="shared" si="4"/>
        <v/>
      </c>
      <c r="J50" s="29" t="str">
        <f t="shared" si="5"/>
        <v/>
      </c>
      <c r="K50" s="49" t="str">
        <f t="shared" si="6"/>
        <v/>
      </c>
      <c r="L50" s="46" t="str">
        <f t="shared" si="7"/>
        <v/>
      </c>
      <c r="M50" s="47" t="str">
        <f t="shared" si="8"/>
        <v/>
      </c>
      <c r="N50" s="48" t="str">
        <f t="shared" si="9"/>
        <v/>
      </c>
      <c r="O50" s="12" t="str">
        <f t="shared" si="10"/>
        <v/>
      </c>
      <c r="P50" s="18"/>
      <c r="Q50" s="12" t="str">
        <f t="shared" si="11"/>
        <v/>
      </c>
      <c r="R50" s="18"/>
      <c r="S50" s="12"/>
      <c r="T50" s="12" t="s">
        <v>1080</v>
      </c>
      <c r="U50" s="12"/>
      <c r="V50" s="12" t="s">
        <v>1080</v>
      </c>
      <c r="W50" s="18"/>
      <c r="X50" s="46" t="str">
        <f t="shared" si="22"/>
        <v/>
      </c>
      <c r="Y50" s="47" t="str">
        <f t="shared" si="23"/>
        <v/>
      </c>
      <c r="Z50" s="47" t="str">
        <f t="shared" si="24"/>
        <v/>
      </c>
      <c r="AA50" s="26" t="str">
        <f t="shared" si="25"/>
        <v/>
      </c>
      <c r="AB50" s="29" t="str">
        <f t="shared" si="26"/>
        <v/>
      </c>
      <c r="AC50" s="29" t="str">
        <f t="shared" si="27"/>
        <v/>
      </c>
      <c r="AD50" s="29" t="str">
        <f t="shared" si="28"/>
        <v/>
      </c>
      <c r="AE50" s="59" t="str">
        <f t="shared" si="29"/>
        <v/>
      </c>
      <c r="AF50" s="47" t="str">
        <f t="shared" si="30"/>
        <v/>
      </c>
      <c r="AG50" s="48" t="str">
        <f t="shared" si="31"/>
        <v/>
      </c>
      <c r="AH50" s="15"/>
      <c r="AI50" t="str">
        <f t="shared" si="33"/>
        <v>dpp</v>
      </c>
    </row>
    <row r="51" spans="2:35">
      <c r="B51" s="50" t="s">
        <v>393</v>
      </c>
      <c r="C51" s="51" t="s">
        <v>289</v>
      </c>
      <c r="D51" s="52"/>
      <c r="E51" s="53" t="str">
        <f t="shared" si="0"/>
        <v/>
      </c>
      <c r="F51" s="54" t="str">
        <f t="shared" si="1"/>
        <v/>
      </c>
      <c r="G51" s="55" t="str">
        <f t="shared" si="2"/>
        <v/>
      </c>
      <c r="H51" s="27" t="str">
        <f t="shared" si="3"/>
        <v/>
      </c>
      <c r="I51" s="30" t="str">
        <f t="shared" si="4"/>
        <v/>
      </c>
      <c r="J51" s="30" t="str">
        <f t="shared" si="5"/>
        <v/>
      </c>
      <c r="K51" s="56" t="str">
        <f t="shared" si="6"/>
        <v/>
      </c>
      <c r="L51" s="53" t="str">
        <f t="shared" si="7"/>
        <v/>
      </c>
      <c r="M51" s="54" t="str">
        <f t="shared" si="8"/>
        <v/>
      </c>
      <c r="N51" s="55" t="str">
        <f t="shared" si="9"/>
        <v/>
      </c>
      <c r="O51" s="12" t="str">
        <f t="shared" si="10"/>
        <v/>
      </c>
      <c r="P51" s="18"/>
      <c r="Q51" s="12" t="str">
        <f t="shared" si="11"/>
        <v/>
      </c>
      <c r="R51" s="18"/>
      <c r="S51" s="12"/>
      <c r="T51" s="12" t="s">
        <v>536</v>
      </c>
      <c r="U51" s="12"/>
      <c r="V51" s="12" t="s">
        <v>536</v>
      </c>
      <c r="W51" s="18"/>
      <c r="X51" s="46" t="str">
        <f t="shared" si="22"/>
        <v/>
      </c>
      <c r="Y51" s="47" t="str">
        <f t="shared" si="23"/>
        <v/>
      </c>
      <c r="Z51" s="47" t="str">
        <f t="shared" si="24"/>
        <v/>
      </c>
      <c r="AA51" s="26" t="str">
        <f t="shared" si="25"/>
        <v/>
      </c>
      <c r="AB51" s="29" t="str">
        <f t="shared" si="26"/>
        <v/>
      </c>
      <c r="AC51" s="29" t="str">
        <f t="shared" si="27"/>
        <v/>
      </c>
      <c r="AD51" s="29" t="str">
        <f t="shared" si="28"/>
        <v/>
      </c>
      <c r="AE51" s="59" t="str">
        <f t="shared" si="29"/>
        <v/>
      </c>
      <c r="AF51" s="47" t="str">
        <f t="shared" si="30"/>
        <v/>
      </c>
      <c r="AG51" s="48" t="str">
        <f t="shared" si="31"/>
        <v/>
      </c>
      <c r="AH51" s="15"/>
      <c r="AI51" t="str">
        <f t="shared" si="33"/>
        <v>dpp</v>
      </c>
    </row>
    <row r="52" spans="2:35">
      <c r="B52" s="38" t="s">
        <v>578</v>
      </c>
      <c r="C52" s="39" t="s">
        <v>567</v>
      </c>
      <c r="D52" s="40"/>
      <c r="E52" s="41" t="str">
        <f t="shared" si="0"/>
        <v/>
      </c>
      <c r="F52" s="42" t="str">
        <f t="shared" si="1"/>
        <v/>
      </c>
      <c r="G52" s="43" t="str">
        <f t="shared" si="2"/>
        <v/>
      </c>
      <c r="H52" s="25" t="str">
        <f t="shared" si="3"/>
        <v/>
      </c>
      <c r="I52" s="28" t="str">
        <f t="shared" si="4"/>
        <v/>
      </c>
      <c r="J52" s="28" t="str">
        <f t="shared" si="5"/>
        <v/>
      </c>
      <c r="K52" s="44" t="str">
        <f t="shared" si="6"/>
        <v/>
      </c>
      <c r="L52" s="41" t="str">
        <f t="shared" si="7"/>
        <v/>
      </c>
      <c r="M52" s="42" t="str">
        <f t="shared" si="8"/>
        <v/>
      </c>
      <c r="N52" s="43" t="str">
        <f t="shared" si="9"/>
        <v/>
      </c>
      <c r="O52" s="12" t="str">
        <f t="shared" si="10"/>
        <v/>
      </c>
      <c r="P52" s="18" t="str">
        <f>IF(SUM(O52:O54)=3,"F",IF(SUM(O52:O54)=2,"fd",""))</f>
        <v/>
      </c>
      <c r="Q52" s="12" t="str">
        <f t="shared" si="11"/>
        <v/>
      </c>
      <c r="R52" s="18" t="str">
        <f>IF(SUM(Q52:Q54)=3,"D",IF(SUM(Q52:Q54)=2,"dp",""))</f>
        <v/>
      </c>
      <c r="S52" s="12"/>
      <c r="T52" s="12" t="s">
        <v>571</v>
      </c>
      <c r="U52" s="12"/>
      <c r="V52" s="12" t="s">
        <v>571</v>
      </c>
      <c r="W52" s="18"/>
      <c r="X52" s="46" t="str">
        <f t="shared" si="22"/>
        <v/>
      </c>
      <c r="Y52" s="47" t="str">
        <f t="shared" si="23"/>
        <v/>
      </c>
      <c r="Z52" s="47" t="str">
        <f t="shared" si="24"/>
        <v/>
      </c>
      <c r="AA52" s="26" t="str">
        <f t="shared" si="25"/>
        <v/>
      </c>
      <c r="AB52" s="29" t="str">
        <f t="shared" si="26"/>
        <v/>
      </c>
      <c r="AC52" s="29" t="str">
        <f t="shared" si="27"/>
        <v/>
      </c>
      <c r="AD52" s="29" t="str">
        <f t="shared" si="28"/>
        <v/>
      </c>
      <c r="AE52" s="59" t="str">
        <f t="shared" si="29"/>
        <v/>
      </c>
      <c r="AF52" s="47" t="str">
        <f t="shared" si="30"/>
        <v/>
      </c>
      <c r="AG52" s="48" t="str">
        <f t="shared" si="31"/>
        <v/>
      </c>
      <c r="AH52" s="15"/>
      <c r="AI52" t="str">
        <f t="shared" si="33"/>
        <v>dpp</v>
      </c>
    </row>
    <row r="53" spans="2:35">
      <c r="B53" s="45" t="s">
        <v>578</v>
      </c>
      <c r="C53" s="35" t="s">
        <v>464</v>
      </c>
      <c r="D53" s="14"/>
      <c r="E53" s="46" t="str">
        <f t="shared" si="0"/>
        <v/>
      </c>
      <c r="F53" s="47" t="str">
        <f t="shared" si="1"/>
        <v/>
      </c>
      <c r="G53" s="48" t="str">
        <f t="shared" si="2"/>
        <v/>
      </c>
      <c r="H53" s="26" t="str">
        <f t="shared" si="3"/>
        <v/>
      </c>
      <c r="I53" s="29" t="str">
        <f t="shared" si="4"/>
        <v/>
      </c>
      <c r="J53" s="29" t="str">
        <f t="shared" si="5"/>
        <v/>
      </c>
      <c r="K53" s="49" t="str">
        <f t="shared" si="6"/>
        <v/>
      </c>
      <c r="L53" s="46" t="str">
        <f t="shared" si="7"/>
        <v/>
      </c>
      <c r="M53" s="47" t="str">
        <f t="shared" si="8"/>
        <v/>
      </c>
      <c r="N53" s="48" t="str">
        <f t="shared" si="9"/>
        <v/>
      </c>
      <c r="O53" s="12" t="str">
        <f t="shared" si="10"/>
        <v/>
      </c>
      <c r="P53" s="18"/>
      <c r="Q53" s="12" t="str">
        <f t="shared" si="11"/>
        <v/>
      </c>
      <c r="R53" s="18"/>
      <c r="S53" s="12"/>
      <c r="T53" s="12" t="s">
        <v>549</v>
      </c>
      <c r="U53" s="12"/>
      <c r="V53" s="70" t="s">
        <v>549</v>
      </c>
      <c r="W53" s="18"/>
      <c r="X53" s="46" t="str">
        <f t="shared" si="22"/>
        <v/>
      </c>
      <c r="Y53" s="47" t="str">
        <f t="shared" si="23"/>
        <v/>
      </c>
      <c r="Z53" s="47" t="str">
        <f t="shared" si="24"/>
        <v/>
      </c>
      <c r="AA53" s="26" t="str">
        <f t="shared" si="25"/>
        <v/>
      </c>
      <c r="AB53" s="29" t="str">
        <f t="shared" si="26"/>
        <v/>
      </c>
      <c r="AC53" s="29" t="str">
        <f t="shared" si="27"/>
        <v/>
      </c>
      <c r="AD53" s="29" t="str">
        <f t="shared" si="28"/>
        <v/>
      </c>
      <c r="AE53" s="59" t="str">
        <f t="shared" si="29"/>
        <v/>
      </c>
      <c r="AF53" s="47" t="str">
        <f t="shared" si="30"/>
        <v/>
      </c>
      <c r="AG53" s="48" t="str">
        <f t="shared" si="31"/>
        <v/>
      </c>
      <c r="AH53" s="15"/>
      <c r="AI53" t="str">
        <f t="shared" si="33"/>
        <v>dpp</v>
      </c>
    </row>
    <row r="54" spans="2:35">
      <c r="B54" s="50" t="s">
        <v>578</v>
      </c>
      <c r="C54" s="51" t="s">
        <v>103</v>
      </c>
      <c r="D54" s="52"/>
      <c r="E54" s="53" t="str">
        <f t="shared" si="0"/>
        <v/>
      </c>
      <c r="F54" s="54" t="str">
        <f t="shared" si="1"/>
        <v/>
      </c>
      <c r="G54" s="55" t="str">
        <f t="shared" si="2"/>
        <v/>
      </c>
      <c r="H54" s="27" t="str">
        <f t="shared" si="3"/>
        <v/>
      </c>
      <c r="I54" s="30" t="str">
        <f t="shared" si="4"/>
        <v/>
      </c>
      <c r="J54" s="30" t="str">
        <f t="shared" si="5"/>
        <v/>
      </c>
      <c r="K54" s="56" t="str">
        <f t="shared" si="6"/>
        <v/>
      </c>
      <c r="L54" s="53" t="str">
        <f t="shared" si="7"/>
        <v/>
      </c>
      <c r="M54" s="54" t="str">
        <f t="shared" si="8"/>
        <v/>
      </c>
      <c r="N54" s="55" t="str">
        <f t="shared" si="9"/>
        <v/>
      </c>
      <c r="O54" s="12" t="str">
        <f t="shared" si="10"/>
        <v/>
      </c>
      <c r="P54" s="18"/>
      <c r="Q54" s="12" t="str">
        <f t="shared" si="11"/>
        <v/>
      </c>
      <c r="R54" s="18"/>
      <c r="S54" s="12"/>
      <c r="T54" s="12" t="s">
        <v>390</v>
      </c>
      <c r="U54" s="12"/>
      <c r="V54" s="12" t="s">
        <v>390</v>
      </c>
      <c r="W54" s="18"/>
      <c r="X54" s="46" t="str">
        <f t="shared" si="22"/>
        <v/>
      </c>
      <c r="Y54" s="47" t="str">
        <f t="shared" si="23"/>
        <v/>
      </c>
      <c r="Z54" s="47" t="str">
        <f t="shared" si="24"/>
        <v/>
      </c>
      <c r="AA54" s="26" t="str">
        <f t="shared" si="25"/>
        <v/>
      </c>
      <c r="AB54" s="29" t="str">
        <f t="shared" si="26"/>
        <v/>
      </c>
      <c r="AC54" s="29" t="str">
        <f t="shared" si="27"/>
        <v/>
      </c>
      <c r="AD54" s="29" t="str">
        <f t="shared" si="28"/>
        <v/>
      </c>
      <c r="AE54" s="59" t="str">
        <f t="shared" si="29"/>
        <v/>
      </c>
      <c r="AF54" s="47" t="str">
        <f t="shared" si="30"/>
        <v/>
      </c>
      <c r="AG54" s="48" t="str">
        <f t="shared" si="31"/>
        <v/>
      </c>
      <c r="AH54" s="15"/>
      <c r="AI54" t="str">
        <f t="shared" si="33"/>
        <v>dpp</v>
      </c>
    </row>
    <row r="55" spans="2:35">
      <c r="B55" s="38" t="s">
        <v>467</v>
      </c>
      <c r="C55" s="39" t="s">
        <v>258</v>
      </c>
      <c r="D55" s="40"/>
      <c r="E55" s="41" t="str">
        <f t="shared" si="0"/>
        <v/>
      </c>
      <c r="F55" s="42" t="str">
        <f t="shared" si="1"/>
        <v/>
      </c>
      <c r="G55" s="43" t="str">
        <f t="shared" si="2"/>
        <v/>
      </c>
      <c r="H55" s="25" t="str">
        <f t="shared" si="3"/>
        <v/>
      </c>
      <c r="I55" s="28" t="str">
        <f t="shared" si="4"/>
        <v/>
      </c>
      <c r="J55" s="28" t="str">
        <f t="shared" si="5"/>
        <v/>
      </c>
      <c r="K55" s="44" t="str">
        <f t="shared" si="6"/>
        <v/>
      </c>
      <c r="L55" s="41" t="str">
        <f t="shared" si="7"/>
        <v/>
      </c>
      <c r="M55" s="42" t="str">
        <f t="shared" si="8"/>
        <v/>
      </c>
      <c r="N55" s="43" t="str">
        <f t="shared" si="9"/>
        <v/>
      </c>
      <c r="O55" s="12" t="str">
        <f t="shared" si="10"/>
        <v/>
      </c>
      <c r="P55" s="18" t="str">
        <f>IF(SUM(O55:O57)=3,"F",IF(SUM(O55:O57)=2,"fd",""))</f>
        <v/>
      </c>
      <c r="Q55" s="12" t="str">
        <f t="shared" si="11"/>
        <v/>
      </c>
      <c r="R55" s="18" t="str">
        <f>IF(SUM(Q55:Q57)=3,"D",IF(SUM(Q55:Q57)=2,"dp",""))</f>
        <v/>
      </c>
      <c r="S55" s="12"/>
      <c r="T55" s="12" t="s">
        <v>515</v>
      </c>
      <c r="U55" s="12"/>
      <c r="V55" s="12" t="s">
        <v>515</v>
      </c>
      <c r="W55" s="18"/>
      <c r="X55" s="46" t="str">
        <f t="shared" si="22"/>
        <v/>
      </c>
      <c r="Y55" s="47" t="str">
        <f t="shared" si="23"/>
        <v/>
      </c>
      <c r="Z55" s="47" t="str">
        <f t="shared" si="24"/>
        <v/>
      </c>
      <c r="AA55" s="26" t="str">
        <f t="shared" si="25"/>
        <v/>
      </c>
      <c r="AB55" s="29" t="str">
        <f t="shared" si="26"/>
        <v/>
      </c>
      <c r="AC55" s="29" t="str">
        <f t="shared" si="27"/>
        <v/>
      </c>
      <c r="AD55" s="29" t="str">
        <f t="shared" si="28"/>
        <v/>
      </c>
      <c r="AE55" s="59" t="str">
        <f t="shared" si="29"/>
        <v/>
      </c>
      <c r="AF55" s="47" t="str">
        <f t="shared" si="30"/>
        <v/>
      </c>
      <c r="AG55" s="48" t="str">
        <f t="shared" si="31"/>
        <v/>
      </c>
      <c r="AH55" s="15"/>
      <c r="AI55" t="str">
        <f t="shared" si="33"/>
        <v>dpp</v>
      </c>
    </row>
    <row r="56" spans="2:35">
      <c r="B56" s="45" t="s">
        <v>467</v>
      </c>
      <c r="C56" s="35" t="s">
        <v>302</v>
      </c>
      <c r="D56" s="14"/>
      <c r="E56" s="46" t="str">
        <f t="shared" si="0"/>
        <v/>
      </c>
      <c r="F56" s="47" t="str">
        <f t="shared" si="1"/>
        <v/>
      </c>
      <c r="G56" s="48" t="str">
        <f t="shared" si="2"/>
        <v/>
      </c>
      <c r="H56" s="26" t="str">
        <f t="shared" si="3"/>
        <v/>
      </c>
      <c r="I56" s="29" t="str">
        <f t="shared" si="4"/>
        <v/>
      </c>
      <c r="J56" s="29" t="str">
        <f t="shared" si="5"/>
        <v/>
      </c>
      <c r="K56" s="49" t="str">
        <f t="shared" si="6"/>
        <v/>
      </c>
      <c r="L56" s="46" t="str">
        <f t="shared" si="7"/>
        <v/>
      </c>
      <c r="M56" s="47" t="str">
        <f t="shared" si="8"/>
        <v/>
      </c>
      <c r="N56" s="48" t="str">
        <f t="shared" si="9"/>
        <v/>
      </c>
      <c r="O56" s="12" t="str">
        <f t="shared" si="10"/>
        <v/>
      </c>
      <c r="P56" s="18"/>
      <c r="Q56" s="12" t="str">
        <f t="shared" si="11"/>
        <v/>
      </c>
      <c r="R56" s="18"/>
      <c r="S56" s="12"/>
      <c r="T56" s="12" t="s">
        <v>467</v>
      </c>
      <c r="U56" s="12"/>
      <c r="V56" s="12" t="s">
        <v>467</v>
      </c>
      <c r="W56" s="18"/>
      <c r="X56" s="46" t="str">
        <f t="shared" si="22"/>
        <v/>
      </c>
      <c r="Y56" s="47" t="str">
        <f t="shared" si="23"/>
        <v/>
      </c>
      <c r="Z56" s="47" t="str">
        <f t="shared" si="24"/>
        <v/>
      </c>
      <c r="AA56" s="26" t="str">
        <f t="shared" si="25"/>
        <v/>
      </c>
      <c r="AB56" s="29" t="str">
        <f t="shared" si="26"/>
        <v/>
      </c>
      <c r="AC56" s="29" t="str">
        <f t="shared" si="27"/>
        <v/>
      </c>
      <c r="AD56" s="29" t="str">
        <f t="shared" si="28"/>
        <v/>
      </c>
      <c r="AE56" s="59" t="str">
        <f t="shared" si="29"/>
        <v/>
      </c>
      <c r="AF56" s="47" t="str">
        <f t="shared" si="30"/>
        <v/>
      </c>
      <c r="AG56" s="48" t="str">
        <f t="shared" si="31"/>
        <v/>
      </c>
      <c r="AH56" s="15"/>
      <c r="AI56" t="str">
        <f t="shared" si="33"/>
        <v>dpp</v>
      </c>
    </row>
    <row r="57" spans="2:35">
      <c r="B57" s="50" t="s">
        <v>467</v>
      </c>
      <c r="C57" s="51" t="s">
        <v>184</v>
      </c>
      <c r="D57" s="52"/>
      <c r="E57" s="53" t="str">
        <f t="shared" si="0"/>
        <v/>
      </c>
      <c r="F57" s="54" t="str">
        <f t="shared" si="1"/>
        <v/>
      </c>
      <c r="G57" s="55" t="str">
        <f t="shared" si="2"/>
        <v/>
      </c>
      <c r="H57" s="27" t="str">
        <f t="shared" si="3"/>
        <v/>
      </c>
      <c r="I57" s="30" t="str">
        <f t="shared" si="4"/>
        <v/>
      </c>
      <c r="J57" s="30" t="str">
        <f t="shared" si="5"/>
        <v/>
      </c>
      <c r="K57" s="56" t="str">
        <f t="shared" si="6"/>
        <v/>
      </c>
      <c r="L57" s="53" t="str">
        <f t="shared" si="7"/>
        <v/>
      </c>
      <c r="M57" s="54" t="str">
        <f t="shared" si="8"/>
        <v/>
      </c>
      <c r="N57" s="55" t="str">
        <f t="shared" si="9"/>
        <v/>
      </c>
      <c r="O57" s="12" t="str">
        <f t="shared" si="10"/>
        <v/>
      </c>
      <c r="P57" s="18"/>
      <c r="Q57" s="12" t="str">
        <f t="shared" si="11"/>
        <v/>
      </c>
      <c r="R57" s="18"/>
      <c r="S57" s="12"/>
      <c r="T57" s="12" t="s">
        <v>624</v>
      </c>
      <c r="U57" s="12"/>
      <c r="V57" s="12" t="s">
        <v>624</v>
      </c>
      <c r="W57" s="18"/>
      <c r="X57" s="46" t="str">
        <f t="shared" si="22"/>
        <v/>
      </c>
      <c r="Y57" s="47" t="str">
        <f t="shared" si="23"/>
        <v/>
      </c>
      <c r="Z57" s="47" t="str">
        <f t="shared" si="24"/>
        <v/>
      </c>
      <c r="AA57" s="26" t="str">
        <f t="shared" si="25"/>
        <v/>
      </c>
      <c r="AB57" s="29" t="str">
        <f t="shared" si="26"/>
        <v/>
      </c>
      <c r="AC57" s="29" t="str">
        <f t="shared" si="27"/>
        <v/>
      </c>
      <c r="AD57" s="29" t="str">
        <f t="shared" si="28"/>
        <v/>
      </c>
      <c r="AE57" s="59" t="str">
        <f t="shared" si="29"/>
        <v/>
      </c>
      <c r="AF57" s="47" t="str">
        <f t="shared" si="30"/>
        <v/>
      </c>
      <c r="AG57" s="48" t="str">
        <f t="shared" si="31"/>
        <v/>
      </c>
      <c r="AH57" s="15"/>
      <c r="AI57" t="str">
        <f t="shared" si="33"/>
        <v>dpp</v>
      </c>
    </row>
    <row r="58" spans="2:35">
      <c r="B58" s="38" t="s">
        <v>570</v>
      </c>
      <c r="C58" s="39" t="s">
        <v>565</v>
      </c>
      <c r="D58" s="40"/>
      <c r="E58" s="41" t="str">
        <f t="shared" si="0"/>
        <v/>
      </c>
      <c r="F58" s="42" t="str">
        <f t="shared" si="1"/>
        <v/>
      </c>
      <c r="G58" s="43" t="str">
        <f t="shared" si="2"/>
        <v/>
      </c>
      <c r="H58" s="25" t="str">
        <f t="shared" si="3"/>
        <v/>
      </c>
      <c r="I58" s="28" t="str">
        <f t="shared" si="4"/>
        <v/>
      </c>
      <c r="J58" s="28" t="str">
        <f t="shared" si="5"/>
        <v/>
      </c>
      <c r="K58" s="44" t="str">
        <f t="shared" si="6"/>
        <v/>
      </c>
      <c r="L58" s="41" t="str">
        <f t="shared" si="7"/>
        <v/>
      </c>
      <c r="M58" s="42" t="str">
        <f t="shared" si="8"/>
        <v/>
      </c>
      <c r="N58" s="43" t="str">
        <f t="shared" si="9"/>
        <v/>
      </c>
      <c r="O58" s="12" t="str">
        <f t="shared" si="10"/>
        <v/>
      </c>
      <c r="P58" s="18" t="str">
        <f>IF(SUM(O58:O60)=3,"F",IF(SUM(O58:O60)=2,"fd",""))</f>
        <v/>
      </c>
      <c r="Q58" s="12" t="str">
        <f t="shared" si="11"/>
        <v/>
      </c>
      <c r="R58" s="18" t="str">
        <f>IF(SUM(Q58:Q60)=3,"D",IF(SUM(Q58:Q60)=2,"dp",""))</f>
        <v/>
      </c>
      <c r="S58" s="12"/>
      <c r="T58" s="12" t="s">
        <v>472</v>
      </c>
      <c r="U58" s="12"/>
      <c r="V58" s="70" t="s">
        <v>472</v>
      </c>
      <c r="W58" s="18"/>
      <c r="X58" s="46" t="str">
        <f t="shared" si="22"/>
        <v/>
      </c>
      <c r="Y58" s="47" t="str">
        <f t="shared" si="23"/>
        <v/>
      </c>
      <c r="Z58" s="47" t="str">
        <f t="shared" si="24"/>
        <v/>
      </c>
      <c r="AA58" s="26" t="str">
        <f t="shared" si="25"/>
        <v/>
      </c>
      <c r="AB58" s="29" t="str">
        <f t="shared" si="26"/>
        <v/>
      </c>
      <c r="AC58" s="29" t="str">
        <f t="shared" si="27"/>
        <v/>
      </c>
      <c r="AD58" s="29" t="str">
        <f t="shared" si="28"/>
        <v/>
      </c>
      <c r="AE58" s="59" t="str">
        <f t="shared" si="29"/>
        <v/>
      </c>
      <c r="AF58" s="47" t="str">
        <f t="shared" si="30"/>
        <v/>
      </c>
      <c r="AG58" s="48" t="str">
        <f t="shared" si="31"/>
        <v/>
      </c>
      <c r="AH58" s="15"/>
      <c r="AI58" t="str">
        <f t="shared" si="33"/>
        <v>dpp</v>
      </c>
    </row>
    <row r="59" spans="2:35">
      <c r="B59" s="45" t="s">
        <v>570</v>
      </c>
      <c r="C59" s="35" t="s">
        <v>566</v>
      </c>
      <c r="D59" s="14"/>
      <c r="E59" s="46" t="str">
        <f t="shared" si="0"/>
        <v/>
      </c>
      <c r="F59" s="47" t="str">
        <f t="shared" si="1"/>
        <v/>
      </c>
      <c r="G59" s="48" t="str">
        <f t="shared" si="2"/>
        <v/>
      </c>
      <c r="H59" s="26" t="str">
        <f t="shared" si="3"/>
        <v/>
      </c>
      <c r="I59" s="29" t="str">
        <f t="shared" si="4"/>
        <v/>
      </c>
      <c r="J59" s="29" t="str">
        <f t="shared" si="5"/>
        <v/>
      </c>
      <c r="K59" s="49" t="str">
        <f t="shared" si="6"/>
        <v/>
      </c>
      <c r="L59" s="46" t="str">
        <f t="shared" si="7"/>
        <v/>
      </c>
      <c r="M59" s="47" t="str">
        <f t="shared" si="8"/>
        <v/>
      </c>
      <c r="N59" s="48" t="str">
        <f t="shared" si="9"/>
        <v/>
      </c>
      <c r="O59" s="12" t="str">
        <f t="shared" si="10"/>
        <v/>
      </c>
      <c r="P59" s="18"/>
      <c r="Q59" s="12" t="str">
        <f t="shared" si="11"/>
        <v/>
      </c>
      <c r="R59" s="18"/>
      <c r="S59" s="12"/>
      <c r="T59" s="12" t="s">
        <v>24</v>
      </c>
      <c r="U59" s="12"/>
      <c r="V59" s="76" t="s">
        <v>24</v>
      </c>
      <c r="W59" s="18"/>
      <c r="X59" s="46" t="str">
        <f t="shared" si="22"/>
        <v/>
      </c>
      <c r="Y59" s="47" t="str">
        <f t="shared" si="23"/>
        <v/>
      </c>
      <c r="Z59" s="47" t="str">
        <f t="shared" si="24"/>
        <v/>
      </c>
      <c r="AA59" s="26" t="str">
        <f t="shared" si="25"/>
        <v/>
      </c>
      <c r="AB59" s="29" t="str">
        <f t="shared" si="26"/>
        <v/>
      </c>
      <c r="AC59" s="29" t="str">
        <f t="shared" si="27"/>
        <v/>
      </c>
      <c r="AD59" s="29" t="str">
        <f t="shared" si="28"/>
        <v/>
      </c>
      <c r="AE59" s="59" t="str">
        <f t="shared" si="29"/>
        <v/>
      </c>
      <c r="AF59" s="47" t="str">
        <f t="shared" si="30"/>
        <v/>
      </c>
      <c r="AG59" s="48" t="str">
        <f t="shared" si="31"/>
        <v/>
      </c>
      <c r="AH59" s="15"/>
      <c r="AI59" t="str">
        <f t="shared" si="33"/>
        <v>dpp</v>
      </c>
    </row>
    <row r="60" spans="2:35">
      <c r="B60" s="50" t="s">
        <v>570</v>
      </c>
      <c r="C60" s="51" t="s">
        <v>567</v>
      </c>
      <c r="D60" s="52"/>
      <c r="E60" s="53" t="str">
        <f t="shared" si="0"/>
        <v/>
      </c>
      <c r="F60" s="54" t="str">
        <f t="shared" si="1"/>
        <v/>
      </c>
      <c r="G60" s="55" t="str">
        <f t="shared" si="2"/>
        <v/>
      </c>
      <c r="H60" s="27" t="str">
        <f t="shared" si="3"/>
        <v/>
      </c>
      <c r="I60" s="30" t="str">
        <f t="shared" si="4"/>
        <v/>
      </c>
      <c r="J60" s="30" t="str">
        <f t="shared" si="5"/>
        <v/>
      </c>
      <c r="K60" s="56" t="str">
        <f t="shared" si="6"/>
        <v/>
      </c>
      <c r="L60" s="53" t="str">
        <f t="shared" si="7"/>
        <v/>
      </c>
      <c r="M60" s="54" t="str">
        <f t="shared" si="8"/>
        <v/>
      </c>
      <c r="N60" s="55" t="str">
        <f t="shared" si="9"/>
        <v/>
      </c>
      <c r="O60" s="12" t="str">
        <f t="shared" si="10"/>
        <v/>
      </c>
      <c r="P60" s="18"/>
      <c r="Q60" s="12" t="str">
        <f t="shared" si="11"/>
        <v/>
      </c>
      <c r="R60" s="18"/>
      <c r="S60" s="12"/>
      <c r="T60" s="12" t="s">
        <v>547</v>
      </c>
      <c r="U60" s="12"/>
      <c r="V60" s="12" t="s">
        <v>547</v>
      </c>
      <c r="W60" s="18"/>
      <c r="X60" s="46" t="str">
        <f t="shared" si="22"/>
        <v/>
      </c>
      <c r="Y60" s="47" t="str">
        <f t="shared" si="23"/>
        <v/>
      </c>
      <c r="Z60" s="47" t="str">
        <f t="shared" si="24"/>
        <v/>
      </c>
      <c r="AA60" s="26" t="str">
        <f t="shared" si="25"/>
        <v/>
      </c>
      <c r="AB60" s="29" t="str">
        <f t="shared" si="26"/>
        <v/>
      </c>
      <c r="AC60" s="29" t="str">
        <f t="shared" si="27"/>
        <v/>
      </c>
      <c r="AD60" s="29" t="str">
        <f t="shared" si="28"/>
        <v/>
      </c>
      <c r="AE60" s="59" t="str">
        <f t="shared" si="29"/>
        <v/>
      </c>
      <c r="AF60" s="47" t="str">
        <f t="shared" si="30"/>
        <v/>
      </c>
      <c r="AG60" s="48" t="str">
        <f t="shared" si="31"/>
        <v/>
      </c>
      <c r="AH60" s="15"/>
      <c r="AI60" t="str">
        <f t="shared" si="33"/>
        <v>dpp</v>
      </c>
    </row>
    <row r="61" spans="2:35">
      <c r="B61" s="38" t="s">
        <v>621</v>
      </c>
      <c r="C61" s="39" t="s">
        <v>269</v>
      </c>
      <c r="D61" s="40"/>
      <c r="E61" s="41" t="str">
        <f t="shared" si="0"/>
        <v/>
      </c>
      <c r="F61" s="42" t="str">
        <f t="shared" si="1"/>
        <v/>
      </c>
      <c r="G61" s="43" t="str">
        <f t="shared" si="2"/>
        <v/>
      </c>
      <c r="H61" s="25" t="str">
        <f t="shared" si="3"/>
        <v/>
      </c>
      <c r="I61" s="28" t="str">
        <f t="shared" si="4"/>
        <v/>
      </c>
      <c r="J61" s="28" t="str">
        <f t="shared" si="5"/>
        <v/>
      </c>
      <c r="K61" s="44" t="str">
        <f t="shared" si="6"/>
        <v/>
      </c>
      <c r="L61" s="41" t="str">
        <f t="shared" si="7"/>
        <v/>
      </c>
      <c r="M61" s="42" t="str">
        <f t="shared" si="8"/>
        <v/>
      </c>
      <c r="N61" s="43" t="str">
        <f t="shared" si="9"/>
        <v/>
      </c>
      <c r="O61" s="12" t="str">
        <f t="shared" si="10"/>
        <v/>
      </c>
      <c r="P61" s="18" t="str">
        <f>IF(SUM(O61:O63)=3,"F",IF(SUM(O61:O63)=2,"fd",""))</f>
        <v/>
      </c>
      <c r="Q61" s="12" t="str">
        <f t="shared" si="11"/>
        <v/>
      </c>
      <c r="R61" s="18" t="str">
        <f>IF(SUM(Q61:Q63)=3,"D",IF(SUM(Q61:Q63)=2,"dp",""))</f>
        <v/>
      </c>
      <c r="S61" s="12"/>
      <c r="T61" s="12" t="s">
        <v>30</v>
      </c>
      <c r="U61" s="12"/>
      <c r="V61" s="12" t="s">
        <v>30</v>
      </c>
      <c r="W61" s="18"/>
      <c r="X61" s="53" t="str">
        <f t="shared" si="22"/>
        <v/>
      </c>
      <c r="Y61" s="54" t="str">
        <f t="shared" si="23"/>
        <v/>
      </c>
      <c r="Z61" s="54" t="str">
        <f t="shared" si="24"/>
        <v/>
      </c>
      <c r="AA61" s="27" t="str">
        <f t="shared" si="25"/>
        <v/>
      </c>
      <c r="AB61" s="30" t="str">
        <f t="shared" si="26"/>
        <v/>
      </c>
      <c r="AC61" s="30" t="str">
        <f t="shared" si="27"/>
        <v/>
      </c>
      <c r="AD61" s="30" t="str">
        <f t="shared" si="28"/>
        <v/>
      </c>
      <c r="AE61" s="60" t="str">
        <f t="shared" si="29"/>
        <v/>
      </c>
      <c r="AF61" s="54" t="str">
        <f t="shared" si="30"/>
        <v/>
      </c>
      <c r="AG61" s="55" t="str">
        <f t="shared" si="31"/>
        <v/>
      </c>
      <c r="AH61" s="15"/>
      <c r="AI61" t="str">
        <f t="shared" si="33"/>
        <v>dpp</v>
      </c>
    </row>
    <row r="62" spans="2:35">
      <c r="B62" s="45" t="s">
        <v>621</v>
      </c>
      <c r="C62" s="35" t="s">
        <v>29</v>
      </c>
      <c r="D62" s="14"/>
      <c r="E62" s="46" t="str">
        <f t="shared" si="0"/>
        <v/>
      </c>
      <c r="F62" s="47" t="str">
        <f t="shared" si="1"/>
        <v/>
      </c>
      <c r="G62" s="48" t="str">
        <f t="shared" si="2"/>
        <v/>
      </c>
      <c r="H62" s="26" t="str">
        <f t="shared" si="3"/>
        <v/>
      </c>
      <c r="I62" s="29" t="str">
        <f t="shared" si="4"/>
        <v/>
      </c>
      <c r="J62" s="29" t="str">
        <f t="shared" si="5"/>
        <v/>
      </c>
      <c r="K62" s="49" t="str">
        <f t="shared" si="6"/>
        <v/>
      </c>
      <c r="L62" s="46" t="str">
        <f t="shared" si="7"/>
        <v/>
      </c>
      <c r="M62" s="47" t="str">
        <f t="shared" si="8"/>
        <v/>
      </c>
      <c r="N62" s="48" t="str">
        <f t="shared" si="9"/>
        <v/>
      </c>
      <c r="O62" s="12" t="str">
        <f t="shared" si="10"/>
        <v/>
      </c>
      <c r="P62" s="18"/>
      <c r="Q62" s="12" t="str">
        <f t="shared" si="11"/>
        <v/>
      </c>
      <c r="R62" s="18"/>
      <c r="S62" s="12"/>
      <c r="T62" s="4"/>
      <c r="U62" s="37" t="e">
        <f>VLOOKUP(T62,$V$26:$W$61,2,0)</f>
        <v>#N/A</v>
      </c>
      <c r="W62" s="13">
        <f>COUNTA(W63:W72)</f>
        <v>1</v>
      </c>
      <c r="AG62" s="81" t="s">
        <v>507</v>
      </c>
    </row>
    <row r="63" spans="2:35">
      <c r="B63" s="50" t="s">
        <v>621</v>
      </c>
      <c r="C63" s="51" t="s">
        <v>244</v>
      </c>
      <c r="D63" s="52"/>
      <c r="E63" s="53" t="str">
        <f t="shared" si="0"/>
        <v/>
      </c>
      <c r="F63" s="54" t="str">
        <f t="shared" si="1"/>
        <v/>
      </c>
      <c r="G63" s="55" t="str">
        <f t="shared" si="2"/>
        <v/>
      </c>
      <c r="H63" s="27" t="str">
        <f t="shared" si="3"/>
        <v/>
      </c>
      <c r="I63" s="30" t="str">
        <f t="shared" si="4"/>
        <v/>
      </c>
      <c r="J63" s="30" t="str">
        <f t="shared" si="5"/>
        <v/>
      </c>
      <c r="K63" s="56" t="str">
        <f t="shared" si="6"/>
        <v/>
      </c>
      <c r="L63" s="53" t="str">
        <f t="shared" si="7"/>
        <v/>
      </c>
      <c r="M63" s="54" t="str">
        <f t="shared" si="8"/>
        <v/>
      </c>
      <c r="N63" s="55" t="str">
        <f t="shared" si="9"/>
        <v/>
      </c>
      <c r="O63" s="12" t="str">
        <f t="shared" si="10"/>
        <v/>
      </c>
      <c r="P63" s="18"/>
      <c r="Q63" s="12" t="str">
        <f t="shared" si="11"/>
        <v/>
      </c>
      <c r="R63" s="18"/>
      <c r="S63" s="12"/>
      <c r="T63" s="61" t="s">
        <v>455</v>
      </c>
      <c r="U63" s="62">
        <f>COUNTIF($P$4:$R$90,"F")</f>
        <v>0</v>
      </c>
      <c r="V63" s="61" t="s">
        <v>456</v>
      </c>
      <c r="W63" s="62">
        <f>COUNTIF($P$4:$R$90,"D")</f>
        <v>0</v>
      </c>
      <c r="Z63" s="5" t="s">
        <v>518</v>
      </c>
      <c r="AA63" s="5" t="s">
        <v>519</v>
      </c>
      <c r="AB63" s="79"/>
      <c r="AC63" s="79"/>
    </row>
    <row r="64" spans="2:35">
      <c r="B64" s="38" t="s">
        <v>442</v>
      </c>
      <c r="C64" s="39" t="s">
        <v>105</v>
      </c>
      <c r="D64" s="40"/>
      <c r="E64" s="41" t="str">
        <f t="shared" si="0"/>
        <v/>
      </c>
      <c r="F64" s="42" t="str">
        <f t="shared" si="1"/>
        <v/>
      </c>
      <c r="G64" s="43" t="str">
        <f t="shared" si="2"/>
        <v/>
      </c>
      <c r="H64" s="25" t="str">
        <f t="shared" si="3"/>
        <v/>
      </c>
      <c r="I64" s="28" t="str">
        <f t="shared" si="4"/>
        <v/>
      </c>
      <c r="J64" s="28" t="str">
        <f t="shared" si="5"/>
        <v/>
      </c>
      <c r="K64" s="44" t="str">
        <f t="shared" si="6"/>
        <v/>
      </c>
      <c r="L64" s="41" t="str">
        <f t="shared" si="7"/>
        <v/>
      </c>
      <c r="M64" s="42" t="str">
        <f t="shared" si="8"/>
        <v/>
      </c>
      <c r="N64" s="43" t="str">
        <f t="shared" si="9"/>
        <v/>
      </c>
      <c r="O64" s="12" t="str">
        <f t="shared" si="10"/>
        <v/>
      </c>
      <c r="P64" s="18" t="str">
        <f>IF(SUM(O64:O66)=3,"F",IF(SUM(O64:O66)=2,"fd",""))</f>
        <v/>
      </c>
      <c r="Q64" s="12" t="str">
        <f t="shared" si="11"/>
        <v/>
      </c>
      <c r="R64" s="18" t="str">
        <f>IF(SUM(Q64:Q66)=3,"D",IF(SUM(Q64:Q66)=2,"dp",""))</f>
        <v/>
      </c>
      <c r="S64" s="12"/>
      <c r="T64" s="63"/>
      <c r="U64" s="64"/>
      <c r="V64" s="63"/>
      <c r="W64" s="64"/>
      <c r="Z64" s="79"/>
      <c r="AA64" s="79"/>
    </row>
    <row r="65" spans="2:27">
      <c r="B65" s="45" t="s">
        <v>442</v>
      </c>
      <c r="C65" s="35" t="s">
        <v>563</v>
      </c>
      <c r="D65" s="14"/>
      <c r="E65" s="46" t="str">
        <f t="shared" si="0"/>
        <v/>
      </c>
      <c r="F65" s="47" t="str">
        <f t="shared" si="1"/>
        <v/>
      </c>
      <c r="G65" s="48" t="str">
        <f t="shared" si="2"/>
        <v/>
      </c>
      <c r="H65" s="26" t="str">
        <f t="shared" si="3"/>
        <v/>
      </c>
      <c r="I65" s="29" t="str">
        <f t="shared" si="4"/>
        <v/>
      </c>
      <c r="J65" s="29" t="str">
        <f t="shared" si="5"/>
        <v/>
      </c>
      <c r="K65" s="49" t="str">
        <f t="shared" si="6"/>
        <v/>
      </c>
      <c r="L65" s="46" t="str">
        <f t="shared" si="7"/>
        <v/>
      </c>
      <c r="M65" s="47" t="str">
        <f t="shared" si="8"/>
        <v/>
      </c>
      <c r="N65" s="48" t="str">
        <f t="shared" si="9"/>
        <v/>
      </c>
      <c r="O65" s="12" t="str">
        <f t="shared" si="10"/>
        <v/>
      </c>
      <c r="P65" s="18"/>
      <c r="Q65" s="12" t="str">
        <f t="shared" si="11"/>
        <v/>
      </c>
      <c r="R65" s="18"/>
      <c r="S65" s="12"/>
      <c r="T65" s="63"/>
      <c r="U65" s="64"/>
      <c r="V65" s="63"/>
      <c r="W65" s="64"/>
      <c r="Z65" s="79"/>
      <c r="AA65" s="79"/>
    </row>
    <row r="66" spans="2:27">
      <c r="B66" s="50" t="s">
        <v>442</v>
      </c>
      <c r="C66" s="51" t="s">
        <v>566</v>
      </c>
      <c r="D66" s="52"/>
      <c r="E66" s="53" t="str">
        <f t="shared" si="0"/>
        <v/>
      </c>
      <c r="F66" s="54" t="str">
        <f t="shared" si="1"/>
        <v/>
      </c>
      <c r="G66" s="55" t="str">
        <f t="shared" si="2"/>
        <v/>
      </c>
      <c r="H66" s="27" t="str">
        <f t="shared" si="3"/>
        <v/>
      </c>
      <c r="I66" s="30" t="str">
        <f t="shared" si="4"/>
        <v/>
      </c>
      <c r="J66" s="30" t="str">
        <f t="shared" si="5"/>
        <v/>
      </c>
      <c r="K66" s="56" t="str">
        <f t="shared" si="6"/>
        <v/>
      </c>
      <c r="L66" s="53" t="str">
        <f t="shared" si="7"/>
        <v/>
      </c>
      <c r="M66" s="54" t="str">
        <f t="shared" si="8"/>
        <v/>
      </c>
      <c r="N66" s="55" t="str">
        <f t="shared" si="9"/>
        <v/>
      </c>
      <c r="O66" s="12" t="str">
        <f t="shared" si="10"/>
        <v/>
      </c>
      <c r="P66" s="18"/>
      <c r="Q66" s="12" t="str">
        <f t="shared" si="11"/>
        <v/>
      </c>
      <c r="R66" s="18"/>
      <c r="S66" s="12"/>
      <c r="T66" s="63"/>
      <c r="U66" s="64"/>
      <c r="V66" s="63"/>
      <c r="W66" s="64"/>
      <c r="Z66" s="79"/>
      <c r="AA66" s="79"/>
    </row>
    <row r="67" spans="2:27">
      <c r="B67" s="38" t="s">
        <v>106</v>
      </c>
      <c r="C67" s="39" t="s">
        <v>105</v>
      </c>
      <c r="D67" s="40"/>
      <c r="E67" s="41" t="str">
        <f t="shared" si="0"/>
        <v/>
      </c>
      <c r="F67" s="42" t="str">
        <f t="shared" si="1"/>
        <v/>
      </c>
      <c r="G67" s="43" t="str">
        <f t="shared" si="2"/>
        <v/>
      </c>
      <c r="H67" s="25" t="str">
        <f t="shared" si="3"/>
        <v/>
      </c>
      <c r="I67" s="28" t="str">
        <f t="shared" si="4"/>
        <v/>
      </c>
      <c r="J67" s="28" t="str">
        <f t="shared" si="5"/>
        <v/>
      </c>
      <c r="K67" s="44" t="str">
        <f t="shared" si="6"/>
        <v/>
      </c>
      <c r="L67" s="41" t="str">
        <f t="shared" si="7"/>
        <v/>
      </c>
      <c r="M67" s="42" t="str">
        <f t="shared" si="8"/>
        <v/>
      </c>
      <c r="N67" s="43" t="str">
        <f t="shared" si="9"/>
        <v/>
      </c>
      <c r="O67" s="12" t="str">
        <f t="shared" si="10"/>
        <v/>
      </c>
      <c r="P67" s="18" t="str">
        <f>IF(SUM(O67:O69)=3,"F",IF(SUM(O67:O69)=2,"fd",""))</f>
        <v/>
      </c>
      <c r="Q67" s="12" t="str">
        <f t="shared" si="11"/>
        <v/>
      </c>
      <c r="R67" s="18" t="str">
        <f>IF(SUM(Q67:Q69)=3,"D",IF(SUM(Q67:Q69)=2,"dp",""))</f>
        <v/>
      </c>
      <c r="S67" s="12"/>
      <c r="T67" s="63"/>
      <c r="U67" s="64"/>
      <c r="V67" s="63"/>
      <c r="W67" s="64"/>
      <c r="Z67" s="79"/>
      <c r="AA67" s="79"/>
    </row>
    <row r="68" spans="2:27">
      <c r="B68" s="45" t="s">
        <v>106</v>
      </c>
      <c r="C68" s="35" t="s">
        <v>182</v>
      </c>
      <c r="D68" s="14"/>
      <c r="E68" s="46" t="str">
        <f t="shared" ref="E68:E90" si="34">IF($D68=1,"=","")</f>
        <v/>
      </c>
      <c r="F68" s="47" t="str">
        <f t="shared" ref="F68:F90" si="35">IF($D68=2,"=","")</f>
        <v/>
      </c>
      <c r="G68" s="48" t="str">
        <f t="shared" ref="G68:G90" si="36">IF($D68=3,"=","")</f>
        <v/>
      </c>
      <c r="H68" s="26" t="str">
        <f t="shared" ref="H68:H90" si="37">IF($D68=4,"=","")</f>
        <v/>
      </c>
      <c r="I68" s="29" t="str">
        <f t="shared" ref="I68:I90" si="38">IF($D68=5,"=","")</f>
        <v/>
      </c>
      <c r="J68" s="29" t="str">
        <f t="shared" ref="J68:J90" si="39">IF($D68=6,"=","")</f>
        <v/>
      </c>
      <c r="K68" s="49" t="str">
        <f t="shared" ref="K68:K90" si="40">IF($D68=7,"=","")</f>
        <v/>
      </c>
      <c r="L68" s="46" t="str">
        <f t="shared" ref="L68:L90" si="41">IF($D68=8,"=","")</f>
        <v/>
      </c>
      <c r="M68" s="47" t="str">
        <f t="shared" ref="M68:M90" si="42">IF($D68=9,"=","")</f>
        <v/>
      </c>
      <c r="N68" s="48" t="str">
        <f t="shared" ref="N68:N90" si="43">IF($D68=10,"=","")</f>
        <v/>
      </c>
      <c r="O68" s="12" t="str">
        <f t="shared" ref="O68:O90" si="44">IF(L68="=",1,IF(M68="=",1,IF(N68="=",1,"")))</f>
        <v/>
      </c>
      <c r="P68" s="18"/>
      <c r="Q68" s="12" t="str">
        <f t="shared" ref="Q68:Q90" si="45">IF(E68="=",1,IF(F68="=",1,IF(G68="=",1,"")))</f>
        <v/>
      </c>
      <c r="R68" s="18"/>
      <c r="S68" s="12"/>
      <c r="T68" s="63"/>
      <c r="U68" s="64"/>
      <c r="V68" s="63"/>
      <c r="W68" s="64"/>
      <c r="Z68" s="79"/>
      <c r="AA68" s="79"/>
    </row>
    <row r="69" spans="2:27">
      <c r="B69" s="50" t="s">
        <v>106</v>
      </c>
      <c r="C69" s="51" t="s">
        <v>313</v>
      </c>
      <c r="D69" s="52"/>
      <c r="E69" s="53" t="str">
        <f t="shared" si="34"/>
        <v/>
      </c>
      <c r="F69" s="54" t="str">
        <f t="shared" si="35"/>
        <v/>
      </c>
      <c r="G69" s="55" t="str">
        <f t="shared" si="36"/>
        <v/>
      </c>
      <c r="H69" s="27" t="str">
        <f t="shared" si="37"/>
        <v/>
      </c>
      <c r="I69" s="30" t="str">
        <f t="shared" si="38"/>
        <v/>
      </c>
      <c r="J69" s="30" t="str">
        <f t="shared" si="39"/>
        <v/>
      </c>
      <c r="K69" s="56" t="str">
        <f t="shared" si="40"/>
        <v/>
      </c>
      <c r="L69" s="53" t="str">
        <f t="shared" si="41"/>
        <v/>
      </c>
      <c r="M69" s="54" t="str">
        <f t="shared" si="42"/>
        <v/>
      </c>
      <c r="N69" s="55" t="str">
        <f t="shared" si="43"/>
        <v/>
      </c>
      <c r="O69" s="12" t="str">
        <f t="shared" si="44"/>
        <v/>
      </c>
      <c r="P69" s="18"/>
      <c r="Q69" s="12" t="str">
        <f t="shared" si="45"/>
        <v/>
      </c>
      <c r="R69" s="18"/>
      <c r="S69" s="12"/>
      <c r="T69" s="63"/>
      <c r="U69" s="64"/>
      <c r="V69" s="63"/>
      <c r="W69" s="64"/>
      <c r="Z69" s="79"/>
      <c r="AA69" s="79"/>
    </row>
    <row r="70" spans="2:27">
      <c r="B70" s="38" t="s">
        <v>30</v>
      </c>
      <c r="C70" s="39" t="s">
        <v>266</v>
      </c>
      <c r="D70" s="40"/>
      <c r="E70" s="41" t="str">
        <f t="shared" si="34"/>
        <v/>
      </c>
      <c r="F70" s="42" t="str">
        <f t="shared" si="35"/>
        <v/>
      </c>
      <c r="G70" s="43" t="str">
        <f t="shared" si="36"/>
        <v/>
      </c>
      <c r="H70" s="25" t="str">
        <f t="shared" si="37"/>
        <v/>
      </c>
      <c r="I70" s="28" t="str">
        <f t="shared" si="38"/>
        <v/>
      </c>
      <c r="J70" s="28" t="str">
        <f t="shared" si="39"/>
        <v/>
      </c>
      <c r="K70" s="44" t="str">
        <f t="shared" si="40"/>
        <v/>
      </c>
      <c r="L70" s="41" t="str">
        <f t="shared" si="41"/>
        <v/>
      </c>
      <c r="M70" s="42" t="str">
        <f t="shared" si="42"/>
        <v/>
      </c>
      <c r="N70" s="43" t="str">
        <f t="shared" si="43"/>
        <v/>
      </c>
      <c r="O70" s="12" t="str">
        <f t="shared" si="44"/>
        <v/>
      </c>
      <c r="P70" s="18" t="str">
        <f>IF(SUM(O70:O72)=3,"F",IF(SUM(O70:O72)=2,"fd",""))</f>
        <v/>
      </c>
      <c r="Q70" s="12" t="str">
        <f t="shared" si="45"/>
        <v/>
      </c>
      <c r="R70" s="18" t="str">
        <f>IF(SUM(Q70:Q72)=3,"D",IF(SUM(Q70:Q72)=2,"dp",""))</f>
        <v/>
      </c>
      <c r="S70" s="12"/>
      <c r="T70" s="63"/>
      <c r="U70" s="64"/>
      <c r="V70" s="63"/>
      <c r="W70" s="64"/>
      <c r="Z70" s="79"/>
      <c r="AA70" s="79"/>
    </row>
    <row r="71" spans="2:27">
      <c r="B71" s="45" t="s">
        <v>30</v>
      </c>
      <c r="C71" s="35" t="s">
        <v>29</v>
      </c>
      <c r="D71" s="14"/>
      <c r="E71" s="46" t="str">
        <f t="shared" si="34"/>
        <v/>
      </c>
      <c r="F71" s="47" t="str">
        <f t="shared" si="35"/>
        <v/>
      </c>
      <c r="G71" s="48" t="str">
        <f t="shared" si="36"/>
        <v/>
      </c>
      <c r="H71" s="26" t="str">
        <f t="shared" si="37"/>
        <v/>
      </c>
      <c r="I71" s="29" t="str">
        <f t="shared" si="38"/>
        <v/>
      </c>
      <c r="J71" s="29" t="str">
        <f t="shared" si="39"/>
        <v/>
      </c>
      <c r="K71" s="49" t="str">
        <f t="shared" si="40"/>
        <v/>
      </c>
      <c r="L71" s="46" t="str">
        <f t="shared" si="41"/>
        <v/>
      </c>
      <c r="M71" s="47" t="str">
        <f t="shared" si="42"/>
        <v/>
      </c>
      <c r="N71" s="48" t="str">
        <f t="shared" si="43"/>
        <v/>
      </c>
      <c r="O71" s="12" t="str">
        <f t="shared" si="44"/>
        <v/>
      </c>
      <c r="P71" s="18"/>
      <c r="Q71" s="12" t="str">
        <f t="shared" si="45"/>
        <v/>
      </c>
      <c r="R71" s="18"/>
      <c r="S71" s="12"/>
      <c r="T71" s="63"/>
      <c r="U71" s="64"/>
      <c r="V71" s="63"/>
      <c r="W71" s="64"/>
      <c r="Z71" s="79"/>
      <c r="AA71" s="79"/>
    </row>
    <row r="72" spans="2:27">
      <c r="B72" s="50" t="s">
        <v>30</v>
      </c>
      <c r="C72" s="51" t="s">
        <v>155</v>
      </c>
      <c r="D72" s="52"/>
      <c r="E72" s="53" t="str">
        <f t="shared" si="34"/>
        <v/>
      </c>
      <c r="F72" s="54" t="str">
        <f t="shared" si="35"/>
        <v/>
      </c>
      <c r="G72" s="55" t="str">
        <f t="shared" si="36"/>
        <v/>
      </c>
      <c r="H72" s="27" t="str">
        <f t="shared" si="37"/>
        <v/>
      </c>
      <c r="I72" s="30" t="str">
        <f t="shared" si="38"/>
        <v/>
      </c>
      <c r="J72" s="30" t="str">
        <f t="shared" si="39"/>
        <v/>
      </c>
      <c r="K72" s="56" t="str">
        <f t="shared" si="40"/>
        <v/>
      </c>
      <c r="L72" s="53" t="str">
        <f t="shared" si="41"/>
        <v/>
      </c>
      <c r="M72" s="54" t="str">
        <f t="shared" si="42"/>
        <v/>
      </c>
      <c r="N72" s="55" t="str">
        <f t="shared" si="43"/>
        <v/>
      </c>
      <c r="O72" s="12" t="str">
        <f t="shared" si="44"/>
        <v/>
      </c>
      <c r="P72" s="18"/>
      <c r="Q72" s="12" t="str">
        <f t="shared" si="45"/>
        <v/>
      </c>
      <c r="R72" s="18"/>
      <c r="S72" s="12"/>
      <c r="T72" s="63"/>
      <c r="U72" s="64"/>
      <c r="V72" s="63"/>
      <c r="W72" s="64"/>
      <c r="Z72" s="79"/>
      <c r="AA72" s="79"/>
    </row>
    <row r="73" spans="2:27">
      <c r="B73" s="38" t="s">
        <v>549</v>
      </c>
      <c r="C73" s="39" t="s">
        <v>400</v>
      </c>
      <c r="D73" s="40"/>
      <c r="E73" s="41" t="str">
        <f t="shared" si="34"/>
        <v/>
      </c>
      <c r="F73" s="42" t="str">
        <f t="shared" si="35"/>
        <v/>
      </c>
      <c r="G73" s="43" t="str">
        <f t="shared" si="36"/>
        <v/>
      </c>
      <c r="H73" s="25" t="str">
        <f t="shared" si="37"/>
        <v/>
      </c>
      <c r="I73" s="28" t="str">
        <f t="shared" si="38"/>
        <v/>
      </c>
      <c r="J73" s="28" t="str">
        <f t="shared" si="39"/>
        <v/>
      </c>
      <c r="K73" s="44" t="str">
        <f t="shared" si="40"/>
        <v/>
      </c>
      <c r="L73" s="41" t="str">
        <f t="shared" si="41"/>
        <v/>
      </c>
      <c r="M73" s="42" t="str">
        <f t="shared" si="42"/>
        <v/>
      </c>
      <c r="N73" s="43" t="str">
        <f t="shared" si="43"/>
        <v/>
      </c>
      <c r="O73" s="12" t="str">
        <f t="shared" si="44"/>
        <v/>
      </c>
      <c r="P73" s="18" t="str">
        <f>IF(SUM(O73:O75)=3,"F",IF(SUM(O73:O75)=2,"fd",""))</f>
        <v/>
      </c>
      <c r="Q73" s="12" t="str">
        <f t="shared" si="45"/>
        <v/>
      </c>
      <c r="R73" s="18" t="str">
        <f>IF(SUM(Q73:Q75)=3,"D",IF(SUM(Q73:Q75)=2,"dp",""))</f>
        <v/>
      </c>
      <c r="S73" s="12"/>
      <c r="T73" s="63"/>
      <c r="U73" s="64"/>
      <c r="V73" s="63"/>
      <c r="W73" s="64"/>
      <c r="Z73" s="79"/>
      <c r="AA73" s="79"/>
    </row>
    <row r="74" spans="2:27">
      <c r="B74" s="45" t="s">
        <v>549</v>
      </c>
      <c r="C74" s="35" t="s">
        <v>320</v>
      </c>
      <c r="D74" s="14"/>
      <c r="E74" s="46" t="str">
        <f t="shared" si="34"/>
        <v/>
      </c>
      <c r="F74" s="47" t="str">
        <f t="shared" si="35"/>
        <v/>
      </c>
      <c r="G74" s="48" t="str">
        <f t="shared" si="36"/>
        <v/>
      </c>
      <c r="H74" s="26" t="str">
        <f t="shared" si="37"/>
        <v/>
      </c>
      <c r="I74" s="29" t="str">
        <f t="shared" si="38"/>
        <v/>
      </c>
      <c r="J74" s="29" t="str">
        <f t="shared" si="39"/>
        <v/>
      </c>
      <c r="K74" s="49" t="str">
        <f t="shared" si="40"/>
        <v/>
      </c>
      <c r="L74" s="46" t="str">
        <f t="shared" si="41"/>
        <v/>
      </c>
      <c r="M74" s="47" t="str">
        <f t="shared" si="42"/>
        <v/>
      </c>
      <c r="N74" s="48" t="str">
        <f t="shared" si="43"/>
        <v/>
      </c>
      <c r="O74" s="12" t="str">
        <f t="shared" si="44"/>
        <v/>
      </c>
      <c r="P74" s="18"/>
      <c r="Q74" s="12" t="str">
        <f t="shared" si="45"/>
        <v/>
      </c>
      <c r="R74" s="18"/>
      <c r="S74" s="12"/>
      <c r="T74" s="61" t="s">
        <v>458</v>
      </c>
      <c r="U74" s="62">
        <f>COUNTIF($P$4:$R$90,"fd")</f>
        <v>0</v>
      </c>
      <c r="V74" s="61" t="s">
        <v>457</v>
      </c>
      <c r="W74" s="62">
        <f>COUNTIF($P$4:$R$90,"DP")</f>
        <v>0</v>
      </c>
      <c r="X74">
        <f>SUM(U63,W63,U74,W74)</f>
        <v>0</v>
      </c>
      <c r="Z74" s="5" t="s">
        <v>521</v>
      </c>
      <c r="AA74" s="5" t="s">
        <v>520</v>
      </c>
    </row>
    <row r="75" spans="2:27">
      <c r="B75" s="50" t="s">
        <v>549</v>
      </c>
      <c r="C75" s="51" t="s">
        <v>282</v>
      </c>
      <c r="D75" s="52"/>
      <c r="E75" s="53" t="str">
        <f t="shared" si="34"/>
        <v/>
      </c>
      <c r="F75" s="54" t="str">
        <f t="shared" si="35"/>
        <v/>
      </c>
      <c r="G75" s="55" t="str">
        <f t="shared" si="36"/>
        <v/>
      </c>
      <c r="H75" s="27" t="str">
        <f t="shared" si="37"/>
        <v/>
      </c>
      <c r="I75" s="30" t="str">
        <f t="shared" si="38"/>
        <v/>
      </c>
      <c r="J75" s="30" t="str">
        <f t="shared" si="39"/>
        <v/>
      </c>
      <c r="K75" s="56" t="str">
        <f t="shared" si="40"/>
        <v/>
      </c>
      <c r="L75" s="53" t="str">
        <f t="shared" si="41"/>
        <v/>
      </c>
      <c r="M75" s="54" t="str">
        <f t="shared" si="42"/>
        <v/>
      </c>
      <c r="N75" s="55" t="str">
        <f t="shared" si="43"/>
        <v/>
      </c>
      <c r="O75" s="12" t="str">
        <f t="shared" si="44"/>
        <v/>
      </c>
      <c r="P75" s="18"/>
      <c r="Q75" s="12" t="str">
        <f t="shared" si="45"/>
        <v/>
      </c>
      <c r="R75" s="18"/>
      <c r="S75" s="12"/>
      <c r="T75" s="65"/>
      <c r="U75" s="90"/>
      <c r="V75" s="65"/>
      <c r="W75" s="90"/>
      <c r="Z75" s="79"/>
      <c r="AA75" s="79"/>
    </row>
    <row r="76" spans="2:27">
      <c r="B76" s="38" t="s">
        <v>390</v>
      </c>
      <c r="C76" s="39" t="s">
        <v>48</v>
      </c>
      <c r="D76" s="40"/>
      <c r="E76" s="41" t="str">
        <f t="shared" si="34"/>
        <v/>
      </c>
      <c r="F76" s="42" t="str">
        <f t="shared" si="35"/>
        <v/>
      </c>
      <c r="G76" s="43" t="str">
        <f t="shared" si="36"/>
        <v/>
      </c>
      <c r="H76" s="25" t="str">
        <f t="shared" si="37"/>
        <v/>
      </c>
      <c r="I76" s="28" t="str">
        <f t="shared" si="38"/>
        <v/>
      </c>
      <c r="J76" s="28" t="str">
        <f t="shared" si="39"/>
        <v/>
      </c>
      <c r="K76" s="44" t="str">
        <f t="shared" si="40"/>
        <v/>
      </c>
      <c r="L76" s="41" t="str">
        <f t="shared" si="41"/>
        <v/>
      </c>
      <c r="M76" s="42" t="str">
        <f t="shared" si="42"/>
        <v/>
      </c>
      <c r="N76" s="43" t="str">
        <f t="shared" si="43"/>
        <v/>
      </c>
      <c r="O76" s="12" t="str">
        <f t="shared" si="44"/>
        <v/>
      </c>
      <c r="P76" s="18" t="str">
        <f>IF(SUM(O76:O78)=3,"F",IF(SUM(O76:O78)=2,"fd",""))</f>
        <v/>
      </c>
      <c r="Q76" s="12" t="str">
        <f t="shared" si="45"/>
        <v/>
      </c>
      <c r="R76" s="18" t="str">
        <f>IF(SUM(Q76:Q78)=3,"D",IF(SUM(Q76:Q78)=2,"dp",""))</f>
        <v/>
      </c>
      <c r="S76" s="12"/>
      <c r="T76" s="63"/>
      <c r="U76" s="89"/>
      <c r="V76" s="63"/>
      <c r="W76" s="89"/>
      <c r="Z76" s="79"/>
      <c r="AA76" s="79"/>
    </row>
    <row r="77" spans="2:27">
      <c r="B77" s="45" t="s">
        <v>390</v>
      </c>
      <c r="C77" s="35" t="s">
        <v>161</v>
      </c>
      <c r="D77" s="14"/>
      <c r="E77" s="46" t="str">
        <f t="shared" si="34"/>
        <v/>
      </c>
      <c r="F77" s="47" t="str">
        <f t="shared" si="35"/>
        <v/>
      </c>
      <c r="G77" s="48" t="str">
        <f t="shared" si="36"/>
        <v/>
      </c>
      <c r="H77" s="26" t="str">
        <f t="shared" si="37"/>
        <v/>
      </c>
      <c r="I77" s="29" t="str">
        <f t="shared" si="38"/>
        <v/>
      </c>
      <c r="J77" s="29" t="str">
        <f t="shared" si="39"/>
        <v/>
      </c>
      <c r="K77" s="49" t="str">
        <f t="shared" si="40"/>
        <v/>
      </c>
      <c r="L77" s="46" t="str">
        <f t="shared" si="41"/>
        <v/>
      </c>
      <c r="M77" s="47" t="str">
        <f t="shared" si="42"/>
        <v/>
      </c>
      <c r="N77" s="48" t="str">
        <f t="shared" si="43"/>
        <v/>
      </c>
      <c r="O77" s="12" t="str">
        <f t="shared" si="44"/>
        <v/>
      </c>
      <c r="P77" s="18"/>
      <c r="Q77" s="12" t="str">
        <f t="shared" si="45"/>
        <v/>
      </c>
      <c r="R77" s="18"/>
      <c r="S77" s="12"/>
      <c r="T77" s="63"/>
      <c r="U77" s="89"/>
      <c r="V77" s="63"/>
      <c r="W77" s="89"/>
      <c r="Z77" s="79"/>
      <c r="AA77" s="79"/>
    </row>
    <row r="78" spans="2:27">
      <c r="B78" s="50" t="s">
        <v>390</v>
      </c>
      <c r="C78" s="51" t="s">
        <v>244</v>
      </c>
      <c r="D78" s="52"/>
      <c r="E78" s="53" t="str">
        <f t="shared" si="34"/>
        <v/>
      </c>
      <c r="F78" s="54" t="str">
        <f t="shared" si="35"/>
        <v/>
      </c>
      <c r="G78" s="55" t="str">
        <f t="shared" si="36"/>
        <v/>
      </c>
      <c r="H78" s="27" t="str">
        <f t="shared" si="37"/>
        <v/>
      </c>
      <c r="I78" s="30" t="str">
        <f t="shared" si="38"/>
        <v/>
      </c>
      <c r="J78" s="30" t="str">
        <f t="shared" si="39"/>
        <v/>
      </c>
      <c r="K78" s="56" t="str">
        <f t="shared" si="40"/>
        <v/>
      </c>
      <c r="L78" s="53" t="str">
        <f t="shared" si="41"/>
        <v/>
      </c>
      <c r="M78" s="54" t="str">
        <f t="shared" si="42"/>
        <v/>
      </c>
      <c r="N78" s="55" t="str">
        <f t="shared" si="43"/>
        <v/>
      </c>
      <c r="O78" s="12" t="str">
        <f t="shared" si="44"/>
        <v/>
      </c>
      <c r="P78" s="18"/>
      <c r="Q78" s="12" t="str">
        <f t="shared" si="45"/>
        <v/>
      </c>
      <c r="R78" s="18"/>
      <c r="S78" s="12"/>
      <c r="T78" s="63"/>
      <c r="U78" s="89"/>
      <c r="V78" s="63"/>
      <c r="W78" s="89"/>
      <c r="Z78" s="79"/>
      <c r="AA78" s="79"/>
    </row>
    <row r="79" spans="2:27">
      <c r="B79" s="38" t="s">
        <v>465</v>
      </c>
      <c r="C79" s="39" t="s">
        <v>577</v>
      </c>
      <c r="D79" s="40"/>
      <c r="E79" s="41" t="str">
        <f t="shared" si="34"/>
        <v/>
      </c>
      <c r="F79" s="42" t="str">
        <f t="shared" si="35"/>
        <v/>
      </c>
      <c r="G79" s="43" t="str">
        <f t="shared" si="36"/>
        <v/>
      </c>
      <c r="H79" s="25" t="str">
        <f t="shared" si="37"/>
        <v/>
      </c>
      <c r="I79" s="28" t="str">
        <f t="shared" si="38"/>
        <v/>
      </c>
      <c r="J79" s="28" t="str">
        <f t="shared" si="39"/>
        <v/>
      </c>
      <c r="K79" s="44" t="str">
        <f t="shared" si="40"/>
        <v/>
      </c>
      <c r="L79" s="41" t="str">
        <f t="shared" si="41"/>
        <v/>
      </c>
      <c r="M79" s="42" t="str">
        <f t="shared" si="42"/>
        <v/>
      </c>
      <c r="N79" s="43" t="str">
        <f t="shared" si="43"/>
        <v/>
      </c>
      <c r="O79" s="12" t="str">
        <f t="shared" si="44"/>
        <v/>
      </c>
      <c r="P79" s="18" t="str">
        <f>IF(SUM(O79:O81)=3,"F",IF(SUM(O79:O81)=2,"fd",""))</f>
        <v/>
      </c>
      <c r="Q79" s="12" t="str">
        <f t="shared" si="45"/>
        <v/>
      </c>
      <c r="R79" s="18" t="str">
        <f>IF(SUM(Q79:Q81)=3,"D",IF(SUM(Q79:Q81)=2,"dp",""))</f>
        <v/>
      </c>
      <c r="S79" s="12"/>
      <c r="T79" s="63"/>
      <c r="U79" s="89"/>
      <c r="V79" s="63"/>
      <c r="W79" s="89"/>
      <c r="Z79" s="79"/>
      <c r="AA79" s="79"/>
    </row>
    <row r="80" spans="2:27">
      <c r="B80" s="45" t="s">
        <v>465</v>
      </c>
      <c r="C80" s="35" t="s">
        <v>54</v>
      </c>
      <c r="D80" s="14"/>
      <c r="E80" s="46" t="str">
        <f t="shared" si="34"/>
        <v/>
      </c>
      <c r="F80" s="47" t="str">
        <f t="shared" si="35"/>
        <v/>
      </c>
      <c r="G80" s="48" t="str">
        <f t="shared" si="36"/>
        <v/>
      </c>
      <c r="H80" s="26" t="str">
        <f t="shared" si="37"/>
        <v/>
      </c>
      <c r="I80" s="29" t="str">
        <f t="shared" si="38"/>
        <v/>
      </c>
      <c r="J80" s="29" t="str">
        <f t="shared" si="39"/>
        <v/>
      </c>
      <c r="K80" s="49" t="str">
        <f t="shared" si="40"/>
        <v/>
      </c>
      <c r="L80" s="46" t="str">
        <f t="shared" si="41"/>
        <v/>
      </c>
      <c r="M80" s="47" t="str">
        <f t="shared" si="42"/>
        <v/>
      </c>
      <c r="N80" s="48" t="str">
        <f t="shared" si="43"/>
        <v/>
      </c>
      <c r="O80" s="12" t="str">
        <f t="shared" si="44"/>
        <v/>
      </c>
      <c r="P80" s="18"/>
      <c r="Q80" s="12" t="str">
        <f t="shared" si="45"/>
        <v/>
      </c>
      <c r="R80" s="18"/>
      <c r="S80" s="12"/>
      <c r="T80" s="63"/>
      <c r="U80" s="89"/>
      <c r="V80" s="63"/>
      <c r="W80" s="89"/>
      <c r="Z80" s="79"/>
      <c r="AA80" s="79"/>
    </row>
    <row r="81" spans="2:27">
      <c r="B81" s="50" t="s">
        <v>465</v>
      </c>
      <c r="C81" s="51" t="s">
        <v>401</v>
      </c>
      <c r="D81" s="52"/>
      <c r="E81" s="53" t="str">
        <f t="shared" si="34"/>
        <v/>
      </c>
      <c r="F81" s="54" t="str">
        <f t="shared" si="35"/>
        <v/>
      </c>
      <c r="G81" s="55" t="str">
        <f t="shared" si="36"/>
        <v/>
      </c>
      <c r="H81" s="27" t="str">
        <f t="shared" si="37"/>
        <v/>
      </c>
      <c r="I81" s="30" t="str">
        <f t="shared" si="38"/>
        <v/>
      </c>
      <c r="J81" s="30" t="str">
        <f t="shared" si="39"/>
        <v/>
      </c>
      <c r="K81" s="56" t="str">
        <f t="shared" si="40"/>
        <v/>
      </c>
      <c r="L81" s="53" t="str">
        <f t="shared" si="41"/>
        <v/>
      </c>
      <c r="M81" s="54" t="str">
        <f t="shared" si="42"/>
        <v/>
      </c>
      <c r="N81" s="55" t="str">
        <f t="shared" si="43"/>
        <v/>
      </c>
      <c r="O81" s="12" t="str">
        <f t="shared" si="44"/>
        <v/>
      </c>
      <c r="P81" s="18"/>
      <c r="Q81" s="12" t="str">
        <f t="shared" si="45"/>
        <v/>
      </c>
      <c r="R81" s="18"/>
      <c r="S81" s="12"/>
      <c r="T81" s="63"/>
      <c r="U81" s="89"/>
      <c r="V81" s="63"/>
      <c r="W81" s="89"/>
      <c r="Z81" s="79"/>
      <c r="AA81" s="79"/>
    </row>
    <row r="82" spans="2:27">
      <c r="B82" s="38" t="s">
        <v>469</v>
      </c>
      <c r="C82" s="39" t="s">
        <v>180</v>
      </c>
      <c r="D82" s="40"/>
      <c r="E82" s="41" t="str">
        <f t="shared" si="34"/>
        <v/>
      </c>
      <c r="F82" s="42" t="str">
        <f t="shared" si="35"/>
        <v/>
      </c>
      <c r="G82" s="43" t="str">
        <f t="shared" si="36"/>
        <v/>
      </c>
      <c r="H82" s="25" t="str">
        <f t="shared" si="37"/>
        <v/>
      </c>
      <c r="I82" s="28" t="str">
        <f t="shared" si="38"/>
        <v/>
      </c>
      <c r="J82" s="28" t="str">
        <f t="shared" si="39"/>
        <v/>
      </c>
      <c r="K82" s="44" t="str">
        <f t="shared" si="40"/>
        <v/>
      </c>
      <c r="L82" s="41" t="str">
        <f t="shared" si="41"/>
        <v/>
      </c>
      <c r="M82" s="42" t="str">
        <f t="shared" si="42"/>
        <v/>
      </c>
      <c r="N82" s="43" t="str">
        <f t="shared" si="43"/>
        <v/>
      </c>
      <c r="O82" s="12" t="str">
        <f t="shared" si="44"/>
        <v/>
      </c>
      <c r="P82" s="18" t="str">
        <f>IF(SUM(O82:O84)=3,"F",IF(SUM(O82:O84)=2,"fd",""))</f>
        <v/>
      </c>
      <c r="Q82" s="12" t="str">
        <f t="shared" si="45"/>
        <v/>
      </c>
      <c r="R82" s="18" t="str">
        <f>IF(SUM(Q82:Q84)=3,"D",IF(SUM(Q82:Q84)=2,"dp",""))</f>
        <v/>
      </c>
      <c r="S82" s="12"/>
      <c r="T82" s="63"/>
      <c r="U82" s="89"/>
      <c r="V82" s="63"/>
      <c r="W82" s="89"/>
      <c r="Z82" s="79"/>
      <c r="AA82" s="79"/>
    </row>
    <row r="83" spans="2:27">
      <c r="B83" s="45" t="s">
        <v>469</v>
      </c>
      <c r="C83" s="35" t="s">
        <v>113</v>
      </c>
      <c r="D83" s="14"/>
      <c r="E83" s="46" t="str">
        <f t="shared" si="34"/>
        <v/>
      </c>
      <c r="F83" s="47" t="str">
        <f t="shared" si="35"/>
        <v/>
      </c>
      <c r="G83" s="48" t="str">
        <f t="shared" si="36"/>
        <v/>
      </c>
      <c r="H83" s="26" t="str">
        <f t="shared" si="37"/>
        <v/>
      </c>
      <c r="I83" s="29" t="str">
        <f t="shared" si="38"/>
        <v/>
      </c>
      <c r="J83" s="29" t="str">
        <f t="shared" si="39"/>
        <v/>
      </c>
      <c r="K83" s="49" t="str">
        <f t="shared" si="40"/>
        <v/>
      </c>
      <c r="L83" s="46" t="str">
        <f t="shared" si="41"/>
        <v/>
      </c>
      <c r="M83" s="47" t="str">
        <f t="shared" si="42"/>
        <v/>
      </c>
      <c r="N83" s="48" t="str">
        <f t="shared" si="43"/>
        <v/>
      </c>
      <c r="O83" s="12" t="str">
        <f t="shared" si="44"/>
        <v/>
      </c>
      <c r="P83" s="18"/>
      <c r="Q83" s="12" t="str">
        <f t="shared" si="45"/>
        <v/>
      </c>
      <c r="R83" s="18"/>
      <c r="S83" s="12"/>
      <c r="T83" s="63"/>
      <c r="U83" s="64"/>
      <c r="V83" s="63"/>
      <c r="W83" s="89"/>
      <c r="Z83" s="79"/>
      <c r="AA83" s="79"/>
    </row>
    <row r="84" spans="2:27">
      <c r="B84" s="50" t="s">
        <v>469</v>
      </c>
      <c r="C84" s="51" t="s">
        <v>192</v>
      </c>
      <c r="D84" s="52"/>
      <c r="E84" s="53" t="str">
        <f t="shared" si="34"/>
        <v/>
      </c>
      <c r="F84" s="54" t="str">
        <f t="shared" si="35"/>
        <v/>
      </c>
      <c r="G84" s="55" t="str">
        <f t="shared" si="36"/>
        <v/>
      </c>
      <c r="H84" s="27" t="str">
        <f t="shared" si="37"/>
        <v/>
      </c>
      <c r="I84" s="30" t="str">
        <f t="shared" si="38"/>
        <v/>
      </c>
      <c r="J84" s="30" t="str">
        <f t="shared" si="39"/>
        <v/>
      </c>
      <c r="K84" s="56" t="str">
        <f t="shared" si="40"/>
        <v/>
      </c>
      <c r="L84" s="53" t="str">
        <f t="shared" si="41"/>
        <v/>
      </c>
      <c r="M84" s="54" t="str">
        <f t="shared" si="42"/>
        <v/>
      </c>
      <c r="N84" s="55" t="str">
        <f t="shared" si="43"/>
        <v/>
      </c>
      <c r="O84" s="12" t="str">
        <f t="shared" si="44"/>
        <v/>
      </c>
      <c r="P84" s="18"/>
      <c r="Q84" s="12" t="str">
        <f t="shared" si="45"/>
        <v/>
      </c>
      <c r="R84" s="18"/>
      <c r="S84" s="12"/>
      <c r="T84" s="63"/>
      <c r="U84" s="64"/>
      <c r="V84" s="63"/>
      <c r="W84" s="89"/>
      <c r="Z84" s="79"/>
      <c r="AA84" s="79"/>
    </row>
    <row r="85" spans="2:27">
      <c r="B85" s="38" t="s">
        <v>515</v>
      </c>
      <c r="C85" s="39" t="s">
        <v>22</v>
      </c>
      <c r="D85" s="40"/>
      <c r="E85" s="41" t="str">
        <f t="shared" si="34"/>
        <v/>
      </c>
      <c r="F85" s="42" t="str">
        <f t="shared" si="35"/>
        <v/>
      </c>
      <c r="G85" s="43" t="str">
        <f t="shared" si="36"/>
        <v/>
      </c>
      <c r="H85" s="25" t="str">
        <f t="shared" si="37"/>
        <v/>
      </c>
      <c r="I85" s="28" t="str">
        <f t="shared" si="38"/>
        <v/>
      </c>
      <c r="J85" s="28" t="str">
        <f t="shared" si="39"/>
        <v/>
      </c>
      <c r="K85" s="44" t="str">
        <f t="shared" si="40"/>
        <v/>
      </c>
      <c r="L85" s="41" t="str">
        <f t="shared" si="41"/>
        <v/>
      </c>
      <c r="M85" s="42" t="str">
        <f t="shared" si="42"/>
        <v/>
      </c>
      <c r="N85" s="43" t="str">
        <f t="shared" si="43"/>
        <v/>
      </c>
      <c r="O85" s="12" t="str">
        <f t="shared" si="44"/>
        <v/>
      </c>
      <c r="P85" s="18" t="str">
        <f>IF(SUM(O85:O87)=3,"F",IF(SUM(O85:O87)=2,"fd",""))</f>
        <v/>
      </c>
      <c r="Q85" s="12" t="str">
        <f t="shared" si="45"/>
        <v/>
      </c>
      <c r="R85" s="18" t="str">
        <f>IF(SUM(Q85:Q87)=3,"D",IF(SUM(Q85:Q87)=2,"dp",""))</f>
        <v/>
      </c>
      <c r="S85" s="12"/>
      <c r="T85" s="63"/>
      <c r="U85" s="64"/>
      <c r="V85" s="63"/>
      <c r="W85" s="64"/>
      <c r="Z85" s="79"/>
      <c r="AA85" s="79"/>
    </row>
    <row r="86" spans="2:27">
      <c r="B86" s="45" t="s">
        <v>515</v>
      </c>
      <c r="C86" s="35" t="s">
        <v>135</v>
      </c>
      <c r="D86" s="14"/>
      <c r="E86" s="46" t="str">
        <f t="shared" si="34"/>
        <v/>
      </c>
      <c r="F86" s="47" t="str">
        <f t="shared" si="35"/>
        <v/>
      </c>
      <c r="G86" s="48" t="str">
        <f t="shared" si="36"/>
        <v/>
      </c>
      <c r="H86" s="26" t="str">
        <f t="shared" si="37"/>
        <v/>
      </c>
      <c r="I86" s="29" t="str">
        <f t="shared" si="38"/>
        <v/>
      </c>
      <c r="J86" s="29" t="str">
        <f t="shared" si="39"/>
        <v/>
      </c>
      <c r="K86" s="49" t="str">
        <f t="shared" si="40"/>
        <v/>
      </c>
      <c r="L86" s="46" t="str">
        <f t="shared" si="41"/>
        <v/>
      </c>
      <c r="M86" s="47" t="str">
        <f t="shared" si="42"/>
        <v/>
      </c>
      <c r="N86" s="48" t="str">
        <f t="shared" si="43"/>
        <v/>
      </c>
      <c r="O86" s="12" t="str">
        <f t="shared" si="44"/>
        <v/>
      </c>
      <c r="P86" s="18"/>
      <c r="Q86" s="12" t="str">
        <f t="shared" si="45"/>
        <v/>
      </c>
      <c r="R86" s="18"/>
      <c r="S86" s="12"/>
      <c r="T86" s="91"/>
      <c r="U86" s="92"/>
      <c r="V86" s="91"/>
      <c r="W86" s="92"/>
      <c r="Z86" s="79"/>
      <c r="AA86" s="79"/>
    </row>
    <row r="87" spans="2:27">
      <c r="B87" s="50" t="s">
        <v>515</v>
      </c>
      <c r="C87" s="51" t="s">
        <v>197</v>
      </c>
      <c r="D87" s="52"/>
      <c r="E87" s="53" t="str">
        <f t="shared" si="34"/>
        <v/>
      </c>
      <c r="F87" s="54" t="str">
        <f t="shared" si="35"/>
        <v/>
      </c>
      <c r="G87" s="55" t="str">
        <f t="shared" si="36"/>
        <v/>
      </c>
      <c r="H87" s="27" t="str">
        <f t="shared" si="37"/>
        <v/>
      </c>
      <c r="I87" s="30" t="str">
        <f t="shared" si="38"/>
        <v/>
      </c>
      <c r="J87" s="30" t="str">
        <f t="shared" si="39"/>
        <v/>
      </c>
      <c r="K87" s="56" t="str">
        <f t="shared" si="40"/>
        <v/>
      </c>
      <c r="L87" s="53" t="str">
        <f t="shared" si="41"/>
        <v/>
      </c>
      <c r="M87" s="54" t="str">
        <f t="shared" si="42"/>
        <v/>
      </c>
      <c r="N87" s="55" t="str">
        <f t="shared" si="43"/>
        <v/>
      </c>
      <c r="O87" s="12" t="str">
        <f t="shared" si="44"/>
        <v/>
      </c>
      <c r="P87" s="18"/>
      <c r="Q87" s="12" t="str">
        <f t="shared" si="45"/>
        <v/>
      </c>
      <c r="R87" s="18"/>
      <c r="S87" s="12"/>
      <c r="T87" s="91"/>
      <c r="U87" s="92"/>
      <c r="V87" s="91"/>
      <c r="W87" s="92"/>
      <c r="Z87" s="79"/>
      <c r="AA87" s="79"/>
    </row>
    <row r="88" spans="2:27">
      <c r="B88" s="38" t="s">
        <v>472</v>
      </c>
      <c r="C88" s="39" t="s">
        <v>258</v>
      </c>
      <c r="D88" s="40"/>
      <c r="E88" s="41" t="str">
        <f t="shared" si="34"/>
        <v/>
      </c>
      <c r="F88" s="42" t="str">
        <f t="shared" si="35"/>
        <v/>
      </c>
      <c r="G88" s="43" t="str">
        <f t="shared" si="36"/>
        <v/>
      </c>
      <c r="H88" s="25" t="str">
        <f t="shared" si="37"/>
        <v/>
      </c>
      <c r="I88" s="28" t="str">
        <f t="shared" si="38"/>
        <v/>
      </c>
      <c r="J88" s="28" t="str">
        <f t="shared" si="39"/>
        <v/>
      </c>
      <c r="K88" s="44" t="str">
        <f t="shared" si="40"/>
        <v/>
      </c>
      <c r="L88" s="41" t="str">
        <f t="shared" si="41"/>
        <v/>
      </c>
      <c r="M88" s="42" t="str">
        <f t="shared" si="42"/>
        <v/>
      </c>
      <c r="N88" s="43" t="str">
        <f t="shared" si="43"/>
        <v/>
      </c>
      <c r="O88" s="12" t="str">
        <f t="shared" si="44"/>
        <v/>
      </c>
      <c r="P88" s="18" t="str">
        <f>IF(SUM(O88:O90)=3,"F",IF(SUM(O88:O90)=2,"fd",""))</f>
        <v/>
      </c>
      <c r="Q88" s="12" t="str">
        <f t="shared" si="45"/>
        <v/>
      </c>
      <c r="R88" s="18" t="str">
        <f>IF(SUM(Q88:Q90)=3,"D",IF(SUM(Q88:Q90)=2,"dp",""))</f>
        <v/>
      </c>
      <c r="S88" s="12"/>
      <c r="T88" s="91"/>
      <c r="U88" s="92"/>
      <c r="V88" s="91"/>
      <c r="W88" s="92"/>
      <c r="Z88" s="79"/>
      <c r="AA88" s="79"/>
    </row>
    <row r="89" spans="2:27">
      <c r="B89" s="45" t="s">
        <v>472</v>
      </c>
      <c r="C89" s="35" t="s">
        <v>565</v>
      </c>
      <c r="D89" s="14"/>
      <c r="E89" s="46" t="str">
        <f t="shared" si="34"/>
        <v/>
      </c>
      <c r="F89" s="47" t="str">
        <f t="shared" si="35"/>
        <v/>
      </c>
      <c r="G89" s="48" t="str">
        <f t="shared" si="36"/>
        <v/>
      </c>
      <c r="H89" s="26" t="str">
        <f t="shared" si="37"/>
        <v/>
      </c>
      <c r="I89" s="29" t="str">
        <f t="shared" si="38"/>
        <v/>
      </c>
      <c r="J89" s="29" t="str">
        <f t="shared" si="39"/>
        <v/>
      </c>
      <c r="K89" s="49" t="str">
        <f t="shared" si="40"/>
        <v/>
      </c>
      <c r="L89" s="46" t="str">
        <f t="shared" si="41"/>
        <v/>
      </c>
      <c r="M89" s="47" t="str">
        <f t="shared" si="42"/>
        <v/>
      </c>
      <c r="N89" s="48" t="str">
        <f t="shared" si="43"/>
        <v/>
      </c>
      <c r="O89" s="12" t="str">
        <f t="shared" si="44"/>
        <v/>
      </c>
      <c r="P89" s="18"/>
      <c r="Q89" s="12" t="str">
        <f t="shared" si="45"/>
        <v/>
      </c>
      <c r="R89" s="18"/>
      <c r="S89" s="12"/>
      <c r="T89" s="91"/>
      <c r="U89" s="92"/>
      <c r="V89" s="91"/>
      <c r="W89" s="92"/>
      <c r="Z89" s="79"/>
      <c r="AA89" s="79"/>
    </row>
    <row r="90" spans="2:27">
      <c r="B90" s="50" t="s">
        <v>472</v>
      </c>
      <c r="C90" s="51" t="s">
        <v>142</v>
      </c>
      <c r="D90" s="52"/>
      <c r="E90" s="53" t="str">
        <f t="shared" si="34"/>
        <v/>
      </c>
      <c r="F90" s="54" t="str">
        <f t="shared" si="35"/>
        <v/>
      </c>
      <c r="G90" s="55" t="str">
        <f t="shared" si="36"/>
        <v/>
      </c>
      <c r="H90" s="27" t="str">
        <f t="shared" si="37"/>
        <v/>
      </c>
      <c r="I90" s="30" t="str">
        <f t="shared" si="38"/>
        <v/>
      </c>
      <c r="J90" s="30" t="str">
        <f t="shared" si="39"/>
        <v/>
      </c>
      <c r="K90" s="56" t="str">
        <f t="shared" si="40"/>
        <v/>
      </c>
      <c r="L90" s="53" t="str">
        <f t="shared" si="41"/>
        <v/>
      </c>
      <c r="M90" s="54" t="str">
        <f t="shared" si="42"/>
        <v/>
      </c>
      <c r="N90" s="55" t="str">
        <f t="shared" si="43"/>
        <v/>
      </c>
      <c r="O90" s="12" t="str">
        <f t="shared" si="44"/>
        <v/>
      </c>
      <c r="P90" s="18"/>
      <c r="Q90" s="12" t="str">
        <f t="shared" si="45"/>
        <v/>
      </c>
      <c r="R90" s="18"/>
      <c r="S90" s="12"/>
      <c r="T90" s="93"/>
      <c r="U90" s="94"/>
      <c r="V90" s="93"/>
      <c r="W90" s="94"/>
      <c r="Z90" s="79"/>
      <c r="AA90" s="79"/>
    </row>
    <row r="91" spans="2:27">
      <c r="O91" s="12"/>
      <c r="P91" s="18"/>
      <c r="Q91" s="12"/>
      <c r="R91" s="18"/>
      <c r="S91" s="12"/>
    </row>
    <row r="92" spans="2:27">
      <c r="O92" s="12"/>
      <c r="P92" s="18"/>
      <c r="Q92" s="12"/>
      <c r="R92" s="18"/>
      <c r="S92" s="12"/>
    </row>
    <row r="93" spans="2:27">
      <c r="O93" s="12"/>
      <c r="P93" s="18"/>
      <c r="Q93" s="12"/>
      <c r="R93" s="18"/>
      <c r="S93" s="12"/>
    </row>
    <row r="94" spans="2:27">
      <c r="O94" s="12"/>
      <c r="P94" s="18"/>
      <c r="Q94" s="12"/>
      <c r="R94" s="18"/>
      <c r="S94" s="12"/>
    </row>
    <row r="95" spans="2:27">
      <c r="O95" s="12"/>
      <c r="P95" s="18"/>
      <c r="Q95" s="12"/>
      <c r="R95" s="18"/>
      <c r="S95" s="12"/>
    </row>
    <row r="96" spans="2:27">
      <c r="B96" s="118" t="s">
        <v>542</v>
      </c>
      <c r="O96" s="12"/>
      <c r="P96" s="18"/>
      <c r="Q96" s="12"/>
      <c r="R96" s="18"/>
      <c r="S96" s="12"/>
      <c r="T96" s="100"/>
      <c r="U96" s="101" t="e">
        <f>VLOOKUP(T96,$V$26:$W$61,2,0)</f>
        <v>#N/A</v>
      </c>
      <c r="V96" s="102"/>
      <c r="W96" s="103">
        <f>COUNTA(W97:W106)</f>
        <v>1</v>
      </c>
      <c r="X96" s="102"/>
      <c r="Y96" s="102"/>
      <c r="Z96" s="102"/>
      <c r="AA96" s="102"/>
    </row>
    <row r="97" spans="2:27">
      <c r="B97" s="57" t="s">
        <v>540</v>
      </c>
      <c r="C97" s="2"/>
      <c r="O97" s="12"/>
      <c r="P97" s="18"/>
      <c r="Q97" s="12"/>
      <c r="R97" s="18"/>
      <c r="S97" s="12"/>
      <c r="T97" s="104" t="s">
        <v>455</v>
      </c>
      <c r="U97" s="105">
        <f>COUNTIF($P$4:$R$90,"F")</f>
        <v>0</v>
      </c>
      <c r="V97" s="104" t="s">
        <v>456</v>
      </c>
      <c r="W97" s="105">
        <f>COUNTIF($P$4:$R$90,"D")</f>
        <v>0</v>
      </c>
      <c r="X97" s="102"/>
      <c r="Y97" s="102"/>
      <c r="Z97" s="106" t="s">
        <v>518</v>
      </c>
      <c r="AA97" s="106" t="s">
        <v>519</v>
      </c>
    </row>
    <row r="98" spans="2:27">
      <c r="B98" s="57" t="s">
        <v>523</v>
      </c>
      <c r="C98" s="2"/>
      <c r="O98" s="12"/>
      <c r="P98" s="18"/>
      <c r="Q98" s="12"/>
      <c r="R98" s="18"/>
      <c r="S98" s="12"/>
      <c r="T98" s="107"/>
      <c r="U98" s="108"/>
      <c r="V98" s="107"/>
      <c r="W98" s="108"/>
      <c r="X98" s="102"/>
      <c r="Y98" s="102"/>
      <c r="Z98" s="109"/>
      <c r="AA98" s="109"/>
    </row>
    <row r="99" spans="2:27">
      <c r="B99" s="57" t="s">
        <v>538</v>
      </c>
      <c r="C99" s="2"/>
      <c r="O99" s="12"/>
      <c r="P99" s="18"/>
      <c r="Q99" s="12"/>
      <c r="R99" s="18"/>
      <c r="S99" s="12"/>
      <c r="T99" s="107"/>
      <c r="U99" s="108"/>
      <c r="V99" s="107"/>
      <c r="W99" s="108"/>
      <c r="X99" s="102"/>
      <c r="Y99" s="102"/>
      <c r="Z99" s="109"/>
      <c r="AA99" s="109"/>
    </row>
    <row r="100" spans="2:27">
      <c r="B100" s="57" t="s">
        <v>541</v>
      </c>
      <c r="C100" s="2"/>
      <c r="O100" s="12"/>
      <c r="P100" s="18"/>
      <c r="Q100" s="12"/>
      <c r="R100" s="18"/>
      <c r="S100" s="12"/>
      <c r="T100" s="107"/>
      <c r="U100" s="108"/>
      <c r="V100" s="107"/>
      <c r="W100" s="108"/>
      <c r="X100" s="102"/>
      <c r="Y100" s="102"/>
      <c r="Z100" s="109"/>
      <c r="AA100" s="109"/>
    </row>
    <row r="101" spans="2:27">
      <c r="B101" s="57" t="s">
        <v>623</v>
      </c>
      <c r="C101" s="2"/>
      <c r="O101" s="12"/>
      <c r="P101" s="18"/>
      <c r="Q101" s="12"/>
      <c r="R101" s="18"/>
      <c r="S101" s="12"/>
      <c r="T101" s="107"/>
      <c r="U101" s="108"/>
      <c r="V101" s="107"/>
      <c r="W101" s="108"/>
      <c r="X101" s="102"/>
      <c r="Y101" s="102"/>
      <c r="Z101" s="109"/>
      <c r="AA101" s="109"/>
    </row>
    <row r="102" spans="2:27">
      <c r="B102" s="57" t="s">
        <v>539</v>
      </c>
      <c r="C102" s="2"/>
      <c r="O102" s="12"/>
      <c r="P102" s="18"/>
      <c r="Q102" s="12"/>
      <c r="R102" s="18"/>
      <c r="S102" s="12"/>
      <c r="T102" s="107"/>
      <c r="U102" s="108"/>
      <c r="V102" s="107"/>
      <c r="W102" s="108"/>
      <c r="X102" s="102"/>
      <c r="Y102" s="102"/>
      <c r="Z102" s="109"/>
      <c r="AA102" s="109"/>
    </row>
    <row r="103" spans="2:27">
      <c r="B103" s="57" t="s">
        <v>524</v>
      </c>
      <c r="C103" s="2"/>
      <c r="O103" s="12"/>
      <c r="P103" s="18"/>
      <c r="Q103" s="12"/>
      <c r="R103" s="18"/>
      <c r="S103" s="12"/>
      <c r="T103" s="107"/>
      <c r="U103" s="108"/>
      <c r="V103" s="107"/>
      <c r="W103" s="108"/>
      <c r="X103" s="102"/>
      <c r="Y103" s="102"/>
      <c r="Z103" s="109"/>
      <c r="AA103" s="109"/>
    </row>
    <row r="104" spans="2:27">
      <c r="B104" s="57" t="s">
        <v>543</v>
      </c>
      <c r="C104" s="2"/>
      <c r="O104" s="12"/>
      <c r="P104" s="18"/>
      <c r="Q104" s="12"/>
      <c r="R104" s="18"/>
      <c r="S104" s="12"/>
      <c r="T104" s="107"/>
      <c r="U104" s="108"/>
      <c r="V104" s="107"/>
      <c r="W104" s="108"/>
      <c r="X104" s="102"/>
      <c r="Y104" s="102"/>
      <c r="Z104" s="109"/>
      <c r="AA104" s="109"/>
    </row>
    <row r="105" spans="2:27">
      <c r="B105" s="57" t="s">
        <v>530</v>
      </c>
      <c r="C105" s="2"/>
      <c r="O105" s="12"/>
      <c r="P105" s="18"/>
      <c r="Q105" s="12"/>
      <c r="R105" s="18"/>
      <c r="S105" s="12"/>
      <c r="T105" s="107"/>
      <c r="U105" s="108"/>
      <c r="V105" s="107"/>
      <c r="W105" s="108"/>
      <c r="X105" s="102"/>
      <c r="Y105" s="102"/>
      <c r="Z105" s="109"/>
      <c r="AA105" s="109"/>
    </row>
    <row r="106" spans="2:27">
      <c r="B106" s="57" t="s">
        <v>537</v>
      </c>
      <c r="C106" s="2"/>
      <c r="T106" s="107"/>
      <c r="U106" s="108"/>
      <c r="V106" s="107"/>
      <c r="W106" s="108"/>
      <c r="X106" s="102"/>
      <c r="Y106" s="102"/>
      <c r="Z106" s="109"/>
      <c r="AA106" s="109"/>
    </row>
    <row r="107" spans="2:27">
      <c r="T107" s="107"/>
      <c r="U107" s="108"/>
      <c r="V107" s="107"/>
      <c r="W107" s="108"/>
      <c r="X107" s="102"/>
      <c r="Y107" s="102"/>
      <c r="Z107" s="109"/>
      <c r="AA107" s="109"/>
    </row>
    <row r="108" spans="2:27">
      <c r="B108" s="57" t="s">
        <v>556</v>
      </c>
      <c r="C108" s="2" t="e">
        <f>ROUND(AVERAGE(C97:C106),0)</f>
        <v>#DIV/0!</v>
      </c>
      <c r="D108" s="46" t="e">
        <f>IF($C108=1,"=","")</f>
        <v>#DIV/0!</v>
      </c>
      <c r="E108" s="47" t="e">
        <f>IF($C108=2,"=","")</f>
        <v>#DIV/0!</v>
      </c>
      <c r="F108" s="48" t="e">
        <f>IF($C108=3,"=","")</f>
        <v>#DIV/0!</v>
      </c>
      <c r="G108" s="26" t="e">
        <f>IF($C108=4,"=","")</f>
        <v>#DIV/0!</v>
      </c>
      <c r="H108" s="29" t="e">
        <f>IF($C108=5,"=","")</f>
        <v>#DIV/0!</v>
      </c>
      <c r="I108" s="29" t="e">
        <f>IF($C108=6,"=","")</f>
        <v>#DIV/0!</v>
      </c>
      <c r="J108" s="49" t="e">
        <f>IF($C108=7,"=","")</f>
        <v>#DIV/0!</v>
      </c>
      <c r="K108" s="46" t="e">
        <f>IF($C108=8,"=","")</f>
        <v>#DIV/0!</v>
      </c>
      <c r="L108" s="47" t="e">
        <f>IF($C108=9,"=","")</f>
        <v>#DIV/0!</v>
      </c>
      <c r="M108" s="48" t="e">
        <f>IF($C108=10,"=","")</f>
        <v>#DIV/0!</v>
      </c>
      <c r="T108" s="104" t="s">
        <v>458</v>
      </c>
      <c r="U108" s="105">
        <f>COUNTIF($P$4:$R$90,"fd")</f>
        <v>0</v>
      </c>
      <c r="V108" s="104" t="s">
        <v>457</v>
      </c>
      <c r="W108" s="105">
        <f>COUNTIF($P$4:$R$90,"DP")</f>
        <v>0</v>
      </c>
      <c r="X108" s="102">
        <f>SUM(U97,W97,U108,W108)</f>
        <v>0</v>
      </c>
      <c r="Y108" s="102"/>
      <c r="Z108" s="106" t="s">
        <v>521</v>
      </c>
      <c r="AA108" s="106" t="s">
        <v>520</v>
      </c>
    </row>
    <row r="109" spans="2:27">
      <c r="T109" s="110"/>
      <c r="U109" s="111"/>
      <c r="V109" s="110"/>
      <c r="W109" s="111"/>
      <c r="X109" s="102"/>
      <c r="Y109" s="102"/>
      <c r="Z109" s="109"/>
      <c r="AA109" s="109"/>
    </row>
    <row r="110" spans="2:27">
      <c r="T110" s="107"/>
      <c r="U110" s="112"/>
      <c r="V110" s="107"/>
      <c r="W110" s="112"/>
      <c r="X110" s="102"/>
      <c r="Y110" s="102"/>
      <c r="Z110" s="109"/>
      <c r="AA110" s="109"/>
    </row>
    <row r="111" spans="2:27">
      <c r="B111" s="118" t="s">
        <v>601</v>
      </c>
      <c r="C111" s="57">
        <v>1</v>
      </c>
      <c r="D111" s="46" t="str">
        <f>IF($C111=1,"=","")</f>
        <v>=</v>
      </c>
      <c r="E111" s="47" t="str">
        <f>IF($C111=2,"=","")</f>
        <v/>
      </c>
      <c r="F111" s="48" t="str">
        <f>IF($C111=3,"=","")</f>
        <v/>
      </c>
      <c r="G111" s="26" t="str">
        <f>IF($C111=4,"=","")</f>
        <v/>
      </c>
      <c r="H111" s="29" t="str">
        <f>IF($C111=5,"=","")</f>
        <v/>
      </c>
      <c r="I111" s="29" t="str">
        <f>IF($C111=6,"=","")</f>
        <v/>
      </c>
      <c r="J111" s="49" t="str">
        <f>IF($C111=7,"=","")</f>
        <v/>
      </c>
      <c r="K111" s="46" t="str">
        <f>IF($C111=8,"=","")</f>
        <v/>
      </c>
      <c r="L111" s="47" t="str">
        <f>IF($C111=9,"=","")</f>
        <v/>
      </c>
      <c r="M111" s="48" t="str">
        <f>IF($C111=10,"=","")</f>
        <v/>
      </c>
      <c r="T111" s="107"/>
      <c r="U111" s="112"/>
      <c r="V111" s="107"/>
      <c r="W111" s="112"/>
      <c r="X111" s="102"/>
      <c r="Y111" s="102"/>
      <c r="Z111" s="109"/>
      <c r="AA111" s="109"/>
    </row>
    <row r="112" spans="2:27">
      <c r="T112" s="107"/>
      <c r="U112" s="112"/>
      <c r="V112" s="107"/>
      <c r="W112" s="112"/>
      <c r="X112" s="102"/>
      <c r="Y112" s="102"/>
      <c r="Z112" s="109"/>
      <c r="AA112" s="109"/>
    </row>
    <row r="113" spans="2:27">
      <c r="B113" s="57" t="s">
        <v>1122</v>
      </c>
      <c r="C113" s="57" t="e">
        <f>INT(ROUND(AVERAGE(D72,D90,D17,D21,D49,D62,D15),0))</f>
        <v>#DIV/0!</v>
      </c>
      <c r="D113" s="46" t="e">
        <f>IF($C113=1,"=","")</f>
        <v>#DIV/0!</v>
      </c>
      <c r="E113" s="47" t="e">
        <f>IF($C113=2,"=","")</f>
        <v>#DIV/0!</v>
      </c>
      <c r="F113" s="48" t="e">
        <f>IF($C113=3,"=","")</f>
        <v>#DIV/0!</v>
      </c>
      <c r="G113" s="26" t="e">
        <f>IF($C113=4,"=","")</f>
        <v>#DIV/0!</v>
      </c>
      <c r="H113" s="29" t="e">
        <f>IF($C113=5,"=","")</f>
        <v>#DIV/0!</v>
      </c>
      <c r="I113" s="29" t="e">
        <f>IF($C113=6,"=","")</f>
        <v>#DIV/0!</v>
      </c>
      <c r="J113" s="49" t="e">
        <f>IF($C113=7,"=","")</f>
        <v>#DIV/0!</v>
      </c>
      <c r="K113" s="46" t="e">
        <f>IF($C113=8,"=","")</f>
        <v>#DIV/0!</v>
      </c>
      <c r="L113" s="47" t="e">
        <f>IF($C113=9,"=","")</f>
        <v>#DIV/0!</v>
      </c>
      <c r="M113" s="48" t="e">
        <f>IF($C113=10,"=","")</f>
        <v>#DIV/0!</v>
      </c>
      <c r="T113" s="107"/>
      <c r="U113" s="112"/>
      <c r="V113" s="107"/>
      <c r="W113" s="112"/>
      <c r="X113" s="102"/>
      <c r="Y113" s="102"/>
      <c r="Z113" s="109"/>
      <c r="AA113" s="109"/>
    </row>
    <row r="114" spans="2:27">
      <c r="T114" s="107"/>
      <c r="U114" s="112"/>
      <c r="V114" s="107"/>
      <c r="W114" s="112"/>
      <c r="X114" s="102"/>
      <c r="Y114" s="102"/>
      <c r="Z114" s="109"/>
      <c r="AA114" s="109"/>
    </row>
    <row r="115" spans="2:27">
      <c r="T115" s="107"/>
      <c r="U115" s="112"/>
      <c r="V115" s="107"/>
      <c r="W115" s="112"/>
      <c r="X115" s="102"/>
      <c r="Y115" s="102"/>
      <c r="Z115" s="109"/>
      <c r="AA115" s="109"/>
    </row>
    <row r="116" spans="2:27">
      <c r="T116" s="107"/>
      <c r="U116" s="112"/>
      <c r="V116" s="107"/>
      <c r="W116" s="112"/>
      <c r="X116" s="102"/>
      <c r="Y116" s="102"/>
      <c r="Z116" s="109"/>
      <c r="AA116" s="109"/>
    </row>
    <row r="117" spans="2:27">
      <c r="T117" s="107"/>
      <c r="U117" s="108"/>
      <c r="V117" s="107"/>
      <c r="W117" s="112"/>
      <c r="X117" s="102"/>
      <c r="Y117" s="102"/>
      <c r="Z117" s="109"/>
      <c r="AA117" s="109"/>
    </row>
    <row r="118" spans="2:27">
      <c r="T118" s="107"/>
      <c r="U118" s="108"/>
      <c r="V118" s="107"/>
      <c r="W118" s="112"/>
      <c r="X118" s="102"/>
      <c r="Y118" s="102"/>
      <c r="Z118" s="109"/>
      <c r="AA118" s="109"/>
    </row>
    <row r="119" spans="2:27">
      <c r="T119" s="107"/>
      <c r="U119" s="108"/>
      <c r="V119" s="107"/>
      <c r="W119" s="108"/>
      <c r="X119" s="102"/>
      <c r="Y119" s="102"/>
      <c r="Z119" s="109"/>
      <c r="AA119" s="109"/>
    </row>
    <row r="120" spans="2:27">
      <c r="T120" s="113"/>
      <c r="U120" s="114"/>
      <c r="V120" s="113"/>
      <c r="W120" s="114"/>
      <c r="X120" s="102"/>
      <c r="Y120" s="102"/>
      <c r="Z120" s="109"/>
      <c r="AA120" s="109"/>
    </row>
    <row r="121" spans="2:27">
      <c r="T121" s="113"/>
      <c r="U121" s="114"/>
      <c r="V121" s="113"/>
      <c r="W121" s="114"/>
      <c r="X121" s="102"/>
      <c r="Y121" s="102"/>
      <c r="Z121" s="109"/>
      <c r="AA121" s="109"/>
    </row>
    <row r="122" spans="2:27">
      <c r="T122" s="113"/>
      <c r="U122" s="114"/>
      <c r="V122" s="113"/>
      <c r="W122" s="114"/>
      <c r="X122" s="102"/>
      <c r="Y122" s="102"/>
      <c r="Z122" s="109"/>
      <c r="AA122" s="109"/>
    </row>
    <row r="123" spans="2:27">
      <c r="T123" s="113"/>
      <c r="U123" s="114"/>
      <c r="V123" s="113"/>
      <c r="W123" s="114"/>
      <c r="X123" s="102"/>
      <c r="Y123" s="102"/>
      <c r="Z123" s="109"/>
      <c r="AA123" s="109"/>
    </row>
    <row r="124" spans="2:27">
      <c r="T124" s="115"/>
      <c r="U124" s="116"/>
      <c r="V124" s="115"/>
      <c r="W124" s="116"/>
      <c r="X124" s="102"/>
      <c r="Y124" s="102"/>
      <c r="Z124" s="109"/>
      <c r="AA124" s="109"/>
    </row>
  </sheetData>
  <conditionalFormatting sqref="A4:A90">
    <cfRule type="cellIs" dxfId="0" priority="1" operator="greaterThan">
      <formula>19</formula>
    </cfRule>
  </conditionalFormatting>
  <pageMargins left="0.25" right="0.25" top="0.75" bottom="0.75" header="0.3" footer="0.3"/>
  <pageSetup scale="28"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CAAB42-4AE2-5040-8039-14F9B2886B10}">
  <sheetPr codeName="Hoja10">
    <tabColor theme="4"/>
  </sheetPr>
  <dimension ref="A1:U61"/>
  <sheetViews>
    <sheetView workbookViewId="0">
      <selection activeCell="A2" sqref="A2:B11"/>
    </sheetView>
  </sheetViews>
  <sheetFormatPr baseColWidth="10" defaultRowHeight="14.4"/>
  <cols>
    <col min="1" max="1" width="34.44140625" bestFit="1" customWidth="1"/>
    <col min="2" max="2" width="3" style="3" bestFit="1" customWidth="1"/>
    <col min="4" max="5" width="10.77734375" style="3"/>
    <col min="8" max="8" width="10.77734375" style="3"/>
    <col min="10" max="10" width="10.77734375" style="3"/>
    <col min="17" max="17" width="34.44140625" bestFit="1" customWidth="1"/>
  </cols>
  <sheetData>
    <row r="1" spans="1:18">
      <c r="A1">
        <f>COUNTA(A2:A49)</f>
        <v>10</v>
      </c>
      <c r="D1" s="5">
        <f>COUNTIF($D$2:$D$51,"BORRAR")</f>
        <v>0</v>
      </c>
      <c r="E1" s="5">
        <f>COUNTIF($E$2:$E$51,"BORRAR2")</f>
        <v>0</v>
      </c>
      <c r="F1" s="3"/>
      <c r="G1" s="1" t="s">
        <v>678</v>
      </c>
      <c r="H1" s="5" t="s">
        <v>9</v>
      </c>
      <c r="I1" s="1" t="s">
        <v>679</v>
      </c>
      <c r="J1" s="5" t="s">
        <v>9</v>
      </c>
      <c r="Q1" s="1" t="s">
        <v>503</v>
      </c>
      <c r="R1" s="1" t="s">
        <v>517</v>
      </c>
    </row>
    <row r="2" spans="1:18">
      <c r="B2"/>
      <c r="C2" t="s">
        <v>676</v>
      </c>
      <c r="D2" s="3">
        <f>IF(COUNTIF($L$2:$L$11,A2)&gt;0,"BORRAR",0)</f>
        <v>0</v>
      </c>
      <c r="E2" s="3">
        <f t="shared" ref="E2:E33" si="0">IF(A2=0,0,(IF(COUNTIF($G$2:$J$7,A2)=0,"BORRAR2",0)))</f>
        <v>0</v>
      </c>
      <c r="F2">
        <v>1</v>
      </c>
      <c r="G2" t="s">
        <v>475</v>
      </c>
      <c r="H2" s="3">
        <v>7</v>
      </c>
      <c r="I2" t="s">
        <v>390</v>
      </c>
      <c r="J2" s="3">
        <v>1</v>
      </c>
      <c r="L2" s="82" t="s">
        <v>549</v>
      </c>
      <c r="O2" t="s">
        <v>676</v>
      </c>
      <c r="Q2" t="s">
        <v>143</v>
      </c>
      <c r="R2" t="s">
        <v>479</v>
      </c>
    </row>
    <row r="3" spans="1:18">
      <c r="B3"/>
      <c r="C3" t="s">
        <v>676</v>
      </c>
      <c r="D3" s="3">
        <f t="shared" ref="D3:D61" si="1">IF(COUNTIF($L$2:$L$11,A3)&gt;0,"BORRAR",0)</f>
        <v>0</v>
      </c>
      <c r="E3" s="3">
        <f t="shared" si="0"/>
        <v>0</v>
      </c>
      <c r="F3">
        <v>2</v>
      </c>
      <c r="G3" t="s">
        <v>621</v>
      </c>
      <c r="H3" s="3">
        <v>7</v>
      </c>
      <c r="I3" t="s">
        <v>469</v>
      </c>
      <c r="J3" s="3">
        <v>2</v>
      </c>
      <c r="L3" s="82" t="s">
        <v>473</v>
      </c>
      <c r="O3" t="s">
        <v>676</v>
      </c>
      <c r="Q3" t="s">
        <v>620</v>
      </c>
      <c r="R3" t="s">
        <v>483</v>
      </c>
    </row>
    <row r="4" spans="1:18">
      <c r="B4"/>
      <c r="C4" t="s">
        <v>676</v>
      </c>
      <c r="D4" s="3">
        <f t="shared" si="1"/>
        <v>0</v>
      </c>
      <c r="E4" s="3">
        <f t="shared" si="0"/>
        <v>0</v>
      </c>
      <c r="F4">
        <v>3</v>
      </c>
      <c r="G4" t="s">
        <v>30</v>
      </c>
      <c r="H4" s="3">
        <v>8</v>
      </c>
      <c r="I4" t="s">
        <v>467</v>
      </c>
      <c r="J4" s="3">
        <v>3</v>
      </c>
      <c r="L4" s="82" t="s">
        <v>24</v>
      </c>
      <c r="O4" t="s">
        <v>676</v>
      </c>
      <c r="Q4" t="s">
        <v>680</v>
      </c>
      <c r="R4" t="s">
        <v>480</v>
      </c>
    </row>
    <row r="5" spans="1:18">
      <c r="B5"/>
      <c r="C5" t="s">
        <v>676</v>
      </c>
      <c r="D5" s="3">
        <f t="shared" si="1"/>
        <v>0</v>
      </c>
      <c r="E5" s="3">
        <f t="shared" si="0"/>
        <v>0</v>
      </c>
      <c r="F5">
        <v>4</v>
      </c>
      <c r="G5" t="s">
        <v>465</v>
      </c>
      <c r="H5" s="3">
        <v>9</v>
      </c>
      <c r="I5" t="s">
        <v>571</v>
      </c>
      <c r="J5" s="3">
        <v>3</v>
      </c>
      <c r="L5" s="82" t="s">
        <v>681</v>
      </c>
      <c r="O5" t="s">
        <v>676</v>
      </c>
      <c r="Q5" t="s">
        <v>391</v>
      </c>
      <c r="R5" t="s">
        <v>478</v>
      </c>
    </row>
    <row r="6" spans="1:18">
      <c r="B6"/>
      <c r="C6" t="s">
        <v>676</v>
      </c>
      <c r="D6" s="3">
        <f t="shared" si="1"/>
        <v>0</v>
      </c>
      <c r="E6" s="3">
        <f t="shared" si="0"/>
        <v>0</v>
      </c>
      <c r="F6">
        <v>5</v>
      </c>
      <c r="G6" t="s">
        <v>515</v>
      </c>
      <c r="H6" s="3">
        <v>9</v>
      </c>
      <c r="L6" s="82" t="s">
        <v>394</v>
      </c>
      <c r="O6" t="s">
        <v>676</v>
      </c>
      <c r="Q6" t="s">
        <v>474</v>
      </c>
      <c r="R6" t="s">
        <v>486</v>
      </c>
    </row>
    <row r="7" spans="1:18">
      <c r="B7"/>
      <c r="C7" t="s">
        <v>676</v>
      </c>
      <c r="D7" s="3">
        <f t="shared" si="1"/>
        <v>0</v>
      </c>
      <c r="E7" s="3">
        <f t="shared" si="0"/>
        <v>0</v>
      </c>
      <c r="F7">
        <v>6</v>
      </c>
      <c r="G7" t="s">
        <v>461</v>
      </c>
      <c r="H7" s="3">
        <v>10</v>
      </c>
      <c r="L7" s="82" t="s">
        <v>446</v>
      </c>
      <c r="O7" t="s">
        <v>676</v>
      </c>
      <c r="Q7" t="s">
        <v>469</v>
      </c>
      <c r="R7" t="s">
        <v>501</v>
      </c>
    </row>
    <row r="8" spans="1:18">
      <c r="B8"/>
      <c r="C8" t="s">
        <v>676</v>
      </c>
      <c r="D8" s="3">
        <f t="shared" si="1"/>
        <v>0</v>
      </c>
      <c r="E8" s="3">
        <f t="shared" si="0"/>
        <v>0</v>
      </c>
      <c r="L8" s="82" t="s">
        <v>449</v>
      </c>
      <c r="O8" t="s">
        <v>676</v>
      </c>
      <c r="Q8" t="s">
        <v>42</v>
      </c>
      <c r="R8" t="s">
        <v>481</v>
      </c>
    </row>
    <row r="9" spans="1:18">
      <c r="B9"/>
      <c r="C9" t="s">
        <v>676</v>
      </c>
      <c r="D9" s="3">
        <f t="shared" si="1"/>
        <v>0</v>
      </c>
      <c r="E9" s="3">
        <f t="shared" si="0"/>
        <v>0</v>
      </c>
      <c r="L9" s="82" t="s">
        <v>282</v>
      </c>
      <c r="O9" t="s">
        <v>676</v>
      </c>
      <c r="Q9" t="s">
        <v>681</v>
      </c>
      <c r="R9" t="e">
        <v>#N/A</v>
      </c>
    </row>
    <row r="10" spans="1:18">
      <c r="B10"/>
      <c r="C10" t="s">
        <v>676</v>
      </c>
      <c r="D10" s="3">
        <f>IF(COUNTIF($L$2:$L$11,A10)&gt;0,"BORRAR",0)</f>
        <v>0</v>
      </c>
      <c r="E10" s="3">
        <f t="shared" si="0"/>
        <v>0</v>
      </c>
      <c r="L10" s="82" t="s">
        <v>453</v>
      </c>
      <c r="O10" t="s">
        <v>676</v>
      </c>
      <c r="Q10" t="s">
        <v>24</v>
      </c>
      <c r="R10" t="s">
        <v>482</v>
      </c>
    </row>
    <row r="11" spans="1:18">
      <c r="B11"/>
      <c r="C11" t="s">
        <v>676</v>
      </c>
      <c r="D11" s="3">
        <f t="shared" si="1"/>
        <v>0</v>
      </c>
      <c r="E11" s="3">
        <f t="shared" si="0"/>
        <v>0</v>
      </c>
      <c r="L11" s="82" t="s">
        <v>466</v>
      </c>
      <c r="O11" t="s">
        <v>676</v>
      </c>
      <c r="Q11" t="s">
        <v>682</v>
      </c>
      <c r="R11" t="s">
        <v>484</v>
      </c>
    </row>
    <row r="12" spans="1:18">
      <c r="A12" t="s">
        <v>461</v>
      </c>
      <c r="B12">
        <v>10</v>
      </c>
      <c r="C12" t="s">
        <v>683</v>
      </c>
      <c r="D12" s="3">
        <f t="shared" si="1"/>
        <v>0</v>
      </c>
      <c r="E12" s="3">
        <f t="shared" si="0"/>
        <v>0</v>
      </c>
      <c r="O12" t="s">
        <v>683</v>
      </c>
      <c r="Q12" t="s">
        <v>17</v>
      </c>
      <c r="R12" t="s">
        <v>485</v>
      </c>
    </row>
    <row r="13" spans="1:18">
      <c r="A13" t="s">
        <v>465</v>
      </c>
      <c r="B13">
        <v>9</v>
      </c>
      <c r="C13" t="s">
        <v>683</v>
      </c>
      <c r="D13" s="3">
        <f t="shared" si="1"/>
        <v>0</v>
      </c>
      <c r="E13" s="3">
        <f t="shared" si="0"/>
        <v>0</v>
      </c>
      <c r="O13" t="s">
        <v>683</v>
      </c>
      <c r="Q13" t="s">
        <v>515</v>
      </c>
      <c r="R13" t="s">
        <v>502</v>
      </c>
    </row>
    <row r="14" spans="1:18">
      <c r="A14" t="s">
        <v>515</v>
      </c>
      <c r="B14">
        <v>9</v>
      </c>
      <c r="C14" t="s">
        <v>683</v>
      </c>
      <c r="D14" s="3">
        <f t="shared" si="1"/>
        <v>0</v>
      </c>
      <c r="E14" s="3">
        <f t="shared" si="0"/>
        <v>0</v>
      </c>
      <c r="L14" s="1" t="s">
        <v>684</v>
      </c>
      <c r="M14" s="1" t="s">
        <v>685</v>
      </c>
      <c r="O14" t="s">
        <v>683</v>
      </c>
      <c r="Q14" t="s">
        <v>63</v>
      </c>
      <c r="R14" t="s">
        <v>63</v>
      </c>
    </row>
    <row r="15" spans="1:18">
      <c r="A15" t="s">
        <v>475</v>
      </c>
      <c r="B15">
        <v>7</v>
      </c>
      <c r="C15" t="s">
        <v>683</v>
      </c>
      <c r="D15" s="3">
        <f t="shared" si="1"/>
        <v>0</v>
      </c>
      <c r="E15" s="3">
        <f t="shared" si="0"/>
        <v>0</v>
      </c>
      <c r="L15" s="3">
        <f t="shared" ref="L15:L20" si="2">COUNTIF(A:A,G2)</f>
        <v>1</v>
      </c>
      <c r="M15" s="3">
        <f t="shared" ref="M15:M20" si="3">COUNTIF(A:A,I2)</f>
        <v>1</v>
      </c>
      <c r="O15" t="s">
        <v>683</v>
      </c>
      <c r="Q15" t="s">
        <v>466</v>
      </c>
      <c r="R15" t="e">
        <v>#N/A</v>
      </c>
    </row>
    <row r="16" spans="1:18">
      <c r="A16" t="s">
        <v>621</v>
      </c>
      <c r="B16">
        <v>7</v>
      </c>
      <c r="C16" t="s">
        <v>683</v>
      </c>
      <c r="D16" s="3">
        <f t="shared" si="1"/>
        <v>0</v>
      </c>
      <c r="E16" s="3">
        <f t="shared" si="0"/>
        <v>0</v>
      </c>
      <c r="L16" s="3">
        <f t="shared" si="2"/>
        <v>1</v>
      </c>
      <c r="M16" s="3">
        <f t="shared" si="3"/>
        <v>1</v>
      </c>
      <c r="O16" t="s">
        <v>683</v>
      </c>
      <c r="Q16" t="s">
        <v>547</v>
      </c>
      <c r="R16" t="s">
        <v>487</v>
      </c>
    </row>
    <row r="17" spans="1:21">
      <c r="A17" t="s">
        <v>30</v>
      </c>
      <c r="B17">
        <v>8</v>
      </c>
      <c r="C17" t="s">
        <v>683</v>
      </c>
      <c r="D17" s="3">
        <f t="shared" si="1"/>
        <v>0</v>
      </c>
      <c r="E17" s="3">
        <f t="shared" si="0"/>
        <v>0</v>
      </c>
      <c r="L17" s="3">
        <f t="shared" si="2"/>
        <v>1</v>
      </c>
      <c r="M17" s="3">
        <f t="shared" si="3"/>
        <v>1</v>
      </c>
      <c r="O17" t="s">
        <v>683</v>
      </c>
      <c r="Q17" t="s">
        <v>536</v>
      </c>
      <c r="R17" t="s">
        <v>488</v>
      </c>
    </row>
    <row r="18" spans="1:21">
      <c r="B18"/>
      <c r="C18" t="s">
        <v>683</v>
      </c>
      <c r="D18" s="3">
        <f t="shared" si="1"/>
        <v>0</v>
      </c>
      <c r="E18" s="3">
        <f t="shared" si="0"/>
        <v>0</v>
      </c>
      <c r="L18" s="3">
        <f t="shared" si="2"/>
        <v>1</v>
      </c>
      <c r="M18" s="3">
        <f t="shared" si="3"/>
        <v>1</v>
      </c>
      <c r="O18" t="s">
        <v>683</v>
      </c>
      <c r="Q18" t="s">
        <v>392</v>
      </c>
      <c r="R18" t="s">
        <v>489</v>
      </c>
    </row>
    <row r="19" spans="1:21">
      <c r="B19"/>
      <c r="C19" t="s">
        <v>683</v>
      </c>
      <c r="D19" s="3">
        <f t="shared" si="1"/>
        <v>0</v>
      </c>
      <c r="E19" s="3">
        <f t="shared" si="0"/>
        <v>0</v>
      </c>
      <c r="L19" s="3">
        <f t="shared" si="2"/>
        <v>1</v>
      </c>
      <c r="M19" s="3">
        <f t="shared" si="3"/>
        <v>0</v>
      </c>
      <c r="O19" t="s">
        <v>683</v>
      </c>
      <c r="Q19" t="s">
        <v>571</v>
      </c>
      <c r="R19" t="s">
        <v>490</v>
      </c>
    </row>
    <row r="20" spans="1:21">
      <c r="B20"/>
      <c r="C20" t="s">
        <v>683</v>
      </c>
      <c r="D20" s="3">
        <f t="shared" si="1"/>
        <v>0</v>
      </c>
      <c r="E20" s="3">
        <f t="shared" si="0"/>
        <v>0</v>
      </c>
      <c r="L20" s="3">
        <f t="shared" si="2"/>
        <v>1</v>
      </c>
      <c r="M20" s="3">
        <f t="shared" si="3"/>
        <v>0</v>
      </c>
      <c r="O20" t="s">
        <v>683</v>
      </c>
      <c r="Q20" t="s">
        <v>393</v>
      </c>
      <c r="R20" t="s">
        <v>491</v>
      </c>
    </row>
    <row r="21" spans="1:21">
      <c r="B21"/>
      <c r="C21" t="s">
        <v>683</v>
      </c>
      <c r="D21" s="3">
        <f t="shared" si="1"/>
        <v>0</v>
      </c>
      <c r="E21" s="3">
        <f t="shared" si="0"/>
        <v>0</v>
      </c>
      <c r="O21" t="s">
        <v>683</v>
      </c>
      <c r="Q21" t="s">
        <v>569</v>
      </c>
      <c r="R21" t="s">
        <v>492</v>
      </c>
    </row>
    <row r="22" spans="1:21">
      <c r="B22"/>
      <c r="C22" t="s">
        <v>683</v>
      </c>
      <c r="D22" s="3">
        <f t="shared" si="1"/>
        <v>0</v>
      </c>
      <c r="E22" s="3">
        <f t="shared" si="0"/>
        <v>0</v>
      </c>
      <c r="O22" t="s">
        <v>683</v>
      </c>
      <c r="Q22" t="s">
        <v>686</v>
      </c>
      <c r="R22" t="s">
        <v>494</v>
      </c>
      <c r="T22" s="3">
        <f>COUNTIF(I:I,O9)</f>
        <v>0</v>
      </c>
      <c r="U22" s="3">
        <f>COUNTIF(I:I,Q9)</f>
        <v>0</v>
      </c>
    </row>
    <row r="23" spans="1:21">
      <c r="B23"/>
      <c r="C23" t="s">
        <v>683</v>
      </c>
      <c r="D23" s="3">
        <f t="shared" si="1"/>
        <v>0</v>
      </c>
      <c r="E23" s="3">
        <f t="shared" si="0"/>
        <v>0</v>
      </c>
      <c r="O23" t="s">
        <v>683</v>
      </c>
      <c r="Q23" t="s">
        <v>621</v>
      </c>
      <c r="R23" t="s">
        <v>495</v>
      </c>
    </row>
    <row r="24" spans="1:21">
      <c r="B24"/>
      <c r="C24" t="s">
        <v>683</v>
      </c>
      <c r="D24" s="3">
        <f t="shared" si="1"/>
        <v>0</v>
      </c>
      <c r="E24" s="3">
        <f t="shared" si="0"/>
        <v>0</v>
      </c>
      <c r="O24" t="s">
        <v>683</v>
      </c>
      <c r="Q24" t="s">
        <v>442</v>
      </c>
      <c r="R24" t="s">
        <v>496</v>
      </c>
    </row>
    <row r="25" spans="1:21">
      <c r="B25"/>
      <c r="C25" t="s">
        <v>683</v>
      </c>
      <c r="D25" s="3">
        <f t="shared" si="1"/>
        <v>0</v>
      </c>
      <c r="E25" s="3">
        <f t="shared" si="0"/>
        <v>0</v>
      </c>
      <c r="O25" t="s">
        <v>683</v>
      </c>
      <c r="Q25" t="s">
        <v>106</v>
      </c>
      <c r="R25" t="s">
        <v>497</v>
      </c>
    </row>
    <row r="26" spans="1:21">
      <c r="B26"/>
      <c r="C26" t="s">
        <v>683</v>
      </c>
      <c r="D26" s="3">
        <f t="shared" si="1"/>
        <v>0</v>
      </c>
      <c r="E26" s="3">
        <f t="shared" si="0"/>
        <v>0</v>
      </c>
      <c r="O26" t="s">
        <v>683</v>
      </c>
      <c r="Q26" t="s">
        <v>475</v>
      </c>
      <c r="R26" t="s">
        <v>475</v>
      </c>
    </row>
    <row r="27" spans="1:21">
      <c r="B27"/>
      <c r="C27" t="s">
        <v>683</v>
      </c>
      <c r="D27" s="3">
        <f t="shared" si="1"/>
        <v>0</v>
      </c>
      <c r="E27" s="3">
        <f t="shared" si="0"/>
        <v>0</v>
      </c>
      <c r="O27" t="s">
        <v>683</v>
      </c>
      <c r="Q27" t="s">
        <v>30</v>
      </c>
      <c r="R27" t="s">
        <v>498</v>
      </c>
    </row>
    <row r="28" spans="1:21">
      <c r="B28"/>
      <c r="C28" t="s">
        <v>683</v>
      </c>
      <c r="D28" s="3">
        <f t="shared" si="1"/>
        <v>0</v>
      </c>
      <c r="E28" s="3">
        <f t="shared" si="0"/>
        <v>0</v>
      </c>
      <c r="O28" t="s">
        <v>683</v>
      </c>
      <c r="Q28" t="s">
        <v>446</v>
      </c>
      <c r="R28" t="e">
        <v>#N/A</v>
      </c>
    </row>
    <row r="29" spans="1:21">
      <c r="B29"/>
      <c r="C29" t="s">
        <v>683</v>
      </c>
      <c r="D29" s="3">
        <f t="shared" si="1"/>
        <v>0</v>
      </c>
      <c r="E29" s="3">
        <f t="shared" si="0"/>
        <v>0</v>
      </c>
      <c r="O29" t="s">
        <v>683</v>
      </c>
      <c r="Q29" t="s">
        <v>390</v>
      </c>
      <c r="R29" t="s">
        <v>499</v>
      </c>
    </row>
    <row r="30" spans="1:21">
      <c r="B30"/>
      <c r="C30" t="s">
        <v>683</v>
      </c>
      <c r="D30" s="3">
        <f t="shared" si="1"/>
        <v>0</v>
      </c>
      <c r="E30" s="3">
        <f t="shared" si="0"/>
        <v>0</v>
      </c>
      <c r="O30" t="s">
        <v>683</v>
      </c>
      <c r="Q30" t="s">
        <v>467</v>
      </c>
      <c r="R30" t="s">
        <v>493</v>
      </c>
    </row>
    <row r="31" spans="1:21">
      <c r="B31"/>
      <c r="C31" t="s">
        <v>683</v>
      </c>
      <c r="D31" s="3">
        <f t="shared" si="1"/>
        <v>0</v>
      </c>
      <c r="E31" s="3">
        <f t="shared" si="0"/>
        <v>0</v>
      </c>
      <c r="O31" t="s">
        <v>683</v>
      </c>
      <c r="Q31" t="s">
        <v>394</v>
      </c>
      <c r="R31" t="e">
        <v>#N/A</v>
      </c>
    </row>
    <row r="32" spans="1:21">
      <c r="B32"/>
      <c r="C32" t="s">
        <v>687</v>
      </c>
      <c r="D32" s="3">
        <f t="shared" si="1"/>
        <v>0</v>
      </c>
      <c r="E32" s="3">
        <f t="shared" si="0"/>
        <v>0</v>
      </c>
      <c r="O32" t="s">
        <v>687</v>
      </c>
      <c r="Q32" t="s">
        <v>465</v>
      </c>
      <c r="R32" t="s">
        <v>500</v>
      </c>
    </row>
    <row r="33" spans="1:15">
      <c r="B33"/>
      <c r="C33" t="s">
        <v>687</v>
      </c>
      <c r="D33" s="3">
        <f t="shared" si="1"/>
        <v>0</v>
      </c>
      <c r="E33" s="3">
        <f t="shared" si="0"/>
        <v>0</v>
      </c>
      <c r="O33" t="s">
        <v>687</v>
      </c>
    </row>
    <row r="34" spans="1:15">
      <c r="B34"/>
      <c r="C34" t="s">
        <v>687</v>
      </c>
      <c r="D34" s="3">
        <f t="shared" si="1"/>
        <v>0</v>
      </c>
      <c r="E34" s="3">
        <f t="shared" ref="E34:E61" si="4">IF(A34=0,0,(IF(COUNTIF($G$2:$J$7,A34)=0,"BORRAR2",0)))</f>
        <v>0</v>
      </c>
      <c r="O34" t="s">
        <v>687</v>
      </c>
    </row>
    <row r="35" spans="1:15">
      <c r="B35"/>
      <c r="C35" t="s">
        <v>687</v>
      </c>
      <c r="D35" s="3">
        <f t="shared" si="1"/>
        <v>0</v>
      </c>
      <c r="E35" s="3">
        <f t="shared" si="4"/>
        <v>0</v>
      </c>
      <c r="O35" t="s">
        <v>687</v>
      </c>
    </row>
    <row r="36" spans="1:15">
      <c r="B36"/>
      <c r="C36" t="s">
        <v>687</v>
      </c>
      <c r="D36" s="3">
        <f t="shared" si="1"/>
        <v>0</v>
      </c>
      <c r="E36" s="3">
        <f t="shared" si="4"/>
        <v>0</v>
      </c>
      <c r="O36" t="s">
        <v>687</v>
      </c>
    </row>
    <row r="37" spans="1:15">
      <c r="B37"/>
      <c r="C37" t="s">
        <v>687</v>
      </c>
      <c r="D37" s="3">
        <f t="shared" si="1"/>
        <v>0</v>
      </c>
      <c r="E37" s="3">
        <f t="shared" si="4"/>
        <v>0</v>
      </c>
      <c r="O37" t="s">
        <v>687</v>
      </c>
    </row>
    <row r="38" spans="1:15">
      <c r="B38"/>
      <c r="C38" t="s">
        <v>687</v>
      </c>
      <c r="D38" s="3">
        <f t="shared" si="1"/>
        <v>0</v>
      </c>
      <c r="E38" s="3">
        <f t="shared" si="4"/>
        <v>0</v>
      </c>
      <c r="O38" t="s">
        <v>687</v>
      </c>
    </row>
    <row r="39" spans="1:15">
      <c r="B39"/>
      <c r="C39" t="s">
        <v>687</v>
      </c>
      <c r="D39" s="3">
        <f t="shared" si="1"/>
        <v>0</v>
      </c>
      <c r="E39" s="3">
        <f t="shared" si="4"/>
        <v>0</v>
      </c>
      <c r="O39" t="s">
        <v>687</v>
      </c>
    </row>
    <row r="40" spans="1:15">
      <c r="B40"/>
      <c r="C40" t="s">
        <v>687</v>
      </c>
      <c r="D40" s="3">
        <f t="shared" si="1"/>
        <v>0</v>
      </c>
      <c r="E40" s="3">
        <f t="shared" si="4"/>
        <v>0</v>
      </c>
      <c r="O40" t="s">
        <v>687</v>
      </c>
    </row>
    <row r="41" spans="1:15">
      <c r="B41"/>
      <c r="C41" t="s">
        <v>687</v>
      </c>
      <c r="D41" s="3">
        <f t="shared" si="1"/>
        <v>0</v>
      </c>
      <c r="E41" s="3">
        <f t="shared" si="4"/>
        <v>0</v>
      </c>
      <c r="O41" t="s">
        <v>687</v>
      </c>
    </row>
    <row r="42" spans="1:15">
      <c r="A42" t="s">
        <v>390</v>
      </c>
      <c r="B42">
        <v>1</v>
      </c>
      <c r="C42" t="s">
        <v>688</v>
      </c>
      <c r="D42" s="3">
        <f t="shared" si="1"/>
        <v>0</v>
      </c>
      <c r="E42" s="3">
        <f t="shared" si="4"/>
        <v>0</v>
      </c>
      <c r="O42" t="s">
        <v>688</v>
      </c>
    </row>
    <row r="43" spans="1:15">
      <c r="A43" t="s">
        <v>469</v>
      </c>
      <c r="B43">
        <v>2</v>
      </c>
      <c r="C43" t="s">
        <v>688</v>
      </c>
      <c r="D43" s="3">
        <f t="shared" si="1"/>
        <v>0</v>
      </c>
      <c r="E43" s="3">
        <f t="shared" si="4"/>
        <v>0</v>
      </c>
      <c r="O43" t="s">
        <v>688</v>
      </c>
    </row>
    <row r="44" spans="1:15">
      <c r="A44" t="s">
        <v>467</v>
      </c>
      <c r="B44">
        <v>3</v>
      </c>
      <c r="C44" t="s">
        <v>688</v>
      </c>
      <c r="D44" s="3">
        <f t="shared" si="1"/>
        <v>0</v>
      </c>
      <c r="E44" s="3">
        <f t="shared" si="4"/>
        <v>0</v>
      </c>
      <c r="O44" t="s">
        <v>688</v>
      </c>
    </row>
    <row r="45" spans="1:15">
      <c r="A45" t="s">
        <v>571</v>
      </c>
      <c r="B45">
        <v>3</v>
      </c>
      <c r="C45" t="s">
        <v>688</v>
      </c>
      <c r="D45" s="3">
        <f t="shared" si="1"/>
        <v>0</v>
      </c>
      <c r="E45" s="3">
        <f t="shared" si="4"/>
        <v>0</v>
      </c>
      <c r="O45" t="s">
        <v>688</v>
      </c>
    </row>
    <row r="46" spans="1:15">
      <c r="B46"/>
      <c r="C46" t="s">
        <v>688</v>
      </c>
      <c r="D46" s="3">
        <f t="shared" si="1"/>
        <v>0</v>
      </c>
      <c r="E46" s="3">
        <f t="shared" si="4"/>
        <v>0</v>
      </c>
      <c r="O46" t="s">
        <v>688</v>
      </c>
    </row>
    <row r="47" spans="1:15">
      <c r="B47"/>
      <c r="C47" t="s">
        <v>688</v>
      </c>
      <c r="D47" s="3">
        <f t="shared" si="1"/>
        <v>0</v>
      </c>
      <c r="E47" s="3">
        <f t="shared" si="4"/>
        <v>0</v>
      </c>
      <c r="O47" t="s">
        <v>688</v>
      </c>
    </row>
    <row r="48" spans="1:15">
      <c r="B48"/>
      <c r="C48" t="s">
        <v>688</v>
      </c>
      <c r="D48" s="3">
        <f t="shared" si="1"/>
        <v>0</v>
      </c>
      <c r="E48" s="3">
        <f t="shared" si="4"/>
        <v>0</v>
      </c>
      <c r="O48" t="s">
        <v>688</v>
      </c>
    </row>
    <row r="49" spans="2:15">
      <c r="B49"/>
      <c r="C49" t="s">
        <v>688</v>
      </c>
      <c r="D49" s="3">
        <f t="shared" si="1"/>
        <v>0</v>
      </c>
      <c r="E49" s="3">
        <f t="shared" si="4"/>
        <v>0</v>
      </c>
      <c r="O49" t="s">
        <v>688</v>
      </c>
    </row>
    <row r="50" spans="2:15">
      <c r="B50"/>
      <c r="C50" t="s">
        <v>688</v>
      </c>
      <c r="D50" s="3">
        <f t="shared" si="1"/>
        <v>0</v>
      </c>
      <c r="E50" s="3">
        <f t="shared" si="4"/>
        <v>0</v>
      </c>
      <c r="O50" t="s">
        <v>688</v>
      </c>
    </row>
    <row r="51" spans="2:15">
      <c r="B51"/>
      <c r="C51" t="s">
        <v>688</v>
      </c>
      <c r="D51" s="3">
        <f t="shared" si="1"/>
        <v>0</v>
      </c>
      <c r="E51" s="3">
        <f t="shared" si="4"/>
        <v>0</v>
      </c>
      <c r="O51" t="s">
        <v>688</v>
      </c>
    </row>
    <row r="52" spans="2:15">
      <c r="B52"/>
      <c r="C52" t="s">
        <v>688</v>
      </c>
      <c r="D52" s="3">
        <f t="shared" si="1"/>
        <v>0</v>
      </c>
      <c r="E52" s="3">
        <f t="shared" si="4"/>
        <v>0</v>
      </c>
      <c r="O52" t="s">
        <v>688</v>
      </c>
    </row>
    <row r="53" spans="2:15">
      <c r="B53"/>
      <c r="C53" t="s">
        <v>688</v>
      </c>
      <c r="D53" s="3">
        <f t="shared" si="1"/>
        <v>0</v>
      </c>
      <c r="E53" s="3">
        <f t="shared" si="4"/>
        <v>0</v>
      </c>
      <c r="O53" t="s">
        <v>688</v>
      </c>
    </row>
    <row r="54" spans="2:15">
      <c r="C54" t="s">
        <v>688</v>
      </c>
      <c r="D54" s="3">
        <f t="shared" si="1"/>
        <v>0</v>
      </c>
      <c r="E54" s="3">
        <f t="shared" si="4"/>
        <v>0</v>
      </c>
      <c r="O54" t="s">
        <v>688</v>
      </c>
    </row>
    <row r="55" spans="2:15">
      <c r="C55" t="s">
        <v>688</v>
      </c>
      <c r="D55" s="3">
        <f t="shared" si="1"/>
        <v>0</v>
      </c>
      <c r="E55" s="3">
        <f t="shared" si="4"/>
        <v>0</v>
      </c>
      <c r="O55" t="s">
        <v>688</v>
      </c>
    </row>
    <row r="56" spans="2:15">
      <c r="C56" t="s">
        <v>688</v>
      </c>
      <c r="D56" s="3">
        <f t="shared" si="1"/>
        <v>0</v>
      </c>
      <c r="E56" s="3">
        <f t="shared" si="4"/>
        <v>0</v>
      </c>
      <c r="O56" t="s">
        <v>688</v>
      </c>
    </row>
    <row r="57" spans="2:15">
      <c r="C57" t="s">
        <v>688</v>
      </c>
      <c r="D57" s="3">
        <f t="shared" si="1"/>
        <v>0</v>
      </c>
      <c r="E57" s="3">
        <f t="shared" si="4"/>
        <v>0</v>
      </c>
      <c r="O57" t="s">
        <v>688</v>
      </c>
    </row>
    <row r="58" spans="2:15">
      <c r="C58" t="s">
        <v>688</v>
      </c>
      <c r="D58" s="3">
        <f t="shared" si="1"/>
        <v>0</v>
      </c>
      <c r="E58" s="3">
        <f t="shared" si="4"/>
        <v>0</v>
      </c>
      <c r="O58" t="s">
        <v>688</v>
      </c>
    </row>
    <row r="59" spans="2:15">
      <c r="C59" t="s">
        <v>688</v>
      </c>
      <c r="D59" s="3">
        <f t="shared" si="1"/>
        <v>0</v>
      </c>
      <c r="E59" s="3">
        <f t="shared" si="4"/>
        <v>0</v>
      </c>
      <c r="O59" t="s">
        <v>688</v>
      </c>
    </row>
    <row r="60" spans="2:15">
      <c r="C60" t="s">
        <v>688</v>
      </c>
      <c r="D60" s="3">
        <f>IF(COUNTIF($L$2:$L$11,A60)&gt;0,"BORRAR",0)</f>
        <v>0</v>
      </c>
      <c r="E60" s="3">
        <f t="shared" si="4"/>
        <v>0</v>
      </c>
      <c r="O60" t="s">
        <v>688</v>
      </c>
    </row>
    <row r="61" spans="2:15">
      <c r="C61" t="s">
        <v>688</v>
      </c>
      <c r="D61" s="3">
        <f t="shared" si="1"/>
        <v>0</v>
      </c>
      <c r="E61" s="3">
        <f t="shared" si="4"/>
        <v>0</v>
      </c>
      <c r="O61" t="s">
        <v>688</v>
      </c>
    </row>
  </sheetData>
  <pageMargins left="0.7" right="0.7" top="0.75" bottom="0.75" header="0.3" footer="0.3"/>
  <pageSetup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6">
    <tabColor rgb="FF92D050"/>
    <pageSetUpPr fitToPage="1"/>
  </sheetPr>
  <dimension ref="A1:AE48"/>
  <sheetViews>
    <sheetView topLeftCell="A28" zoomScaleNormal="100" workbookViewId="0">
      <selection activeCell="W36" sqref="W36"/>
    </sheetView>
  </sheetViews>
  <sheetFormatPr baseColWidth="10" defaultColWidth="3.6640625" defaultRowHeight="14.4"/>
  <cols>
    <col min="1" max="1" width="3.6640625" style="86" customWidth="1"/>
    <col min="2" max="14" width="3.6640625" style="86"/>
    <col min="15" max="16" width="3.6640625" style="86" customWidth="1"/>
    <col min="17" max="23" width="3.6640625" style="86"/>
    <col min="24" max="24" width="3.6640625" style="86" customWidth="1"/>
    <col min="25" max="29" width="3.6640625" style="86"/>
    <col min="30" max="30" width="3.6640625" style="86" customWidth="1"/>
    <col min="31" max="31" width="3.6640625" style="86" hidden="1" customWidth="1"/>
    <col min="32" max="16384" width="3.6640625" style="86"/>
  </cols>
  <sheetData>
    <row r="1" spans="1:31">
      <c r="AE1" s="86" t="str">
        <f>CONCATENATE(W36," DPO XPS")</f>
        <v>Nombre Puesto DPO XPS</v>
      </c>
    </row>
    <row r="11" spans="1:31" ht="15" customHeight="1">
      <c r="A11" s="202" t="s">
        <v>555</v>
      </c>
      <c r="B11" s="202"/>
      <c r="C11" s="202"/>
      <c r="D11" s="202"/>
      <c r="E11" s="202"/>
      <c r="F11" s="202"/>
      <c r="G11" s="202"/>
      <c r="H11" s="202"/>
      <c r="I11" s="202"/>
      <c r="J11" s="202"/>
      <c r="K11" s="202"/>
      <c r="L11" s="202"/>
      <c r="M11" s="202"/>
      <c r="N11" s="202"/>
      <c r="O11" s="202"/>
      <c r="P11" s="202"/>
      <c r="Q11" s="202"/>
      <c r="R11" s="202"/>
      <c r="S11" s="202"/>
      <c r="T11" s="202"/>
      <c r="U11" s="202"/>
      <c r="V11" s="202"/>
      <c r="W11" s="202"/>
      <c r="X11" s="202"/>
    </row>
    <row r="12" spans="1:31" ht="15" customHeight="1">
      <c r="A12" s="202"/>
      <c r="B12" s="202"/>
      <c r="C12" s="202"/>
      <c r="D12" s="202"/>
      <c r="E12" s="202"/>
      <c r="F12" s="202"/>
      <c r="G12" s="202"/>
      <c r="H12" s="202"/>
      <c r="I12" s="202"/>
      <c r="J12" s="202"/>
      <c r="K12" s="202"/>
      <c r="L12" s="202"/>
      <c r="M12" s="202"/>
      <c r="N12" s="202"/>
      <c r="O12" s="202"/>
      <c r="P12" s="202"/>
      <c r="Q12" s="202"/>
      <c r="R12" s="202"/>
      <c r="S12" s="202"/>
      <c r="T12" s="202"/>
      <c r="U12" s="202"/>
      <c r="V12" s="202"/>
      <c r="W12" s="202"/>
      <c r="X12" s="202"/>
    </row>
    <row r="13" spans="1:31">
      <c r="A13" s="201" t="s">
        <v>557</v>
      </c>
      <c r="B13" s="201"/>
      <c r="C13" s="201"/>
      <c r="D13" s="201"/>
      <c r="E13" s="201"/>
      <c r="F13" s="201"/>
      <c r="G13" s="201"/>
      <c r="H13" s="201"/>
      <c r="I13" s="201"/>
      <c r="J13" s="201"/>
      <c r="K13" s="201"/>
      <c r="L13" s="201"/>
      <c r="M13" s="201"/>
      <c r="N13" s="201"/>
      <c r="O13" s="201"/>
      <c r="P13" s="201"/>
      <c r="Q13" s="201"/>
      <c r="R13" s="201"/>
      <c r="S13" s="201"/>
      <c r="T13" s="201"/>
      <c r="U13" s="201"/>
      <c r="V13" s="201"/>
      <c r="W13" s="201"/>
      <c r="X13" s="201"/>
    </row>
    <row r="14" spans="1:31">
      <c r="B14" s="88"/>
      <c r="C14" s="88"/>
      <c r="D14" s="88"/>
      <c r="E14" s="88"/>
      <c r="F14" s="88"/>
      <c r="G14" s="88"/>
      <c r="H14" s="88"/>
      <c r="I14" s="88"/>
      <c r="J14" s="88"/>
      <c r="K14" s="88"/>
      <c r="L14" s="88"/>
      <c r="M14" s="88"/>
      <c r="N14" s="88"/>
      <c r="O14" s="88"/>
      <c r="P14" s="88"/>
      <c r="Q14" s="88"/>
      <c r="R14" s="88"/>
      <c r="S14" s="88"/>
      <c r="T14" s="88"/>
      <c r="U14" s="88"/>
      <c r="V14" s="88"/>
      <c r="W14" s="88"/>
    </row>
    <row r="15" spans="1:31" ht="15" customHeight="1">
      <c r="A15" s="203" t="s">
        <v>592</v>
      </c>
      <c r="B15" s="203"/>
      <c r="C15" s="203"/>
      <c r="D15" s="203"/>
      <c r="E15" s="203"/>
      <c r="F15" s="203"/>
      <c r="G15" s="203"/>
      <c r="H15" s="203"/>
      <c r="I15" s="203"/>
      <c r="J15" s="203"/>
      <c r="K15" s="203"/>
      <c r="L15" s="203"/>
      <c r="M15" s="203"/>
      <c r="N15" s="203"/>
      <c r="O15" s="203"/>
      <c r="P15" s="203"/>
      <c r="Q15" s="203"/>
      <c r="R15" s="203"/>
      <c r="S15" s="203"/>
      <c r="T15" s="203"/>
      <c r="U15" s="203"/>
      <c r="V15" s="203"/>
      <c r="W15" s="203"/>
      <c r="X15" s="203"/>
    </row>
    <row r="16" spans="1:31">
      <c r="A16" s="203"/>
      <c r="B16" s="203"/>
      <c r="C16" s="203"/>
      <c r="D16" s="203"/>
      <c r="E16" s="203"/>
      <c r="F16" s="203"/>
      <c r="G16" s="203"/>
      <c r="H16" s="203"/>
      <c r="I16" s="203"/>
      <c r="J16" s="203"/>
      <c r="K16" s="203"/>
      <c r="L16" s="203"/>
      <c r="M16" s="203"/>
      <c r="N16" s="203"/>
      <c r="O16" s="203"/>
      <c r="P16" s="203"/>
      <c r="Q16" s="203"/>
      <c r="R16" s="203"/>
      <c r="S16" s="203"/>
      <c r="T16" s="203"/>
      <c r="U16" s="203"/>
      <c r="V16" s="203"/>
      <c r="W16" s="203"/>
      <c r="X16" s="203"/>
    </row>
    <row r="17" spans="1:24">
      <c r="A17" s="203"/>
      <c r="B17" s="203"/>
      <c r="C17" s="203"/>
      <c r="D17" s="203"/>
      <c r="E17" s="203"/>
      <c r="F17" s="203"/>
      <c r="G17" s="203"/>
      <c r="H17" s="203"/>
      <c r="I17" s="203"/>
      <c r="J17" s="203"/>
      <c r="K17" s="203"/>
      <c r="L17" s="203"/>
      <c r="M17" s="203"/>
      <c r="N17" s="203"/>
      <c r="O17" s="203"/>
      <c r="P17" s="203"/>
      <c r="Q17" s="203"/>
      <c r="R17" s="203"/>
      <c r="S17" s="203"/>
      <c r="T17" s="203"/>
      <c r="U17" s="203"/>
      <c r="V17" s="203"/>
      <c r="W17" s="203"/>
      <c r="X17" s="203"/>
    </row>
    <row r="18" spans="1:24">
      <c r="A18" s="203"/>
      <c r="B18" s="203"/>
      <c r="C18" s="203"/>
      <c r="D18" s="203"/>
      <c r="E18" s="203"/>
      <c r="F18" s="203"/>
      <c r="G18" s="203"/>
      <c r="H18" s="203"/>
      <c r="I18" s="203"/>
      <c r="J18" s="203"/>
      <c r="K18" s="203"/>
      <c r="L18" s="203"/>
      <c r="M18" s="203"/>
      <c r="N18" s="203"/>
      <c r="O18" s="203"/>
      <c r="P18" s="203"/>
      <c r="Q18" s="203"/>
      <c r="R18" s="203"/>
      <c r="S18" s="203"/>
      <c r="T18" s="203"/>
      <c r="U18" s="203"/>
      <c r="V18" s="203"/>
      <c r="W18" s="203"/>
      <c r="X18" s="203"/>
    </row>
    <row r="19" spans="1:24">
      <c r="A19" s="203"/>
      <c r="B19" s="203"/>
      <c r="C19" s="203"/>
      <c r="D19" s="203"/>
      <c r="E19" s="203"/>
      <c r="F19" s="203"/>
      <c r="G19" s="203"/>
      <c r="H19" s="203"/>
      <c r="I19" s="203"/>
      <c r="J19" s="203"/>
      <c r="K19" s="203"/>
      <c r="L19" s="203"/>
      <c r="M19" s="203"/>
      <c r="N19" s="203"/>
      <c r="O19" s="203"/>
      <c r="P19" s="203"/>
      <c r="Q19" s="203"/>
      <c r="R19" s="203"/>
      <c r="S19" s="203"/>
      <c r="T19" s="203"/>
      <c r="U19" s="203"/>
      <c r="V19" s="203"/>
      <c r="W19" s="203"/>
      <c r="X19" s="203"/>
    </row>
    <row r="20" spans="1:24">
      <c r="A20" s="203"/>
      <c r="B20" s="203"/>
      <c r="C20" s="203"/>
      <c r="D20" s="203"/>
      <c r="E20" s="203"/>
      <c r="F20" s="203"/>
      <c r="G20" s="203"/>
      <c r="H20" s="203"/>
      <c r="I20" s="203"/>
      <c r="J20" s="203"/>
      <c r="K20" s="203"/>
      <c r="L20" s="203"/>
      <c r="M20" s="203"/>
      <c r="N20" s="203"/>
      <c r="O20" s="203"/>
      <c r="P20" s="203"/>
      <c r="Q20" s="203"/>
      <c r="R20" s="203"/>
      <c r="S20" s="203"/>
      <c r="T20" s="203"/>
      <c r="U20" s="203"/>
      <c r="V20" s="203"/>
      <c r="W20" s="203"/>
      <c r="X20" s="203"/>
    </row>
    <row r="21" spans="1:24">
      <c r="A21" s="203"/>
      <c r="B21" s="203"/>
      <c r="C21" s="203"/>
      <c r="D21" s="203"/>
      <c r="E21" s="203"/>
      <c r="F21" s="203"/>
      <c r="G21" s="203"/>
      <c r="H21" s="203"/>
      <c r="I21" s="203"/>
      <c r="J21" s="203"/>
      <c r="K21" s="203"/>
      <c r="L21" s="203"/>
      <c r="M21" s="203"/>
      <c r="N21" s="203"/>
      <c r="O21" s="203"/>
      <c r="P21" s="203"/>
      <c r="Q21" s="203"/>
      <c r="R21" s="203"/>
      <c r="S21" s="203"/>
      <c r="T21" s="203"/>
      <c r="U21" s="203"/>
      <c r="V21" s="203"/>
      <c r="W21" s="203"/>
      <c r="X21" s="203"/>
    </row>
    <row r="22" spans="1:24">
      <c r="A22" s="203"/>
      <c r="B22" s="203"/>
      <c r="C22" s="203"/>
      <c r="D22" s="203"/>
      <c r="E22" s="203"/>
      <c r="F22" s="203"/>
      <c r="G22" s="203"/>
      <c r="H22" s="203"/>
      <c r="I22" s="203"/>
      <c r="J22" s="203"/>
      <c r="K22" s="203"/>
      <c r="L22" s="203"/>
      <c r="M22" s="203"/>
      <c r="N22" s="203"/>
      <c r="O22" s="203"/>
      <c r="P22" s="203"/>
      <c r="Q22" s="203"/>
      <c r="R22" s="203"/>
      <c r="S22" s="203"/>
      <c r="T22" s="203"/>
      <c r="U22" s="203"/>
      <c r="V22" s="203"/>
      <c r="W22" s="203"/>
      <c r="X22" s="203"/>
    </row>
    <row r="23" spans="1:24">
      <c r="A23" s="203"/>
      <c r="B23" s="203"/>
      <c r="C23" s="203"/>
      <c r="D23" s="203"/>
      <c r="E23" s="203"/>
      <c r="F23" s="203"/>
      <c r="G23" s="203"/>
      <c r="H23" s="203"/>
      <c r="I23" s="203"/>
      <c r="J23" s="203"/>
      <c r="K23" s="203"/>
      <c r="L23" s="203"/>
      <c r="M23" s="203"/>
      <c r="N23" s="203"/>
      <c r="O23" s="203"/>
      <c r="P23" s="203"/>
      <c r="Q23" s="203"/>
      <c r="R23" s="203"/>
      <c r="S23" s="203"/>
      <c r="T23" s="203"/>
      <c r="U23" s="203"/>
      <c r="V23" s="203"/>
      <c r="W23" s="203"/>
      <c r="X23" s="203"/>
    </row>
    <row r="24" spans="1:24">
      <c r="A24" s="203"/>
      <c r="B24" s="203"/>
      <c r="C24" s="203"/>
      <c r="D24" s="203"/>
      <c r="E24" s="203"/>
      <c r="F24" s="203"/>
      <c r="G24" s="203"/>
      <c r="H24" s="203"/>
      <c r="I24" s="203"/>
      <c r="J24" s="203"/>
      <c r="K24" s="203"/>
      <c r="L24" s="203"/>
      <c r="M24" s="203"/>
      <c r="N24" s="203"/>
      <c r="O24" s="203"/>
      <c r="P24" s="203"/>
      <c r="Q24" s="203"/>
      <c r="R24" s="203"/>
      <c r="S24" s="203"/>
      <c r="T24" s="203"/>
      <c r="U24" s="203"/>
      <c r="V24" s="203"/>
      <c r="W24" s="203"/>
      <c r="X24" s="203"/>
    </row>
    <row r="25" spans="1:24">
      <c r="A25" s="203"/>
      <c r="B25" s="203"/>
      <c r="C25" s="203"/>
      <c r="D25" s="203"/>
      <c r="E25" s="203"/>
      <c r="F25" s="203"/>
      <c r="G25" s="203"/>
      <c r="H25" s="203"/>
      <c r="I25" s="203"/>
      <c r="J25" s="203"/>
      <c r="K25" s="203"/>
      <c r="L25" s="203"/>
      <c r="M25" s="203"/>
      <c r="N25" s="203"/>
      <c r="O25" s="203"/>
      <c r="P25" s="203"/>
      <c r="Q25" s="203"/>
      <c r="R25" s="203"/>
      <c r="S25" s="203"/>
      <c r="T25" s="203"/>
      <c r="U25" s="203"/>
      <c r="V25" s="203"/>
      <c r="W25" s="203"/>
      <c r="X25" s="203"/>
    </row>
    <row r="26" spans="1:24">
      <c r="A26" s="203"/>
      <c r="B26" s="203"/>
      <c r="C26" s="203"/>
      <c r="D26" s="203"/>
      <c r="E26" s="203"/>
      <c r="F26" s="203"/>
      <c r="G26" s="203"/>
      <c r="H26" s="203"/>
      <c r="I26" s="203"/>
      <c r="J26" s="203"/>
      <c r="K26" s="203"/>
      <c r="L26" s="203"/>
      <c r="M26" s="203"/>
      <c r="N26" s="203"/>
      <c r="O26" s="203"/>
      <c r="P26" s="203"/>
      <c r="Q26" s="203"/>
      <c r="R26" s="203"/>
      <c r="S26" s="203"/>
      <c r="T26" s="203"/>
      <c r="U26" s="203"/>
      <c r="V26" s="203"/>
      <c r="W26" s="203"/>
      <c r="X26" s="203"/>
    </row>
    <row r="27" spans="1:24">
      <c r="A27" s="203"/>
      <c r="B27" s="203"/>
      <c r="C27" s="203"/>
      <c r="D27" s="203"/>
      <c r="E27" s="203"/>
      <c r="F27" s="203"/>
      <c r="G27" s="203"/>
      <c r="H27" s="203"/>
      <c r="I27" s="203"/>
      <c r="J27" s="203"/>
      <c r="K27" s="203"/>
      <c r="L27" s="203"/>
      <c r="M27" s="203"/>
      <c r="N27" s="203"/>
      <c r="O27" s="203"/>
      <c r="P27" s="203"/>
      <c r="Q27" s="203"/>
      <c r="R27" s="203"/>
      <c r="S27" s="203"/>
      <c r="T27" s="203"/>
      <c r="U27" s="203"/>
      <c r="V27" s="203"/>
      <c r="W27" s="203"/>
      <c r="X27" s="203"/>
    </row>
    <row r="28" spans="1:24">
      <c r="A28" s="203"/>
      <c r="B28" s="203"/>
      <c r="C28" s="203"/>
      <c r="D28" s="203"/>
      <c r="E28" s="203"/>
      <c r="F28" s="203"/>
      <c r="G28" s="203"/>
      <c r="H28" s="203"/>
      <c r="I28" s="203"/>
      <c r="J28" s="203"/>
      <c r="K28" s="203"/>
      <c r="L28" s="203"/>
      <c r="M28" s="203"/>
      <c r="N28" s="203"/>
      <c r="O28" s="203"/>
      <c r="P28" s="203"/>
      <c r="Q28" s="203"/>
      <c r="R28" s="203"/>
      <c r="S28" s="203"/>
      <c r="T28" s="203"/>
      <c r="U28" s="203"/>
      <c r="V28" s="203"/>
      <c r="W28" s="203"/>
      <c r="X28" s="203"/>
    </row>
    <row r="29" spans="1:24">
      <c r="A29" s="203"/>
      <c r="B29" s="203"/>
      <c r="C29" s="203"/>
      <c r="D29" s="203"/>
      <c r="E29" s="203"/>
      <c r="F29" s="203"/>
      <c r="G29" s="203"/>
      <c r="H29" s="203"/>
      <c r="I29" s="203"/>
      <c r="J29" s="203"/>
      <c r="K29" s="203"/>
      <c r="L29" s="203"/>
      <c r="M29" s="203"/>
      <c r="N29" s="203"/>
      <c r="O29" s="203"/>
      <c r="P29" s="203"/>
      <c r="Q29" s="203"/>
      <c r="R29" s="203"/>
      <c r="S29" s="203"/>
      <c r="T29" s="203"/>
      <c r="U29" s="203"/>
      <c r="V29" s="203"/>
      <c r="W29" s="203"/>
      <c r="X29" s="203"/>
    </row>
    <row r="30" spans="1:24">
      <c r="A30" s="203"/>
      <c r="B30" s="203"/>
      <c r="C30" s="203"/>
      <c r="D30" s="203"/>
      <c r="E30" s="203"/>
      <c r="F30" s="203"/>
      <c r="G30" s="203"/>
      <c r="H30" s="203"/>
      <c r="I30" s="203"/>
      <c r="J30" s="203"/>
      <c r="K30" s="203"/>
      <c r="L30" s="203"/>
      <c r="M30" s="203"/>
      <c r="N30" s="203"/>
      <c r="O30" s="203"/>
      <c r="P30" s="203"/>
      <c r="Q30" s="203"/>
      <c r="R30" s="203"/>
      <c r="S30" s="203"/>
      <c r="T30" s="203"/>
      <c r="U30" s="203"/>
      <c r="V30" s="203"/>
      <c r="W30" s="203"/>
      <c r="X30" s="203"/>
    </row>
    <row r="31" spans="1:24">
      <c r="A31" s="203"/>
      <c r="B31" s="203"/>
      <c r="C31" s="203"/>
      <c r="D31" s="203"/>
      <c r="E31" s="203"/>
      <c r="F31" s="203"/>
      <c r="G31" s="203"/>
      <c r="H31" s="203"/>
      <c r="I31" s="203"/>
      <c r="J31" s="203"/>
      <c r="K31" s="203"/>
      <c r="L31" s="203"/>
      <c r="M31" s="203"/>
      <c r="N31" s="203"/>
      <c r="O31" s="203"/>
      <c r="P31" s="203"/>
      <c r="Q31" s="203"/>
      <c r="R31" s="203"/>
      <c r="S31" s="203"/>
      <c r="T31" s="203"/>
      <c r="U31" s="203"/>
      <c r="V31" s="203"/>
      <c r="W31" s="203"/>
      <c r="X31" s="203"/>
    </row>
    <row r="32" spans="1:24">
      <c r="A32" s="203"/>
      <c r="B32" s="203"/>
      <c r="C32" s="203"/>
      <c r="D32" s="203"/>
      <c r="E32" s="203"/>
      <c r="F32" s="203"/>
      <c r="G32" s="203"/>
      <c r="H32" s="203"/>
      <c r="I32" s="203"/>
      <c r="J32" s="203"/>
      <c r="K32" s="203"/>
      <c r="L32" s="203"/>
      <c r="M32" s="203"/>
      <c r="N32" s="203"/>
      <c r="O32" s="203"/>
      <c r="P32" s="203"/>
      <c r="Q32" s="203"/>
      <c r="R32" s="203"/>
      <c r="S32" s="203"/>
      <c r="T32" s="203"/>
      <c r="U32" s="203"/>
      <c r="V32" s="203"/>
      <c r="W32" s="203"/>
      <c r="X32" s="203"/>
    </row>
    <row r="33" spans="1:25">
      <c r="A33" s="203"/>
      <c r="B33" s="203"/>
      <c r="C33" s="203"/>
      <c r="D33" s="203"/>
      <c r="E33" s="203"/>
      <c r="F33" s="203"/>
      <c r="G33" s="203"/>
      <c r="H33" s="203"/>
      <c r="I33" s="203"/>
      <c r="J33" s="203"/>
      <c r="K33" s="203"/>
      <c r="L33" s="203"/>
      <c r="M33" s="203"/>
      <c r="N33" s="203"/>
      <c r="O33" s="203"/>
      <c r="P33" s="203"/>
      <c r="Q33" s="203"/>
      <c r="R33" s="203"/>
      <c r="S33" s="203"/>
      <c r="T33" s="203"/>
      <c r="U33" s="203"/>
      <c r="V33" s="203"/>
      <c r="W33" s="203"/>
      <c r="X33" s="203"/>
    </row>
    <row r="34" spans="1:25">
      <c r="A34" s="203"/>
      <c r="B34" s="203"/>
      <c r="C34" s="203"/>
      <c r="D34" s="203"/>
      <c r="E34" s="203"/>
      <c r="F34" s="203"/>
      <c r="G34" s="203"/>
      <c r="H34" s="203"/>
      <c r="I34" s="203"/>
      <c r="J34" s="203"/>
      <c r="K34" s="203"/>
      <c r="L34" s="203"/>
      <c r="M34" s="203"/>
      <c r="N34" s="203"/>
      <c r="O34" s="203"/>
      <c r="P34" s="203"/>
      <c r="Q34" s="203"/>
      <c r="R34" s="203"/>
      <c r="S34" s="203"/>
      <c r="T34" s="203"/>
      <c r="U34" s="203"/>
      <c r="V34" s="203"/>
      <c r="W34" s="203"/>
      <c r="X34" s="203"/>
    </row>
    <row r="36" spans="1:25" ht="15" customHeight="1">
      <c r="B36" s="74"/>
      <c r="C36" s="74"/>
      <c r="D36" s="74"/>
      <c r="E36" s="74"/>
      <c r="F36" s="74"/>
      <c r="G36" s="74"/>
      <c r="H36" s="74"/>
      <c r="I36" s="74"/>
      <c r="J36" s="74"/>
      <c r="K36" s="74"/>
      <c r="L36" s="74"/>
      <c r="M36" s="74"/>
      <c r="N36" s="74"/>
      <c r="O36" s="74"/>
      <c r="P36" s="74"/>
      <c r="Q36" s="74"/>
      <c r="R36" s="74"/>
      <c r="S36" s="74"/>
      <c r="T36" s="74"/>
      <c r="V36" s="74"/>
      <c r="W36" s="125" t="s">
        <v>1081</v>
      </c>
      <c r="X36" s="74"/>
      <c r="Y36" s="122"/>
    </row>
    <row r="37" spans="1:25" ht="15" customHeight="1">
      <c r="A37" s="74"/>
      <c r="B37" s="74"/>
      <c r="C37" s="74"/>
      <c r="D37" s="74"/>
      <c r="E37" s="74"/>
      <c r="F37" s="74"/>
      <c r="G37" s="74"/>
      <c r="H37" s="74"/>
      <c r="I37" s="74"/>
      <c r="J37" s="74"/>
      <c r="K37" s="74"/>
      <c r="L37" s="74"/>
      <c r="M37" s="74"/>
      <c r="N37" s="74"/>
      <c r="O37" s="74"/>
      <c r="P37" s="74"/>
      <c r="Q37" s="74"/>
      <c r="R37" s="74"/>
      <c r="S37" s="74"/>
      <c r="T37" s="74"/>
      <c r="V37" s="74"/>
      <c r="W37" s="74"/>
      <c r="X37" s="74"/>
      <c r="Y37" s="122"/>
    </row>
    <row r="38" spans="1:25" ht="15" customHeight="1">
      <c r="B38" s="75"/>
      <c r="C38" s="75"/>
      <c r="D38" s="75"/>
      <c r="E38" s="75"/>
      <c r="F38" s="75"/>
      <c r="G38" s="75"/>
      <c r="H38" s="75"/>
      <c r="I38" s="75"/>
      <c r="J38" s="75"/>
      <c r="K38" s="75"/>
      <c r="L38" s="75"/>
      <c r="M38" s="75"/>
      <c r="N38" s="75"/>
      <c r="O38" s="75"/>
      <c r="P38" s="75"/>
      <c r="Q38" s="75"/>
      <c r="R38" s="75"/>
      <c r="S38" s="75"/>
      <c r="T38" s="75"/>
      <c r="V38" s="75"/>
      <c r="W38" s="124" t="s">
        <v>575</v>
      </c>
      <c r="X38" s="75"/>
      <c r="Y38" s="122"/>
    </row>
    <row r="39" spans="1:25" ht="15" customHeight="1">
      <c r="A39" s="75"/>
      <c r="B39" s="75"/>
      <c r="C39" s="75"/>
      <c r="D39" s="75"/>
      <c r="E39" s="75"/>
      <c r="F39" s="75"/>
      <c r="G39" s="75"/>
      <c r="H39" s="75"/>
      <c r="I39" s="75"/>
      <c r="J39" s="75"/>
      <c r="K39" s="75"/>
      <c r="L39" s="75"/>
      <c r="M39" s="75"/>
      <c r="N39" s="75"/>
      <c r="O39" s="75"/>
      <c r="P39" s="75"/>
      <c r="Q39" s="75"/>
      <c r="R39" s="75"/>
      <c r="S39" s="75"/>
      <c r="T39" s="75"/>
      <c r="V39" s="75"/>
      <c r="W39" s="75"/>
      <c r="X39" s="75"/>
      <c r="Y39" s="122"/>
    </row>
    <row r="40" spans="1:25" ht="15" customHeight="1">
      <c r="B40" s="75"/>
      <c r="C40" s="75"/>
      <c r="D40" s="75"/>
      <c r="E40" s="75"/>
      <c r="F40" s="75"/>
      <c r="G40" s="75"/>
      <c r="H40" s="75"/>
      <c r="I40" s="75"/>
      <c r="J40" s="75"/>
      <c r="K40" s="75"/>
      <c r="L40" s="75"/>
      <c r="M40" s="75"/>
      <c r="N40" s="75"/>
      <c r="O40" s="75"/>
      <c r="P40" s="75"/>
      <c r="Q40" s="75"/>
      <c r="R40" s="75"/>
      <c r="S40" s="75"/>
      <c r="T40" s="75"/>
      <c r="V40" s="75"/>
      <c r="W40" s="179" t="str">
        <f>Equivalencias!P48</f>
        <v>Colaborador general</v>
      </c>
      <c r="X40" s="75"/>
      <c r="Y40" s="123"/>
    </row>
    <row r="41" spans="1:25" ht="15" customHeight="1">
      <c r="A41" s="75"/>
      <c r="B41" s="75"/>
      <c r="C41" s="75"/>
      <c r="D41" s="75"/>
      <c r="E41" s="75"/>
      <c r="F41" s="75"/>
      <c r="G41" s="75"/>
      <c r="H41" s="75"/>
      <c r="I41" s="75"/>
      <c r="J41" s="75"/>
      <c r="K41" s="75"/>
      <c r="L41" s="75"/>
      <c r="M41" s="75"/>
      <c r="N41" s="75"/>
      <c r="O41" s="75"/>
      <c r="P41" s="75"/>
      <c r="Q41" s="75"/>
      <c r="R41" s="75"/>
      <c r="S41" s="75"/>
      <c r="T41" s="75"/>
      <c r="V41" s="75"/>
      <c r="W41" s="75"/>
      <c r="X41" s="75"/>
      <c r="Y41" s="123"/>
    </row>
    <row r="42" spans="1:25" ht="15" customHeight="1">
      <c r="B42" s="75"/>
      <c r="C42" s="75"/>
      <c r="D42" s="75"/>
      <c r="E42" s="75"/>
      <c r="F42" s="75"/>
      <c r="G42" s="75"/>
      <c r="H42" s="75"/>
      <c r="I42" s="75"/>
      <c r="J42" s="75"/>
      <c r="K42" s="75"/>
      <c r="L42" s="75"/>
      <c r="M42" s="75"/>
      <c r="N42" s="75"/>
      <c r="O42" s="75"/>
      <c r="P42" s="75"/>
      <c r="Q42" s="75"/>
      <c r="R42" s="75"/>
      <c r="S42" s="75"/>
      <c r="T42" s="75"/>
      <c r="V42" s="75"/>
      <c r="W42" s="124" t="s">
        <v>1078</v>
      </c>
      <c r="X42" s="75"/>
      <c r="Y42" s="123"/>
    </row>
    <row r="43" spans="1:25" ht="15" customHeight="1">
      <c r="B43" s="75"/>
      <c r="C43" s="75"/>
      <c r="D43" s="75"/>
      <c r="E43" s="75"/>
      <c r="F43" s="75"/>
      <c r="G43" s="75"/>
      <c r="H43" s="75"/>
      <c r="I43" s="75"/>
      <c r="J43" s="75"/>
      <c r="K43" s="75"/>
      <c r="L43" s="75"/>
      <c r="M43" s="75"/>
      <c r="N43" s="75"/>
      <c r="O43" s="75"/>
      <c r="P43" s="75"/>
      <c r="Q43" s="75"/>
      <c r="R43" s="75"/>
      <c r="S43" s="75"/>
      <c r="T43" s="75"/>
      <c r="V43" s="75"/>
      <c r="W43" s="124"/>
      <c r="X43" s="75"/>
      <c r="Y43" s="123"/>
    </row>
    <row r="44" spans="1:25" ht="15" customHeight="1">
      <c r="A44" s="75"/>
      <c r="B44" s="75"/>
      <c r="C44" s="75"/>
      <c r="D44" s="75"/>
      <c r="E44" s="75"/>
      <c r="F44" s="75"/>
      <c r="G44" s="75"/>
      <c r="H44" s="75"/>
      <c r="I44" s="75"/>
      <c r="J44" s="75"/>
      <c r="K44" s="75"/>
      <c r="L44" s="75"/>
      <c r="M44" s="75"/>
      <c r="N44" s="75"/>
      <c r="O44" s="75"/>
      <c r="P44" s="75"/>
      <c r="Q44" s="75"/>
      <c r="R44" s="75"/>
      <c r="S44" s="75"/>
      <c r="T44" s="75"/>
      <c r="U44" s="75"/>
      <c r="V44" s="75"/>
      <c r="W44" s="75"/>
      <c r="X44" s="75"/>
      <c r="Y44" s="123"/>
    </row>
    <row r="45" spans="1:25" ht="15" customHeight="1">
      <c r="A45" s="75"/>
      <c r="B45" s="75"/>
      <c r="C45" s="75"/>
      <c r="D45" s="75"/>
      <c r="E45" s="75"/>
      <c r="F45" s="75"/>
      <c r="G45" s="75"/>
      <c r="H45" s="75"/>
      <c r="I45" s="75"/>
      <c r="J45" s="75"/>
      <c r="K45" s="75"/>
      <c r="L45" s="75"/>
      <c r="M45" s="75"/>
      <c r="N45" s="75"/>
      <c r="O45" s="75"/>
      <c r="P45" s="75"/>
      <c r="Q45" s="75"/>
      <c r="R45" s="75"/>
      <c r="S45" s="75"/>
      <c r="T45" s="75"/>
      <c r="U45" s="75"/>
      <c r="V45" s="75"/>
      <c r="W45" s="75"/>
      <c r="X45" s="75"/>
      <c r="Y45" s="123"/>
    </row>
    <row r="46" spans="1:25">
      <c r="A46" s="117"/>
      <c r="B46" s="117"/>
      <c r="C46" s="117"/>
      <c r="D46" s="117"/>
      <c r="E46" s="117"/>
      <c r="F46" s="117"/>
      <c r="G46" s="117"/>
      <c r="H46" s="117"/>
      <c r="I46" s="117"/>
      <c r="J46" s="117"/>
      <c r="K46" s="117"/>
      <c r="L46" s="117"/>
      <c r="M46" s="117"/>
      <c r="N46" s="117"/>
      <c r="O46" s="117"/>
      <c r="P46" s="117"/>
      <c r="Q46" s="117"/>
      <c r="R46" s="117"/>
      <c r="S46" s="117"/>
      <c r="T46" s="117"/>
      <c r="U46" s="117"/>
      <c r="V46" s="117"/>
      <c r="W46" s="117"/>
      <c r="X46" s="117"/>
    </row>
    <row r="47" spans="1:25" ht="15" customHeight="1">
      <c r="A47" s="199" t="s">
        <v>562</v>
      </c>
      <c r="B47" s="199"/>
      <c r="C47" s="199"/>
      <c r="D47" s="199"/>
      <c r="E47" s="199"/>
      <c r="F47" s="199"/>
      <c r="G47" s="199"/>
      <c r="H47" s="199"/>
      <c r="I47" s="199"/>
      <c r="J47" s="199"/>
      <c r="K47" s="199"/>
      <c r="L47" s="199"/>
      <c r="M47" s="199"/>
      <c r="N47" s="199"/>
      <c r="O47" s="199"/>
      <c r="P47" s="199"/>
      <c r="Q47" s="199"/>
      <c r="R47" s="199"/>
      <c r="S47" s="199"/>
      <c r="T47" s="199"/>
      <c r="U47" s="199"/>
      <c r="V47" s="199"/>
      <c r="W47" s="199"/>
      <c r="X47" s="199"/>
    </row>
    <row r="48" spans="1:25">
      <c r="A48" s="200"/>
      <c r="B48" s="200"/>
      <c r="C48" s="200"/>
      <c r="D48" s="200"/>
      <c r="E48" s="200"/>
      <c r="F48" s="200"/>
      <c r="G48" s="200"/>
      <c r="H48" s="200"/>
      <c r="I48" s="200"/>
      <c r="J48" s="200"/>
      <c r="K48" s="200"/>
      <c r="L48" s="200"/>
      <c r="M48" s="200"/>
      <c r="N48" s="200"/>
      <c r="O48" s="200"/>
      <c r="P48" s="200"/>
      <c r="Q48" s="200"/>
      <c r="R48" s="200"/>
      <c r="S48" s="200"/>
      <c r="T48" s="200"/>
      <c r="U48" s="200"/>
      <c r="V48" s="200"/>
      <c r="W48" s="200"/>
      <c r="X48" s="200"/>
    </row>
  </sheetData>
  <mergeCells count="4">
    <mergeCell ref="A47:X48"/>
    <mergeCell ref="A13:X13"/>
    <mergeCell ref="A11:X12"/>
    <mergeCell ref="A15:X34"/>
  </mergeCells>
  <printOptions horizontalCentered="1"/>
  <pageMargins left="0.70866141732283472" right="0.70866141732283472" top="0.74803149606299213" bottom="0.74803149606299213" header="0.31496062992125984" footer="0.31496062992125984"/>
  <pageSetup scale="97"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54C7C-BB1B-7243-A1CF-293630C1742E}">
  <sheetPr codeName="Hoja1">
    <tabColor rgb="FF00B050"/>
    <pageSetUpPr fitToPage="1"/>
  </sheetPr>
  <dimension ref="A1:P61"/>
  <sheetViews>
    <sheetView showGridLines="0" zoomScaleNormal="100" workbookViewId="0">
      <selection activeCell="M2" sqref="M2:P2"/>
    </sheetView>
  </sheetViews>
  <sheetFormatPr baseColWidth="10" defaultColWidth="4.6640625" defaultRowHeight="14.4"/>
  <cols>
    <col min="1" max="1" width="4.6640625" style="86"/>
    <col min="2" max="2" width="11.77734375" style="86" customWidth="1"/>
    <col min="3" max="3" width="40" customWidth="1"/>
    <col min="4" max="4" width="10.77734375" customWidth="1"/>
    <col min="5" max="5" width="11.44140625" bestFit="1" customWidth="1"/>
    <col min="6" max="13" width="10.77734375" customWidth="1"/>
    <col min="14" max="15" width="6.77734375" customWidth="1"/>
  </cols>
  <sheetData>
    <row r="1" spans="1:16" s="86" customFormat="1" ht="16.2">
      <c r="A1" s="67"/>
      <c r="B1" s="67"/>
      <c r="C1" s="67"/>
      <c r="D1" s="68"/>
      <c r="M1" s="205" t="s">
        <v>553</v>
      </c>
      <c r="N1" s="205"/>
      <c r="O1" s="205"/>
      <c r="P1" s="205"/>
    </row>
    <row r="2" spans="1:16" s="86" customFormat="1">
      <c r="A2" s="69"/>
      <c r="B2" s="69"/>
      <c r="C2" s="69"/>
      <c r="D2" s="69"/>
      <c r="E2" s="69"/>
      <c r="F2" s="117"/>
      <c r="G2" s="117"/>
      <c r="H2" s="117"/>
      <c r="I2" s="117"/>
      <c r="J2" s="117"/>
      <c r="K2" s="117"/>
      <c r="L2" s="117"/>
      <c r="M2" s="206" t="str">
        <f>Portada!W36</f>
        <v>Nombre Puesto</v>
      </c>
      <c r="N2" s="206"/>
      <c r="O2" s="206"/>
      <c r="P2" s="206"/>
    </row>
    <row r="3" spans="1:16" s="86" customFormat="1"/>
    <row r="4" spans="1:16" s="86" customFormat="1"/>
    <row r="5" spans="1:16" ht="25.8">
      <c r="A5"/>
      <c r="B5" s="204" t="s">
        <v>593</v>
      </c>
      <c r="C5" s="204"/>
      <c r="D5" s="204"/>
      <c r="E5" s="204"/>
      <c r="F5" s="204"/>
      <c r="G5" s="204"/>
      <c r="H5" s="204"/>
      <c r="I5" s="204"/>
      <c r="J5" s="204"/>
      <c r="K5" s="204"/>
      <c r="L5" s="204"/>
      <c r="M5" s="204"/>
      <c r="N5" s="204"/>
      <c r="O5" s="204"/>
    </row>
    <row r="6" spans="1:16" ht="25.8">
      <c r="A6"/>
      <c r="B6" s="135"/>
      <c r="C6" s="135"/>
      <c r="D6" s="135"/>
      <c r="E6" s="135"/>
      <c r="F6" s="135"/>
      <c r="G6" s="135"/>
      <c r="H6" s="135"/>
      <c r="I6" s="135"/>
      <c r="J6" s="135"/>
      <c r="K6" s="135"/>
      <c r="L6" s="135"/>
      <c r="M6" s="135"/>
      <c r="N6" s="135"/>
      <c r="O6" s="135"/>
    </row>
    <row r="7" spans="1:16">
      <c r="A7"/>
      <c r="B7"/>
      <c r="D7" s="86"/>
    </row>
    <row r="8" spans="1:16" ht="20.399999999999999">
      <c r="A8"/>
      <c r="C8" s="176" t="s">
        <v>573</v>
      </c>
      <c r="D8" s="177" t="s">
        <v>617</v>
      </c>
      <c r="E8" s="178" t="s">
        <v>465</v>
      </c>
      <c r="F8" s="178" t="s">
        <v>474</v>
      </c>
      <c r="G8" s="178" t="s">
        <v>621</v>
      </c>
      <c r="H8" s="178" t="s">
        <v>442</v>
      </c>
      <c r="I8" s="178" t="s">
        <v>620</v>
      </c>
      <c r="J8" s="178" t="s">
        <v>625</v>
      </c>
      <c r="K8" s="178" t="s">
        <v>531</v>
      </c>
      <c r="L8" s="178" t="s">
        <v>536</v>
      </c>
      <c r="M8" s="86"/>
    </row>
    <row r="9" spans="1:16">
      <c r="A9"/>
      <c r="B9" s="137"/>
      <c r="C9" s="190" t="s">
        <v>1092</v>
      </c>
      <c r="D9" s="191">
        <v>7.5</v>
      </c>
      <c r="E9" s="190">
        <v>8</v>
      </c>
      <c r="F9" s="190">
        <v>10</v>
      </c>
      <c r="G9" s="190">
        <v>10</v>
      </c>
      <c r="H9" s="190">
        <v>8</v>
      </c>
      <c r="I9" s="190">
        <v>9</v>
      </c>
      <c r="J9" s="190">
        <v>1</v>
      </c>
      <c r="K9" s="190">
        <v>6</v>
      </c>
      <c r="L9" s="190">
        <v>8</v>
      </c>
    </row>
    <row r="10" spans="1:16">
      <c r="A10"/>
      <c r="B10" s="137"/>
      <c r="C10" s="190" t="s">
        <v>1115</v>
      </c>
      <c r="D10" s="191">
        <v>6.375</v>
      </c>
      <c r="E10" s="190">
        <v>5</v>
      </c>
      <c r="F10" s="190">
        <v>10</v>
      </c>
      <c r="G10" s="190">
        <v>7</v>
      </c>
      <c r="H10" s="190">
        <v>9</v>
      </c>
      <c r="I10" s="190">
        <v>6</v>
      </c>
      <c r="J10" s="190">
        <v>5</v>
      </c>
      <c r="K10" s="190">
        <v>4</v>
      </c>
      <c r="L10" s="190">
        <v>5</v>
      </c>
    </row>
    <row r="11" spans="1:16">
      <c r="A11"/>
      <c r="C11" s="190" t="s">
        <v>1101</v>
      </c>
      <c r="D11" s="191">
        <v>6.125</v>
      </c>
      <c r="E11" s="190">
        <v>6</v>
      </c>
      <c r="F11" s="190">
        <v>7</v>
      </c>
      <c r="G11" s="190">
        <v>8</v>
      </c>
      <c r="H11" s="190">
        <v>10</v>
      </c>
      <c r="I11" s="190">
        <v>5</v>
      </c>
      <c r="J11" s="190">
        <v>3</v>
      </c>
      <c r="K11" s="190">
        <v>2</v>
      </c>
      <c r="L11" s="190">
        <v>8</v>
      </c>
    </row>
    <row r="12" spans="1:16">
      <c r="A12"/>
      <c r="C12" s="190" t="s">
        <v>1108</v>
      </c>
      <c r="D12" s="191">
        <v>4.375</v>
      </c>
      <c r="E12" s="190">
        <v>5</v>
      </c>
      <c r="F12" s="190">
        <v>5</v>
      </c>
      <c r="G12" s="190">
        <v>6</v>
      </c>
      <c r="H12" s="190">
        <v>4</v>
      </c>
      <c r="I12" s="190">
        <v>2</v>
      </c>
      <c r="J12" s="190">
        <v>4</v>
      </c>
      <c r="K12" s="190">
        <v>4</v>
      </c>
      <c r="L12" s="190">
        <v>5</v>
      </c>
    </row>
    <row r="13" spans="1:16">
      <c r="A13"/>
      <c r="B13" s="137"/>
    </row>
    <row r="14" spans="1:16">
      <c r="A14"/>
      <c r="B14" s="137"/>
    </row>
    <row r="15" spans="1:16">
      <c r="A15"/>
      <c r="B15" s="137"/>
    </row>
    <row r="16" spans="1:16">
      <c r="A16"/>
      <c r="B16" s="137"/>
    </row>
    <row r="17" spans="1:2">
      <c r="A17"/>
      <c r="B17" s="137"/>
    </row>
    <row r="18" spans="1:2" ht="15.6">
      <c r="A18"/>
      <c r="B18" s="136"/>
    </row>
    <row r="19" spans="1:2">
      <c r="A19"/>
    </row>
    <row r="20" spans="1:2">
      <c r="A20"/>
      <c r="B20" s="137"/>
    </row>
    <row r="21" spans="1:2">
      <c r="A21"/>
      <c r="B21" s="137"/>
    </row>
    <row r="22" spans="1:2">
      <c r="A22"/>
      <c r="B22" s="137"/>
    </row>
    <row r="23" spans="1:2">
      <c r="A23"/>
      <c r="B23" s="137"/>
    </row>
    <row r="24" spans="1:2">
      <c r="A24"/>
      <c r="B24" s="137"/>
    </row>
    <row r="25" spans="1:2">
      <c r="A25"/>
    </row>
    <row r="26" spans="1:2">
      <c r="A26"/>
      <c r="B26" s="137"/>
    </row>
    <row r="27" spans="1:2">
      <c r="A27"/>
      <c r="B27" s="137"/>
    </row>
    <row r="28" spans="1:2">
      <c r="A28"/>
      <c r="B28" s="137"/>
    </row>
    <row r="29" spans="1:2">
      <c r="A29"/>
      <c r="B29" s="137"/>
    </row>
    <row r="30" spans="1:2">
      <c r="A30"/>
      <c r="B30" s="137"/>
    </row>
    <row r="31" spans="1:2">
      <c r="A31"/>
      <c r="B31" s="137"/>
    </row>
    <row r="32" spans="1:2">
      <c r="A32"/>
      <c r="B32" s="137"/>
    </row>
    <row r="33" spans="1:2">
      <c r="A33"/>
      <c r="B33" s="137"/>
    </row>
    <row r="34" spans="1:2">
      <c r="A34"/>
      <c r="B34" s="137"/>
    </row>
    <row r="35" spans="1:2">
      <c r="A35"/>
      <c r="B35" s="137"/>
    </row>
    <row r="36" spans="1:2">
      <c r="A36"/>
      <c r="B36" s="137"/>
    </row>
    <row r="37" spans="1:2">
      <c r="A37"/>
      <c r="B37" s="137"/>
    </row>
    <row r="38" spans="1:2">
      <c r="A38"/>
      <c r="B38" s="137"/>
    </row>
    <row r="39" spans="1:2">
      <c r="A39"/>
      <c r="B39" s="137"/>
    </row>
    <row r="40" spans="1:2">
      <c r="A40"/>
      <c r="B40" s="137"/>
    </row>
    <row r="41" spans="1:2">
      <c r="A41"/>
      <c r="B41" s="137"/>
    </row>
    <row r="42" spans="1:2">
      <c r="A42"/>
      <c r="B42" s="137"/>
    </row>
    <row r="43" spans="1:2">
      <c r="A43"/>
      <c r="B43" s="137"/>
    </row>
    <row r="44" spans="1:2">
      <c r="A44"/>
      <c r="B44" s="137"/>
    </row>
    <row r="45" spans="1:2">
      <c r="A45"/>
      <c r="B45" s="137"/>
    </row>
    <row r="46" spans="1:2">
      <c r="A46"/>
      <c r="B46" s="137"/>
    </row>
    <row r="47" spans="1:2">
      <c r="A47"/>
      <c r="B47" s="137"/>
    </row>
    <row r="48" spans="1:2">
      <c r="A48"/>
      <c r="B48" s="137"/>
    </row>
    <row r="49" spans="1:2">
      <c r="A49"/>
      <c r="B49" s="137"/>
    </row>
    <row r="50" spans="1:2">
      <c r="A50"/>
      <c r="B50" s="137"/>
    </row>
    <row r="51" spans="1:2">
      <c r="A51"/>
      <c r="B51" s="137"/>
    </row>
    <row r="52" spans="1:2">
      <c r="A52"/>
      <c r="B52" s="137"/>
    </row>
    <row r="53" spans="1:2">
      <c r="A53"/>
      <c r="B53" s="137"/>
    </row>
    <row r="54" spans="1:2">
      <c r="A54"/>
      <c r="B54" s="137"/>
    </row>
    <row r="55" spans="1:2">
      <c r="A55"/>
      <c r="B55" s="137"/>
    </row>
    <row r="56" spans="1:2">
      <c r="A56"/>
      <c r="B56" s="137"/>
    </row>
    <row r="57" spans="1:2">
      <c r="A57"/>
      <c r="B57" s="137"/>
    </row>
    <row r="58" spans="1:2">
      <c r="A58"/>
      <c r="B58" s="137"/>
    </row>
    <row r="59" spans="1:2">
      <c r="B59" s="137"/>
    </row>
    <row r="61" spans="1:2">
      <c r="A61" s="117"/>
      <c r="B61" s="117"/>
    </row>
  </sheetData>
  <sortState xmlns:xlrd2="http://schemas.microsoft.com/office/spreadsheetml/2017/richdata2" ref="A9:P500">
    <sortCondition descending="1" ref="D9:D30"/>
  </sortState>
  <mergeCells count="3">
    <mergeCell ref="B5:O5"/>
    <mergeCell ref="M1:P1"/>
    <mergeCell ref="M2:P2"/>
  </mergeCells>
  <phoneticPr fontId="9" type="noConversion"/>
  <pageMargins left="0.7" right="0.7" top="0.75" bottom="0.75" header="0.3" footer="0.3"/>
  <pageSetup scale="63" orientation="portrait" horizontalDpi="0" verticalDpi="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8CEED8-73E1-B047-8874-548F64774765}">
  <sheetPr codeName="Hoja9">
    <tabColor rgb="FF00B050"/>
    <pageSetUpPr fitToPage="1"/>
  </sheetPr>
  <dimension ref="A1:Q80"/>
  <sheetViews>
    <sheetView topLeftCell="A37" zoomScale="70" zoomScaleNormal="70" workbookViewId="0">
      <selection activeCell="E16" sqref="E16"/>
    </sheetView>
  </sheetViews>
  <sheetFormatPr baseColWidth="10" defaultColWidth="4.6640625" defaultRowHeight="14.4"/>
  <cols>
    <col min="1" max="12" width="12.77734375" style="87" customWidth="1"/>
    <col min="13" max="16384" width="4.6640625" style="87"/>
  </cols>
  <sheetData>
    <row r="1" spans="1:12" ht="16.2">
      <c r="A1" s="144"/>
      <c r="B1" s="144"/>
      <c r="C1" s="145"/>
      <c r="I1" s="205" t="s">
        <v>553</v>
      </c>
      <c r="J1" s="205"/>
      <c r="K1" s="205"/>
      <c r="L1" s="205"/>
    </row>
    <row r="2" spans="1:12">
      <c r="A2" s="146"/>
      <c r="B2" s="146"/>
      <c r="C2" s="146"/>
      <c r="D2" s="146"/>
      <c r="E2" s="147"/>
      <c r="F2" s="147"/>
      <c r="G2" s="147"/>
      <c r="H2" s="147"/>
      <c r="I2" s="206" t="str">
        <f>Portada!W36</f>
        <v>Nombre Puesto</v>
      </c>
      <c r="J2" s="206"/>
      <c r="K2" s="206"/>
      <c r="L2" s="206"/>
    </row>
    <row r="5" spans="1:12" s="2" customFormat="1" ht="25.8">
      <c r="B5" s="204" t="s">
        <v>607</v>
      </c>
      <c r="C5" s="204"/>
      <c r="D5" s="204"/>
      <c r="E5" s="204"/>
      <c r="F5" s="204"/>
      <c r="G5" s="204"/>
      <c r="H5" s="204"/>
      <c r="I5" s="204"/>
      <c r="J5" s="204"/>
      <c r="K5" s="204"/>
    </row>
    <row r="6" spans="1:12" s="2" customFormat="1" ht="25.8">
      <c r="B6" s="135"/>
      <c r="C6" s="135"/>
      <c r="D6" s="135"/>
      <c r="E6" s="135"/>
      <c r="F6" s="135"/>
      <c r="G6" s="135"/>
      <c r="H6" s="135"/>
      <c r="I6" s="135"/>
      <c r="J6" s="135"/>
      <c r="K6" s="135"/>
    </row>
    <row r="7" spans="1:12" s="2" customFormat="1" ht="25.8">
      <c r="B7" s="148"/>
      <c r="C7" s="148"/>
      <c r="D7" s="148"/>
      <c r="E7" s="148"/>
      <c r="F7" s="148"/>
      <c r="G7" s="148"/>
      <c r="H7" s="148"/>
      <c r="I7" s="148"/>
      <c r="J7" s="148"/>
      <c r="K7" s="148"/>
    </row>
    <row r="8" spans="1:12" s="2" customFormat="1">
      <c r="C8" s="87"/>
    </row>
    <row r="9" spans="1:12" s="2" customFormat="1">
      <c r="B9" s="87"/>
      <c r="C9" s="87"/>
      <c r="D9" s="87"/>
      <c r="E9" s="87"/>
      <c r="F9" s="87"/>
      <c r="G9" s="87"/>
      <c r="I9" s="87"/>
    </row>
    <row r="10" spans="1:12" s="2" customFormat="1">
      <c r="B10" s="87"/>
      <c r="C10" s="87"/>
      <c r="D10" s="87"/>
      <c r="E10" s="87"/>
      <c r="F10" s="87"/>
      <c r="G10" s="87"/>
    </row>
    <row r="11" spans="1:12" s="2" customFormat="1">
      <c r="B11" s="87"/>
      <c r="C11" s="87"/>
      <c r="D11" s="87"/>
      <c r="E11" s="87"/>
      <c r="F11" s="87"/>
      <c r="G11" s="87"/>
    </row>
    <row r="12" spans="1:12" s="2" customFormat="1">
      <c r="B12" s="87"/>
      <c r="C12" s="87"/>
      <c r="D12" s="87"/>
      <c r="E12" s="87"/>
      <c r="F12" s="87"/>
      <c r="G12" s="87"/>
      <c r="J12" s="87"/>
    </row>
    <row r="13" spans="1:12" s="2" customFormat="1">
      <c r="B13" s="87"/>
      <c r="C13" s="87"/>
      <c r="D13" s="87"/>
      <c r="E13" s="87"/>
      <c r="F13" s="87"/>
      <c r="G13" s="87"/>
      <c r="J13" s="87"/>
    </row>
    <row r="14" spans="1:12" s="2" customFormat="1">
      <c r="B14" s="87"/>
      <c r="C14" s="87"/>
      <c r="D14" s="87"/>
      <c r="E14" s="87"/>
      <c r="F14" s="87"/>
      <c r="G14" s="87"/>
      <c r="J14" s="87"/>
    </row>
    <row r="15" spans="1:12" s="2" customFormat="1">
      <c r="B15" s="87"/>
      <c r="C15" s="87"/>
      <c r="D15" s="87"/>
      <c r="E15" s="87" t="s">
        <v>609</v>
      </c>
      <c r="F15" s="87" t="s">
        <v>515</v>
      </c>
      <c r="G15" s="87" t="s">
        <v>394</v>
      </c>
      <c r="J15" s="87"/>
    </row>
    <row r="16" spans="1:12" s="2" customFormat="1">
      <c r="B16" s="87"/>
      <c r="C16" s="87"/>
      <c r="D16" s="87"/>
      <c r="E16" s="142"/>
      <c r="F16" s="87"/>
      <c r="G16" s="87"/>
      <c r="J16" s="87"/>
    </row>
    <row r="17" spans="2:11" s="2" customFormat="1" ht="15.6">
      <c r="B17" s="149"/>
      <c r="C17" s="87"/>
      <c r="D17" s="87"/>
      <c r="E17" s="142"/>
      <c r="F17" s="87"/>
      <c r="G17" s="87"/>
      <c r="J17" s="150"/>
      <c r="K17" s="151"/>
    </row>
    <row r="18" spans="2:11" s="2" customFormat="1">
      <c r="B18" s="87"/>
      <c r="C18" s="87"/>
      <c r="D18" s="87"/>
      <c r="E18" s="142"/>
      <c r="F18" s="87"/>
      <c r="G18" s="87"/>
      <c r="J18" s="87"/>
      <c r="K18" s="87"/>
    </row>
    <row r="19" spans="2:11" s="2" customFormat="1">
      <c r="B19" s="87"/>
      <c r="C19" s="87"/>
      <c r="D19" s="87"/>
      <c r="E19" s="142"/>
      <c r="F19" s="87"/>
      <c r="G19" s="87"/>
      <c r="J19" s="87"/>
      <c r="K19" s="87"/>
    </row>
    <row r="20" spans="2:11" s="2" customFormat="1">
      <c r="B20" s="87"/>
      <c r="C20" s="87"/>
      <c r="D20" s="87"/>
      <c r="E20" s="142"/>
      <c r="F20" s="87"/>
      <c r="G20" s="87"/>
      <c r="J20" s="87"/>
      <c r="K20" s="87"/>
    </row>
    <row r="21" spans="2:11" s="2" customFormat="1">
      <c r="B21" s="87"/>
      <c r="C21" s="87"/>
      <c r="D21" s="87"/>
      <c r="E21" s="142"/>
      <c r="F21" s="87"/>
      <c r="G21" s="87"/>
      <c r="J21" s="87"/>
      <c r="K21" s="87"/>
    </row>
    <row r="22" spans="2:11" s="2" customFormat="1">
      <c r="B22" s="87"/>
      <c r="C22" s="87"/>
      <c r="D22" s="87"/>
      <c r="E22" s="142"/>
      <c r="F22" s="87"/>
      <c r="G22" s="87"/>
      <c r="J22" s="87"/>
      <c r="K22" s="87"/>
    </row>
    <row r="23" spans="2:11" s="2" customFormat="1">
      <c r="B23" s="87"/>
      <c r="C23" s="87"/>
      <c r="D23" s="87"/>
      <c r="E23" s="142"/>
      <c r="F23" s="87"/>
      <c r="G23" s="87"/>
      <c r="J23" s="87"/>
      <c r="K23" s="87"/>
    </row>
    <row r="24" spans="2:11" s="2" customFormat="1">
      <c r="B24" s="87"/>
      <c r="C24" s="87"/>
      <c r="D24" s="87"/>
      <c r="E24" s="142"/>
      <c r="F24" s="87"/>
      <c r="G24" s="87"/>
      <c r="J24" s="87"/>
      <c r="K24" s="87"/>
    </row>
    <row r="25" spans="2:11" s="2" customFormat="1">
      <c r="B25" s="87"/>
      <c r="C25" s="87"/>
      <c r="D25" s="87"/>
      <c r="E25" s="142"/>
      <c r="F25" s="87"/>
      <c r="G25" s="87"/>
      <c r="J25" s="87"/>
      <c r="K25" s="87"/>
    </row>
    <row r="26" spans="2:11" s="2" customFormat="1">
      <c r="B26" s="87"/>
      <c r="C26" s="87"/>
      <c r="D26" s="87"/>
      <c r="E26" s="142"/>
      <c r="F26" s="87"/>
      <c r="G26" s="87"/>
      <c r="J26" s="87"/>
      <c r="K26" s="87"/>
    </row>
    <row r="27" spans="2:11" s="2" customFormat="1">
      <c r="B27" s="87"/>
      <c r="C27" s="87"/>
      <c r="D27" s="87"/>
      <c r="E27" s="142"/>
      <c r="F27" s="87"/>
      <c r="G27" s="87"/>
      <c r="J27" s="87"/>
      <c r="K27" s="87"/>
    </row>
    <row r="28" spans="2:11" s="2" customFormat="1">
      <c r="B28" s="87"/>
      <c r="C28" s="87"/>
      <c r="D28" s="87"/>
      <c r="E28" s="142"/>
      <c r="F28" s="87"/>
      <c r="G28" s="87"/>
      <c r="H28" s="87"/>
      <c r="I28" s="87"/>
      <c r="J28" s="87"/>
      <c r="K28" s="87"/>
    </row>
    <row r="29" spans="2:11" s="2" customFormat="1">
      <c r="B29" s="87"/>
      <c r="C29" s="87"/>
      <c r="D29" s="87"/>
      <c r="E29" s="142"/>
      <c r="F29" s="87"/>
      <c r="G29" s="87"/>
      <c r="H29" s="87"/>
      <c r="I29" s="87"/>
      <c r="J29" s="87"/>
      <c r="K29" s="87"/>
    </row>
    <row r="30" spans="2:11" s="2" customFormat="1">
      <c r="B30" s="87"/>
      <c r="C30" s="87"/>
      <c r="D30" s="87"/>
      <c r="E30" s="142"/>
      <c r="F30" s="87"/>
      <c r="G30" s="87"/>
      <c r="H30" s="87"/>
      <c r="I30" s="87"/>
      <c r="J30" s="87"/>
      <c r="K30" s="87"/>
    </row>
    <row r="31" spans="2:11" s="2" customFormat="1" ht="15.6">
      <c r="B31" s="87"/>
      <c r="C31" s="87"/>
      <c r="D31" s="87"/>
      <c r="E31" s="153"/>
      <c r="F31" s="87"/>
      <c r="G31" s="87"/>
      <c r="H31" s="87"/>
      <c r="I31" s="87"/>
      <c r="J31" s="87"/>
      <c r="K31" s="87"/>
    </row>
    <row r="32" spans="2:11" s="2" customFormat="1">
      <c r="B32" s="87"/>
      <c r="C32" s="87"/>
      <c r="D32" s="87"/>
      <c r="E32" s="142"/>
      <c r="F32" s="87"/>
      <c r="G32" s="87"/>
      <c r="H32" s="87"/>
      <c r="I32" s="87"/>
      <c r="J32" s="87"/>
      <c r="K32" s="87"/>
    </row>
    <row r="33" spans="2:11" s="2" customFormat="1">
      <c r="B33" s="87"/>
      <c r="C33" s="87"/>
      <c r="D33" s="87"/>
      <c r="E33" s="142"/>
      <c r="F33" s="87"/>
      <c r="G33" s="87"/>
      <c r="H33" s="87"/>
      <c r="I33" s="87"/>
      <c r="J33" s="87"/>
      <c r="K33" s="87"/>
    </row>
    <row r="34" spans="2:11" s="2" customFormat="1">
      <c r="B34" s="87"/>
      <c r="C34" s="87"/>
      <c r="D34" s="87"/>
      <c r="E34" s="142"/>
      <c r="F34" s="87"/>
      <c r="G34" s="87"/>
      <c r="H34" s="87"/>
      <c r="I34" s="87"/>
      <c r="J34" s="87"/>
      <c r="K34" s="87"/>
    </row>
    <row r="35" spans="2:11" s="2" customFormat="1">
      <c r="B35" s="87"/>
      <c r="C35" s="87"/>
      <c r="D35" s="87"/>
      <c r="E35" s="142"/>
      <c r="F35" s="87"/>
      <c r="G35" s="87"/>
      <c r="H35" s="87"/>
      <c r="I35" s="87"/>
      <c r="J35" s="87"/>
      <c r="K35" s="87"/>
    </row>
    <row r="36" spans="2:11" s="2" customFormat="1">
      <c r="B36" s="87"/>
      <c r="C36" s="87"/>
      <c r="D36" s="87"/>
      <c r="E36" s="142"/>
      <c r="F36" s="87"/>
      <c r="G36" s="87"/>
      <c r="H36" s="87"/>
      <c r="I36" s="87"/>
      <c r="J36" s="87"/>
      <c r="K36" s="87"/>
    </row>
    <row r="37" spans="2:11" s="2" customFormat="1">
      <c r="B37" s="87"/>
      <c r="C37" s="87"/>
      <c r="D37" s="87"/>
      <c r="E37" s="142"/>
      <c r="F37" s="87"/>
      <c r="G37" s="87"/>
      <c r="H37" s="87"/>
      <c r="I37" s="87"/>
      <c r="J37" s="87"/>
      <c r="K37" s="87"/>
    </row>
    <row r="38" spans="2:11" s="2" customFormat="1">
      <c r="B38" s="87"/>
      <c r="C38" s="87"/>
      <c r="D38" s="87"/>
      <c r="E38" s="142"/>
      <c r="F38" s="87"/>
      <c r="G38" s="87"/>
      <c r="H38" s="87"/>
      <c r="I38" s="87"/>
      <c r="J38" s="87"/>
      <c r="K38" s="87"/>
    </row>
    <row r="39" spans="2:11" s="2" customFormat="1">
      <c r="B39" s="87"/>
      <c r="C39" s="87"/>
      <c r="D39" s="87"/>
      <c r="E39" s="142"/>
      <c r="F39" s="87"/>
      <c r="G39" s="87"/>
      <c r="H39" s="87"/>
      <c r="I39" s="87"/>
      <c r="J39" s="87"/>
      <c r="K39" s="87"/>
    </row>
    <row r="40" spans="2:11" s="2" customFormat="1">
      <c r="B40" s="87"/>
      <c r="C40" s="87"/>
      <c r="D40" s="87"/>
      <c r="E40" s="142"/>
      <c r="F40" s="87"/>
      <c r="G40" s="87"/>
      <c r="H40" s="87"/>
      <c r="I40" s="87"/>
      <c r="J40" s="87"/>
      <c r="K40" s="87"/>
    </row>
    <row r="41" spans="2:11" s="2" customFormat="1">
      <c r="B41" s="87"/>
      <c r="C41" s="87"/>
      <c r="D41" s="87"/>
      <c r="E41" s="142"/>
      <c r="F41" s="87"/>
      <c r="G41" s="87"/>
      <c r="H41" s="87"/>
      <c r="I41" s="87"/>
      <c r="J41" s="87"/>
      <c r="K41" s="87"/>
    </row>
    <row r="42" spans="2:11" s="2" customFormat="1">
      <c r="B42" s="87"/>
      <c r="C42" s="87"/>
      <c r="D42" s="87"/>
      <c r="E42" s="142"/>
      <c r="F42" s="87"/>
      <c r="G42" s="87"/>
      <c r="H42" s="87"/>
      <c r="I42" s="87"/>
      <c r="J42" s="87"/>
      <c r="K42" s="87"/>
    </row>
    <row r="43" spans="2:11" s="2" customFormat="1">
      <c r="B43" s="87"/>
      <c r="C43" s="87"/>
      <c r="D43" s="87"/>
      <c r="E43" s="142"/>
      <c r="F43" s="87"/>
      <c r="G43" s="87"/>
      <c r="H43" s="87"/>
      <c r="I43" s="87"/>
      <c r="J43" s="87"/>
      <c r="K43" s="87"/>
    </row>
    <row r="44" spans="2:11" s="2" customFormat="1">
      <c r="B44" s="87"/>
      <c r="C44" s="87"/>
      <c r="D44" s="87"/>
      <c r="E44" s="142"/>
      <c r="F44" s="87"/>
      <c r="G44" s="87"/>
      <c r="H44" s="87"/>
      <c r="I44" s="87"/>
      <c r="J44" s="87"/>
      <c r="K44" s="87"/>
    </row>
    <row r="45" spans="2:11" s="2" customFormat="1">
      <c r="B45" s="87"/>
      <c r="C45" s="87"/>
      <c r="D45" s="87"/>
      <c r="E45" s="142"/>
      <c r="F45" s="87"/>
      <c r="G45" s="87"/>
      <c r="H45" s="87"/>
      <c r="I45" s="87"/>
      <c r="J45" s="87"/>
      <c r="K45" s="87"/>
    </row>
    <row r="46" spans="2:11" s="2" customFormat="1">
      <c r="B46" s="87"/>
      <c r="C46" s="87"/>
      <c r="D46" s="87"/>
      <c r="E46" s="87"/>
      <c r="F46" s="87"/>
      <c r="G46" s="87"/>
      <c r="H46" s="87"/>
      <c r="I46" s="87"/>
      <c r="J46" s="87"/>
      <c r="K46" s="87"/>
    </row>
    <row r="47" spans="2:11" s="2" customFormat="1">
      <c r="B47" s="87"/>
      <c r="C47" s="87"/>
      <c r="D47" s="87"/>
      <c r="E47" s="87"/>
      <c r="F47" s="87"/>
      <c r="G47" s="87"/>
      <c r="H47" s="87"/>
      <c r="I47" s="87"/>
      <c r="J47" s="87"/>
      <c r="K47" s="87"/>
    </row>
    <row r="48" spans="2:11" s="2" customFormat="1">
      <c r="B48" s="87"/>
      <c r="C48" s="87"/>
      <c r="D48" s="87"/>
      <c r="E48" s="87"/>
      <c r="F48" s="87"/>
      <c r="G48" s="87"/>
      <c r="H48" s="87"/>
      <c r="I48" s="87"/>
      <c r="J48" s="87"/>
      <c r="K48" s="87"/>
    </row>
    <row r="49" spans="2:17" s="2" customFormat="1">
      <c r="B49" s="87"/>
      <c r="C49" s="87"/>
      <c r="D49" s="87"/>
      <c r="E49" s="87"/>
      <c r="F49" s="87"/>
      <c r="G49" s="87"/>
      <c r="H49" s="87"/>
      <c r="I49" s="87"/>
      <c r="J49" s="87"/>
      <c r="K49" s="87"/>
    </row>
    <row r="50" spans="2:17" s="2" customFormat="1">
      <c r="B50" s="87"/>
      <c r="C50" s="87"/>
      <c r="D50" s="87"/>
      <c r="E50" s="87"/>
      <c r="F50" s="87"/>
      <c r="G50" s="87"/>
      <c r="H50" s="87"/>
      <c r="I50" s="87"/>
      <c r="J50" s="87"/>
      <c r="K50" s="87"/>
    </row>
    <row r="51" spans="2:17" s="2" customFormat="1">
      <c r="B51" s="87"/>
      <c r="C51" s="87"/>
      <c r="D51" s="87"/>
      <c r="E51" s="87"/>
      <c r="F51" s="87"/>
      <c r="G51" s="87"/>
      <c r="H51" s="87"/>
      <c r="I51" s="87"/>
      <c r="J51" s="87"/>
      <c r="K51" s="87"/>
    </row>
    <row r="52" spans="2:17" s="2" customFormat="1">
      <c r="B52" s="87"/>
      <c r="C52" s="87"/>
      <c r="D52" s="87"/>
      <c r="E52" s="87"/>
      <c r="F52" s="87"/>
      <c r="G52" s="87"/>
      <c r="H52" s="87"/>
      <c r="I52" s="87"/>
      <c r="J52" s="87"/>
      <c r="K52" s="87"/>
    </row>
    <row r="53" spans="2:17" s="2" customFormat="1">
      <c r="B53" s="87"/>
      <c r="C53" s="87"/>
      <c r="D53" s="87"/>
      <c r="E53" s="87"/>
      <c r="F53" s="87"/>
      <c r="G53" s="87"/>
      <c r="H53" s="87"/>
      <c r="I53" s="87"/>
      <c r="J53" s="87"/>
      <c r="K53" s="87"/>
    </row>
    <row r="54" spans="2:17" s="2" customFormat="1">
      <c r="B54" s="87"/>
      <c r="C54" s="87"/>
      <c r="D54" s="87"/>
      <c r="E54" s="87"/>
      <c r="F54" s="87"/>
      <c r="G54" s="87"/>
      <c r="H54" s="87"/>
      <c r="I54" s="87"/>
      <c r="J54" s="87"/>
      <c r="K54" s="87"/>
    </row>
    <row r="55" spans="2:17" s="2" customFormat="1">
      <c r="B55" s="87"/>
      <c r="C55" s="87"/>
      <c r="D55" s="87"/>
      <c r="E55" s="87"/>
      <c r="F55" s="87"/>
      <c r="G55" s="87"/>
      <c r="H55" s="87"/>
      <c r="I55" s="87"/>
      <c r="J55" s="87"/>
      <c r="K55" s="87"/>
    </row>
    <row r="56" spans="2:17" s="2" customFormat="1">
      <c r="B56" s="87"/>
      <c r="C56" s="87"/>
      <c r="D56" s="87"/>
      <c r="E56" s="87"/>
      <c r="F56" s="87"/>
      <c r="G56" s="87"/>
      <c r="H56" s="87"/>
      <c r="I56" s="87"/>
      <c r="J56" s="87"/>
      <c r="K56" s="87"/>
    </row>
    <row r="57" spans="2:17" s="2" customFormat="1">
      <c r="B57" s="87"/>
      <c r="C57" s="87"/>
      <c r="D57" s="87"/>
      <c r="E57" s="87"/>
      <c r="F57" s="87"/>
      <c r="G57" s="87"/>
      <c r="H57" s="87"/>
      <c r="I57" s="87"/>
      <c r="J57" s="87"/>
      <c r="K57" s="87"/>
    </row>
    <row r="58" spans="2:17" s="2" customFormat="1">
      <c r="B58" s="87"/>
      <c r="C58" s="87"/>
      <c r="D58" s="87"/>
      <c r="E58" s="87"/>
      <c r="F58" s="87"/>
      <c r="G58" s="87"/>
      <c r="H58" s="87"/>
      <c r="I58" s="87"/>
      <c r="J58" s="87"/>
      <c r="K58" s="87"/>
    </row>
    <row r="59" spans="2:17" s="2" customFormat="1">
      <c r="B59" s="87"/>
      <c r="C59" s="87"/>
      <c r="D59" s="87"/>
      <c r="E59" s="87"/>
      <c r="F59" s="87"/>
      <c r="G59" s="87"/>
      <c r="H59" s="87"/>
      <c r="I59" s="87"/>
      <c r="J59" s="87"/>
      <c r="K59" s="87"/>
    </row>
    <row r="60" spans="2:17" s="2" customFormat="1">
      <c r="B60" s="87"/>
      <c r="C60" s="87"/>
      <c r="D60" s="87"/>
      <c r="E60" s="87"/>
      <c r="F60" s="87"/>
      <c r="G60" s="87"/>
      <c r="H60" s="87"/>
      <c r="I60" s="87"/>
      <c r="J60" s="87"/>
      <c r="K60" s="87"/>
    </row>
    <row r="61" spans="2:17" s="2" customFormat="1">
      <c r="B61" s="87"/>
      <c r="C61" s="87"/>
      <c r="D61" s="87"/>
      <c r="E61" s="87"/>
      <c r="F61" s="87"/>
      <c r="G61" s="87"/>
      <c r="H61" s="87"/>
      <c r="I61" s="87"/>
      <c r="J61" s="87"/>
      <c r="K61" s="87"/>
      <c r="Q61" s="87"/>
    </row>
    <row r="62" spans="2:17" s="2" customFormat="1">
      <c r="B62" s="87"/>
      <c r="C62" s="87"/>
      <c r="D62" s="87"/>
      <c r="E62" s="87"/>
      <c r="F62" s="87"/>
      <c r="G62" s="87"/>
      <c r="H62" s="87"/>
      <c r="I62" s="87"/>
      <c r="J62" s="87"/>
      <c r="K62" s="87"/>
      <c r="Q62" s="87"/>
    </row>
    <row r="78" spans="1:12">
      <c r="A78" s="147"/>
      <c r="B78" s="147"/>
      <c r="C78" s="147"/>
      <c r="D78" s="147"/>
      <c r="E78" s="147"/>
      <c r="F78" s="147"/>
      <c r="G78" s="147"/>
      <c r="H78" s="147"/>
      <c r="I78" s="147"/>
      <c r="J78" s="147"/>
      <c r="K78" s="147"/>
      <c r="L78" s="147"/>
    </row>
    <row r="79" spans="1:12" ht="15">
      <c r="C79" s="207" t="s">
        <v>554</v>
      </c>
      <c r="D79" s="207"/>
      <c r="E79" s="207"/>
      <c r="F79" s="207"/>
      <c r="G79" s="207"/>
      <c r="H79" s="207"/>
      <c r="I79" s="207"/>
      <c r="J79" s="207"/>
      <c r="K79" s="207"/>
      <c r="L79" s="207"/>
    </row>
    <row r="80" spans="1:12">
      <c r="C80" s="208" t="s">
        <v>522</v>
      </c>
      <c r="D80" s="208"/>
      <c r="E80" s="208"/>
      <c r="F80" s="208"/>
      <c r="G80" s="208"/>
      <c r="H80" s="208"/>
      <c r="I80" s="208"/>
      <c r="J80" s="208"/>
      <c r="K80" s="208"/>
      <c r="L80" s="208"/>
    </row>
  </sheetData>
  <mergeCells count="5">
    <mergeCell ref="I1:L1"/>
    <mergeCell ref="I2:L2"/>
    <mergeCell ref="B5:K5"/>
    <mergeCell ref="C79:L79"/>
    <mergeCell ref="C80:L80"/>
  </mergeCells>
  <pageMargins left="0.7" right="0.7" top="0.75" bottom="0.75" header="0.3" footer="0.3"/>
  <pageSetup scale="55" orientation="portrait" horizontalDpi="0" verticalDpi="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0">
    <tabColor rgb="FF00B050"/>
  </sheetPr>
  <dimension ref="A1:AH115"/>
  <sheetViews>
    <sheetView showGridLines="0" topLeftCell="A17" zoomScale="115" zoomScaleNormal="115" workbookViewId="0">
      <selection activeCell="AE31" sqref="AE31"/>
    </sheetView>
  </sheetViews>
  <sheetFormatPr baseColWidth="10" defaultColWidth="3.6640625" defaultRowHeight="14.4"/>
  <cols>
    <col min="1" max="5" width="3.6640625" style="86"/>
    <col min="6" max="6" width="3.6640625" style="86" customWidth="1"/>
    <col min="7" max="7" width="3.77734375" style="86" bestFit="1" customWidth="1"/>
    <col min="8" max="12" width="3.6640625" style="86"/>
    <col min="13" max="13" width="3.6640625" style="86" customWidth="1"/>
    <col min="14" max="21" width="3.6640625" style="86"/>
    <col min="22" max="23" width="3.6640625" style="86" customWidth="1"/>
    <col min="24" max="30" width="3.6640625" style="86"/>
    <col min="31" max="31" width="14.6640625" style="86" bestFit="1" customWidth="1"/>
    <col min="32" max="33" width="10.6640625" style="86" bestFit="1" customWidth="1"/>
    <col min="34" max="16384" width="3.6640625" style="86"/>
  </cols>
  <sheetData>
    <row r="1" spans="1:34" ht="16.2">
      <c r="A1" s="67"/>
      <c r="B1" s="67"/>
      <c r="C1" s="67"/>
      <c r="D1" s="68"/>
      <c r="O1" s="205" t="s">
        <v>553</v>
      </c>
      <c r="P1" s="205"/>
      <c r="Q1" s="205"/>
      <c r="R1" s="205"/>
      <c r="S1" s="205"/>
      <c r="T1" s="205"/>
      <c r="U1" s="205"/>
      <c r="V1" s="205"/>
      <c r="W1" s="205"/>
      <c r="X1" s="205"/>
      <c r="Y1" s="205"/>
    </row>
    <row r="2" spans="1:34">
      <c r="A2" s="69"/>
      <c r="B2" s="69"/>
      <c r="C2" s="69"/>
      <c r="D2" s="69"/>
      <c r="E2" s="69"/>
      <c r="F2" s="117"/>
      <c r="G2" s="117"/>
      <c r="H2" s="117"/>
      <c r="I2" s="117"/>
      <c r="J2" s="117"/>
      <c r="K2" s="117"/>
      <c r="L2" s="117"/>
      <c r="M2" s="117"/>
      <c r="N2" s="117"/>
      <c r="O2" s="117"/>
      <c r="P2" s="206" t="str">
        <f>Portada!W36</f>
        <v>Nombre Puesto</v>
      </c>
      <c r="Q2" s="206"/>
      <c r="R2" s="206"/>
      <c r="S2" s="206"/>
      <c r="T2" s="206"/>
      <c r="U2" s="206"/>
      <c r="V2" s="206"/>
      <c r="W2" s="206"/>
      <c r="X2" s="206"/>
      <c r="Y2" s="206"/>
    </row>
    <row r="4" spans="1:34">
      <c r="N4" s="133" t="str">
        <f>Portada!W40</f>
        <v>Colaborador general</v>
      </c>
    </row>
    <row r="5" spans="1:34" s="66" customFormat="1" ht="23.4">
      <c r="C5" s="224" t="s">
        <v>544</v>
      </c>
      <c r="D5" s="224"/>
      <c r="E5" s="224"/>
      <c r="F5" s="224"/>
      <c r="G5" s="224"/>
      <c r="H5" s="224"/>
      <c r="I5" s="224"/>
      <c r="J5" s="224"/>
      <c r="K5" s="224"/>
      <c r="L5" s="224"/>
      <c r="M5" s="224"/>
      <c r="N5" s="224"/>
      <c r="O5" s="224"/>
      <c r="P5" s="224"/>
      <c r="Q5" s="224"/>
      <c r="R5" s="224"/>
      <c r="S5" s="224"/>
      <c r="T5" s="224"/>
      <c r="U5" s="224"/>
      <c r="V5" s="224"/>
      <c r="W5" s="224"/>
      <c r="X5" s="224"/>
    </row>
    <row r="6" spans="1:34">
      <c r="AH6" s="87"/>
    </row>
    <row r="7" spans="1:34">
      <c r="D7" s="133" t="s">
        <v>587</v>
      </c>
      <c r="E7" s="133" t="s">
        <v>586</v>
      </c>
      <c r="S7" s="132" t="s">
        <v>588</v>
      </c>
      <c r="T7" s="132" t="s">
        <v>587</v>
      </c>
    </row>
    <row r="8" spans="1:34">
      <c r="C8" s="2" t="s">
        <v>540</v>
      </c>
      <c r="D8" s="3">
        <v>10</v>
      </c>
      <c r="E8" s="134">
        <f t="shared" ref="E8:E17" si="0">10-D8</f>
        <v>0</v>
      </c>
      <c r="R8" s="2" t="s">
        <v>540</v>
      </c>
      <c r="S8" s="3">
        <v>5.2941176470588234</v>
      </c>
      <c r="T8" s="134">
        <v>10</v>
      </c>
    </row>
    <row r="9" spans="1:34">
      <c r="C9" s="2" t="s">
        <v>523</v>
      </c>
      <c r="D9" s="3">
        <v>3</v>
      </c>
      <c r="E9" s="134">
        <f t="shared" si="0"/>
        <v>7</v>
      </c>
      <c r="R9" s="2" t="s">
        <v>523</v>
      </c>
      <c r="S9" s="3">
        <v>7.0588235294117654</v>
      </c>
      <c r="T9" s="134">
        <v>3</v>
      </c>
    </row>
    <row r="10" spans="1:34">
      <c r="C10" s="2" t="s">
        <v>538</v>
      </c>
      <c r="D10" s="3">
        <v>2</v>
      </c>
      <c r="E10" s="134">
        <f t="shared" si="0"/>
        <v>8</v>
      </c>
      <c r="R10" s="2" t="s">
        <v>538</v>
      </c>
      <c r="S10" s="3">
        <v>4.7058823529411766</v>
      </c>
      <c r="T10" s="134">
        <v>2</v>
      </c>
    </row>
    <row r="11" spans="1:34">
      <c r="C11" s="2" t="s">
        <v>550</v>
      </c>
      <c r="D11" s="3">
        <v>9</v>
      </c>
      <c r="E11" s="134">
        <f t="shared" si="0"/>
        <v>1</v>
      </c>
      <c r="R11" s="2" t="s">
        <v>589</v>
      </c>
      <c r="S11" s="3">
        <v>7.6470588235294112</v>
      </c>
      <c r="T11" s="134">
        <v>9</v>
      </c>
    </row>
    <row r="12" spans="1:34">
      <c r="C12" s="2" t="s">
        <v>623</v>
      </c>
      <c r="D12" s="3">
        <v>2</v>
      </c>
      <c r="E12" s="134">
        <f t="shared" si="0"/>
        <v>8</v>
      </c>
      <c r="R12" s="2" t="s">
        <v>623</v>
      </c>
      <c r="S12" s="3">
        <v>5.2941176470588234</v>
      </c>
      <c r="T12" s="134">
        <v>2</v>
      </c>
    </row>
    <row r="13" spans="1:34">
      <c r="C13" s="2" t="s">
        <v>551</v>
      </c>
      <c r="D13" s="3">
        <v>9</v>
      </c>
      <c r="E13" s="134">
        <f t="shared" si="0"/>
        <v>1</v>
      </c>
      <c r="R13" s="2" t="s">
        <v>551</v>
      </c>
      <c r="S13" s="3">
        <v>5.882352941176471</v>
      </c>
      <c r="T13" s="134">
        <v>9</v>
      </c>
    </row>
    <row r="14" spans="1:34">
      <c r="C14" s="2" t="s">
        <v>524</v>
      </c>
      <c r="D14" s="3">
        <v>7</v>
      </c>
      <c r="E14" s="134">
        <f t="shared" si="0"/>
        <v>3</v>
      </c>
      <c r="R14" s="2" t="s">
        <v>524</v>
      </c>
      <c r="S14" s="3">
        <v>4.7058823529411766</v>
      </c>
      <c r="T14" s="134">
        <v>7</v>
      </c>
    </row>
    <row r="15" spans="1:34">
      <c r="C15" s="2" t="s">
        <v>526</v>
      </c>
      <c r="D15" s="3">
        <v>7</v>
      </c>
      <c r="E15" s="134">
        <f t="shared" si="0"/>
        <v>3</v>
      </c>
      <c r="R15" s="2" t="s">
        <v>526</v>
      </c>
      <c r="S15" s="3">
        <v>4.7058823529411766</v>
      </c>
      <c r="T15" s="134">
        <v>7</v>
      </c>
    </row>
    <row r="16" spans="1:34" ht="15" customHeight="1">
      <c r="C16" s="2" t="s">
        <v>530</v>
      </c>
      <c r="D16" s="3">
        <v>6</v>
      </c>
      <c r="E16" s="134">
        <f t="shared" si="0"/>
        <v>4</v>
      </c>
      <c r="M16" s="86" t="s">
        <v>30</v>
      </c>
      <c r="R16" s="2" t="s">
        <v>530</v>
      </c>
      <c r="S16" s="3">
        <v>4.7058823529411766</v>
      </c>
      <c r="T16" s="134">
        <v>6</v>
      </c>
    </row>
    <row r="17" spans="1:31" ht="15" customHeight="1">
      <c r="C17" s="2" t="s">
        <v>537</v>
      </c>
      <c r="D17" s="3">
        <v>1</v>
      </c>
      <c r="E17" s="134">
        <f t="shared" si="0"/>
        <v>9</v>
      </c>
      <c r="R17" s="2" t="s">
        <v>537</v>
      </c>
      <c r="S17" s="3">
        <v>4.7058823529411766</v>
      </c>
      <c r="T17" s="134">
        <v>1</v>
      </c>
    </row>
    <row r="18" spans="1:31" ht="15" customHeight="1"/>
    <row r="19" spans="1:31" ht="4.95" customHeight="1"/>
    <row r="20" spans="1:31" ht="23.4">
      <c r="A20" s="224" t="s">
        <v>590</v>
      </c>
      <c r="B20" s="224"/>
      <c r="C20" s="224"/>
      <c r="D20" s="224"/>
      <c r="E20" s="224"/>
      <c r="F20" s="224"/>
      <c r="G20" s="224"/>
      <c r="H20" s="224"/>
      <c r="I20" s="224"/>
      <c r="J20" s="224"/>
      <c r="K20" s="224"/>
      <c r="L20" s="224"/>
      <c r="M20" s="224"/>
      <c r="N20" s="224"/>
      <c r="O20" s="224"/>
      <c r="P20" s="224"/>
      <c r="Q20" s="224"/>
      <c r="R20" s="224"/>
      <c r="S20" s="224"/>
      <c r="T20" s="224"/>
      <c r="U20" s="224"/>
      <c r="V20" s="224"/>
      <c r="W20" s="224"/>
      <c r="X20" s="224"/>
      <c r="Y20" s="224"/>
    </row>
    <row r="21" spans="1:31" ht="15" customHeight="1">
      <c r="B21" s="131"/>
      <c r="C21" s="131"/>
      <c r="D21" s="131"/>
      <c r="L21" s="126" t="s">
        <v>559</v>
      </c>
      <c r="U21" s="126" t="s">
        <v>558</v>
      </c>
      <c r="V21" s="131"/>
      <c r="W21" s="131"/>
      <c r="X21" s="131"/>
    </row>
    <row r="22" spans="1:31" ht="15.6">
      <c r="E22" s="225" t="s">
        <v>1082</v>
      </c>
      <c r="F22" s="225"/>
      <c r="G22" s="225"/>
      <c r="H22" s="225"/>
      <c r="I22" s="225"/>
      <c r="J22" s="225"/>
      <c r="K22" s="138">
        <f>INT(AVERAGE(K24:K29))</f>
        <v>7</v>
      </c>
      <c r="L22" s="127" t="str">
        <f t="shared" ref="L22:L29" si="1">IF($K22=1,"=","")</f>
        <v/>
      </c>
      <c r="M22" s="127" t="str">
        <f t="shared" ref="M22:M29" si="2">IF($K22=2,"=","")</f>
        <v/>
      </c>
      <c r="N22" s="127" t="str">
        <f t="shared" ref="N22:N29" si="3">IF($K22=3,"=","")</f>
        <v/>
      </c>
      <c r="O22" s="127" t="str">
        <f t="shared" ref="O22:O29" si="4">IF($K22=4,"=","")</f>
        <v/>
      </c>
      <c r="P22" s="127" t="str">
        <f t="shared" ref="P22:P29" si="5">IF($K22=5,"=","")</f>
        <v/>
      </c>
      <c r="Q22" s="127" t="str">
        <f t="shared" ref="Q22:Q29" si="6">IF($K22=6,"=","")</f>
        <v/>
      </c>
      <c r="R22" s="127" t="str">
        <f t="shared" ref="R22:R29" si="7">IF($K22=7,"=","")</f>
        <v>=</v>
      </c>
      <c r="S22" s="127" t="str">
        <f t="shared" ref="S22:S29" si="8">IF($K22=8,"=","")</f>
        <v/>
      </c>
      <c r="T22" s="127" t="str">
        <f t="shared" ref="T22:T29" si="9">IF($K22=9,"=","")</f>
        <v/>
      </c>
      <c r="U22" s="127" t="str">
        <f t="shared" ref="U22:U29" si="10">IF($K22=10,"=","")</f>
        <v/>
      </c>
    </row>
    <row r="23" spans="1:31" ht="4.95" customHeight="1">
      <c r="B23" s="130"/>
      <c r="C23" s="130"/>
      <c r="D23" s="130"/>
      <c r="L23" s="126"/>
      <c r="U23" s="126"/>
      <c r="V23" s="130"/>
      <c r="W23" s="130"/>
      <c r="X23" s="130"/>
    </row>
    <row r="24" spans="1:31">
      <c r="B24" s="131"/>
      <c r="C24" s="131"/>
      <c r="D24" s="131"/>
      <c r="F24" s="75"/>
      <c r="G24" s="75"/>
      <c r="H24" s="75"/>
      <c r="I24" s="75"/>
      <c r="J24" s="124" t="s">
        <v>105</v>
      </c>
      <c r="K24" s="138">
        <v>3</v>
      </c>
      <c r="L24" s="41" t="str">
        <f t="shared" si="1"/>
        <v/>
      </c>
      <c r="M24" s="42" t="str">
        <f t="shared" si="2"/>
        <v/>
      </c>
      <c r="N24" s="43" t="str">
        <f t="shared" si="3"/>
        <v>=</v>
      </c>
      <c r="O24" s="25" t="str">
        <f t="shared" si="4"/>
        <v/>
      </c>
      <c r="P24" s="28" t="str">
        <f t="shared" si="5"/>
        <v/>
      </c>
      <c r="Q24" s="28" t="str">
        <f t="shared" si="6"/>
        <v/>
      </c>
      <c r="R24" s="44" t="str">
        <f t="shared" si="7"/>
        <v/>
      </c>
      <c r="S24" s="41" t="str">
        <f t="shared" si="8"/>
        <v/>
      </c>
      <c r="T24" s="42" t="str">
        <f t="shared" si="9"/>
        <v/>
      </c>
      <c r="U24" s="43" t="str">
        <f t="shared" si="10"/>
        <v/>
      </c>
      <c r="V24" s="131"/>
      <c r="W24" s="131"/>
      <c r="X24" s="131"/>
    </row>
    <row r="25" spans="1:31">
      <c r="B25" s="131"/>
      <c r="C25" s="131"/>
      <c r="D25" s="131"/>
      <c r="F25" s="75"/>
      <c r="G25" s="75"/>
      <c r="H25" s="75"/>
      <c r="I25" s="75"/>
      <c r="J25" s="124" t="s">
        <v>258</v>
      </c>
      <c r="K25" s="138">
        <v>8</v>
      </c>
      <c r="L25" s="46" t="str">
        <f t="shared" si="1"/>
        <v/>
      </c>
      <c r="M25" s="47" t="str">
        <f t="shared" si="2"/>
        <v/>
      </c>
      <c r="N25" s="48" t="str">
        <f t="shared" si="3"/>
        <v/>
      </c>
      <c r="O25" s="26" t="str">
        <f t="shared" si="4"/>
        <v/>
      </c>
      <c r="P25" s="29" t="str">
        <f t="shared" si="5"/>
        <v/>
      </c>
      <c r="Q25" s="29" t="str">
        <f t="shared" si="6"/>
        <v/>
      </c>
      <c r="R25" s="49" t="str">
        <f t="shared" si="7"/>
        <v/>
      </c>
      <c r="S25" s="46" t="str">
        <f t="shared" si="8"/>
        <v>=</v>
      </c>
      <c r="T25" s="47" t="str">
        <f t="shared" si="9"/>
        <v/>
      </c>
      <c r="U25" s="48" t="str">
        <f t="shared" si="10"/>
        <v/>
      </c>
      <c r="V25" s="131"/>
      <c r="W25" s="131"/>
      <c r="X25" s="131"/>
    </row>
    <row r="26" spans="1:31">
      <c r="B26" s="130"/>
      <c r="C26" s="130"/>
      <c r="D26" s="130"/>
      <c r="F26" s="75"/>
      <c r="G26" s="75"/>
      <c r="H26" s="75"/>
      <c r="I26" s="75"/>
      <c r="J26" s="124" t="s">
        <v>27</v>
      </c>
      <c r="K26" s="138">
        <v>10</v>
      </c>
      <c r="L26" s="46" t="str">
        <f t="shared" si="1"/>
        <v/>
      </c>
      <c r="M26" s="47" t="str">
        <f t="shared" si="2"/>
        <v/>
      </c>
      <c r="N26" s="48" t="str">
        <f t="shared" si="3"/>
        <v/>
      </c>
      <c r="O26" s="26" t="str">
        <f t="shared" si="4"/>
        <v/>
      </c>
      <c r="P26" s="29" t="str">
        <f t="shared" si="5"/>
        <v/>
      </c>
      <c r="Q26" s="29" t="str">
        <f t="shared" si="6"/>
        <v/>
      </c>
      <c r="R26" s="49" t="str">
        <f t="shared" si="7"/>
        <v/>
      </c>
      <c r="S26" s="46" t="str">
        <f t="shared" si="8"/>
        <v/>
      </c>
      <c r="T26" s="47" t="str">
        <f t="shared" si="9"/>
        <v/>
      </c>
      <c r="U26" s="48" t="str">
        <f t="shared" si="10"/>
        <v>=</v>
      </c>
      <c r="V26" s="130"/>
      <c r="W26" s="130"/>
      <c r="X26" s="130"/>
    </row>
    <row r="27" spans="1:31">
      <c r="B27" s="130"/>
      <c r="C27" s="130"/>
      <c r="D27" s="130"/>
      <c r="F27" s="75"/>
      <c r="G27" s="75"/>
      <c r="H27" s="75"/>
      <c r="I27" s="75"/>
      <c r="J27" s="124" t="s">
        <v>27</v>
      </c>
      <c r="K27" s="138">
        <v>8</v>
      </c>
      <c r="L27" s="46" t="str">
        <f t="shared" si="1"/>
        <v/>
      </c>
      <c r="M27" s="47" t="str">
        <f t="shared" si="2"/>
        <v/>
      </c>
      <c r="N27" s="48" t="str">
        <f t="shared" si="3"/>
        <v/>
      </c>
      <c r="O27" s="26" t="str">
        <f t="shared" si="4"/>
        <v/>
      </c>
      <c r="P27" s="29" t="str">
        <f t="shared" si="5"/>
        <v/>
      </c>
      <c r="Q27" s="29" t="str">
        <f t="shared" si="6"/>
        <v/>
      </c>
      <c r="R27" s="49" t="str">
        <f t="shared" si="7"/>
        <v/>
      </c>
      <c r="S27" s="46" t="str">
        <f t="shared" si="8"/>
        <v>=</v>
      </c>
      <c r="T27" s="47" t="str">
        <f t="shared" si="9"/>
        <v/>
      </c>
      <c r="U27" s="48" t="str">
        <f t="shared" si="10"/>
        <v/>
      </c>
      <c r="V27" s="130"/>
      <c r="W27" s="130"/>
      <c r="X27" s="130"/>
    </row>
    <row r="28" spans="1:31">
      <c r="B28" s="130"/>
      <c r="C28" s="130"/>
      <c r="D28" s="130"/>
      <c r="F28" s="75"/>
      <c r="G28" s="75"/>
      <c r="H28" s="75"/>
      <c r="I28" s="75"/>
      <c r="J28" s="124" t="s">
        <v>27</v>
      </c>
      <c r="K28" s="138">
        <v>8</v>
      </c>
      <c r="L28" s="46" t="str">
        <f t="shared" si="1"/>
        <v/>
      </c>
      <c r="M28" s="47" t="str">
        <f t="shared" si="2"/>
        <v/>
      </c>
      <c r="N28" s="48" t="str">
        <f t="shared" si="3"/>
        <v/>
      </c>
      <c r="O28" s="26" t="str">
        <f t="shared" si="4"/>
        <v/>
      </c>
      <c r="P28" s="29" t="str">
        <f t="shared" si="5"/>
        <v/>
      </c>
      <c r="Q28" s="29" t="str">
        <f t="shared" si="6"/>
        <v/>
      </c>
      <c r="R28" s="49" t="str">
        <f t="shared" si="7"/>
        <v/>
      </c>
      <c r="S28" s="46" t="str">
        <f t="shared" si="8"/>
        <v>=</v>
      </c>
      <c r="T28" s="47" t="str">
        <f t="shared" si="9"/>
        <v/>
      </c>
      <c r="U28" s="48" t="str">
        <f t="shared" si="10"/>
        <v/>
      </c>
      <c r="V28" s="130"/>
      <c r="W28" s="130"/>
      <c r="X28" s="130"/>
    </row>
    <row r="29" spans="1:31">
      <c r="B29" s="131"/>
      <c r="C29" s="131"/>
      <c r="D29" s="131"/>
      <c r="F29" s="75"/>
      <c r="G29" s="75"/>
      <c r="H29" s="75"/>
      <c r="I29" s="75"/>
      <c r="J29" s="124" t="s">
        <v>289</v>
      </c>
      <c r="K29" s="138">
        <v>6</v>
      </c>
      <c r="L29" s="53" t="str">
        <f t="shared" si="1"/>
        <v/>
      </c>
      <c r="M29" s="54" t="str">
        <f t="shared" si="2"/>
        <v/>
      </c>
      <c r="N29" s="55" t="str">
        <f t="shared" si="3"/>
        <v/>
      </c>
      <c r="O29" s="27" t="str">
        <f t="shared" si="4"/>
        <v/>
      </c>
      <c r="P29" s="30" t="str">
        <f t="shared" si="5"/>
        <v/>
      </c>
      <c r="Q29" s="30" t="str">
        <f t="shared" si="6"/>
        <v>=</v>
      </c>
      <c r="R29" s="56" t="str">
        <f t="shared" si="7"/>
        <v/>
      </c>
      <c r="S29" s="53" t="str">
        <f t="shared" si="8"/>
        <v/>
      </c>
      <c r="T29" s="54" t="str">
        <f t="shared" si="9"/>
        <v/>
      </c>
      <c r="U29" s="55" t="str">
        <f t="shared" si="10"/>
        <v/>
      </c>
      <c r="V29" s="131"/>
      <c r="W29" s="131"/>
      <c r="X29" s="131"/>
      <c r="AE29" s="133"/>
    </row>
    <row r="30" spans="1:31" ht="4.95" customHeight="1">
      <c r="B30" s="131"/>
      <c r="C30" s="131"/>
      <c r="D30" s="131"/>
      <c r="E30" s="131"/>
      <c r="F30" s="131"/>
      <c r="G30" s="131"/>
      <c r="H30" s="131"/>
      <c r="I30" s="131"/>
      <c r="J30" s="131"/>
      <c r="K30" s="131"/>
      <c r="L30" s="131"/>
      <c r="M30" s="131"/>
      <c r="N30" s="131"/>
      <c r="O30" s="131"/>
      <c r="P30" s="131"/>
      <c r="Q30" s="131"/>
      <c r="R30" s="131"/>
      <c r="S30" s="131"/>
      <c r="T30" s="131"/>
      <c r="U30" s="131"/>
      <c r="V30" s="131"/>
      <c r="W30" s="131"/>
      <c r="X30" s="131"/>
    </row>
    <row r="31" spans="1:31">
      <c r="B31" s="131"/>
      <c r="C31" s="131"/>
      <c r="D31" s="131"/>
      <c r="E31" s="232" t="s">
        <v>1124</v>
      </c>
      <c r="F31" s="232"/>
      <c r="G31" s="232"/>
      <c r="H31" s="232"/>
      <c r="I31" s="232"/>
      <c r="J31" s="232"/>
      <c r="K31" s="194"/>
      <c r="L31" s="233">
        <f>INT(ROUND(STDEV(K24:K29),2))</f>
        <v>2</v>
      </c>
      <c r="M31" s="233"/>
      <c r="N31" s="233"/>
      <c r="O31" s="233"/>
      <c r="P31" s="233"/>
      <c r="Q31" s="233"/>
      <c r="R31" s="233"/>
      <c r="S31" s="233"/>
      <c r="T31" s="233"/>
      <c r="U31" s="233"/>
      <c r="V31" s="131"/>
      <c r="W31" s="131"/>
      <c r="X31" s="131"/>
    </row>
    <row r="32" spans="1:31" s="3" customFormat="1" ht="41.25" customHeight="1">
      <c r="B32" s="234" t="s">
        <v>591</v>
      </c>
      <c r="C32" s="234"/>
      <c r="D32" s="234"/>
      <c r="E32" s="234"/>
      <c r="F32" s="234"/>
      <c r="G32" s="234"/>
      <c r="H32" s="234"/>
      <c r="I32" s="234"/>
      <c r="J32" s="234"/>
      <c r="K32" s="234"/>
      <c r="L32" s="234"/>
      <c r="M32" s="234"/>
      <c r="N32" s="234"/>
      <c r="O32" s="192"/>
      <c r="P32" s="234" t="s">
        <v>677</v>
      </c>
      <c r="Q32" s="234"/>
      <c r="R32" s="234"/>
      <c r="S32" s="234"/>
      <c r="T32" s="234"/>
      <c r="U32" s="234"/>
      <c r="V32" s="234"/>
      <c r="W32" s="234"/>
      <c r="X32" s="234"/>
      <c r="Y32" s="234"/>
    </row>
    <row r="33" spans="2:25">
      <c r="B33" s="131"/>
      <c r="C33" s="131"/>
      <c r="D33" s="131"/>
      <c r="E33" s="131"/>
      <c r="F33" s="131"/>
      <c r="G33" s="131"/>
      <c r="H33" s="131"/>
      <c r="I33" s="131"/>
      <c r="J33" s="131"/>
      <c r="K33" s="131"/>
      <c r="L33" s="131"/>
      <c r="M33" s="131"/>
      <c r="N33" s="131"/>
      <c r="O33" s="131"/>
      <c r="P33" s="131"/>
      <c r="Q33" s="131"/>
      <c r="R33" s="131"/>
      <c r="S33" s="131"/>
      <c r="T33" s="131"/>
      <c r="U33" s="131"/>
      <c r="V33" s="131"/>
      <c r="W33" s="131"/>
      <c r="X33" s="131"/>
    </row>
    <row r="34" spans="2:25">
      <c r="B34" s="131"/>
      <c r="C34" s="131"/>
      <c r="D34" s="131"/>
      <c r="E34" s="131"/>
      <c r="F34" s="131"/>
      <c r="G34" s="131"/>
      <c r="H34" s="131"/>
      <c r="I34" s="131"/>
      <c r="J34" s="131"/>
      <c r="K34" s="131"/>
      <c r="L34" s="131"/>
      <c r="M34" s="131"/>
      <c r="N34" s="131"/>
      <c r="O34" s="131"/>
      <c r="P34" s="226" t="s">
        <v>674</v>
      </c>
      <c r="Q34" s="227"/>
      <c r="R34" s="227"/>
      <c r="S34" s="227"/>
      <c r="T34" s="228"/>
      <c r="U34" s="229" t="s">
        <v>675</v>
      </c>
      <c r="V34" s="230"/>
      <c r="W34" s="230"/>
      <c r="X34" s="230"/>
      <c r="Y34" s="231"/>
    </row>
    <row r="35" spans="2:25">
      <c r="B35" s="131"/>
      <c r="C35" s="131"/>
      <c r="D35" s="131"/>
      <c r="E35" s="131"/>
      <c r="G35" s="133" t="s">
        <v>587</v>
      </c>
      <c r="H35" s="133" t="s">
        <v>588</v>
      </c>
      <c r="I35" s="131"/>
      <c r="J35" s="131"/>
      <c r="K35" s="131"/>
      <c r="L35" s="131"/>
      <c r="M35" s="131"/>
      <c r="N35" s="131"/>
      <c r="O35" s="131"/>
      <c r="P35" s="218"/>
      <c r="Q35" s="219"/>
      <c r="R35" s="219"/>
      <c r="S35" s="219"/>
      <c r="T35" s="220"/>
      <c r="U35" s="218"/>
      <c r="V35" s="219"/>
      <c r="W35" s="219"/>
      <c r="X35" s="219"/>
      <c r="Y35" s="220"/>
    </row>
    <row r="36" spans="2:25">
      <c r="B36" s="131"/>
      <c r="C36" s="131"/>
      <c r="D36" s="131"/>
      <c r="E36" s="131"/>
      <c r="F36" s="139" t="s">
        <v>465</v>
      </c>
      <c r="G36" s="86">
        <v>2</v>
      </c>
      <c r="H36" s="86">
        <v>3</v>
      </c>
      <c r="I36" s="131"/>
      <c r="J36" s="131"/>
      <c r="K36" s="131"/>
      <c r="L36" s="131"/>
      <c r="M36" s="131"/>
      <c r="N36" s="131"/>
      <c r="O36" s="131"/>
      <c r="P36" s="215"/>
      <c r="Q36" s="216"/>
      <c r="R36" s="216"/>
      <c r="S36" s="216"/>
      <c r="T36" s="217"/>
      <c r="U36" s="215"/>
      <c r="V36" s="216"/>
      <c r="W36" s="216"/>
      <c r="X36" s="216"/>
      <c r="Y36" s="217"/>
    </row>
    <row r="37" spans="2:25">
      <c r="B37" s="131"/>
      <c r="C37" s="131"/>
      <c r="D37" s="131"/>
      <c r="E37" s="131"/>
      <c r="F37" s="139" t="s">
        <v>570</v>
      </c>
      <c r="G37" s="86">
        <v>3</v>
      </c>
      <c r="H37" s="86">
        <v>4</v>
      </c>
      <c r="I37" s="131"/>
      <c r="J37" s="131"/>
      <c r="K37" s="131"/>
      <c r="L37" s="131"/>
      <c r="M37" s="131"/>
      <c r="N37" s="131"/>
      <c r="O37" s="131"/>
      <c r="P37" s="215"/>
      <c r="Q37" s="216"/>
      <c r="R37" s="216"/>
      <c r="S37" s="216"/>
      <c r="T37" s="217"/>
      <c r="U37" s="215"/>
      <c r="V37" s="216"/>
      <c r="W37" s="216"/>
      <c r="X37" s="216"/>
      <c r="Y37" s="217"/>
    </row>
    <row r="38" spans="2:25">
      <c r="B38" s="131"/>
      <c r="C38" s="131"/>
      <c r="D38" s="131"/>
      <c r="E38" s="131"/>
      <c r="F38" s="139" t="s">
        <v>571</v>
      </c>
      <c r="G38" s="86">
        <v>10</v>
      </c>
      <c r="H38" s="86">
        <v>6</v>
      </c>
      <c r="I38" s="131"/>
      <c r="J38" s="131"/>
      <c r="K38" s="131"/>
      <c r="L38" s="131"/>
      <c r="M38" s="131"/>
      <c r="N38" s="131"/>
      <c r="O38" s="131"/>
      <c r="P38" s="215"/>
      <c r="Q38" s="216"/>
      <c r="R38" s="216"/>
      <c r="S38" s="216"/>
      <c r="T38" s="217"/>
      <c r="U38" s="215"/>
      <c r="V38" s="216"/>
      <c r="W38" s="216"/>
      <c r="X38" s="216"/>
      <c r="Y38" s="217"/>
    </row>
    <row r="39" spans="2:25">
      <c r="B39" s="131"/>
      <c r="C39" s="131"/>
      <c r="D39" s="131"/>
      <c r="E39" s="131"/>
      <c r="F39" s="139" t="s">
        <v>536</v>
      </c>
      <c r="G39" s="86">
        <v>6</v>
      </c>
      <c r="H39" s="86">
        <v>7</v>
      </c>
      <c r="I39" s="131"/>
      <c r="J39" s="131"/>
      <c r="K39" s="131"/>
      <c r="L39" s="131"/>
      <c r="M39" s="131"/>
      <c r="N39" s="131"/>
      <c r="O39" s="131"/>
      <c r="P39" s="215"/>
      <c r="Q39" s="216"/>
      <c r="R39" s="216"/>
      <c r="S39" s="216"/>
      <c r="T39" s="217"/>
      <c r="U39" s="215"/>
      <c r="V39" s="216"/>
      <c r="W39" s="216"/>
      <c r="X39" s="216"/>
      <c r="Y39" s="217"/>
    </row>
    <row r="40" spans="2:25">
      <c r="B40" s="131"/>
      <c r="C40" s="131"/>
      <c r="D40" s="131"/>
      <c r="E40" s="131"/>
      <c r="F40" s="139" t="s">
        <v>394</v>
      </c>
      <c r="G40" s="86">
        <v>4</v>
      </c>
      <c r="H40" s="86">
        <v>7</v>
      </c>
      <c r="I40" s="131"/>
      <c r="J40" s="131"/>
      <c r="K40" s="131"/>
      <c r="L40" s="131"/>
      <c r="M40" s="131"/>
      <c r="N40" s="131"/>
      <c r="O40" s="131"/>
      <c r="P40" s="221"/>
      <c r="Q40" s="222"/>
      <c r="R40" s="222"/>
      <c r="S40" s="222"/>
      <c r="T40" s="223"/>
      <c r="U40" s="221"/>
      <c r="V40" s="222"/>
      <c r="W40" s="222"/>
      <c r="X40" s="222"/>
      <c r="Y40" s="223"/>
    </row>
    <row r="41" spans="2:25">
      <c r="B41" s="131"/>
      <c r="C41" s="131"/>
      <c r="D41" s="131"/>
      <c r="E41" s="131"/>
      <c r="F41" s="139" t="s">
        <v>515</v>
      </c>
      <c r="G41" s="86">
        <v>3</v>
      </c>
      <c r="H41" s="86">
        <v>5</v>
      </c>
      <c r="I41" s="131"/>
      <c r="J41" s="131"/>
      <c r="K41" s="131"/>
      <c r="L41" s="131"/>
      <c r="M41" s="131"/>
      <c r="N41" s="131"/>
      <c r="O41" s="131"/>
      <c r="P41" s="209" t="s">
        <v>676</v>
      </c>
      <c r="Q41" s="210"/>
      <c r="R41" s="210"/>
      <c r="S41" s="210"/>
      <c r="T41" s="211"/>
      <c r="U41" s="212" t="s">
        <v>457</v>
      </c>
      <c r="V41" s="213"/>
      <c r="W41" s="213"/>
      <c r="X41" s="213"/>
      <c r="Y41" s="214"/>
    </row>
    <row r="42" spans="2:25">
      <c r="B42" s="131"/>
      <c r="C42" s="131"/>
      <c r="D42" s="131"/>
      <c r="E42" s="131"/>
      <c r="F42" s="139" t="s">
        <v>393</v>
      </c>
      <c r="G42" s="86">
        <v>5</v>
      </c>
      <c r="H42" s="86">
        <v>4</v>
      </c>
      <c r="I42" s="131"/>
      <c r="J42" s="131"/>
      <c r="K42" s="131"/>
      <c r="L42" s="131"/>
      <c r="M42" s="131"/>
      <c r="N42" s="131"/>
      <c r="O42" s="131"/>
      <c r="P42" s="218"/>
      <c r="Q42" s="219"/>
      <c r="R42" s="219"/>
      <c r="S42" s="219"/>
      <c r="T42" s="220"/>
      <c r="U42" s="218"/>
      <c r="V42" s="219"/>
      <c r="W42" s="219"/>
      <c r="X42" s="219"/>
      <c r="Y42" s="220"/>
    </row>
    <row r="43" spans="2:25">
      <c r="B43" s="131"/>
      <c r="C43" s="131"/>
      <c r="D43" s="131"/>
      <c r="E43" s="131"/>
      <c r="F43" s="139" t="s">
        <v>442</v>
      </c>
      <c r="G43" s="86">
        <v>6</v>
      </c>
      <c r="H43" s="86">
        <v>4</v>
      </c>
      <c r="I43" s="131"/>
      <c r="J43" s="131"/>
      <c r="K43" s="131"/>
      <c r="L43" s="131"/>
      <c r="M43" s="131"/>
      <c r="N43" s="131"/>
      <c r="O43" s="131"/>
      <c r="P43" s="215"/>
      <c r="Q43" s="216"/>
      <c r="R43" s="216"/>
      <c r="S43" s="216"/>
      <c r="T43" s="217"/>
      <c r="U43" s="215"/>
      <c r="V43" s="216"/>
      <c r="W43" s="216"/>
      <c r="X43" s="216"/>
      <c r="Y43" s="217"/>
    </row>
    <row r="44" spans="2:25">
      <c r="B44" s="131"/>
      <c r="C44" s="131"/>
      <c r="D44" s="131"/>
      <c r="E44" s="131"/>
      <c r="F44" s="131"/>
      <c r="G44" s="131"/>
      <c r="H44" s="131"/>
      <c r="I44" s="131"/>
      <c r="J44" s="131"/>
      <c r="K44" s="131"/>
      <c r="L44" s="131"/>
      <c r="M44" s="131"/>
      <c r="N44" s="131"/>
      <c r="O44" s="131"/>
      <c r="P44" s="215"/>
      <c r="Q44" s="216"/>
      <c r="R44" s="216"/>
      <c r="S44" s="216"/>
      <c r="T44" s="217"/>
      <c r="U44" s="215"/>
      <c r="V44" s="216"/>
      <c r="W44" s="216"/>
      <c r="X44" s="216"/>
      <c r="Y44" s="217"/>
    </row>
    <row r="45" spans="2:25">
      <c r="B45" s="131"/>
      <c r="C45" s="131"/>
      <c r="D45" s="131"/>
      <c r="E45" s="131"/>
      <c r="F45" s="131"/>
      <c r="G45" s="131"/>
      <c r="H45" s="131"/>
      <c r="I45" s="131"/>
      <c r="J45" s="131"/>
      <c r="K45" s="131"/>
      <c r="L45" s="131"/>
      <c r="M45" s="131"/>
      <c r="N45" s="131"/>
      <c r="O45" s="131"/>
      <c r="P45" s="215"/>
      <c r="Q45" s="216"/>
      <c r="R45" s="216"/>
      <c r="S45" s="216"/>
      <c r="T45" s="217"/>
      <c r="U45" s="215"/>
      <c r="V45" s="216"/>
      <c r="W45" s="216"/>
      <c r="X45" s="216"/>
      <c r="Y45" s="217"/>
    </row>
    <row r="46" spans="2:25">
      <c r="B46" s="131"/>
      <c r="C46" s="131"/>
      <c r="D46" s="131"/>
      <c r="E46" s="131"/>
      <c r="F46" s="131"/>
      <c r="G46" s="131"/>
      <c r="H46" s="131"/>
      <c r="I46" s="131"/>
      <c r="J46" s="131"/>
      <c r="K46" s="131"/>
      <c r="L46" s="131"/>
      <c r="M46" s="131"/>
      <c r="N46" s="131"/>
      <c r="O46" s="131"/>
      <c r="P46" s="215"/>
      <c r="Q46" s="216"/>
      <c r="R46" s="216"/>
      <c r="S46" s="216"/>
      <c r="T46" s="217"/>
      <c r="U46" s="215"/>
      <c r="V46" s="216"/>
      <c r="W46" s="216"/>
      <c r="X46" s="216"/>
      <c r="Y46" s="217"/>
    </row>
    <row r="47" spans="2:25">
      <c r="B47" s="131"/>
      <c r="C47" s="131"/>
      <c r="D47" s="131"/>
      <c r="E47" s="131"/>
      <c r="F47" s="131"/>
      <c r="G47" s="131"/>
      <c r="H47" s="131"/>
      <c r="I47" s="131"/>
      <c r="J47" s="131"/>
      <c r="K47" s="131"/>
      <c r="L47" s="131"/>
      <c r="M47" s="131"/>
      <c r="N47" s="131"/>
      <c r="O47" s="131"/>
      <c r="P47" s="221"/>
      <c r="Q47" s="222"/>
      <c r="R47" s="222"/>
      <c r="S47" s="222"/>
      <c r="T47" s="223"/>
      <c r="U47" s="221"/>
      <c r="V47" s="222"/>
      <c r="W47" s="222"/>
      <c r="X47" s="222"/>
      <c r="Y47" s="223"/>
    </row>
    <row r="49" spans="1:25">
      <c r="N49" s="124" t="s">
        <v>689</v>
      </c>
      <c r="O49" s="138">
        <v>6</v>
      </c>
      <c r="P49" s="160" t="str">
        <f>IF($O49=1,"=","")</f>
        <v/>
      </c>
      <c r="Q49" s="161" t="str">
        <f>IF($O49=2,"=","")</f>
        <v/>
      </c>
      <c r="R49" s="162" t="str">
        <f>IF($O49=3,"=","")</f>
        <v/>
      </c>
      <c r="S49" s="163" t="str">
        <f>IF($O49=4,"=","")</f>
        <v/>
      </c>
      <c r="T49" s="164" t="str">
        <f>IF($O49=5,"=","")</f>
        <v/>
      </c>
      <c r="U49" s="164" t="str">
        <f>IF($O49=6,"=","")</f>
        <v>=</v>
      </c>
      <c r="V49" s="165" t="str">
        <f>IF($O49=7,"=","")</f>
        <v/>
      </c>
      <c r="W49" s="160" t="str">
        <f>IF($O49=8,"=","")</f>
        <v/>
      </c>
      <c r="X49" s="161" t="str">
        <f>IF($O49=9,"=","")</f>
        <v/>
      </c>
      <c r="Y49" s="162" t="str">
        <f>IF($O49=10,"=","")</f>
        <v/>
      </c>
    </row>
    <row r="50" spans="1:25" ht="4.95" customHeight="1"/>
    <row r="51" spans="1:25">
      <c r="J51" s="194"/>
      <c r="K51" s="194"/>
      <c r="L51" s="194"/>
      <c r="M51" s="194"/>
      <c r="N51" s="195" t="s">
        <v>1123</v>
      </c>
      <c r="O51" s="138">
        <v>6</v>
      </c>
      <c r="P51" s="196" t="str">
        <f>IF($O51=1,"=","")</f>
        <v/>
      </c>
      <c r="Q51" s="196" t="str">
        <f>IF($O51=2,"=","")</f>
        <v/>
      </c>
      <c r="R51" s="196" t="str">
        <f>IF($O51=3,"=","")</f>
        <v/>
      </c>
      <c r="S51" s="197" t="str">
        <f>IF($O51=4,"=","")</f>
        <v/>
      </c>
      <c r="T51" s="197" t="str">
        <f>IF($O51=5,"=","")</f>
        <v/>
      </c>
      <c r="U51" s="197" t="str">
        <f>IF($O51=6,"=","")</f>
        <v>=</v>
      </c>
      <c r="V51" s="197" t="str">
        <f>IF($O51=7,"=","")</f>
        <v/>
      </c>
      <c r="W51" s="196" t="str">
        <f>IF($O51=8,"=","")</f>
        <v/>
      </c>
      <c r="X51" s="196" t="str">
        <f>IF($O51=9,"=","")</f>
        <v/>
      </c>
      <c r="Y51" s="196" t="str">
        <f>IF($O51=10,"=","")</f>
        <v/>
      </c>
    </row>
    <row r="52" spans="1:25">
      <c r="P52" s="208"/>
      <c r="Q52" s="208"/>
      <c r="R52" s="208"/>
      <c r="S52" s="208"/>
      <c r="T52" s="208"/>
      <c r="U52" s="208"/>
      <c r="V52" s="208"/>
      <c r="W52" s="208"/>
      <c r="X52" s="208"/>
      <c r="Y52" s="208"/>
    </row>
    <row r="53" spans="1:25">
      <c r="P53" s="238" t="str">
        <f>P2</f>
        <v>Nombre Puesto</v>
      </c>
      <c r="Q53" s="238"/>
      <c r="R53" s="238"/>
      <c r="S53" s="238"/>
      <c r="T53" s="238"/>
      <c r="U53" s="238"/>
      <c r="V53" s="238"/>
      <c r="W53" s="238"/>
      <c r="X53" s="238"/>
      <c r="Y53" s="238"/>
    </row>
    <row r="54" spans="1:25">
      <c r="P54" s="189"/>
      <c r="Q54" s="189"/>
      <c r="R54" s="189"/>
      <c r="S54" s="189"/>
      <c r="T54" s="189"/>
      <c r="U54" s="189"/>
      <c r="V54" s="189"/>
      <c r="W54" s="189"/>
      <c r="X54" s="189"/>
      <c r="Y54" s="189"/>
    </row>
    <row r="55" spans="1:25" ht="41.25" customHeight="1">
      <c r="A55" s="66"/>
      <c r="B55" s="66"/>
      <c r="C55" s="66"/>
      <c r="D55" s="66"/>
      <c r="E55" s="66"/>
      <c r="F55" s="235" t="s">
        <v>1083</v>
      </c>
      <c r="G55" s="235"/>
      <c r="H55" s="235"/>
      <c r="I55" s="235"/>
      <c r="J55" s="235"/>
      <c r="K55" s="235"/>
      <c r="L55" s="235"/>
      <c r="M55" s="235"/>
      <c r="N55" s="235"/>
      <c r="O55" s="235"/>
      <c r="P55" s="235"/>
      <c r="Q55" s="235"/>
      <c r="R55" s="66"/>
      <c r="S55" s="66"/>
      <c r="T55" s="66"/>
      <c r="U55" s="66"/>
      <c r="V55" s="66"/>
      <c r="W55" s="66"/>
      <c r="X55" s="66"/>
    </row>
    <row r="56" spans="1:25">
      <c r="L56" s="236" t="s">
        <v>1084</v>
      </c>
      <c r="M56" s="236"/>
      <c r="N56" s="236"/>
      <c r="S56" s="236" t="s">
        <v>1085</v>
      </c>
      <c r="T56" s="236"/>
      <c r="U56" s="236"/>
    </row>
    <row r="57" spans="1:25">
      <c r="B57" s="237" t="s">
        <v>143</v>
      </c>
      <c r="C57" s="237"/>
      <c r="D57" s="237"/>
      <c r="E57" s="237"/>
      <c r="F57" s="237"/>
      <c r="G57" s="237"/>
      <c r="H57" s="237"/>
      <c r="I57" s="237"/>
      <c r="J57" s="237"/>
      <c r="K57"/>
      <c r="L57" s="181" t="s">
        <v>1086</v>
      </c>
      <c r="M57" s="182" t="s">
        <v>1086</v>
      </c>
      <c r="N57" s="183" t="s">
        <v>1086</v>
      </c>
      <c r="O57" s="184" t="s">
        <v>1086</v>
      </c>
      <c r="P57" s="184" t="s">
        <v>1086</v>
      </c>
      <c r="Q57" s="184"/>
      <c r="R57" s="184" t="s">
        <v>1086</v>
      </c>
      <c r="S57" s="185" t="s">
        <v>1086</v>
      </c>
      <c r="T57" s="186" t="s">
        <v>1086</v>
      </c>
      <c r="U57" s="187" t="s">
        <v>1086</v>
      </c>
    </row>
    <row r="58" spans="1:25" ht="4.95" customHeight="1">
      <c r="B58" s="188"/>
      <c r="C58" s="180"/>
      <c r="D58" s="180"/>
      <c r="E58" s="180"/>
      <c r="F58" s="180"/>
      <c r="G58" s="180"/>
      <c r="H58" s="180"/>
      <c r="I58" s="180"/>
      <c r="J58" s="180"/>
      <c r="K58"/>
    </row>
    <row r="59" spans="1:25">
      <c r="B59" s="237" t="s">
        <v>620</v>
      </c>
      <c r="C59" s="237"/>
      <c r="D59" s="237"/>
      <c r="E59" s="237"/>
      <c r="F59" s="237"/>
      <c r="G59" s="237"/>
      <c r="H59" s="237"/>
      <c r="I59" s="237"/>
      <c r="J59" s="237"/>
      <c r="K59"/>
      <c r="L59" s="181" t="s">
        <v>1086</v>
      </c>
      <c r="M59" s="182" t="s">
        <v>1086</v>
      </c>
      <c r="N59" s="183" t="s">
        <v>1086</v>
      </c>
      <c r="O59" s="184" t="s">
        <v>1086</v>
      </c>
      <c r="P59" s="184" t="s">
        <v>1086</v>
      </c>
      <c r="Q59" s="184"/>
      <c r="R59" s="184" t="s">
        <v>1086</v>
      </c>
      <c r="S59" s="185" t="s">
        <v>1086</v>
      </c>
      <c r="T59" s="186" t="s">
        <v>1086</v>
      </c>
      <c r="U59" s="187" t="s">
        <v>1086</v>
      </c>
    </row>
    <row r="60" spans="1:25" ht="4.95" customHeight="1">
      <c r="B60" s="188"/>
      <c r="C60" s="180"/>
      <c r="D60" s="180"/>
      <c r="E60" s="180"/>
      <c r="F60" s="180"/>
      <c r="G60" s="180"/>
      <c r="H60" s="180"/>
      <c r="I60" s="180"/>
      <c r="J60" s="180"/>
      <c r="K60"/>
    </row>
    <row r="61" spans="1:25">
      <c r="B61" s="237" t="s">
        <v>624</v>
      </c>
      <c r="C61" s="237"/>
      <c r="D61" s="237"/>
      <c r="E61" s="237"/>
      <c r="F61" s="237"/>
      <c r="G61" s="237"/>
      <c r="H61" s="237"/>
      <c r="I61" s="237"/>
      <c r="J61" s="237"/>
      <c r="K61"/>
      <c r="L61" s="181"/>
      <c r="M61" s="182"/>
      <c r="N61" s="183"/>
      <c r="O61" s="184"/>
      <c r="P61" s="184"/>
      <c r="Q61" s="184"/>
      <c r="R61" s="184"/>
      <c r="S61" s="185"/>
      <c r="T61" s="186"/>
      <c r="U61" s="187"/>
    </row>
    <row r="62" spans="1:25" ht="4.95" customHeight="1">
      <c r="B62" s="188"/>
      <c r="C62" s="180"/>
      <c r="D62" s="180"/>
      <c r="E62" s="180"/>
      <c r="F62" s="180"/>
      <c r="G62" s="180"/>
      <c r="H62" s="180"/>
      <c r="I62" s="180"/>
      <c r="J62" s="180"/>
      <c r="K62"/>
    </row>
    <row r="63" spans="1:25">
      <c r="B63" s="237" t="s">
        <v>391</v>
      </c>
      <c r="C63" s="237"/>
      <c r="D63" s="237"/>
      <c r="E63" s="237"/>
      <c r="F63" s="237"/>
      <c r="G63" s="237"/>
      <c r="H63" s="237"/>
      <c r="I63" s="237"/>
      <c r="J63" s="237"/>
      <c r="K63"/>
      <c r="L63" s="181"/>
      <c r="M63" s="182"/>
      <c r="N63" s="183"/>
      <c r="O63" s="184"/>
      <c r="P63" s="184"/>
      <c r="Q63" s="184"/>
      <c r="R63" s="184"/>
      <c r="S63" s="185"/>
      <c r="T63" s="186"/>
      <c r="U63" s="187"/>
    </row>
    <row r="64" spans="1:25" ht="4.95" customHeight="1">
      <c r="B64" s="188"/>
      <c r="C64" s="180"/>
      <c r="D64" s="180"/>
      <c r="E64" s="180"/>
      <c r="F64" s="180"/>
      <c r="G64" s="180"/>
      <c r="H64" s="180"/>
      <c r="I64" s="180"/>
      <c r="J64" s="180"/>
      <c r="K64"/>
    </row>
    <row r="65" spans="2:21">
      <c r="B65" s="237" t="s">
        <v>474</v>
      </c>
      <c r="C65" s="237"/>
      <c r="D65" s="237"/>
      <c r="E65" s="237"/>
      <c r="F65" s="237"/>
      <c r="G65" s="237"/>
      <c r="H65" s="237"/>
      <c r="I65" s="237"/>
      <c r="J65" s="237"/>
      <c r="K65"/>
      <c r="L65" s="181"/>
      <c r="M65" s="182"/>
      <c r="N65" s="183"/>
      <c r="O65" s="184"/>
      <c r="P65" s="184"/>
      <c r="Q65" s="184"/>
      <c r="R65" s="184"/>
      <c r="S65" s="185"/>
      <c r="T65" s="186"/>
      <c r="U65" s="187"/>
    </row>
    <row r="66" spans="2:21" ht="4.95" customHeight="1">
      <c r="B66" s="188"/>
      <c r="C66" s="180"/>
      <c r="D66" s="180"/>
      <c r="E66" s="180"/>
      <c r="F66" s="180"/>
      <c r="G66" s="180"/>
      <c r="H66" s="180"/>
      <c r="I66" s="180"/>
      <c r="J66" s="180"/>
      <c r="K66"/>
    </row>
    <row r="67" spans="2:21">
      <c r="B67" s="237" t="s">
        <v>469</v>
      </c>
      <c r="C67" s="237"/>
      <c r="D67" s="237"/>
      <c r="E67" s="237"/>
      <c r="F67" s="237"/>
      <c r="G67" s="237"/>
      <c r="H67" s="237"/>
      <c r="I67" s="237"/>
      <c r="J67" s="237"/>
      <c r="K67"/>
      <c r="L67" s="181"/>
      <c r="M67" s="182"/>
      <c r="N67" s="183"/>
      <c r="O67" s="184"/>
      <c r="P67" s="184"/>
      <c r="Q67" s="184"/>
      <c r="R67" s="184"/>
      <c r="S67" s="185"/>
      <c r="T67" s="186"/>
      <c r="U67" s="187"/>
    </row>
    <row r="68" spans="2:21" ht="4.95" customHeight="1">
      <c r="B68" s="188"/>
      <c r="C68" s="180"/>
      <c r="D68" s="180"/>
      <c r="E68" s="180"/>
      <c r="F68" s="180"/>
      <c r="G68" s="180"/>
      <c r="H68" s="180"/>
      <c r="I68" s="180"/>
      <c r="J68" s="180"/>
      <c r="K68"/>
    </row>
    <row r="69" spans="2:21">
      <c r="B69" s="237" t="s">
        <v>42</v>
      </c>
      <c r="C69" s="237"/>
      <c r="D69" s="237"/>
      <c r="E69" s="237"/>
      <c r="F69" s="237"/>
      <c r="G69" s="237"/>
      <c r="H69" s="237"/>
      <c r="I69" s="237"/>
      <c r="J69" s="237"/>
      <c r="K69"/>
      <c r="L69" s="181"/>
      <c r="M69" s="182"/>
      <c r="N69" s="183"/>
      <c r="O69" s="184"/>
      <c r="P69" s="184"/>
      <c r="Q69" s="184"/>
      <c r="R69" s="184"/>
      <c r="S69" s="185"/>
      <c r="T69" s="186"/>
      <c r="U69" s="187"/>
    </row>
    <row r="70" spans="2:21" ht="4.95" customHeight="1">
      <c r="B70" s="188"/>
      <c r="C70" s="180"/>
      <c r="D70" s="180"/>
      <c r="E70" s="180"/>
      <c r="F70" s="180"/>
      <c r="G70" s="180"/>
      <c r="H70" s="180"/>
      <c r="I70" s="180"/>
      <c r="J70" s="180"/>
      <c r="K70"/>
    </row>
    <row r="71" spans="2:21">
      <c r="B71" s="237" t="s">
        <v>17</v>
      </c>
      <c r="C71" s="237"/>
      <c r="D71" s="237"/>
      <c r="E71" s="237"/>
      <c r="F71" s="237"/>
      <c r="G71" s="237"/>
      <c r="H71" s="237"/>
      <c r="I71" s="237"/>
      <c r="J71" s="237"/>
      <c r="K71"/>
      <c r="L71" s="181"/>
      <c r="M71" s="182"/>
      <c r="N71" s="183"/>
      <c r="O71" s="184"/>
      <c r="P71" s="184"/>
      <c r="Q71" s="184"/>
      <c r="R71" s="184"/>
      <c r="S71" s="185"/>
      <c r="T71" s="186"/>
      <c r="U71" s="187"/>
    </row>
    <row r="72" spans="2:21" ht="4.95" customHeight="1">
      <c r="B72" s="188"/>
      <c r="C72" s="180"/>
      <c r="D72" s="180"/>
      <c r="E72" s="180"/>
      <c r="F72" s="180"/>
      <c r="G72" s="180"/>
      <c r="H72" s="180"/>
      <c r="I72" s="180"/>
      <c r="J72" s="180"/>
      <c r="K72"/>
    </row>
    <row r="73" spans="2:21">
      <c r="B73" s="237" t="s">
        <v>569</v>
      </c>
      <c r="C73" s="237"/>
      <c r="D73" s="237"/>
      <c r="E73" s="237"/>
      <c r="F73" s="237"/>
      <c r="G73" s="237"/>
      <c r="H73" s="237"/>
      <c r="I73" s="237"/>
      <c r="J73" s="237"/>
      <c r="K73"/>
      <c r="L73" s="181"/>
      <c r="M73" s="182"/>
      <c r="N73" s="183"/>
      <c r="O73" s="184"/>
      <c r="P73" s="184"/>
      <c r="Q73" s="184"/>
      <c r="R73" s="184"/>
      <c r="S73" s="185"/>
      <c r="T73" s="186"/>
      <c r="U73" s="187"/>
    </row>
    <row r="74" spans="2:21" ht="4.95" customHeight="1">
      <c r="B74" s="188"/>
      <c r="C74" s="180"/>
      <c r="D74" s="180"/>
      <c r="E74" s="180"/>
      <c r="F74" s="180"/>
      <c r="G74" s="180"/>
      <c r="H74" s="180"/>
      <c r="I74" s="180"/>
      <c r="J74" s="180"/>
      <c r="K74"/>
    </row>
    <row r="75" spans="2:21">
      <c r="B75" s="237" t="s">
        <v>621</v>
      </c>
      <c r="C75" s="237"/>
      <c r="D75" s="237"/>
      <c r="E75" s="237"/>
      <c r="F75" s="237"/>
      <c r="G75" s="237"/>
      <c r="H75" s="237"/>
      <c r="I75" s="237"/>
      <c r="J75" s="237"/>
      <c r="K75"/>
      <c r="L75" s="181"/>
      <c r="M75" s="182"/>
      <c r="N75" s="183"/>
      <c r="O75" s="184"/>
      <c r="P75" s="184"/>
      <c r="Q75" s="184"/>
      <c r="R75" s="184"/>
      <c r="S75" s="185"/>
      <c r="T75" s="186"/>
      <c r="U75" s="187"/>
    </row>
    <row r="76" spans="2:21" ht="4.95" customHeight="1">
      <c r="B76" s="188"/>
      <c r="C76" s="180"/>
      <c r="D76" s="180"/>
      <c r="E76" s="180"/>
      <c r="F76" s="180"/>
      <c r="G76" s="180"/>
      <c r="H76" s="180"/>
      <c r="I76" s="180"/>
      <c r="J76" s="180"/>
      <c r="K76"/>
    </row>
    <row r="77" spans="2:21">
      <c r="B77" s="237" t="s">
        <v>682</v>
      </c>
      <c r="C77" s="237"/>
      <c r="D77" s="237"/>
      <c r="E77" s="237"/>
      <c r="F77" s="237"/>
      <c r="G77" s="237"/>
      <c r="H77" s="237"/>
      <c r="I77" s="237"/>
      <c r="J77" s="237"/>
      <c r="K77"/>
      <c r="L77" s="181"/>
      <c r="M77" s="182"/>
      <c r="N77" s="183"/>
      <c r="O77" s="184"/>
      <c r="P77" s="184"/>
      <c r="Q77" s="184"/>
      <c r="R77" s="184"/>
      <c r="S77" s="185"/>
      <c r="T77" s="186"/>
      <c r="U77" s="187"/>
    </row>
    <row r="78" spans="2:21" ht="4.95" customHeight="1">
      <c r="B78" s="188"/>
      <c r="C78" s="180"/>
      <c r="D78" s="180"/>
      <c r="E78" s="180"/>
      <c r="F78" s="180"/>
      <c r="G78" s="180"/>
      <c r="H78" s="180"/>
      <c r="I78" s="180"/>
      <c r="J78" s="180"/>
      <c r="K78"/>
    </row>
    <row r="79" spans="2:21">
      <c r="B79" s="237" t="s">
        <v>63</v>
      </c>
      <c r="C79" s="237"/>
      <c r="D79" s="237"/>
      <c r="E79" s="237"/>
      <c r="F79" s="237"/>
      <c r="G79" s="237"/>
      <c r="H79" s="237"/>
      <c r="I79" s="237"/>
      <c r="J79" s="237"/>
      <c r="K79"/>
      <c r="L79" s="181"/>
      <c r="M79" s="182"/>
      <c r="N79" s="183"/>
      <c r="O79" s="184"/>
      <c r="P79" s="184"/>
      <c r="Q79" s="184"/>
      <c r="R79" s="184"/>
      <c r="S79" s="185"/>
      <c r="T79" s="186"/>
      <c r="U79" s="187"/>
    </row>
    <row r="80" spans="2:21" ht="4.95" customHeight="1">
      <c r="B80" s="188"/>
      <c r="C80" s="180"/>
      <c r="D80" s="180"/>
      <c r="E80" s="180"/>
      <c r="F80" s="180"/>
      <c r="G80" s="180"/>
      <c r="H80" s="180"/>
      <c r="I80" s="180"/>
      <c r="J80" s="180"/>
      <c r="K80"/>
    </row>
    <row r="81" spans="2:21">
      <c r="B81" s="237" t="s">
        <v>466</v>
      </c>
      <c r="C81" s="237"/>
      <c r="D81" s="237"/>
      <c r="E81" s="237"/>
      <c r="F81" s="237"/>
      <c r="G81" s="237"/>
      <c r="H81" s="237"/>
      <c r="I81" s="237"/>
      <c r="J81" s="237"/>
      <c r="K81"/>
      <c r="L81" s="181"/>
      <c r="M81" s="182"/>
      <c r="N81" s="183"/>
      <c r="O81" s="184"/>
      <c r="P81" s="184"/>
      <c r="Q81" s="184"/>
      <c r="R81" s="184"/>
      <c r="S81" s="185"/>
      <c r="T81" s="186"/>
      <c r="U81" s="187"/>
    </row>
    <row r="82" spans="2:21" ht="4.95" customHeight="1">
      <c r="B82" s="188"/>
      <c r="C82" s="180"/>
      <c r="D82" s="180"/>
      <c r="E82" s="180"/>
      <c r="F82" s="180"/>
      <c r="G82" s="180"/>
      <c r="H82" s="180"/>
      <c r="I82" s="180"/>
      <c r="J82" s="180"/>
      <c r="K82"/>
    </row>
    <row r="83" spans="2:21">
      <c r="B83" s="237" t="s">
        <v>392</v>
      </c>
      <c r="C83" s="237"/>
      <c r="D83" s="237"/>
      <c r="E83" s="237"/>
      <c r="F83" s="237"/>
      <c r="G83" s="237"/>
      <c r="H83" s="237"/>
      <c r="I83" s="237"/>
      <c r="J83" s="237"/>
      <c r="K83"/>
      <c r="L83" s="181"/>
      <c r="M83" s="182"/>
      <c r="N83" s="183"/>
      <c r="O83" s="184"/>
      <c r="P83" s="184"/>
      <c r="Q83" s="184"/>
      <c r="R83" s="184"/>
      <c r="S83" s="185"/>
      <c r="T83" s="186"/>
      <c r="U83" s="187"/>
    </row>
    <row r="84" spans="2:21" ht="4.95" customHeight="1">
      <c r="B84" s="188"/>
      <c r="C84" s="180"/>
      <c r="D84" s="180"/>
      <c r="E84" s="180"/>
      <c r="F84" s="180"/>
      <c r="G84" s="180"/>
      <c r="H84" s="180"/>
      <c r="I84" s="180"/>
      <c r="J84" s="180"/>
      <c r="K84"/>
    </row>
    <row r="85" spans="2:21">
      <c r="B85" s="237" t="s">
        <v>475</v>
      </c>
      <c r="C85" s="237"/>
      <c r="D85" s="237"/>
      <c r="E85" s="237"/>
      <c r="F85" s="237"/>
      <c r="G85" s="237"/>
      <c r="H85" s="237"/>
      <c r="I85" s="237"/>
      <c r="J85" s="237"/>
      <c r="K85"/>
      <c r="L85" s="181"/>
      <c r="M85" s="182"/>
      <c r="N85" s="183"/>
      <c r="O85" s="184"/>
      <c r="P85" s="184"/>
      <c r="Q85" s="184"/>
      <c r="R85" s="184"/>
      <c r="S85" s="185"/>
      <c r="T85" s="186"/>
      <c r="U85" s="187"/>
    </row>
    <row r="86" spans="2:21" ht="4.95" customHeight="1">
      <c r="B86" s="188"/>
      <c r="C86" s="180"/>
      <c r="D86" s="180"/>
      <c r="E86" s="180"/>
      <c r="F86" s="180"/>
      <c r="G86" s="180"/>
      <c r="H86" s="180"/>
      <c r="I86" s="180"/>
      <c r="J86" s="180"/>
      <c r="K86"/>
    </row>
    <row r="87" spans="2:21">
      <c r="B87" s="237" t="s">
        <v>393</v>
      </c>
      <c r="C87" s="237"/>
      <c r="D87" s="237"/>
      <c r="E87" s="237"/>
      <c r="F87" s="237"/>
      <c r="G87" s="237"/>
      <c r="H87" s="237"/>
      <c r="I87" s="237"/>
      <c r="J87" s="237"/>
      <c r="K87"/>
      <c r="L87" s="181"/>
      <c r="M87" s="182"/>
      <c r="N87" s="183"/>
      <c r="O87" s="184"/>
      <c r="P87" s="184"/>
      <c r="Q87" s="184"/>
      <c r="R87" s="184"/>
      <c r="S87" s="185"/>
      <c r="T87" s="186"/>
      <c r="U87" s="187"/>
    </row>
    <row r="88" spans="2:21" ht="4.95" customHeight="1">
      <c r="B88" s="188"/>
      <c r="C88" s="180"/>
      <c r="D88" s="180"/>
      <c r="E88" s="180"/>
      <c r="F88" s="180"/>
      <c r="G88" s="180"/>
      <c r="H88" s="180"/>
      <c r="I88" s="180"/>
      <c r="J88" s="180"/>
      <c r="K88"/>
    </row>
    <row r="89" spans="2:21">
      <c r="B89" s="237" t="s">
        <v>515</v>
      </c>
      <c r="C89" s="237"/>
      <c r="D89" s="237"/>
      <c r="E89" s="237"/>
      <c r="F89" s="237"/>
      <c r="G89" s="237"/>
      <c r="H89" s="237"/>
      <c r="I89" s="237"/>
      <c r="J89" s="237"/>
      <c r="K89"/>
      <c r="L89" s="181"/>
      <c r="M89" s="182"/>
      <c r="N89" s="183"/>
      <c r="O89" s="184"/>
      <c r="P89" s="184"/>
      <c r="Q89" s="184"/>
      <c r="R89" s="184"/>
      <c r="S89" s="185"/>
      <c r="T89" s="186"/>
      <c r="U89" s="187"/>
    </row>
    <row r="90" spans="2:21" ht="4.95" customHeight="1">
      <c r="B90" s="188"/>
      <c r="C90" s="180"/>
      <c r="D90" s="180"/>
      <c r="E90" s="180"/>
      <c r="F90" s="180"/>
      <c r="G90" s="180"/>
      <c r="H90" s="180"/>
      <c r="I90" s="180"/>
      <c r="J90" s="180"/>
      <c r="K90"/>
    </row>
    <row r="91" spans="2:21">
      <c r="B91" s="237" t="s">
        <v>536</v>
      </c>
      <c r="C91" s="237"/>
      <c r="D91" s="237"/>
      <c r="E91" s="237"/>
      <c r="F91" s="237"/>
      <c r="G91" s="237"/>
      <c r="H91" s="237"/>
      <c r="I91" s="237"/>
      <c r="J91" s="237"/>
      <c r="K91"/>
      <c r="L91" s="181"/>
      <c r="M91" s="182"/>
      <c r="N91" s="183"/>
      <c r="O91" s="184"/>
      <c r="P91" s="184"/>
      <c r="Q91" s="184"/>
      <c r="R91" s="184"/>
      <c r="S91" s="185"/>
      <c r="T91" s="186"/>
      <c r="U91" s="187"/>
    </row>
    <row r="92" spans="2:21" ht="4.95" customHeight="1">
      <c r="B92" s="188"/>
      <c r="C92" s="180"/>
      <c r="D92" s="180"/>
      <c r="E92" s="180"/>
      <c r="F92" s="180"/>
      <c r="G92" s="180"/>
      <c r="H92" s="180"/>
      <c r="I92" s="180"/>
      <c r="J92" s="180"/>
      <c r="K92"/>
    </row>
    <row r="93" spans="2:21">
      <c r="B93" s="237" t="s">
        <v>625</v>
      </c>
      <c r="C93" s="237"/>
      <c r="D93" s="237"/>
      <c r="E93" s="237"/>
      <c r="F93" s="237"/>
      <c r="G93" s="237"/>
      <c r="H93" s="237"/>
      <c r="I93" s="237"/>
      <c r="J93" s="237"/>
      <c r="K93"/>
      <c r="L93" s="181"/>
      <c r="M93" s="182"/>
      <c r="N93" s="183"/>
      <c r="O93" s="184"/>
      <c r="P93" s="184"/>
      <c r="Q93" s="184"/>
      <c r="R93" s="184"/>
      <c r="S93" s="185"/>
      <c r="T93" s="186"/>
      <c r="U93" s="187"/>
    </row>
    <row r="94" spans="2:21" ht="4.95" customHeight="1">
      <c r="B94" s="188"/>
      <c r="C94" s="180"/>
      <c r="D94" s="180"/>
      <c r="E94" s="180"/>
      <c r="F94" s="180"/>
      <c r="G94" s="180"/>
      <c r="H94" s="180"/>
      <c r="I94" s="180"/>
      <c r="J94" s="180"/>
      <c r="K94"/>
    </row>
    <row r="95" spans="2:21">
      <c r="B95" s="237" t="s">
        <v>442</v>
      </c>
      <c r="C95" s="237"/>
      <c r="D95" s="237"/>
      <c r="E95" s="237"/>
      <c r="F95" s="237"/>
      <c r="G95" s="237"/>
      <c r="H95" s="237"/>
      <c r="I95" s="237"/>
      <c r="J95" s="237"/>
      <c r="K95"/>
      <c r="L95" s="181"/>
      <c r="M95" s="182"/>
      <c r="N95" s="183"/>
      <c r="O95" s="184"/>
      <c r="P95" s="184"/>
      <c r="Q95" s="184"/>
      <c r="R95" s="184"/>
      <c r="S95" s="185"/>
      <c r="T95" s="186"/>
      <c r="U95" s="187"/>
    </row>
    <row r="96" spans="2:21" ht="4.95" customHeight="1">
      <c r="B96" s="188"/>
      <c r="C96" s="180"/>
      <c r="D96" s="180"/>
      <c r="E96" s="180"/>
      <c r="F96" s="180"/>
      <c r="G96" s="180"/>
      <c r="H96" s="180"/>
      <c r="I96" s="180"/>
      <c r="J96" s="180"/>
      <c r="K96"/>
    </row>
    <row r="97" spans="2:21">
      <c r="B97" s="237" t="s">
        <v>106</v>
      </c>
      <c r="C97" s="237"/>
      <c r="D97" s="237"/>
      <c r="E97" s="237"/>
      <c r="F97" s="237"/>
      <c r="G97" s="237"/>
      <c r="H97" s="237"/>
      <c r="I97" s="237"/>
      <c r="J97" s="237"/>
      <c r="K97"/>
      <c r="L97" s="181"/>
      <c r="M97" s="182"/>
      <c r="N97" s="183"/>
      <c r="O97" s="184"/>
      <c r="P97" s="184"/>
      <c r="Q97" s="184"/>
      <c r="R97" s="184"/>
      <c r="S97" s="185"/>
      <c r="T97" s="186"/>
      <c r="U97" s="187"/>
    </row>
    <row r="98" spans="2:21" ht="4.95" customHeight="1">
      <c r="B98" s="188"/>
      <c r="C98" s="180"/>
      <c r="D98" s="180"/>
      <c r="E98" s="180"/>
      <c r="F98" s="180"/>
      <c r="G98" s="180"/>
      <c r="H98" s="180"/>
      <c r="I98" s="180"/>
      <c r="J98" s="180"/>
      <c r="K98"/>
    </row>
    <row r="99" spans="2:21">
      <c r="B99" s="237" t="s">
        <v>686</v>
      </c>
      <c r="C99" s="237"/>
      <c r="D99" s="237"/>
      <c r="E99" s="237"/>
      <c r="F99" s="237"/>
      <c r="G99" s="237"/>
      <c r="H99" s="237"/>
      <c r="I99" s="237"/>
      <c r="J99" s="237"/>
      <c r="K99"/>
      <c r="L99" s="181"/>
      <c r="M99" s="182"/>
      <c r="N99" s="183"/>
      <c r="O99" s="184"/>
      <c r="P99" s="184"/>
      <c r="Q99" s="184"/>
      <c r="R99" s="184"/>
      <c r="S99" s="185"/>
      <c r="T99" s="186"/>
      <c r="U99" s="187"/>
    </row>
    <row r="100" spans="2:21" ht="4.95" customHeight="1">
      <c r="B100" s="188"/>
      <c r="C100" s="180"/>
      <c r="D100" s="180"/>
      <c r="E100" s="180"/>
      <c r="F100" s="180"/>
      <c r="G100" s="180"/>
      <c r="H100" s="180"/>
      <c r="I100" s="180"/>
      <c r="J100" s="180"/>
      <c r="K100"/>
    </row>
    <row r="101" spans="2:21">
      <c r="B101" s="237" t="s">
        <v>571</v>
      </c>
      <c r="C101" s="237"/>
      <c r="D101" s="237"/>
      <c r="E101" s="237"/>
      <c r="F101" s="237"/>
      <c r="G101" s="237"/>
      <c r="H101" s="237"/>
      <c r="I101" s="237"/>
      <c r="J101" s="237"/>
      <c r="K101"/>
      <c r="L101" s="181"/>
      <c r="M101" s="182"/>
      <c r="N101" s="183"/>
      <c r="O101" s="184"/>
      <c r="P101" s="184"/>
      <c r="Q101" s="184"/>
      <c r="R101" s="184"/>
      <c r="S101" s="185"/>
      <c r="T101" s="186"/>
      <c r="U101" s="187"/>
    </row>
    <row r="102" spans="2:21" ht="4.95" customHeight="1">
      <c r="B102" s="188"/>
      <c r="C102" s="180"/>
      <c r="D102" s="180"/>
      <c r="E102" s="180"/>
      <c r="F102" s="180"/>
      <c r="G102" s="180"/>
      <c r="H102" s="180"/>
      <c r="I102" s="180"/>
      <c r="J102" s="180"/>
      <c r="K102"/>
    </row>
    <row r="103" spans="2:21">
      <c r="B103" s="237" t="s">
        <v>30</v>
      </c>
      <c r="C103" s="237"/>
      <c r="D103" s="237"/>
      <c r="E103" s="237"/>
      <c r="F103" s="237"/>
      <c r="G103" s="237"/>
      <c r="H103" s="237"/>
      <c r="I103" s="237"/>
      <c r="J103" s="237"/>
      <c r="K103"/>
      <c r="L103" s="181"/>
      <c r="M103" s="182"/>
      <c r="N103" s="183"/>
      <c r="O103" s="184"/>
      <c r="P103" s="184"/>
      <c r="Q103" s="184"/>
      <c r="R103" s="184"/>
      <c r="S103" s="185"/>
      <c r="T103" s="186"/>
      <c r="U103" s="187"/>
    </row>
    <row r="104" spans="2:21" ht="4.95" customHeight="1">
      <c r="B104" s="188"/>
      <c r="C104" s="180"/>
      <c r="D104" s="180"/>
      <c r="E104" s="180"/>
      <c r="F104" s="180"/>
      <c r="G104" s="180"/>
      <c r="H104" s="180"/>
      <c r="I104" s="180"/>
      <c r="J104" s="180"/>
      <c r="K104"/>
    </row>
    <row r="105" spans="2:21">
      <c r="B105" s="237" t="s">
        <v>446</v>
      </c>
      <c r="C105" s="237"/>
      <c r="D105" s="237"/>
      <c r="E105" s="237"/>
      <c r="F105" s="237"/>
      <c r="G105" s="237"/>
      <c r="H105" s="237"/>
      <c r="I105" s="237"/>
      <c r="J105" s="237"/>
      <c r="K105"/>
      <c r="L105" s="181"/>
      <c r="M105" s="182"/>
      <c r="N105" s="183"/>
      <c r="O105" s="184"/>
      <c r="P105" s="184"/>
      <c r="Q105" s="184"/>
      <c r="R105" s="184"/>
      <c r="S105" s="185"/>
      <c r="T105" s="186"/>
      <c r="U105" s="187"/>
    </row>
    <row r="106" spans="2:21" ht="4.95" customHeight="1">
      <c r="B106" s="188"/>
      <c r="C106" s="180"/>
      <c r="D106" s="180"/>
      <c r="E106" s="180"/>
      <c r="F106" s="180"/>
      <c r="G106" s="180"/>
      <c r="H106" s="180"/>
      <c r="I106" s="180"/>
      <c r="J106" s="180"/>
      <c r="K106"/>
    </row>
    <row r="107" spans="2:21">
      <c r="B107" s="237" t="s">
        <v>390</v>
      </c>
      <c r="C107" s="237"/>
      <c r="D107" s="237"/>
      <c r="E107" s="237"/>
      <c r="F107" s="237"/>
      <c r="G107" s="237"/>
      <c r="H107" s="237"/>
      <c r="I107" s="237"/>
      <c r="J107" s="237"/>
      <c r="K107"/>
      <c r="L107" s="181"/>
      <c r="M107" s="182"/>
      <c r="N107" s="183"/>
      <c r="O107" s="184"/>
      <c r="P107" s="184"/>
      <c r="Q107" s="184"/>
      <c r="R107" s="184"/>
      <c r="S107" s="185"/>
      <c r="T107" s="186"/>
      <c r="U107" s="187"/>
    </row>
    <row r="108" spans="2:21" ht="4.95" customHeight="1">
      <c r="B108" s="188"/>
      <c r="C108" s="180"/>
      <c r="D108" s="180"/>
      <c r="E108" s="180"/>
      <c r="F108" s="180"/>
      <c r="G108" s="180"/>
      <c r="H108" s="180"/>
      <c r="I108" s="180"/>
      <c r="J108" s="180"/>
      <c r="K108"/>
    </row>
    <row r="109" spans="2:21">
      <c r="B109" s="237" t="s">
        <v>467</v>
      </c>
      <c r="C109" s="237"/>
      <c r="D109" s="237"/>
      <c r="E109" s="237"/>
      <c r="F109" s="237"/>
      <c r="G109" s="237"/>
      <c r="H109" s="237"/>
      <c r="I109" s="237"/>
      <c r="J109" s="237"/>
      <c r="K109"/>
      <c r="L109" s="181"/>
      <c r="M109" s="182"/>
      <c r="N109" s="183"/>
      <c r="O109" s="184"/>
      <c r="P109" s="184"/>
      <c r="Q109" s="184"/>
      <c r="R109" s="184"/>
      <c r="S109" s="185"/>
      <c r="T109" s="186"/>
      <c r="U109" s="187"/>
    </row>
    <row r="110" spans="2:21" ht="4.95" customHeight="1">
      <c r="B110" s="188"/>
      <c r="C110" s="180"/>
      <c r="D110" s="180"/>
      <c r="E110" s="180"/>
      <c r="F110" s="180"/>
      <c r="G110" s="180"/>
      <c r="H110" s="180"/>
      <c r="I110" s="180"/>
      <c r="J110" s="180"/>
      <c r="K110"/>
    </row>
    <row r="111" spans="2:21">
      <c r="B111" s="237" t="s">
        <v>394</v>
      </c>
      <c r="C111" s="237"/>
      <c r="D111" s="237"/>
      <c r="E111" s="237"/>
      <c r="F111" s="237"/>
      <c r="G111" s="237"/>
      <c r="H111" s="237"/>
      <c r="I111" s="237"/>
      <c r="J111" s="237"/>
      <c r="K111"/>
      <c r="L111" s="181"/>
      <c r="M111" s="182"/>
      <c r="N111" s="183"/>
      <c r="O111" s="184"/>
      <c r="P111" s="184"/>
      <c r="Q111" s="184"/>
      <c r="R111" s="184"/>
      <c r="S111" s="185"/>
      <c r="T111" s="186"/>
      <c r="U111" s="187"/>
    </row>
    <row r="112" spans="2:21" ht="4.95" customHeight="1">
      <c r="B112" s="188"/>
      <c r="C112" s="180"/>
      <c r="D112" s="180"/>
      <c r="E112" s="180"/>
      <c r="F112" s="180"/>
      <c r="G112" s="180"/>
      <c r="H112" s="180"/>
      <c r="I112" s="180"/>
      <c r="J112" s="180"/>
      <c r="K112"/>
    </row>
    <row r="113" spans="2:21">
      <c r="B113" s="237" t="s">
        <v>547</v>
      </c>
      <c r="C113" s="237"/>
      <c r="D113" s="237"/>
      <c r="E113" s="237"/>
      <c r="F113" s="237"/>
      <c r="G113" s="237"/>
      <c r="H113" s="237"/>
      <c r="I113" s="237"/>
      <c r="J113" s="237"/>
      <c r="K113"/>
      <c r="L113" s="181"/>
      <c r="M113" s="182"/>
      <c r="N113" s="183"/>
      <c r="O113" s="184"/>
      <c r="P113" s="184"/>
      <c r="Q113" s="184"/>
      <c r="R113" s="184"/>
      <c r="S113" s="185"/>
      <c r="T113" s="186"/>
      <c r="U113" s="187"/>
    </row>
    <row r="114" spans="2:21" ht="4.95" customHeight="1">
      <c r="B114" s="188"/>
      <c r="C114" s="180"/>
      <c r="D114" s="180"/>
      <c r="E114" s="180"/>
      <c r="F114" s="180"/>
      <c r="G114" s="180"/>
      <c r="H114" s="180"/>
      <c r="I114" s="180"/>
      <c r="J114" s="180"/>
      <c r="K114"/>
    </row>
    <row r="115" spans="2:21">
      <c r="B115" s="237" t="s">
        <v>465</v>
      </c>
      <c r="C115" s="237"/>
      <c r="D115" s="237"/>
      <c r="E115" s="237"/>
      <c r="F115" s="237"/>
      <c r="G115" s="237"/>
      <c r="H115" s="237"/>
      <c r="I115" s="237"/>
      <c r="J115" s="237"/>
      <c r="K115"/>
      <c r="L115" s="181"/>
      <c r="M115" s="182"/>
      <c r="N115" s="183"/>
      <c r="O115" s="184"/>
      <c r="P115" s="184"/>
      <c r="Q115" s="184"/>
      <c r="R115" s="184"/>
      <c r="S115" s="185"/>
      <c r="T115" s="186"/>
      <c r="U115" s="187"/>
    </row>
  </sheetData>
  <mergeCells count="72">
    <mergeCell ref="B111:J111"/>
    <mergeCell ref="B113:J113"/>
    <mergeCell ref="B115:J115"/>
    <mergeCell ref="P53:Y53"/>
    <mergeCell ref="B101:J101"/>
    <mergeCell ref="B103:J103"/>
    <mergeCell ref="B105:J105"/>
    <mergeCell ref="B107:J107"/>
    <mergeCell ref="B109:J109"/>
    <mergeCell ref="B91:J91"/>
    <mergeCell ref="B93:J93"/>
    <mergeCell ref="B95:J95"/>
    <mergeCell ref="B97:J97"/>
    <mergeCell ref="B99:J99"/>
    <mergeCell ref="B81:J81"/>
    <mergeCell ref="B83:J83"/>
    <mergeCell ref="B87:J87"/>
    <mergeCell ref="B89:J89"/>
    <mergeCell ref="B71:J71"/>
    <mergeCell ref="B73:J73"/>
    <mergeCell ref="B75:J75"/>
    <mergeCell ref="B77:J77"/>
    <mergeCell ref="B79:J79"/>
    <mergeCell ref="B63:J63"/>
    <mergeCell ref="B65:J65"/>
    <mergeCell ref="B67:J67"/>
    <mergeCell ref="B69:J69"/>
    <mergeCell ref="B85:J85"/>
    <mergeCell ref="L56:N56"/>
    <mergeCell ref="S56:U56"/>
    <mergeCell ref="B57:J57"/>
    <mergeCell ref="B59:J59"/>
    <mergeCell ref="B61:J61"/>
    <mergeCell ref="F55:Q55"/>
    <mergeCell ref="P46:T46"/>
    <mergeCell ref="U46:Y46"/>
    <mergeCell ref="P52:Y52"/>
    <mergeCell ref="P42:T42"/>
    <mergeCell ref="U42:Y42"/>
    <mergeCell ref="P47:T47"/>
    <mergeCell ref="U47:Y47"/>
    <mergeCell ref="P45:T45"/>
    <mergeCell ref="U45:Y45"/>
    <mergeCell ref="P43:T43"/>
    <mergeCell ref="U43:Y43"/>
    <mergeCell ref="P44:T44"/>
    <mergeCell ref="U44:Y44"/>
    <mergeCell ref="P34:T34"/>
    <mergeCell ref="U34:Y34"/>
    <mergeCell ref="E31:J31"/>
    <mergeCell ref="L31:U31"/>
    <mergeCell ref="B32:N32"/>
    <mergeCell ref="P32:Y32"/>
    <mergeCell ref="O1:Y1"/>
    <mergeCell ref="P2:Y2"/>
    <mergeCell ref="C5:X5"/>
    <mergeCell ref="E22:J22"/>
    <mergeCell ref="A20:Y20"/>
    <mergeCell ref="P41:T41"/>
    <mergeCell ref="U41:Y41"/>
    <mergeCell ref="P39:T39"/>
    <mergeCell ref="U35:Y35"/>
    <mergeCell ref="U38:Y38"/>
    <mergeCell ref="U39:Y39"/>
    <mergeCell ref="P35:T35"/>
    <mergeCell ref="P36:T36"/>
    <mergeCell ref="P37:T37"/>
    <mergeCell ref="P38:T38"/>
    <mergeCell ref="U36:Y36"/>
    <mergeCell ref="U37:Y37"/>
    <mergeCell ref="P40:T40"/>
    <mergeCell ref="U40:Y40"/>
  </mergeCells>
  <phoneticPr fontId="9" type="noConversion"/>
  <printOptions horizontalCentered="1"/>
  <pageMargins left="0.70866141732283472" right="0.70866141732283472" top="0.74803149606299213" bottom="0.74803149606299213" header="0.31496062992125984" footer="0.31496062992125984"/>
  <pageSetup scale="88" fitToHeight="2" orientation="portrait" r:id="rId1"/>
  <rowBreaks count="1" manualBreakCount="1">
    <brk id="52" max="16383" man="1"/>
  </row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9">
    <tabColor rgb="FF00B050"/>
    <pageSetUpPr fitToPage="1"/>
  </sheetPr>
  <dimension ref="A1:T48"/>
  <sheetViews>
    <sheetView zoomScaleNormal="100" workbookViewId="0">
      <selection activeCell="V20" sqref="V20"/>
    </sheetView>
  </sheetViews>
  <sheetFormatPr baseColWidth="10" defaultColWidth="4.6640625" defaultRowHeight="14.4"/>
  <cols>
    <col min="1" max="16384" width="4.6640625" style="86"/>
  </cols>
  <sheetData>
    <row r="1" spans="1:20" ht="16.2">
      <c r="A1" s="67"/>
      <c r="B1" s="67"/>
      <c r="C1" s="67"/>
      <c r="D1" s="68"/>
      <c r="K1" s="205" t="s">
        <v>553</v>
      </c>
      <c r="L1" s="205"/>
      <c r="M1" s="205"/>
      <c r="N1" s="205"/>
      <c r="O1" s="205"/>
      <c r="P1" s="205"/>
      <c r="Q1" s="205"/>
      <c r="R1" s="205"/>
      <c r="S1" s="205"/>
      <c r="T1" s="205"/>
    </row>
    <row r="2" spans="1:20">
      <c r="A2" s="69"/>
      <c r="B2" s="69"/>
      <c r="C2" s="69"/>
      <c r="D2" s="69"/>
      <c r="E2" s="69"/>
      <c r="F2" s="117"/>
      <c r="G2" s="117"/>
      <c r="H2" s="117"/>
      <c r="I2" s="117"/>
      <c r="J2" s="117"/>
      <c r="K2" s="206" t="str">
        <f>Portada!W36</f>
        <v>Nombre Puesto</v>
      </c>
      <c r="L2" s="206"/>
      <c r="M2" s="206"/>
      <c r="N2" s="206"/>
      <c r="O2" s="206"/>
      <c r="P2" s="206"/>
      <c r="Q2" s="206"/>
      <c r="R2" s="206"/>
      <c r="S2" s="206"/>
      <c r="T2" s="206"/>
    </row>
    <row r="7" spans="1:20" ht="15" customHeight="1"/>
    <row r="13" spans="1:20" ht="15" customHeight="1"/>
    <row r="19" ht="15" customHeight="1"/>
    <row r="25" ht="15" customHeight="1"/>
    <row r="31" ht="15" customHeight="1"/>
    <row r="37" spans="1:20" ht="15" customHeight="1"/>
    <row r="46" spans="1:20">
      <c r="A46" s="117"/>
      <c r="B46" s="117"/>
      <c r="C46" s="117"/>
      <c r="D46" s="117"/>
      <c r="E46" s="117"/>
      <c r="F46" s="117"/>
      <c r="G46" s="117"/>
      <c r="H46" s="117"/>
      <c r="I46" s="117"/>
      <c r="J46" s="117"/>
      <c r="K46" s="117"/>
      <c r="L46" s="117"/>
      <c r="M46" s="117"/>
      <c r="N46" s="117"/>
      <c r="O46" s="117"/>
      <c r="P46" s="117"/>
      <c r="Q46" s="117"/>
      <c r="R46" s="117"/>
      <c r="S46" s="117"/>
      <c r="T46" s="117"/>
    </row>
    <row r="47" spans="1:20" ht="16.2">
      <c r="K47" s="239" t="s">
        <v>552</v>
      </c>
      <c r="L47" s="239"/>
      <c r="M47" s="239"/>
      <c r="N47" s="239"/>
      <c r="O47" s="239"/>
      <c r="P47" s="239"/>
      <c r="Q47" s="239"/>
      <c r="R47" s="239"/>
      <c r="S47" s="239"/>
      <c r="T47" s="239"/>
    </row>
    <row r="48" spans="1:20">
      <c r="K48" s="208" t="s">
        <v>522</v>
      </c>
      <c r="L48" s="208"/>
      <c r="M48" s="208"/>
      <c r="N48" s="208"/>
      <c r="O48" s="208"/>
      <c r="P48" s="208"/>
      <c r="Q48" s="208"/>
      <c r="R48" s="208"/>
      <c r="S48" s="208"/>
      <c r="T48" s="208"/>
    </row>
  </sheetData>
  <mergeCells count="4">
    <mergeCell ref="K1:T1"/>
    <mergeCell ref="K2:T2"/>
    <mergeCell ref="K47:T47"/>
    <mergeCell ref="K48:T48"/>
  </mergeCells>
  <printOptions horizontalCentered="1"/>
  <pageMargins left="0.70866141732283472" right="0.70866141732283472" top="0.74803149606299213" bottom="0.74803149606299213" header="0.31496062992125984" footer="0.31496062992125984"/>
  <pageSetup scale="95"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14</vt:i4>
      </vt:variant>
    </vt:vector>
  </HeadingPairs>
  <TitlesOfParts>
    <vt:vector size="14" baseType="lpstr">
      <vt:lpstr>BaseNorma</vt:lpstr>
      <vt:lpstr>BaseResultados</vt:lpstr>
      <vt:lpstr>Origen</vt:lpstr>
      <vt:lpstr>Equivalencias</vt:lpstr>
      <vt:lpstr>DatosTrans</vt:lpstr>
      <vt:lpstr>Puntuación</vt:lpstr>
      <vt:lpstr>Conversión</vt:lpstr>
      <vt:lpstr>HMolde</vt:lpstr>
      <vt:lpstr>BasePerfiles</vt:lpstr>
      <vt:lpstr>Portada</vt:lpstr>
      <vt:lpstr>Rankeo</vt:lpstr>
      <vt:lpstr>Liderazgo</vt:lpstr>
      <vt:lpstr>Gráfica Rendimiento</vt:lpstr>
      <vt:lpstr>Glosario</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MPLG</dc:creator>
  <cp:lastModifiedBy>Luis Toledo</cp:lastModifiedBy>
  <cp:lastPrinted>2023-03-29T00:46:51Z</cp:lastPrinted>
  <dcterms:created xsi:type="dcterms:W3CDTF">2019-01-17T01:58:28Z</dcterms:created>
  <dcterms:modified xsi:type="dcterms:W3CDTF">2026-08-14T14:39:42Z</dcterms:modified>
</cp:coreProperties>
</file>